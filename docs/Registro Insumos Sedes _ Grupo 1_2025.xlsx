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ABEDULES" sheetId="2" r:id="rId6"/>
    <sheet state="visible" name="APOQUINDO" sheetId="3" r:id="rId7"/>
    <sheet state="visible" name="ALTO EL GOLF" sheetId="4" r:id="rId8"/>
    <sheet state="visible" name="LOS MILITARES-BCI" sheetId="5" r:id="rId9"/>
    <sheet state="visible" name="MONJITAS" sheetId="6" r:id="rId10"/>
    <sheet state="visible" name="ISIDORA" sheetId="7" r:id="rId11"/>
    <sheet state="visible" name="VESPUCIO" sheetId="8" r:id="rId12"/>
    <sheet state="visible" name="NUEVA LAS CONDES" sheetId="9" r:id="rId13"/>
    <sheet state="visible" name="KENNEDY" sheetId="10" r:id="rId14"/>
    <sheet state="visible" name="CERRO EL PLOMO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tc={5ac7df62-3191-41ac-8dd0-ded5adf2202d}</author>
  </authors>
  <commentList>
    <comment authorId="0" xr:uid="{5ac7df62-3191-41ac-8dd0-ded5adf220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Nos llego cafe el dia 29-01 8 kg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tc={15cf0c60-d58d-475e-a790-ca41b49acf36}</author>
    <author>tc={732c0440-abcb-4a5e-ae53-4cc5e8606575}</author>
  </authors>
  <commentList>
    <comment authorId="0" xr:uid="{15cf0c60-d58d-475e-a790-ca41b49acf36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@aneley@co-work.cl  Hola Ane! recordatorio para completar! graciasss
Asignada a aneley@co-work.cl
</t>
      </text>
    </comment>
    <comment authorId="1" xr:uid="{732c0440-abcb-4a5e-ae53-4cc5e8606575}" ref="A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@aneley@co-work.cl  Hola Ane! porfiss actualizar! Graciass
Asignada a aneley@co-work.cl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tc={181b1405-26b5-44cc-bdc6-f8192381ce01}</author>
    <author>tc={403e9025-45fa-4917-8607-54ff6fb717d9}</author>
    <author>tc={fa1c55e3-9502-4d34-8261-989fc0eba01f}</author>
  </authors>
  <commentList>
    <comment authorId="0" xr:uid="{181b1405-26b5-44cc-bdc6-f8192381ce01}" ref="A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error puse 6 und
</t>
      </text>
    </comment>
    <comment authorId="1" xr:uid="{403e9025-45fa-4917-8607-54ff6fb717d9}" ref="A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prestado por sede Tobalaba
</t>
      </text>
    </comment>
    <comment authorId="2" xr:uid="{fa1c55e3-9502-4d34-8261-989fc0eba01f}" ref="A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confundí con el gramaje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tc={23c4fa3e-fa7d-4749-bdcb-f8390756c2db}</author>
  </authors>
  <commentList>
    <comment authorId="0" xr:uid="{23c4fa3e-fa7d-4749-bdcb-f8390756c2db}" ref="A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@oryady.diaz@co-work.cl  Hola Oryady! porfis actulizar, gracias!!
Asignada a oryady.diaz@co-work.cl
Reply:
	Hola María, actalización lista, lindo martes, saludos.
Reply:
	Super gracias!!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tc={b95558bf-4223-4233-af29-f20bb7a2cda4}</author>
    <author>tc={fd3a5719-a21a-40af-8804-73df655282c6}</author>
  </authors>
  <commentList>
    <comment authorId="0" xr:uid="{b95558bf-4223-4233-af29-f20bb7a2cda4}" ref="A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@yessica.alvarado@co-work.cl  hoy llega!
</t>
      </text>
    </comment>
    <comment authorId="1" xr:uid="{fd3a5719-a21a-40af-8804-73df655282c6}" ref="A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@yessica.alvarado@co-work.cl  Hola Yessica! mañana 18/11 llegan los insumos y cafetería!
Asignada a yessica.alvarado@co-work.cl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tc={28e1a7f5-eb09-43e0-8b66-cba8305c4af5}</author>
    <author>tc={99abfbb2-3a0e-44fd-9aae-8aebe44bbae1}</author>
    <author>tc={ff1845f4-1827-4446-8a66-67f87377e275}</author>
  </authors>
  <commentList>
    <comment authorId="0" xr:uid="{28e1a7f5-eb09-43e0-8b66-cba8305c4af5}" ref="A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@erika.contreras@co-work.cl  Hola Erika! mañana llegan insumos y café! , porfavor para que se actualice nuevamente lo que lleguen las cosillas. Mil gracias!
Asignada a erika.contreras@co-work.cl
</t>
      </text>
    </comment>
    <comment authorId="1" xr:uid="{99abfbb2-3a0e-44fd-9aae-8aebe44bbae1}" ref="A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hay, tuvimos una confusión con otro producto :)
</t>
      </text>
    </comment>
    <comment authorId="2" xr:uid="{ff1845f4-1827-4446-8a66-67f87377e275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@erika.contreras@co-work.cl  Hola Erika! Mañana 18/11  llegan los insumos y cafeteria!
Asignada a erika.contreras@co-work.cl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tc={9fef76ba-8477-4444-9828-30ee1261b57b}</author>
    <author>tc={ad060980-f939-4502-bc7c-da9ea4b5aa8a}</author>
  </authors>
  <commentList>
    <comment authorId="0" xr:uid="{9fef76ba-8477-4444-9828-30ee1261b57b}" ref="AK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@eduardo.arias@co-work.cl  Hola Edu!! porfavor actualizar!
Asignada a eduardo.arias@co-work.cl
</t>
      </text>
    </comment>
    <comment authorId="1" xr:uid="{ad060980-f939-4502-bc7c-da9ea4b5aa8a}" ref="A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@eduardo.arias@co-work.cl  Eduardo de las Mercedes! atenta a la actulizacion hahaa! , mañana llegan insumos y cafeteria!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tc={59c28846-ae30-4278-b9ef-a5599cf2fe03}</author>
    <author>tc={6239003b-acb8-4d3a-ad51-48731c2a2198}</author>
    <author>tc={aa2448aa-8261-4f7a-8ede-9cc3420fa22d}</author>
    <author>tc={beb3c639-ce13-4096-9dfb-efb35bcff6c7}</author>
    <author>tc={e3da2345-ace3-413d-be77-fb934746dda5}</author>
    <author>tc={f6396633-64b7-45ee-aa17-1811d099f9cd}</author>
  </authors>
  <commentList>
    <comment authorId="0" xr:uid="{59c28846-ae30-4278-b9ef-a5599cf2fe03}" ref="A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@albert.mendez@co-work.cl  Hola Albert! recordatorio para actulizar, mañana llegan los insumos y cafeteria!
</t>
      </text>
    </comment>
    <comment authorId="1" xr:uid="{6239003b-acb8-4d3a-ad51-48731c2a2198}" ref="A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Antonieta lleva 5 paq a Alto del Golf
</t>
      </text>
    </comment>
    <comment authorId="2" xr:uid="{aa2448aa-8261-4f7a-8ede-9cc3420fa22d}" ref="AH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hizo traspaso a Kennedy, carta 6 - en un lokers en 2do piso se encontraron 6 tamaño carta
</t>
      </text>
    </comment>
    <comment authorId="3" xr:uid="{beb3c639-ce13-4096-9dfb-efb35bcff6c7}" ref="A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Albert lleva 4 paquetes a Cowork Kenedy
</t>
      </text>
    </comment>
    <comment authorId="4" xr:uid="{e3da2345-ace3-413d-be77-fb934746dda5}" ref="A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@eugenia.marambio@co-work.cl  Hola Eugenia! porfavor actualizar los insumos al día de ayer, puede ser con lo que tienen hoy! Gracias!
Asignada a eugenia.marambio@co-work.cl
</t>
      </text>
    </comment>
    <comment authorId="5" xr:uid="{f6396633-64b7-45ee-aa17-1811d099f9cd}" ref="AT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Albert llevo 4 paq para sede de Kennedy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tc={118e8f1d-63b2-4568-8b1d-a55be7d12b37}</author>
    <author>tc={8c16e0f9-e7a8-48ed-9a33-b03fcc6be43e}</author>
    <author>tc={a67949a1-8d4a-49ef-a252-e3acc113e594}</author>
    <author>tc={b6ece354-4e22-43e3-a6f2-3d1e5bff9b06}</author>
    <author>tc={c5a5a701-d9b6-4971-a2c4-503044dd5411}</author>
    <author>tc={cbf2a55d-db83-4199-b42d-353f6b026d20}</author>
    <author>tc={da2d6efa-1cdf-4509-b40e-e53d93bf5239}</author>
    <author>tc={e5eb1b18-4ed1-499f-9638-0f250dc3b418}</author>
  </authors>
  <commentList>
    <comment authorId="0" xr:uid="{118e8f1d-63b2-4568-8b1d-a55be7d12b37}" ref="AU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Prestado de la sede Cerro el plomo
</t>
      </text>
    </comment>
    <comment authorId="1" xr:uid="{8c16e0f9-e7a8-48ed-9a33-b03fcc6be43e}" ref="AW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kg Prestado de la sede de Cerro el plomo
</t>
      </text>
    </comment>
    <comment authorId="2" xr:uid="{a67949a1-8d4a-49ef-a252-e3acc113e594}" ref="AN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@yenire.vera@co-work.cl  Hola Yenire! porfis actulizar , gracias!!
Asignada a yenire.vera@co-work.cl
</t>
      </text>
    </comment>
    <comment authorId="3" xr:uid="{b6ece354-4e22-43e3-a6f2-3d1e5bff9b06}" ref="A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envió 3 paquetes a Cerro el plomo, piso 13
</t>
      </text>
    </comment>
    <comment authorId="4" xr:uid="{c5a5a701-d9b6-4971-a2c4-503044dd5411}" ref="AY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enviaron 2 a Cerro el plomo
</t>
      </text>
    </comment>
    <comment authorId="5" xr:uid="{cbf2a55d-db83-4199-b42d-353f6b026d20}" ref="A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envio 2 Litros de Leche a Cerro el plomo
</t>
      </text>
    </comment>
    <comment authorId="6" xr:uid="{da2d6efa-1cdf-4509-b40e-e53d93bf5239}" ref="AX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Prestado de Cerro el plomo
</t>
      </text>
    </comment>
    <comment authorId="7" xr:uid="{e5eb1b18-4ed1-499f-9638-0f250dc3b418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Nuevo , favor empezar a divir por tamaño . gracias!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tc={5ed3ff0e-0378-427b-97b8-b7f7a7201db6}</author>
    <author>tc={8ee03dab-da6b-4e13-9b87-f40ac4187788}</author>
  </authors>
  <commentList>
    <comment authorId="0" xr:uid="{5ed3ff0e-0378-427b-97b8-b7f7a7201db6}" ref="Z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@genesis.daboin@co-work.cl  Hola Genesis! porfavor recuerdo actulizar! mañana llegan inusmos y cafeteria!
</t>
      </text>
    </comment>
    <comment authorId="1" xr:uid="{8ee03dab-da6b-4e13-9b87-f40ac4187788}" ref="A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traspaso 1 A3 75 a Abedules ( Aneley)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tc={2ef3e633-ced5-4f58-92ca-9327194b2464}</author>
    <author>tc={35af6bac-8b97-47d7-9d51-d140c8a50b31}</author>
    <author>tc={4737e4fb-848f-40b4-875f-bcce709d9b70}</author>
    <author>tc={4e5f372b-6616-4a23-8eea-75d9250b9b68}</author>
    <author>tc={677c86aa-5f5d-4119-aab8-67ed029c2f9e}</author>
    <author>tc={779a6a0f-1ad5-4eab-9d41-b1bdfa7803a5}</author>
    <author>tc={b349d5d4-1ae1-4122-9e1d-41dc9166504a}</author>
    <author>tc={c9b1e79c-5024-41ec-b45e-3914578d8a23}</author>
    <author>tc={cecaf5be-390c-4f17-ba60-a3123143e987}</author>
    <author>tc={e1bb89f2-c84c-4bd6-ba01-1b2f2f1fcdb8}</author>
    <author>tc={eab4e4ed-40fb-4fe9-9cfb-3f70b1157a8a}</author>
    <author>tc={efbbf1c4-a43d-431e-aced-1de698fab300}</author>
    <author>tc={fcda4328-bc4b-4cdb-b62d-be112df2f671}</author>
  </authors>
  <commentList>
    <comment authorId="0" xr:uid="{2ef3e633-ced5-4f58-92ca-9327194b2464}" ref="BD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dia 27-01 se entra a Yeni 1 kg d cafe para sede Nva las condes
</t>
      </text>
    </comment>
    <comment authorId="1" xr:uid="{35af6bac-8b97-47d7-9d51-d140c8a50b31}" ref="B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autorizacion de ana compre solo 2 litros d leche el viernes 30-01
</t>
      </text>
    </comment>
    <comment authorId="2" xr:uid="{4737e4fb-848f-40b4-875f-bcce709d9b70}" ref="AV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dia 13-01 le escribie a Anto consultando si habia tomado aceite de oliva, ya que me estaban faltando 3 de acuerod al inventario que realice el jueves 08-01 y me indico q solo tomo 1, sin mebargo estaria faltando 2 consulte a las colaborados pero me dicen no han repuesto y tampoco sabes xq estaran faltando!!
</t>
      </text>
    </comment>
    <comment authorId="3" xr:uid="{4e5f372b-6616-4a23-8eea-75d9250b9b68}" ref="B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orden de ANA, me prestaron 2 bultos de Toalla Papel de la sede Nvas Las Condes entregado el 23-01
</t>
      </text>
    </comment>
    <comment authorId="4" xr:uid="{677c86aa-5f5d-4119-aab8-67ed029c2f9e}" ref="B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dia de hoy yeni de nva las condes, me presto 2 litros de leche, fue autorizado por ana
</t>
      </text>
    </comment>
    <comment authorId="5" xr:uid="{779a6a0f-1ad5-4eab-9d41-b1bdfa7803a5}" ref="B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DIA 05-02 Yeni de la sede nva las condes me presto 1 me lo trajo ana q estaba alla!!
</t>
      </text>
    </comment>
    <comment authorId="6" xr:uid="{b349d5d4-1ae1-4122-9e1d-41dc9166504a}" ref="B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presto hoy dia 1kg a la sede Nva las Condes autorizado por ana, el mismo fue entregado a Yeni
</t>
      </text>
    </comment>
    <comment authorId="7" xr:uid="{c9b1e79c-5024-41ec-b45e-3914578d8a23}" ref="AH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prestaron 5 kg de sede BCI los MILITARES pero se coloca 1kg y quedaron 4kg autorizado por @ana@co-work.cl
Asignada a ana@co-work.cl
</t>
      </text>
    </comment>
    <comment authorId="8" xr:uid="{cecaf5be-390c-4f17-ba60-a3123143e987}" ref="B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dia de hoy yeni de sede nva las condes me presto 1 toalla nova, autorizado por ana
</t>
      </text>
    </comment>
    <comment authorId="9" xr:uid="{e1bb89f2-c84c-4bd6-ba01-1b2f2f1fcdb8}" ref="BV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presto 1 bolsa de revolvedores para la sede Nva las Condes autorizado por Anto
</t>
      </text>
    </comment>
    <comment authorId="10" xr:uid="{eab4e4ed-40fb-4fe9-9cfb-3f70b1157a8a}" ref="AF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 prestaron 3 bultos de nova de sede Nva las condes, en conocimiento y autorizado por @ana@co-work.cl y tambien Anto
Asignada a ana@co-work.cl
Reply:
	okii gracias por la info!
Reply:
	holis de nada, lindo Miercoles!!
</t>
      </text>
    </comment>
    <comment authorId="11" xr:uid="{efbbf1c4-a43d-431e-aced-1de698fab300}" ref="B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le presto 4 unidaddes de papel higienicco a la sede Nva las Condes por autorizacion de antonirtta
</t>
      </text>
    </comment>
    <comment authorId="12" xr:uid="{fcda4328-bc4b-4cdb-b62d-be112df2f671}" ref="AZ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 orden de Anto, se presto 1,5 kg a la sede Nvas Las Condes entregado a Yeni el 21-01
Reply:
	gracias por la infor!
</t>
      </text>
    </comment>
  </commentList>
</comments>
</file>

<file path=xl/sharedStrings.xml><?xml version="1.0" encoding="utf-8"?>
<sst xmlns="http://schemas.openxmlformats.org/spreadsheetml/2006/main" count="3447" uniqueCount="631">
  <si>
    <t>Sede</t>
  </si>
  <si>
    <t>Proveedor</t>
  </si>
  <si>
    <t>Producto</t>
  </si>
  <si>
    <t>Stock Actual</t>
  </si>
  <si>
    <t xml:space="preserve">Abedules </t>
  </si>
  <si>
    <t>Coporate Coffe</t>
  </si>
  <si>
    <t>Cafe Grano (KG)</t>
  </si>
  <si>
    <t>Cafeteria</t>
  </si>
  <si>
    <t>Toalla de Papel Jumbo (UN)</t>
  </si>
  <si>
    <t>Papel Higienico (UN)</t>
  </si>
  <si>
    <t>Resma Papel Fotocopia (UN)</t>
  </si>
  <si>
    <t>NO MANDAR</t>
  </si>
  <si>
    <t>Cafe Granulado</t>
  </si>
  <si>
    <t>Aseo</t>
  </si>
  <si>
    <t xml:space="preserve">Papel interfoliado </t>
  </si>
  <si>
    <t>Leche liquida</t>
  </si>
  <si>
    <t>Leche en polvo</t>
  </si>
  <si>
    <t>Vainilla</t>
  </si>
  <si>
    <t>Endulzante</t>
  </si>
  <si>
    <t>Servilletas</t>
  </si>
  <si>
    <t>Cloro Gel</t>
  </si>
  <si>
    <t>-</t>
  </si>
  <si>
    <t>Limpia Piso</t>
  </si>
  <si>
    <t>Esponja 4U</t>
  </si>
  <si>
    <t>Mopa Redonda</t>
  </si>
  <si>
    <t xml:space="preserve">Repuesto avion </t>
  </si>
  <si>
    <t xml:space="preserve">Aceite de oliva </t>
  </si>
  <si>
    <t xml:space="preserve">Vinagre </t>
  </si>
  <si>
    <t xml:space="preserve">Aceto </t>
  </si>
  <si>
    <t xml:space="preserve">Café instantaneao </t>
  </si>
  <si>
    <t xml:space="preserve">Aerosol de aroma </t>
  </si>
  <si>
    <t>Cif en crema</t>
  </si>
  <si>
    <t>Lustramueble</t>
  </si>
  <si>
    <t xml:space="preserve">Lavaloza </t>
  </si>
  <si>
    <t xml:space="preserve">Jabón de mano </t>
  </si>
  <si>
    <t xml:space="preserve">Bolsas M </t>
  </si>
  <si>
    <t xml:space="preserve">Bolsas S </t>
  </si>
  <si>
    <t xml:space="preserve">Bolsas L </t>
  </si>
  <si>
    <t xml:space="preserve">Paños Azul </t>
  </si>
  <si>
    <t xml:space="preserve">Paños Amarillo </t>
  </si>
  <si>
    <t>Paño Verde</t>
  </si>
  <si>
    <t xml:space="preserve">Poet </t>
  </si>
  <si>
    <t xml:space="preserve">Guantes </t>
  </si>
  <si>
    <t>JUNIO</t>
  </si>
  <si>
    <t>Apoquindo</t>
  </si>
  <si>
    <t>Cafe Caribe</t>
  </si>
  <si>
    <t>9 kg</t>
  </si>
  <si>
    <t>13,5 kg</t>
  </si>
  <si>
    <t>12 kg</t>
  </si>
  <si>
    <t>6 kg</t>
  </si>
  <si>
    <t>1kg</t>
  </si>
  <si>
    <t>6kg</t>
  </si>
  <si>
    <t>4kg</t>
  </si>
  <si>
    <t>3kg</t>
  </si>
  <si>
    <t>6 KG</t>
  </si>
  <si>
    <t>3,5 kg</t>
  </si>
  <si>
    <t>12,5 kg</t>
  </si>
  <si>
    <t>10,5 kg</t>
  </si>
  <si>
    <t>5 kl</t>
  </si>
  <si>
    <t>8kl</t>
  </si>
  <si>
    <t>9 kl</t>
  </si>
  <si>
    <t>7 kl</t>
  </si>
  <si>
    <t>7KL</t>
  </si>
  <si>
    <t>6 KL</t>
  </si>
  <si>
    <t>5kl</t>
  </si>
  <si>
    <t>3 kl</t>
  </si>
  <si>
    <t>2 KL</t>
  </si>
  <si>
    <t>2 Kl</t>
  </si>
  <si>
    <t>11 KL</t>
  </si>
  <si>
    <t>11 kl</t>
  </si>
  <si>
    <t>8 kl</t>
  </si>
  <si>
    <t>7kl</t>
  </si>
  <si>
    <t>5,5 kl</t>
  </si>
  <si>
    <t>15 Kl</t>
  </si>
  <si>
    <t>14 KL</t>
  </si>
  <si>
    <t>13 kl</t>
  </si>
  <si>
    <t>17 KL</t>
  </si>
  <si>
    <t>15 KL</t>
  </si>
  <si>
    <t>15 kl</t>
  </si>
  <si>
    <t>13,5 kl</t>
  </si>
  <si>
    <t>5 paquetes (10 und)</t>
  </si>
  <si>
    <t>3 paquetes (6 und)</t>
  </si>
  <si>
    <t>2 und</t>
  </si>
  <si>
    <t>12 und</t>
  </si>
  <si>
    <t>8 und</t>
  </si>
  <si>
    <t>5 und</t>
  </si>
  <si>
    <t>3 und</t>
  </si>
  <si>
    <t>4 und</t>
  </si>
  <si>
    <t>7 paq</t>
  </si>
  <si>
    <t>4 PAQ</t>
  </si>
  <si>
    <t>14 und</t>
  </si>
  <si>
    <t>10und</t>
  </si>
  <si>
    <t>7 UND</t>
  </si>
  <si>
    <t>11 und</t>
  </si>
  <si>
    <t>10 und</t>
  </si>
  <si>
    <t>6 und</t>
  </si>
  <si>
    <t>3 paquetes</t>
  </si>
  <si>
    <t>1 paquete</t>
  </si>
  <si>
    <t>4und</t>
  </si>
  <si>
    <t>11 paquetes (44 und)</t>
  </si>
  <si>
    <t>8 paquetes (32 und)</t>
  </si>
  <si>
    <t>7 paquetes (28 und)</t>
  </si>
  <si>
    <t xml:space="preserve">16 und </t>
  </si>
  <si>
    <t>46 und</t>
  </si>
  <si>
    <t>34 und</t>
  </si>
  <si>
    <t>16 und</t>
  </si>
  <si>
    <t>18 und</t>
  </si>
  <si>
    <t>9 und</t>
  </si>
  <si>
    <t>1 und</t>
  </si>
  <si>
    <t>6 paq</t>
  </si>
  <si>
    <t>5 PAQ</t>
  </si>
  <si>
    <t>28 und</t>
  </si>
  <si>
    <t>24 und</t>
  </si>
  <si>
    <t>20 UND</t>
  </si>
  <si>
    <t>20 und</t>
  </si>
  <si>
    <t>32 und</t>
  </si>
  <si>
    <t>42 und</t>
  </si>
  <si>
    <t>39 und</t>
  </si>
  <si>
    <t>6 paquetes</t>
  </si>
  <si>
    <t xml:space="preserve">6 paquetes </t>
  </si>
  <si>
    <t>5 paquetes</t>
  </si>
  <si>
    <t>4 paquetes</t>
  </si>
  <si>
    <t>3 y 1/2</t>
  </si>
  <si>
    <t>10 lt</t>
  </si>
  <si>
    <t>13 lt</t>
  </si>
  <si>
    <t>9 lts</t>
  </si>
  <si>
    <t>5 lts</t>
  </si>
  <si>
    <t>19 lt</t>
  </si>
  <si>
    <t>6 lt</t>
  </si>
  <si>
    <t>1 - 1/2</t>
  </si>
  <si>
    <t>10 paquetes</t>
  </si>
  <si>
    <t>11 paquetes</t>
  </si>
  <si>
    <t>2 paquetes</t>
  </si>
  <si>
    <t>1/2 lt</t>
  </si>
  <si>
    <t>Bolsas Basura 50x70</t>
  </si>
  <si>
    <t>20 paq</t>
  </si>
  <si>
    <t>15 PAQ</t>
  </si>
  <si>
    <t>11 paq</t>
  </si>
  <si>
    <t>27 paquetes</t>
  </si>
  <si>
    <t>25 paquetes</t>
  </si>
  <si>
    <t>24 PAQ</t>
  </si>
  <si>
    <t>22 paq</t>
  </si>
  <si>
    <t>24 paquetes</t>
  </si>
  <si>
    <t>32  paquetes</t>
  </si>
  <si>
    <t>31 paquetes</t>
  </si>
  <si>
    <t>17 paq</t>
  </si>
  <si>
    <t>14 paq</t>
  </si>
  <si>
    <t>1 paquetes</t>
  </si>
  <si>
    <t>Bolsas Basura 70x90</t>
  </si>
  <si>
    <t>Bolsas Basura 80x110</t>
  </si>
  <si>
    <t>2 PAQ</t>
  </si>
  <si>
    <t>1 paq</t>
  </si>
  <si>
    <t>Alto el Golf</t>
  </si>
  <si>
    <t>24 paquetes de 50x70</t>
  </si>
  <si>
    <t>23 paquetes de 50x70</t>
  </si>
  <si>
    <t>22 paquetes de 50x70</t>
  </si>
  <si>
    <t>21 paquetes de 50x70</t>
  </si>
  <si>
    <t>17 paquetes de 50x70</t>
  </si>
  <si>
    <t>5 paquetes de 70x90</t>
  </si>
  <si>
    <t>3 paquetes de 70x90</t>
  </si>
  <si>
    <t>2 paquetes de 70x90</t>
  </si>
  <si>
    <t>1 paquete de 70x90</t>
  </si>
  <si>
    <t>0 paquete de 70x90</t>
  </si>
  <si>
    <t>9 paquetes de 80x110</t>
  </si>
  <si>
    <t>7 paquetes de 80x110</t>
  </si>
  <si>
    <t>JULIO</t>
  </si>
  <si>
    <t>AGOSTO</t>
  </si>
  <si>
    <t>Los Militares</t>
  </si>
  <si>
    <t>4 kilos de Café</t>
  </si>
  <si>
    <t>3 kilos de Café</t>
  </si>
  <si>
    <t>6kilos de café</t>
  </si>
  <si>
    <t>2 kilos de café</t>
  </si>
  <si>
    <t>1Kilo de Café</t>
  </si>
  <si>
    <t>2kg de Café</t>
  </si>
  <si>
    <t>3 Kg</t>
  </si>
  <si>
    <t>1 Kg Café</t>
  </si>
  <si>
    <t>2 Kg</t>
  </si>
  <si>
    <t>8 kg</t>
  </si>
  <si>
    <t>1 kg</t>
  </si>
  <si>
    <t>4 Kg</t>
  </si>
  <si>
    <t>3Kg</t>
  </si>
  <si>
    <t>4Kg</t>
  </si>
  <si>
    <t>2Kg</t>
  </si>
  <si>
    <t>2kg</t>
  </si>
  <si>
    <t>13kg</t>
  </si>
  <si>
    <t xml:space="preserve">10Kg </t>
  </si>
  <si>
    <t>6Kg</t>
  </si>
  <si>
    <t>1 Kg</t>
  </si>
  <si>
    <t>0kg</t>
  </si>
  <si>
    <t>8Kg</t>
  </si>
  <si>
    <t>5Kg</t>
  </si>
  <si>
    <t>0 Kg</t>
  </si>
  <si>
    <t>0Kg</t>
  </si>
  <si>
    <t xml:space="preserve">3 und Toalla </t>
  </si>
  <si>
    <t xml:space="preserve">1 und Toalla </t>
  </si>
  <si>
    <t>12 Paquetes</t>
  </si>
  <si>
    <t xml:space="preserve">3 paquetes </t>
  </si>
  <si>
    <t xml:space="preserve">6 Paquetes </t>
  </si>
  <si>
    <t>11 Toalla Nova</t>
  </si>
  <si>
    <t>9 paquetes</t>
  </si>
  <si>
    <t>8 paquetes</t>
  </si>
  <si>
    <t>7 paquetes</t>
  </si>
  <si>
    <t xml:space="preserve">7 paquetes </t>
  </si>
  <si>
    <t>6 1/2 paquetes</t>
  </si>
  <si>
    <t>8 U</t>
  </si>
  <si>
    <t>6 UN Papel H</t>
  </si>
  <si>
    <t>4 UN Papel H</t>
  </si>
  <si>
    <t>3 UN Papel H</t>
  </si>
  <si>
    <t>9 Papel H</t>
  </si>
  <si>
    <t xml:space="preserve">8 Paquetes </t>
  </si>
  <si>
    <t>09 paquetes</t>
  </si>
  <si>
    <t>7 1/2 paquetes</t>
  </si>
  <si>
    <t>12 paquetes</t>
  </si>
  <si>
    <t>8 1/2 paquetes</t>
  </si>
  <si>
    <t>20 U</t>
  </si>
  <si>
    <t>3 Resmas tamaño carta</t>
  </si>
  <si>
    <t>6 Resmas</t>
  </si>
  <si>
    <t>5 Resmas</t>
  </si>
  <si>
    <t>8 resmas</t>
  </si>
  <si>
    <t>7 resmas</t>
  </si>
  <si>
    <t>6 resmas</t>
  </si>
  <si>
    <t>14 resmas</t>
  </si>
  <si>
    <t>13 resmas</t>
  </si>
  <si>
    <t>15 resmas</t>
  </si>
  <si>
    <t>12 resmas</t>
  </si>
  <si>
    <t>10 resmas (se le pasaron 4 a Albert)</t>
  </si>
  <si>
    <t>10 resmas</t>
  </si>
  <si>
    <t>9 resmas</t>
  </si>
  <si>
    <t xml:space="preserve">10 resmas </t>
  </si>
  <si>
    <t>24 unidades</t>
  </si>
  <si>
    <t>22 unidades</t>
  </si>
  <si>
    <t>21 unidades</t>
  </si>
  <si>
    <t>18 unidades</t>
  </si>
  <si>
    <t>17 unidades</t>
  </si>
  <si>
    <t>16 unidades</t>
  </si>
  <si>
    <t>15 unidades</t>
  </si>
  <si>
    <t>13 unidades</t>
  </si>
  <si>
    <t>8 unidades</t>
  </si>
  <si>
    <t>7 unidades</t>
  </si>
  <si>
    <t>6 unidades</t>
  </si>
  <si>
    <t>5 unidades</t>
  </si>
  <si>
    <t>4 U</t>
  </si>
  <si>
    <t>12 unidades</t>
  </si>
  <si>
    <t>11 unidades</t>
  </si>
  <si>
    <t xml:space="preserve">- </t>
  </si>
  <si>
    <t>2 endulzantes</t>
  </si>
  <si>
    <t>2 botellas</t>
  </si>
  <si>
    <t>3 botellas</t>
  </si>
  <si>
    <t>1 botella</t>
  </si>
  <si>
    <t>2 U</t>
  </si>
  <si>
    <t>2 unidades</t>
  </si>
  <si>
    <t>1 unidad</t>
  </si>
  <si>
    <t>1 Poet 4 lts</t>
  </si>
  <si>
    <t>2 1/2</t>
  </si>
  <si>
    <t>1 paquete (bolsa chica)</t>
  </si>
  <si>
    <t>4 paquete (bolsa chica), 2 medianas y 2 grandes</t>
  </si>
  <si>
    <t>3 chicas, 2 medianas, 2 grandes</t>
  </si>
  <si>
    <t>1 grande - 1 mediana - 3 chicas</t>
  </si>
  <si>
    <t>1 grande - 0 mediana - 2 chicas</t>
  </si>
  <si>
    <t>2 grande - 10 medianas - 10 chicas</t>
  </si>
  <si>
    <t>5 grandes- 7 medianas y 6 chicas</t>
  </si>
  <si>
    <t>2 grande - 0 mediana - 3 chicas</t>
  </si>
  <si>
    <t>grandes 0 - mediana 0 - chica 1</t>
  </si>
  <si>
    <t>20 unidades</t>
  </si>
  <si>
    <t>10 unidades</t>
  </si>
  <si>
    <t>30unidades</t>
  </si>
  <si>
    <t>08 paquetes</t>
  </si>
  <si>
    <t>30 unidades</t>
  </si>
  <si>
    <t xml:space="preserve"> 20 U</t>
  </si>
  <si>
    <t>5 paquete</t>
  </si>
  <si>
    <t xml:space="preserve">10 paquetes </t>
  </si>
  <si>
    <t>7U</t>
  </si>
  <si>
    <t>5 U</t>
  </si>
  <si>
    <t>3 unidades</t>
  </si>
  <si>
    <t>Monjitas</t>
  </si>
  <si>
    <t>20 kilos</t>
  </si>
  <si>
    <t xml:space="preserve">14 kilos </t>
  </si>
  <si>
    <t>5 kilos</t>
  </si>
  <si>
    <t>7 kg</t>
  </si>
  <si>
    <t>3 kg</t>
  </si>
  <si>
    <t>11 kg</t>
  </si>
  <si>
    <t xml:space="preserve">3 kg </t>
  </si>
  <si>
    <t xml:space="preserve">0 und </t>
  </si>
  <si>
    <t>0 und</t>
  </si>
  <si>
    <t>10 kg</t>
  </si>
  <si>
    <t>10kg (en grano) 5,5kg (molido)</t>
  </si>
  <si>
    <t xml:space="preserve">14kg (en grano) 4,5 kg (molido) </t>
  </si>
  <si>
    <t xml:space="preserve">5kg (en grano) 4,5 kg (molido) </t>
  </si>
  <si>
    <t xml:space="preserve">12kg (en grano) 4,5 kg (molido) </t>
  </si>
  <si>
    <t xml:space="preserve">3kg (en grano) 4,5 kg (molido) </t>
  </si>
  <si>
    <t>8 kg (en grano)</t>
  </si>
  <si>
    <t>3,5kg (en grano)</t>
  </si>
  <si>
    <t>8,5 kg (en grano)</t>
  </si>
  <si>
    <t>1 kg (en grano)</t>
  </si>
  <si>
    <t>12 kg (en grano)</t>
  </si>
  <si>
    <t>0 KG (en grano)</t>
  </si>
  <si>
    <t>13 kg (en grano)</t>
  </si>
  <si>
    <t>10 kg (en grano)</t>
  </si>
  <si>
    <t>4 kg (en grano)</t>
  </si>
  <si>
    <t>4,5 kg (Berta nos envío en uber)</t>
  </si>
  <si>
    <t>0,5 kg</t>
  </si>
  <si>
    <t xml:space="preserve">13 kg </t>
  </si>
  <si>
    <t>13 kg</t>
  </si>
  <si>
    <t xml:space="preserve">10 kg </t>
  </si>
  <si>
    <t xml:space="preserve">8 kg </t>
  </si>
  <si>
    <t xml:space="preserve">5,5 kg </t>
  </si>
  <si>
    <t xml:space="preserve">1 kg </t>
  </si>
  <si>
    <t xml:space="preserve">0,5 kg </t>
  </si>
  <si>
    <t xml:space="preserve">0 kg </t>
  </si>
  <si>
    <t xml:space="preserve">5 kg </t>
  </si>
  <si>
    <t>4 kg</t>
  </si>
  <si>
    <t>10, 5 kg</t>
  </si>
  <si>
    <t xml:space="preserve">7,5 kg </t>
  </si>
  <si>
    <t xml:space="preserve">6 kg </t>
  </si>
  <si>
    <t>2 kg</t>
  </si>
  <si>
    <t>20 kg</t>
  </si>
  <si>
    <t xml:space="preserve">17 kg </t>
  </si>
  <si>
    <t>16 kg</t>
  </si>
  <si>
    <t xml:space="preserve">11 kg </t>
  </si>
  <si>
    <t>15 packs</t>
  </si>
  <si>
    <t>8 novas</t>
  </si>
  <si>
    <t>4 novas</t>
  </si>
  <si>
    <t xml:space="preserve">4 und </t>
  </si>
  <si>
    <t xml:space="preserve">8 und </t>
  </si>
  <si>
    <t>7 und</t>
  </si>
  <si>
    <t xml:space="preserve">12 und </t>
  </si>
  <si>
    <t xml:space="preserve">10 und </t>
  </si>
  <si>
    <t xml:space="preserve">20 und </t>
  </si>
  <si>
    <t xml:space="preserve">14 und </t>
  </si>
  <si>
    <t>11 packs</t>
  </si>
  <si>
    <t xml:space="preserve">12 paquetes </t>
  </si>
  <si>
    <t xml:space="preserve">24 und </t>
  </si>
  <si>
    <t xml:space="preserve">48 und </t>
  </si>
  <si>
    <t>49 und</t>
  </si>
  <si>
    <t>40 und</t>
  </si>
  <si>
    <t xml:space="preserve">32 und </t>
  </si>
  <si>
    <t>48 und</t>
  </si>
  <si>
    <t>44 und</t>
  </si>
  <si>
    <t>36 und</t>
  </si>
  <si>
    <t>56 und</t>
  </si>
  <si>
    <t xml:space="preserve">36 und </t>
  </si>
  <si>
    <t xml:space="preserve">30 und </t>
  </si>
  <si>
    <t>30 und</t>
  </si>
  <si>
    <t>52 und</t>
  </si>
  <si>
    <t>3 resmas tamaño carta/ 0 tamaño oficio</t>
  </si>
  <si>
    <t xml:space="preserve">2 und </t>
  </si>
  <si>
    <t xml:space="preserve">3 und </t>
  </si>
  <si>
    <t xml:space="preserve">6 und </t>
  </si>
  <si>
    <t xml:space="preserve">5 und </t>
  </si>
  <si>
    <t xml:space="preserve">7 und </t>
  </si>
  <si>
    <t xml:space="preserve">1 und </t>
  </si>
  <si>
    <t>2 lts</t>
  </si>
  <si>
    <t>12 lts</t>
  </si>
  <si>
    <t xml:space="preserve">0 lts </t>
  </si>
  <si>
    <t>0 lts</t>
  </si>
  <si>
    <t xml:space="preserve">31 lts </t>
  </si>
  <si>
    <t>22 lts</t>
  </si>
  <si>
    <t>24 lts</t>
  </si>
  <si>
    <t>10 lts</t>
  </si>
  <si>
    <t>8 lts</t>
  </si>
  <si>
    <t xml:space="preserve">30 lts </t>
  </si>
  <si>
    <t xml:space="preserve">26 lts </t>
  </si>
  <si>
    <t xml:space="preserve">16 lts </t>
  </si>
  <si>
    <t xml:space="preserve">23 lts </t>
  </si>
  <si>
    <t xml:space="preserve">18 lts </t>
  </si>
  <si>
    <t xml:space="preserve">28 lts </t>
  </si>
  <si>
    <t xml:space="preserve">25 lts </t>
  </si>
  <si>
    <t xml:space="preserve">20  lts </t>
  </si>
  <si>
    <t xml:space="preserve">12 lts </t>
  </si>
  <si>
    <t>19 lts</t>
  </si>
  <si>
    <t xml:space="preserve">11 lts </t>
  </si>
  <si>
    <t xml:space="preserve">5 lts </t>
  </si>
  <si>
    <t xml:space="preserve">22 lts </t>
  </si>
  <si>
    <t>17 lts</t>
  </si>
  <si>
    <t xml:space="preserve">3 lts </t>
  </si>
  <si>
    <t>1 lts</t>
  </si>
  <si>
    <t xml:space="preserve">29 lts </t>
  </si>
  <si>
    <t>26 lts</t>
  </si>
  <si>
    <t xml:space="preserve">19 lts </t>
  </si>
  <si>
    <t>Te Negro (100 unid)</t>
  </si>
  <si>
    <t>7 cajas</t>
  </si>
  <si>
    <t>Te Lypton (100 unid)</t>
  </si>
  <si>
    <t>5 cajas</t>
  </si>
  <si>
    <t>Te de hierbas (100 unid)</t>
  </si>
  <si>
    <t>3 cajas</t>
  </si>
  <si>
    <t>Limon 1 Lt</t>
  </si>
  <si>
    <t>4 lts</t>
  </si>
  <si>
    <t>Aceite 500cc</t>
  </si>
  <si>
    <t>1 lt</t>
  </si>
  <si>
    <t>Aceto 500cc</t>
  </si>
  <si>
    <t>Vinagre 1 Lt</t>
  </si>
  <si>
    <t>3 lts</t>
  </si>
  <si>
    <t>Sal</t>
  </si>
  <si>
    <t>21 paq</t>
  </si>
  <si>
    <t>19 paq</t>
  </si>
  <si>
    <t>16 paq</t>
  </si>
  <si>
    <t>15 paq</t>
  </si>
  <si>
    <t xml:space="preserve">10 lts </t>
  </si>
  <si>
    <t xml:space="preserve">15 lts </t>
  </si>
  <si>
    <t xml:space="preserve">pequeña: 16 
mediana: 0
grande: 16 </t>
  </si>
  <si>
    <t>pequeña: 21 paq
mediana: 5 paq
grande: 21 paq</t>
  </si>
  <si>
    <t>pequeña: 19 paq
mediana: 4 paq
grande: 21 paq</t>
  </si>
  <si>
    <t>pequeña: 14 paq
mediana: 3 paq
grande: 20 paq</t>
  </si>
  <si>
    <t>pequeña: 14 paq
mediana: 2 paq
grande: 18 paq</t>
  </si>
  <si>
    <t>pequeña: 18 paq
mediana: 6 paq
grande: 22 paq</t>
  </si>
  <si>
    <t>pequeña: 18 paq
mediana: 5 paq
grande: 22 paq</t>
  </si>
  <si>
    <t>pequeña: 14 paq
mediana: 3 paq
grande: 22 paq</t>
  </si>
  <si>
    <t>pequeña: 14 paq
mediana: 2 paq
grande: 22 paq</t>
  </si>
  <si>
    <t>pequeña: 11 paq
mediana: 0 paq
grande: 16 paq</t>
  </si>
  <si>
    <t>pequeña: 11 paq
mediana: 0 paq
grande: 36 paq</t>
  </si>
  <si>
    <t>pequeña: 21 paq
mediana: 10 paq
grande: 41 paq</t>
  </si>
  <si>
    <t>pequeña: 19 paq
mediana: 8 paq
grande: 41 paq</t>
  </si>
  <si>
    <t>12 paq</t>
  </si>
  <si>
    <t>8 paq</t>
  </si>
  <si>
    <t>18 paq</t>
  </si>
  <si>
    <t>13 paq</t>
  </si>
  <si>
    <t>23 paq</t>
  </si>
  <si>
    <t>10 paq</t>
  </si>
  <si>
    <t>4 paq</t>
  </si>
  <si>
    <t>45 paq</t>
  </si>
  <si>
    <t>42 paq</t>
  </si>
  <si>
    <t>31 paq</t>
  </si>
  <si>
    <t>30 paq</t>
  </si>
  <si>
    <t>29 paq</t>
  </si>
  <si>
    <t>25 paq</t>
  </si>
  <si>
    <t>24 pqa</t>
  </si>
  <si>
    <t>15 und</t>
  </si>
  <si>
    <t>13 und</t>
  </si>
  <si>
    <t xml:space="preserve">22 und </t>
  </si>
  <si>
    <t>Repuesto Jabon</t>
  </si>
  <si>
    <t>stok Atual</t>
  </si>
  <si>
    <t>stok Actul</t>
  </si>
  <si>
    <t>stok Actual</t>
  </si>
  <si>
    <t>Isidora</t>
  </si>
  <si>
    <t>500 g</t>
  </si>
  <si>
    <t>2.5 KG</t>
  </si>
  <si>
    <t>1.5 KG</t>
  </si>
  <si>
    <t>1 KG</t>
  </si>
  <si>
    <t>11,5 KG</t>
  </si>
  <si>
    <t>11 KG</t>
  </si>
  <si>
    <t>10,5 KG</t>
  </si>
  <si>
    <t>9,5 KG</t>
  </si>
  <si>
    <t>7,5 KG</t>
  </si>
  <si>
    <t>6,5 KG</t>
  </si>
  <si>
    <t>5,5 KG</t>
  </si>
  <si>
    <t>5 KG</t>
  </si>
  <si>
    <t>10 KG</t>
  </si>
  <si>
    <t>9 KG</t>
  </si>
  <si>
    <t>20,5 KG</t>
  </si>
  <si>
    <t>18 kg</t>
  </si>
  <si>
    <t>17 kg</t>
  </si>
  <si>
    <t>14.5kg</t>
  </si>
  <si>
    <t>16 L</t>
  </si>
  <si>
    <t>13 L</t>
  </si>
  <si>
    <t>12 L</t>
  </si>
  <si>
    <t>8 L</t>
  </si>
  <si>
    <t>32 L</t>
  </si>
  <si>
    <t>29 L</t>
  </si>
  <si>
    <t>25 L</t>
  </si>
  <si>
    <t>20 L</t>
  </si>
  <si>
    <t>35 L</t>
  </si>
  <si>
    <t>33 L</t>
  </si>
  <si>
    <t>31 L</t>
  </si>
  <si>
    <t>28 L</t>
  </si>
  <si>
    <t>26 L</t>
  </si>
  <si>
    <t>22 L</t>
  </si>
  <si>
    <t>19 L</t>
  </si>
  <si>
    <t>14 L</t>
  </si>
  <si>
    <t>11 L</t>
  </si>
  <si>
    <t>10 L</t>
  </si>
  <si>
    <t>24 L</t>
  </si>
  <si>
    <t>16L</t>
  </si>
  <si>
    <t>Cocina</t>
  </si>
  <si>
    <t>2 (450 ml c/u)</t>
  </si>
  <si>
    <t>2 (450 ml) - 1 (270 ml)</t>
  </si>
  <si>
    <t>1 (450 ml)</t>
  </si>
  <si>
    <t>2 (450 ml)</t>
  </si>
  <si>
    <t>1 (450ML)</t>
  </si>
  <si>
    <t>1(450ml)</t>
  </si>
  <si>
    <t>1 (5 L)</t>
  </si>
  <si>
    <t>1 (quedan 2.5 L)</t>
  </si>
  <si>
    <t>1 (quedan 1.5 L)</t>
  </si>
  <si>
    <t>1 (2.5 L)</t>
  </si>
  <si>
    <t>1 (1 L)</t>
  </si>
  <si>
    <t>2 (10 L)</t>
  </si>
  <si>
    <t>2 (8 L)</t>
  </si>
  <si>
    <t>1 (8 L)</t>
  </si>
  <si>
    <t>1 (4 L)</t>
  </si>
  <si>
    <t>1 (2 L)</t>
  </si>
  <si>
    <t>3(lts)</t>
  </si>
  <si>
    <r>
      <rPr>
        <rFont val="Arial"/>
        <color rgb="FFE06666"/>
      </rPr>
      <t>0 S</t>
    </r>
    <r>
      <rPr>
        <rFont val="Arial"/>
        <color theme="1"/>
      </rPr>
      <t xml:space="preserve"> - 13 M - 6 L</t>
    </r>
  </si>
  <si>
    <t>10 S - 13 M - 11 L</t>
  </si>
  <si>
    <t>8 S - 13 M - 11 L</t>
  </si>
  <si>
    <t>5 S - 11 M - 11 L</t>
  </si>
  <si>
    <t>4 S - 10 M - 10 L</t>
  </si>
  <si>
    <t>1 (pero queda 1 esponja en el empaque)</t>
  </si>
  <si>
    <t>Vespucio</t>
  </si>
  <si>
    <t xml:space="preserve">Aceto Balsamico </t>
  </si>
  <si>
    <t xml:space="preserve">Jugo de Limon </t>
  </si>
  <si>
    <t>Resma Papel Fot. Carta (UN)</t>
  </si>
  <si>
    <t>Carta: 4 - Oficio: 8</t>
  </si>
  <si>
    <t>Carta: 4 - Oficio: 9</t>
  </si>
  <si>
    <t>Resma Papel Fot. Oficio (UN)</t>
  </si>
  <si>
    <t xml:space="preserve">Revolvedores </t>
  </si>
  <si>
    <t xml:space="preserve">Servilletas </t>
  </si>
  <si>
    <t xml:space="preserve">Sobre Azucar x Caja (800 S) </t>
  </si>
  <si>
    <t>1 1/2</t>
  </si>
  <si>
    <t xml:space="preserve">Vinagre 1000 ml </t>
  </si>
  <si>
    <t xml:space="preserve">Vinagre 500 ml </t>
  </si>
  <si>
    <t>5 Rosado / 3 Blanco</t>
  </si>
  <si>
    <t>3 Rosado / 1 Blanco</t>
  </si>
  <si>
    <t>11 1/2</t>
  </si>
  <si>
    <t>9 1/2</t>
  </si>
  <si>
    <t>7 1/2</t>
  </si>
  <si>
    <t>13 1/2</t>
  </si>
  <si>
    <t>18 1/2</t>
  </si>
  <si>
    <t>17 1/2</t>
  </si>
  <si>
    <t>15 1/2</t>
  </si>
  <si>
    <t xml:space="preserve">Aerosol </t>
  </si>
  <si>
    <t xml:space="preserve">Antisarro x 5 L </t>
  </si>
  <si>
    <t>pequeña: 13
mediana 8
grande: 20</t>
  </si>
  <si>
    <t>3 1/2</t>
  </si>
  <si>
    <t>Jabon Liquido x 5L</t>
  </si>
  <si>
    <t>Jabon Lavaloza x 5L</t>
  </si>
  <si>
    <t>Antigrasa x 5L</t>
  </si>
  <si>
    <t>Lavavajillas</t>
  </si>
  <si>
    <t>Limpia Vidrios</t>
  </si>
  <si>
    <t>Lisoform</t>
  </si>
  <si>
    <t xml:space="preserve">Lustra Muebles </t>
  </si>
  <si>
    <t>Mopa Avion</t>
  </si>
  <si>
    <t>Mopa Humeda</t>
  </si>
  <si>
    <t xml:space="preserve">Paño Esponja x 6Uni. </t>
  </si>
  <si>
    <t>Trapo Amarillo Uni.</t>
  </si>
  <si>
    <t xml:space="preserve">Trapo Azul Uni. </t>
  </si>
  <si>
    <t>Trapo Verde Uni.</t>
  </si>
  <si>
    <t>Sal Lavavajillas</t>
  </si>
  <si>
    <t>Nueva Las Condes</t>
  </si>
  <si>
    <t>0.5</t>
  </si>
  <si>
    <t>Te de Hiervas surtida</t>
  </si>
  <si>
    <t xml:space="preserve">Mopa Redonda </t>
  </si>
  <si>
    <t xml:space="preserve">Mopa Rectangular </t>
  </si>
  <si>
    <t>Desodorante ambiental</t>
  </si>
  <si>
    <t>Stock actual</t>
  </si>
  <si>
    <t>Kennedy</t>
  </si>
  <si>
    <t>11,5kg</t>
  </si>
  <si>
    <t>31kg</t>
  </si>
  <si>
    <t>12kg</t>
  </si>
  <si>
    <t>8kg</t>
  </si>
  <si>
    <t>5kg</t>
  </si>
  <si>
    <t>5 kg</t>
  </si>
  <si>
    <t>9 ,5 kg</t>
  </si>
  <si>
    <t>11,5 Kg</t>
  </si>
  <si>
    <t>7,5 Kg</t>
  </si>
  <si>
    <t>9,5Kg</t>
  </si>
  <si>
    <t>6,5 Kg</t>
  </si>
  <si>
    <t>2,Kg</t>
  </si>
  <si>
    <t>14,Kg</t>
  </si>
  <si>
    <t>9,Kg</t>
  </si>
  <si>
    <t>7,Kg</t>
  </si>
  <si>
    <t>1.5,Kg</t>
  </si>
  <si>
    <t>0,Kg</t>
  </si>
  <si>
    <t>10,Kg</t>
  </si>
  <si>
    <t>2,5 Kg</t>
  </si>
  <si>
    <t>12,5  Kg</t>
  </si>
  <si>
    <t>8   Kg</t>
  </si>
  <si>
    <t>5,5   Kg</t>
  </si>
  <si>
    <t xml:space="preserve"> Kg</t>
  </si>
  <si>
    <t>12 Kg</t>
  </si>
  <si>
    <t>20  kg</t>
  </si>
  <si>
    <t>10 Kg</t>
  </si>
  <si>
    <t>4 CARTA/ 33 OFICIO</t>
  </si>
  <si>
    <t xml:space="preserve">33 oficio </t>
  </si>
  <si>
    <t>6 / 33 OF</t>
  </si>
  <si>
    <t>8/29 oficio</t>
  </si>
  <si>
    <t>5/28 of</t>
  </si>
  <si>
    <t>4/ 28</t>
  </si>
  <si>
    <t>3/ 28</t>
  </si>
  <si>
    <t>3/22</t>
  </si>
  <si>
    <t>2/22</t>
  </si>
  <si>
    <t>2 carta/ 22 oficio</t>
  </si>
  <si>
    <t>1 carta/ 20 of</t>
  </si>
  <si>
    <t>carta: 1
oficio 33
A3 75: 9</t>
  </si>
  <si>
    <t>carta: 0
oficio 33
A3 75: 9</t>
  </si>
  <si>
    <t>carta: 0
oficio 33
A3 75: 8</t>
  </si>
  <si>
    <t>carta: 4
oficio27
A3 75: 6</t>
  </si>
  <si>
    <t>carta: 2
oficio27
A3 75: 6</t>
  </si>
  <si>
    <t>carta:0
oficio27
A3 75: 6</t>
  </si>
  <si>
    <t>carta: 13
oficio:24
A3 75: 8</t>
  </si>
  <si>
    <t>carta: 4
oficio:29
A3 75: 8</t>
  </si>
  <si>
    <t>carta: 6
oficio:29
A3 75: 8</t>
  </si>
  <si>
    <t>Papel Interfoliado</t>
  </si>
  <si>
    <t>pequeña: 8
mediana 4
grande: 2</t>
  </si>
  <si>
    <t>pequeña: 8
mediana 10
grande: 2</t>
  </si>
  <si>
    <t>pequeña: 21
mediana 4
grande: 16</t>
  </si>
  <si>
    <t>pequeña: 13
mediana 0
grande: 16</t>
  </si>
  <si>
    <t>04/082025</t>
  </si>
  <si>
    <t>Cerro el Plomo</t>
  </si>
  <si>
    <t>Corporate Coffe</t>
  </si>
  <si>
    <t>Vainilla (KG)</t>
  </si>
  <si>
    <t>Chocolate (KG)</t>
  </si>
  <si>
    <t>Leche en polvo (KG)</t>
  </si>
  <si>
    <t>Te (KG)</t>
  </si>
  <si>
    <t>Azucar (UN)</t>
  </si>
  <si>
    <t>Sucralosa (UN)</t>
  </si>
  <si>
    <t>Removerdores (UN)</t>
  </si>
  <si>
    <t>3 cajas de 12 und</t>
  </si>
  <si>
    <t>2,5 cajas</t>
  </si>
  <si>
    <t>12 litros</t>
  </si>
  <si>
    <t>Cafe Caribe Grano (KG)</t>
  </si>
  <si>
    <t>Aceto Balsamico</t>
  </si>
  <si>
    <t>Vinagre</t>
  </si>
  <si>
    <t>Sucedaneo Limon</t>
  </si>
  <si>
    <t xml:space="preserve">Te caja negro supremo </t>
  </si>
  <si>
    <t>Te caja amarillo Lipton</t>
  </si>
  <si>
    <t>Te caja surtidos</t>
  </si>
  <si>
    <t>Paqte,50=6,70=4, 80=1</t>
  </si>
  <si>
    <t>Paqte,50=3,70=4, 80=1</t>
  </si>
  <si>
    <t>Paqte,70=3, 50=2, 80=1</t>
  </si>
  <si>
    <t>Paqte,70=4, 50=10, 80=15</t>
  </si>
  <si>
    <t>Paqte,70=13, 50=15, 80=12</t>
  </si>
  <si>
    <t>Paqte,70=13, 50=11, 80=12</t>
  </si>
  <si>
    <t>Paqte,70=10, 50=09, 80=11</t>
  </si>
  <si>
    <t>Paqte,70=9, 50=03, 80=09</t>
  </si>
  <si>
    <t>Paqte,70=8, 50=01, 80=09</t>
  </si>
  <si>
    <t>Paqte,70=18, 50=16, 80=19</t>
  </si>
  <si>
    <t>Jabon liquido</t>
  </si>
  <si>
    <t>Ambientador</t>
  </si>
  <si>
    <t>Atomizador Pistola</t>
  </si>
  <si>
    <t>Lavaloza</t>
  </si>
  <si>
    <t xml:space="preserve">Limpiador Antigrasa </t>
  </si>
  <si>
    <t>Lustra muebles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</si>
</sst>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d/mm/yyyy"/>
    <numFmt numFmtId="166" formatCode="d.m"/>
  </numFmts>
  <fonts count="12">
    <font>
      <sz val="10.0"/>
      <color rgb="FF000000"/>
      <name val="Arial"/>
      <scheme val="minor"/>
    </font>
    <font>
      <color theme="1"/>
      <name val="Consolas"/>
    </font>
    <font>
      <b/>
      <color theme="1"/>
      <name val="Consolas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  <font>
      <sz val="10.0"/>
      <color theme="1"/>
      <name val="Calibri"/>
    </font>
    <font>
      <color theme="1"/>
      <name val="Arial"/>
    </font>
    <font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">
    <border/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0" fontId="1" numFmtId="0" xfId="0" applyFont="1"/>
    <xf borderId="0" fillId="3" fontId="1" numFmtId="0" xfId="0" applyAlignment="1" applyFill="1" applyFont="1">
      <alignment horizontal="right"/>
    </xf>
    <xf borderId="0" fillId="0" fontId="1" numFmtId="0" xfId="0" applyAlignment="1" applyFont="1">
      <alignment horizontal="right"/>
    </xf>
    <xf borderId="1" fillId="4" fontId="1" numFmtId="0" xfId="0" applyBorder="1" applyFill="1" applyFont="1"/>
    <xf borderId="1" fillId="4" fontId="2" numFmtId="0" xfId="0" applyAlignment="1" applyBorder="1" applyFont="1">
      <alignment horizontal="right"/>
    </xf>
    <xf borderId="1" fillId="0" fontId="2" numFmtId="0" xfId="0" applyBorder="1" applyFont="1"/>
    <xf borderId="1" fillId="5" fontId="1" numFmtId="3" xfId="0" applyAlignment="1" applyBorder="1" applyFill="1" applyFont="1" applyNumberFormat="1">
      <alignment horizontal="right"/>
    </xf>
    <xf borderId="1" fillId="0" fontId="1" numFmtId="3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5" fontId="1" numFmtId="0" xfId="0" applyAlignment="1" applyBorder="1" applyFont="1">
      <alignment horizontal="right"/>
    </xf>
    <xf borderId="0" fillId="6" fontId="1" numFmtId="0" xfId="0" applyFill="1" applyFont="1"/>
    <xf borderId="1" fillId="6" fontId="2" numFmtId="0" xfId="0" applyBorder="1" applyFont="1"/>
    <xf borderId="0" fillId="0" fontId="1" numFmtId="165" xfId="0" applyFont="1" applyNumberFormat="1"/>
    <xf borderId="0" fillId="0" fontId="1" numFmtId="166" xfId="0" applyFont="1" applyNumberFormat="1"/>
    <xf borderId="0" fillId="0" fontId="3" numFmtId="0" xfId="0" applyAlignment="1" applyFont="1">
      <alignment horizontal="center" readingOrder="0" vertical="top"/>
    </xf>
    <xf borderId="0" fillId="0" fontId="3" numFmtId="165" xfId="0" applyAlignment="1" applyFont="1" applyNumberFormat="1">
      <alignment horizontal="center" readingOrder="0" vertical="top"/>
    </xf>
    <xf borderId="0" fillId="0" fontId="3" numFmtId="165" xfId="0" applyAlignment="1" applyFont="1" applyNumberFormat="1">
      <alignment horizontal="center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7" fontId="7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5" fontId="8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4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7" fontId="5" numFmtId="0" xfId="0" applyAlignment="1" applyFont="1">
      <alignment horizontal="center" readingOrder="0" shrinkToFit="0" vertical="center" wrapText="1"/>
    </xf>
    <xf borderId="0" fillId="7" fontId="6" numFmtId="0" xfId="0" applyAlignment="1" applyFont="1">
      <alignment horizontal="center" readingOrder="0"/>
    </xf>
    <xf borderId="0" fillId="7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6" fontId="5" numFmtId="0" xfId="0" applyFont="1"/>
    <xf borderId="0" fillId="0" fontId="3" numFmtId="165" xfId="0" applyAlignment="1" applyFont="1" applyNumberFormat="1">
      <alignment horizontal="center" vertical="center"/>
    </xf>
    <xf borderId="0" fillId="6" fontId="3" numFmtId="165" xfId="0" applyAlignment="1" applyFont="1" applyNumberFormat="1">
      <alignment horizontal="center" readingOrder="0" vertical="center"/>
    </xf>
    <xf borderId="0" fillId="6" fontId="3" numFmtId="0" xfId="0" applyAlignment="1" applyFont="1">
      <alignment horizontal="center" readingOrder="0" vertical="top"/>
    </xf>
    <xf borderId="0" fillId="8" fontId="5" numFmtId="0" xfId="0" applyAlignment="1" applyFill="1" applyFont="1">
      <alignment horizontal="center" readingOrder="0" vertical="center"/>
    </xf>
    <xf borderId="0" fillId="8" fontId="5" numFmtId="0" xfId="0" applyAlignment="1" applyFont="1">
      <alignment horizontal="center" readingOrder="0"/>
    </xf>
    <xf borderId="0" fillId="9" fontId="5" numFmtId="0" xfId="0" applyAlignment="1" applyFill="1" applyFont="1">
      <alignment horizontal="center" readingOrder="0" vertical="center"/>
    </xf>
    <xf borderId="0" fillId="6" fontId="5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9" fontId="5" numFmtId="0" xfId="0" applyAlignment="1" applyFont="1">
      <alignment horizontal="center"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0" fillId="0" fontId="4" numFmtId="0" xfId="0" applyAlignment="1" applyFont="1">
      <alignment vertical="center"/>
    </xf>
    <xf borderId="0" fillId="0" fontId="10" numFmtId="0" xfId="0" applyAlignment="1" applyFont="1">
      <alignment vertical="top"/>
    </xf>
    <xf borderId="0" fillId="0" fontId="10" numFmtId="165" xfId="0" applyAlignment="1" applyFont="1" applyNumberFormat="1">
      <alignment vertical="top"/>
    </xf>
    <xf borderId="0" fillId="0" fontId="7" numFmtId="165" xfId="0" applyAlignment="1" applyFont="1" applyNumberFormat="1">
      <alignment horizontal="center" readingOrder="0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right"/>
    </xf>
    <xf borderId="0" fillId="0" fontId="11" numFmtId="0" xfId="0" applyAlignment="1" applyFont="1">
      <alignment horizontal="right" readingOrder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vertical="top"/>
    </xf>
    <xf borderId="0" fillId="0" fontId="10" numFmtId="0" xfId="0" applyAlignment="1" applyFont="1">
      <alignment horizontal="right" readingOrder="0" vertical="bottom"/>
    </xf>
    <xf borderId="0" fillId="0" fontId="4" numFmtId="0" xfId="0" applyAlignment="1" applyFont="1">
      <alignment horizontal="center" readingOrder="0" vertical="top"/>
    </xf>
    <xf borderId="0" fillId="0" fontId="5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21350da0-6359-4fc4-83eb-ebc1d1755d70}">
    <Anchor>
      <Comment id="{732c0440-abcb-4a5e-ae53-4cc5e8606575}"/>
    </Anchor>
    <History>
      <Event time="2025-12-30T13:31:46.00" id="{eb332933-6e4d-4e7c-a25b-a227031aff57}">
        <Attribution userId="placeholder@email.com" userName="Maria Fernanda Retamales" userProvider="google-sheets"/>
        <Anchor>
          <Comment id="{732c0440-abcb-4a5e-ae53-4cc5e8606575}"/>
        </Anchor>
        <Create/>
      </Event>
      <Event time="2025-12-30T13:31:46.00" id="{df72ad24-1985-404b-aadc-0dee1f732b2a}">
        <Attribution userId="placeholder@email.com" userName="Maria Fernanda Retamales" userProvider="google-sheets"/>
        <Anchor>
          <Comment id="{732c0440-abcb-4a5e-ae53-4cc5e8606575}"/>
        </Anchor>
        <Assign userId="aneley@co-work.cl" userName="aneley@co-work.cl" userProvider="google-sheets"/>
      </Event>
    </History>
  </Task>
  <Task id="{410a27d7-4753-400a-a211-a684bd602518}">
    <Anchor>
      <Comment id="{15cf0c60-d58d-475e-a790-ca41b49acf36}"/>
    </Anchor>
    <History>
      <Event time="2025-11-24T14:40:25.00" id="{bdc6f99e-636a-4554-9ce8-fcf49187212c}">
        <Attribution userId="placeholder@email.com" userName="Maria Fernanda Retamales" userProvider="google-sheets"/>
        <Anchor>
          <Comment id="{15cf0c60-d58d-475e-a790-ca41b49acf36}"/>
        </Anchor>
        <Create/>
      </Event>
      <Event time="2025-11-24T14:40:25.00" id="{c08b2f01-b85e-40c6-94f1-ab8b9154e598}">
        <Attribution userId="placeholder@email.com" userName="Maria Fernanda Retamales" userProvider="google-sheets"/>
        <Anchor>
          <Comment id="{15cf0c60-d58d-475e-a790-ca41b49acf36}"/>
        </Anchor>
        <Assign userId="aneley@co-work.cl" userName="aneley@co-work.cl" userProvider="google-sheets"/>
      </Event>
    </History>
  </Task>
</Tasks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>
  <Task id="{f058c69d-e1bb-48f3-b325-83215d6efe69}">
    <Anchor>
      <Comment id="{23c4fa3e-fa7d-4749-bdcb-f8390756c2db}"/>
    </Anchor>
    <History>
      <Event time="2025-12-30T13:32:12.00" id="{a0e31c02-1481-4fb4-bb80-56a1cb7c5cf4}">
        <Attribution userId="placeholder@email.com" userName="Maria Fernanda Retamales" userProvider="google-sheets"/>
        <Anchor>
          <Comment id="{23c4fa3e-fa7d-4749-bdcb-f8390756c2db}"/>
        </Anchor>
        <Create/>
      </Event>
      <Event time="2025-12-30T13:32:12.00" id="{3b49b105-8b33-4078-8202-2aec4ca6db2b}">
        <Attribution userId="placeholder@email.com" userName="Maria Fernanda Retamales" userProvider="google-sheets"/>
        <Anchor>
          <Comment id="{23c4fa3e-fa7d-4749-bdcb-f8390756c2db}"/>
        </Anchor>
        <Assign userId="oryady.diaz@co-work.cl" userName="oryady.diaz@co-work.cl" userProvider="google-sheets"/>
      </Event>
    </History>
  </Task>
</Tasks>
</file>

<file path=xl/documenttasks/documenttask5.xml><?xml version="1.0" encoding="utf-8"?>
<Tasks xmlns="http://schemas.microsoft.com/office/tasks/2019/documenttasks">
  <Task id="{bc70c076-b440-4325-916a-6a22286b2fcf}">
    <Anchor>
      <Comment id="{fd3a5719-a21a-40af-8804-73df655282c6}"/>
    </Anchor>
    <History>
      <Event time="2025-11-17T16:10:14.00" id="{adb5422f-2826-4027-80d9-5d726f603a70}">
        <Attribution userId="placeholder@email.com" userName="Maria Fernanda Retamales" userProvider="google-sheets"/>
        <Anchor>
          <Comment id="{fd3a5719-a21a-40af-8804-73df655282c6}"/>
        </Anchor>
        <Create/>
      </Event>
      <Event time="2025-11-17T16:10:14.00" id="{7f8e7fbc-24c7-4b7e-8d6a-1df5fb7b3504}">
        <Attribution userId="placeholder@email.com" userName="Maria Fernanda Retamales" userProvider="google-sheets"/>
        <Anchor>
          <Comment id="{fd3a5719-a21a-40af-8804-73df655282c6}"/>
        </Anchor>
        <Assign userId="yessica.alvarado@co-work.cl" userName="yessica.alvarado@co-work.cl" userProvider="google-sheets"/>
      </Event>
    </History>
  </Task>
</Tasks>
</file>

<file path=xl/documenttasks/documenttask6.xml><?xml version="1.0" encoding="utf-8"?>
<Tasks xmlns="http://schemas.microsoft.com/office/tasks/2019/documenttasks">
  <Task id="{34de124c-e708-445b-bd62-e04d5a4c9b97}">
    <Anchor>
      <Comment id="{ff1845f4-1827-4446-8a66-67f87377e275}"/>
    </Anchor>
    <History>
      <Event time="2025-11-17T16:10:42.00" id="{dfa0ab73-c726-47ea-8423-1594ba2984f4}">
        <Attribution userId="placeholder@email.com" userName="Maria Fernanda Retamales" userProvider="google-sheets"/>
        <Anchor>
          <Comment id="{ff1845f4-1827-4446-8a66-67f87377e275}"/>
        </Anchor>
        <Create/>
      </Event>
      <Event time="2025-11-17T16:10:42.00" id="{4c475f00-a06a-4a98-aacb-c6ac466d1027}">
        <Attribution userId="placeholder@email.com" userName="Maria Fernanda Retamales" userProvider="google-sheets"/>
        <Anchor>
          <Comment id="{ff1845f4-1827-4446-8a66-67f87377e275}"/>
        </Anchor>
        <Assign userId="erika.contreras@co-work.cl" userName="erika.contreras@co-work.cl" userProvider="google-sheets"/>
      </Event>
    </History>
  </Task>
  <Task id="{bc77e8d2-caae-4a60-b7df-e21bef78f78e}">
    <Anchor>
      <Comment id="{28e1a7f5-eb09-43e0-8b66-cba8305c4af5}"/>
    </Anchor>
    <History>
      <Event time="2025-12-01T17:47:06.00" id="{d167f16c-dc37-4227-99c5-05acb9d4adeb}">
        <Attribution userId="placeholder@email.com" userName="Maria Fernanda Retamales" userProvider="google-sheets"/>
        <Anchor>
          <Comment id="{28e1a7f5-eb09-43e0-8b66-cba8305c4af5}"/>
        </Anchor>
        <Create/>
      </Event>
      <Event time="2025-12-01T17:47:06.00" id="{85250103-6ea0-4087-bc7a-6c01030fad52}">
        <Attribution userId="placeholder@email.com" userName="Maria Fernanda Retamales" userProvider="google-sheets"/>
        <Anchor>
          <Comment id="{28e1a7f5-eb09-43e0-8b66-cba8305c4af5}"/>
        </Anchor>
        <Assign userId="erika.contreras@co-work.cl" userName="erika.contreras@co-work.cl" userProvider="google-sheets"/>
      </Event>
    </History>
  </Task>
</Tasks>
</file>

<file path=xl/documenttasks/documenttask7.xml><?xml version="1.0" encoding="utf-8"?>
<Tasks xmlns="http://schemas.microsoft.com/office/tasks/2019/documenttasks">
  <Task id="{a24418c9-bcf4-41d0-a0d2-a24ac7764b24}">
    <Anchor>
      <Comment id="{9fef76ba-8477-4444-9828-30ee1261b57b}"/>
    </Anchor>
    <History>
      <Event time="2025-12-30T13:32:40.00" id="{1e7aeac9-4b33-4bf8-9646-beb01974442c}">
        <Attribution userId="placeholder@email.com" userName="Maria Fernanda Retamales" userProvider="google-sheets"/>
        <Anchor>
          <Comment id="{9fef76ba-8477-4444-9828-30ee1261b57b}"/>
        </Anchor>
        <Create/>
      </Event>
      <Event time="2025-12-30T13:32:40.00" id="{a6d406de-1a2f-4951-ae25-9f38608ea8d7}">
        <Attribution userId="placeholder@email.com" userName="Maria Fernanda Retamales" userProvider="google-sheets"/>
        <Anchor>
          <Comment id="{9fef76ba-8477-4444-9828-30ee1261b57b}"/>
        </Anchor>
        <Assign userId="eduardo.arias@co-work.cl" userName="eduardo.arias@co-work.cl" userProvider="google-sheets"/>
      </Event>
    </History>
  </Task>
</Tasks>
</file>

<file path=xl/documenttasks/documenttask8.xml><?xml version="1.0" encoding="utf-8"?>
<Tasks xmlns="http://schemas.microsoft.com/office/tasks/2019/documenttasks">
  <Task id="{f70b2088-2b55-4ab6-aca6-44d7a2f52276}">
    <Anchor>
      <Comment id="{e3da2345-ace3-413d-be77-fb934746dda5}"/>
    </Anchor>
    <History>
      <Event time="2025-12-30T13:27:22.00" id="{329108d0-8cfc-4c82-aefb-c32b98d5bbdf}">
        <Attribution userId="placeholder@email.com" userName="Maria Fernanda Retamales" userProvider="google-sheets"/>
        <Anchor>
          <Comment id="{e3da2345-ace3-413d-be77-fb934746dda5}"/>
        </Anchor>
        <Create/>
      </Event>
      <Event time="2025-12-30T13:27:22.00" id="{f278abef-33a9-4e3a-b1a2-96668ddf3a7b}">
        <Attribution userId="placeholder@email.com" userName="Maria Fernanda Retamales" userProvider="google-sheets"/>
        <Anchor>
          <Comment id="{e3da2345-ace3-413d-be77-fb934746dda5}"/>
        </Anchor>
        <Assign userId="eugenia.marambio@co-work.cl" userName="eugenia.marambio@co-work.cl" userProvider="google-sheets"/>
      </Event>
    </History>
  </Task>
</Tasks>
</file>

<file path=xl/documenttasks/documenttask9.xml><?xml version="1.0" encoding="utf-8"?>
<Tasks xmlns="http://schemas.microsoft.com/office/tasks/2019/documenttasks">
  <Task id="{6686d56f-7d84-4dd6-8ab0-286fc6d4bd2e}">
    <Anchor>
      <Comment id="{a67949a1-8d4a-49ef-a252-e3acc113e594}"/>
    </Anchor>
    <History>
      <Event time="2025-12-30T13:33:05.00" id="{1ad41f7f-0d03-4e3e-b1bd-99b54b5dba8a}">
        <Attribution userId="placeholder@email.com" userName="Maria Fernanda Retamales" userProvider="google-sheets"/>
        <Anchor>
          <Comment id="{a67949a1-8d4a-49ef-a252-e3acc113e594}"/>
        </Anchor>
        <Create/>
      </Event>
      <Event time="2025-12-30T13:33:05.00" id="{dc7f1d6e-bfda-4877-bd52-a08420bb584c}">
        <Attribution userId="placeholder@email.com" userName="Maria Fernanda Retamales" userProvider="google-sheets"/>
        <Anchor>
          <Comment id="{a67949a1-8d4a-49ef-a252-e3acc113e594}"/>
        </Anchor>
        <Assign userId="yenire.vera@co-work.cl" userName="yenire.vera@co-work.cl" userProvider="google-sheets"/>
      </Event>
    </History>
  </Task>
</Tasks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>
  <Task id="{06bfd7b2-65b8-49cc-bca4-c34447436426}">
    <Anchor>
      <Comment id="{eab4e4ed-40fb-4fe9-9cfb-3f70b1157a8a}"/>
    </Anchor>
    <History>
      <Event time="2025-11-26T12:31:55.00" id="{b995ee53-aa19-4c14-ae8f-04c100feee60}">
        <Attribution userId="placeholder@email.com" userName="Milagros Caridad González Cuenca" userProvider="google-sheets"/>
        <Anchor>
          <Comment id="{eab4e4ed-40fb-4fe9-9cfb-3f70b1157a8a}"/>
        </Anchor>
        <Create/>
      </Event>
      <Event time="2025-11-26T12:31:55.00" id="{18616358-eef8-4754-b8b7-1bdbf7b136a3}">
        <Attribution userId="placeholder@email.com" userName="Milagros Caridad González Cuenca" userProvider="google-sheets"/>
        <Anchor>
          <Comment id="{eab4e4ed-40fb-4fe9-9cfb-3f70b1157a8a}"/>
        </Anchor>
        <Assign userId="ana@co-work.cl" userName="ana@co-work.cl" userProvider="google-sheets"/>
      </Event>
    </History>
  </Task>
  <Task id="{fc9124fb-0e79-4a86-b911-8bf3c9123041}">
    <Anchor>
      <Comment id="{c9b1e79c-5024-41ec-b45e-3914578d8a23}"/>
    </Anchor>
    <History>
      <Event time="2025-11-28T12:42:23.00" id="{1bc5dceb-03e6-4576-8636-065137bfb0b8}">
        <Attribution userId="placeholder@email.com" userName="Milagros Caridad González Cuenca" userProvider="google-sheets"/>
        <Anchor>
          <Comment id="{c9b1e79c-5024-41ec-b45e-3914578d8a23}"/>
        </Anchor>
        <Create/>
      </Event>
      <Event time="2025-11-28T12:42:23.00" id="{2e1d66bb-83c0-4c64-a62e-9f45e44635fb}">
        <Attribution userId="placeholder@email.com" userName="Milagros Caridad González Cuenca" userProvider="google-sheets"/>
        <Anchor>
          <Comment id="{c9b1e79c-5024-41ec-b45e-3914578d8a23}"/>
        </Anchor>
        <Assign userId="ana@co-work.cl" userName="ana@co-work.cl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yenire.vera@co-work.cl" id="{3e7eba3e-221c-4579-a748-c31588b0840f}" userId="yenire.vera@co-work.cl" providerId="google-sheets"/>
  <x18tc:person displayName="Oryady Díaz" id="{2a4f264b-3318-4557-b5de-f7f79a2a43e9}" providerId="google-sheets"/>
  <x18tc:person displayName="Yenire Vera" id="{f3d3a1b2-f576-44a5-a0bc-08e438078317}" providerId="google-sheets"/>
  <x18tc:person displayName="eugenia.marambio@co-work.cl" id="{5e024162-cd63-4dcb-bec5-b5d59552297c}" userId="eugenia.marambio@co-work.cl" providerId="google-sheets"/>
  <x18tc:person displayName="Albert Celin Méndez Rangel" id="{5e7e289a-b361-4e0a-b8c4-aae4fd9a0767}" providerId="google-sheets"/>
  <x18tc:person displayName="aneley@co-work.cl" id="{b93f35ed-0982-43bc-a5a2-69ec9c6ef022}" userId="aneley@co-work.cl" providerId="google-sheets"/>
  <x18tc:person displayName="yessica.alvarado@co-work.cl" id="{ff2e7c87-d782-4a73-ac7a-527b44235b7c}" userId="yessica.alvarado@co-work.cl" providerId="google-sheets"/>
  <x18tc:person displayName="ana@co-work.cl" id="{ca522739-5ac3-4b5a-9b58-4d8f1f5bb31e}" userId="ana@co-work.cl" providerId="google-sheets"/>
  <x18tc:person displayName="erika.contreras@co-work.cl" id="{8b2432db-7bc1-4efc-a429-e91af18e25ed}" userId="erika.contreras@co-work.cl" providerId="google-sheets"/>
  <x18tc:person displayName="Diana Pabon" id="{07b172f4-4274-4354-9edc-19017c006123}" providerId="google-sheets"/>
  <x18tc:person displayName="Erika Contreras" id="{e0084768-d63e-4c6d-8667-5d1f526135dc}" providerId="google-sheets"/>
  <x18tc:person displayName="eduardo.arias@co-work.cl" id="{919564c3-fd0f-41b6-a18d-e0b28685c63c}" userId="eduardo.arias@co-work.cl" providerId="google-sheets"/>
  <x18tc:person displayName="genesis.daboin@co-work.cl" id="{0bddc051-2868-4b91-b717-8fd88008064d}" userId="genesis.daboin@co-work.cl" providerId="google-sheets"/>
  <x18tc:person displayName="Maria Fernanda Retamales" id="{daff62d3-5f8a-4db5-afa0-cb55dc7945e6}" providerId="google-sheets"/>
  <x18tc:person displayName="oryady.diaz@co-work.cl" id="{54993e7c-130a-4f2a-b54f-3f8a517338c2}" userId="oryady.diaz@co-work.cl" providerId="google-sheets"/>
  <x18tc:person displayName="Milagros Caridad González Cuenca" id="{d16eaab4-7b7f-4675-b659-314cd64f18d7}" providerId="google-sheets"/>
  <x18tc:person displayName="Eugenia Marambio" id="{9ad10f19-4579-463f-b350-20b541fd7d6d}" providerId="google-sheets"/>
  <x18tc:person displayName="Jennifer Pachano" id="{1beef574-1f8e-4f6f-af8d-f85eac240cbe}" providerId="google-sheets"/>
  <x18tc:person displayName="albert.mendez@co-work.cl" id="{dd384af0-79ea-416a-a470-6154ce256228}" userId="albert.mendez@co-work.cl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2-02T13:32:58.00" personId="{d16eaab4-7b7f-4675-b659-314cd64f18d7}" id="{5ac7df62-3191-41ac-8dd0-ded5adf2202d}" done="0">
    <x18tc:text xml:space="preserve">Nos llego cafe el dia 29-01 8 kg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2" dT="2025-12-30T13:31:46.00" personId="{daff62d3-5f8a-4db5-afa0-cb55dc7945e6}" id="{732c0440-abcb-4a5e-ae53-4cc5e8606575}" done="1">
    <x18tc:text xml:space="preserve">@aneley@co-work.cl  Hola Ane! porfiss actualizar! Graciass
Asignada a aneley@co-work.cl</x18tc:text>
    <x18tc:mentions>
      <x18tc:mention mentionpersonId="{b93f35ed-0982-43bc-a5a2-69ec9c6ef022}" mentionId="{d01ef364-60bd-4fd2-a6e7-1b352c42571f}" startIndex="0" length="18"/>
    </x18tc:mentions>
  </x18tc:threadedComment>
  <x18tc:threadedComment ref="AB2" dT="2025-11-24T14:40:25.00" personId="{daff62d3-5f8a-4db5-afa0-cb55dc7945e6}" id="{15cf0c60-d58d-475e-a790-ca41b49acf36}" done="1">
    <x18tc:text xml:space="preserve">@aneley@co-work.cl  Hola Ane! recordatorio para completar! graciasss
Asignada a aneley@co-work.cl</x18tc:text>
    <x18tc:mentions>
      <x18tc:mention mentionpersonId="{b93f35ed-0982-43bc-a5a2-69ec9c6ef022}" mentionId="{c451f2f0-b3c7-4d46-a75c-c4a4e422fbd4}" startIndex="0" length="18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4" dT="2025-11-24T13:59:39.00" personId="{1beef574-1f8e-4f6f-af8d-f85eac240cbe}" id="{fa1c55e3-9502-4d34-8261-989fc0eba01f}" done="0">
    <x18tc:text xml:space="preserve">me confundí con el gramaje</x18tc:text>
  </x18tc:threadedComment>
  <x18tc:threadedComment ref="AE5" dT="2025-11-28T11:59:12.00" personId="{1beef574-1f8e-4f6f-af8d-f85eac240cbe}" id="{403e9025-45fa-4917-8607-54ff6fb717d9}" done="0">
    <x18tc:text xml:space="preserve">prestado por sede Tobalaba</x18tc:text>
  </x18tc:threadedComment>
  <x18tc:threadedComment ref="AN5" dT="2026-01-13T16:16:30.00" personId="{1beef574-1f8e-4f6f-af8d-f85eac240cbe}" id="{181b1405-26b5-44cc-bdc6-f8192381ce01}" done="0">
    <x18tc:text xml:space="preserve">por error puse 6 und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2" dT="2025-12-30T13:32:12.00" personId="{daff62d3-5f8a-4db5-afa0-cb55dc7945e6}" id="{23c4fa3e-fa7d-4749-bdcb-f8390756c2db}" done="0">
    <x18tc:text xml:space="preserve">@oryady.diaz@co-work.cl  Hola Oryady! porfis actulizar, gracias!!
Asignada a oryady.diaz@co-work.cl</x18tc:text>
    <x18tc:mentions>
      <x18tc:mention mentionpersonId="{54993e7c-130a-4f2a-b54f-3f8a517338c2}" mentionId="{b39a0004-d160-4b07-9329-6132eb0ebc5d}" startIndex="0" length="23"/>
    </x18tc:mentions>
  </x18tc:threadedComment>
  <x18tc:threadedComment ref="AL2" dT="2025-12-30T13:39:11.00" personId="{2a4f264b-3318-4557-b5de-f7f79a2a43e9}" id="{0004abc5-99fc-42d0-aee3-7cd27accc0f9}" parentId="{23c4fa3e-fa7d-4749-bdcb-f8390756c2db}">
    <x18tc:text xml:space="preserve">Hola María, actalización lista, lindo martes, saludos.</x18tc:text>
  </x18tc:threadedComment>
  <x18tc:threadedComment ref="AL2" dT="2025-12-30T13:53:09.00" personId="{daff62d3-5f8a-4db5-afa0-cb55dc7945e6}" id="{85f112dc-d8b4-4732-8466-ad6a814d33b7}" parentId="{23c4fa3e-fa7d-4749-bdcb-f8390756c2db}">
    <x18tc:text xml:space="preserve">Super gracias!!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2" dT="2025-11-17T16:10:14.00" personId="{daff62d3-5f8a-4db5-afa0-cb55dc7945e6}" id="{fd3a5719-a21a-40af-8804-73df655282c6}" done="1">
    <x18tc:text xml:space="preserve">@yessica.alvarado@co-work.cl  Hola Yessica! mañana 18/11 llegan los insumos y cafetería!
Asignada a yessica.alvarado@co-work.cl</x18tc:text>
    <x18tc:mentions>
      <x18tc:mention mentionpersonId="{ff2e7c87-d782-4a73-ac7a-527b44235b7c}" mentionId="{582988f7-3c9e-45b9-8de2-e3f8d0a7ed81}" startIndex="0" length="28"/>
    </x18tc:mentions>
  </x18tc:threadedComment>
  <x18tc:threadedComment ref="AP4" dT="2025-12-30T13:24:48.00" personId="{daff62d3-5f8a-4db5-afa0-cb55dc7945e6}" id="{b95558bf-4223-4233-af29-f20bb7a2cda4}" done="1">
    <x18tc:text xml:space="preserve">@yessica.alvarado@co-work.cl  hoy llega!</x18tc:text>
    <x18tc:mentions>
      <x18tc:mention mentionpersonId="{ff2e7c87-d782-4a73-ac7a-527b44235b7c}" mentionId="{b549da5f-3bd4-46ef-8aa1-978eeda07f17}" startIndex="0" length="28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21" dT="2025-11-18T18:26:46.00" personId="{e0084768-d63e-4c6d-8667-5d1f526135dc}" id="{99abfbb2-3a0e-44fd-9aae-8aebe44bbae1}" done="0">
    <x18tc:text xml:space="preserve">no hay, tuvimos una confusión con otro producto :)</x18tc:text>
  </x18tc:threadedComment>
  <x18tc:threadedComment ref="AB5" dT="2025-11-17T16:10:42.00" personId="{daff62d3-5f8a-4db5-afa0-cb55dc7945e6}" id="{ff1845f4-1827-4446-8a66-67f87377e275}" done="1">
    <x18tc:text xml:space="preserve">@erika.contreras@co-work.cl  Hola Erika! Mañana 18/11  llegan los insumos y cafeteria!
Asignada a erika.contreras@co-work.cl</x18tc:text>
    <x18tc:mentions>
      <x18tc:mention mentionpersonId="{8b2432db-7bc1-4efc-a429-e91af18e25ed}" mentionId="{a5b9dbbb-645b-4ed8-a69e-128f628efe07}" startIndex="0" length="27"/>
    </x18tc:mentions>
  </x18tc:threadedComment>
  <x18tc:threadedComment ref="AH2" dT="2025-12-01T17:47:06.00" personId="{daff62d3-5f8a-4db5-afa0-cb55dc7945e6}" id="{28e1a7f5-eb09-43e0-8b66-cba8305c4af5}" done="1">
    <x18tc:text xml:space="preserve">@erika.contreras@co-work.cl  Hola Erika! mañana llegan insumos y café! , porfavor para que se actualice nuevamente lo que lleguen las cosillas. Mil gracias!
Asignada a erika.contreras@co-work.cl</x18tc:text>
    <x18tc:mentions>
      <x18tc:mention mentionpersonId="{8b2432db-7bc1-4efc-a429-e91af18e25ed}" mentionId="{9951a4be-b23c-4669-9992-63fa4855535d}" startIndex="0" length="27"/>
    </x18tc:mentions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2" dT="2025-11-17T16:14:59.00" personId="{daff62d3-5f8a-4db5-afa0-cb55dc7945e6}" id="{ad060980-f939-4502-bc7c-da9ea4b5aa8a}" done="1">
    <x18tc:text xml:space="preserve">@eduardo.arias@co-work.cl  Eduardo de las Mercedes! atenta a la actulizacion hahaa! , mañana llegan insumos y cafeteria!</x18tc:text>
    <x18tc:mentions>
      <x18tc:mention mentionpersonId="{919564c3-fd0f-41b6-a18d-e0b28685c63c}" mentionId="{14d7b615-e75c-4eef-a329-7ee8a1d0afbe}" startIndex="0" length="25"/>
    </x18tc:mentions>
  </x18tc:threadedComment>
  <x18tc:threadedComment ref="AK2" dT="2025-12-30T13:32:40.00" personId="{daff62d3-5f8a-4db5-afa0-cb55dc7945e6}" id="{9fef76ba-8477-4444-9828-30ee1261b57b}" done="1">
    <x18tc:text xml:space="preserve">@eduardo.arias@co-work.cl  Hola Edu!! porfavor actualizar!
Asignada a eduardo.arias@co-work.cl</x18tc:text>
    <x18tc:mentions>
      <x18tc:mention mentionpersonId="{919564c3-fd0f-41b6-a18d-e0b28685c63c}" mentionId="{67e15b4e-7dcd-4553-b71a-ba0c7f8a8837}" startIndex="0" length="25"/>
    </x18tc:mentions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2" dT="2025-12-30T13:27:22.00" personId="{daff62d3-5f8a-4db5-afa0-cb55dc7945e6}" id="{e3da2345-ace3-413d-be77-fb934746dda5}" done="0">
    <x18tc:text xml:space="preserve">@eugenia.marambio@co-work.cl  Hola Eugenia! porfavor actualizar los insumos al día de ayer, puede ser con lo que tienen hoy! Gracias!
Asignada a eugenia.marambio@co-work.cl</x18tc:text>
    <x18tc:mentions>
      <x18tc:mention mentionpersonId="{5e024162-cd63-4dcb-bec5-b5d59552297c}" mentionId="{50628c9a-efb9-4fd3-99cd-8b69a70da163}" startIndex="0" length="28"/>
    </x18tc:mentions>
  </x18tc:threadedComment>
  <x18tc:threadedComment ref="AP22" dT="2026-01-22T19:37:01.00" personId="{07b172f4-4274-4354-9edc-19017c006123}" id="{6239003b-acb8-4d3a-ad51-48731c2a2198}" done="0">
    <x18tc:text xml:space="preserve">Antonieta lleva 5 paq a Alto del Golf</x18tc:text>
  </x18tc:threadedComment>
  <x18tc:threadedComment ref="AD2" dT="2025-11-17T16:29:00.00" personId="{daff62d3-5f8a-4db5-afa0-cb55dc7945e6}" id="{59c28846-ae30-4278-b9ef-a5599cf2fe03}" done="1">
    <x18tc:text xml:space="preserve">@albert.mendez@co-work.cl  Hola Albert! recordatorio para actulizar, mañana llegan los insumos y cafeteria!</x18tc:text>
    <x18tc:mentions>
      <x18tc:mention mentionpersonId="{dd384af0-79ea-416a-a470-6154ce256228}" mentionId="{2ecb01e8-75df-45ab-a414-4b867612c038}" startIndex="0" length="25"/>
    </x18tc:mentions>
  </x18tc:threadedComment>
  <x18tc:threadedComment ref="AT14" dT="2026-02-12T12:30:27.00" personId="{07b172f4-4274-4354-9edc-19017c006123}" id="{f6396633-64b7-45ee-aa17-1811d099f9cd}" done="0">
    <x18tc:text xml:space="preserve">Albert llevo 4 paq para sede de Kennedy</x18tc:text>
  </x18tc:threadedComment>
  <x18tc:threadedComment ref="AO22" dT="2026-01-27T20:24:16.00" personId="{07b172f4-4274-4354-9edc-19017c006123}" id="{beb3c639-ce13-4096-9dfb-efb35bcff6c7}" done="0">
    <x18tc:text xml:space="preserve">Albert lleva 4 paquetes a Cowork Kenedy</x18tc:text>
  </x18tc:threadedComment>
  <x18tc:threadedComment ref="AH10" dT="2025-12-10T12:54:24.00" personId="{9ad10f19-4579-463f-b350-20b541fd7d6d}" id="{aa2448aa-8261-4f7a-8ede-9cc3420fa22d}" done="0">
    <x18tc:text xml:space="preserve">Se hizo traspaso a Kennedy, carta 6 - en un lokers en 2do piso se encontraron 6 tamaño carta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X4" dT="2026-01-28T18:37:34.00" personId="{f3d3a1b2-f576-44a5-a0bc-08e438078317}" id="{da2d6efa-1cdf-4509-b40e-e53d93bf5239}" done="0">
    <x18tc:text xml:space="preserve">Prestado de Cerro el plomo</x18tc:text>
  </x18tc:threadedComment>
  <x18tc:threadedComment ref="AU4" dT="2026-01-22T15:35:55.00" personId="{f3d3a1b2-f576-44a5-a0bc-08e438078317}" id="{118e8f1d-63b2-4568-8b1d-a55be7d12b37}" done="0">
    <x18tc:text xml:space="preserve">Prestado de la sede Cerro el plomo</x18tc:text>
  </x18tc:threadedComment>
  <x18tc:threadedComment ref="AY5" dT="2026-01-29T13:05:13.00" personId="{f3d3a1b2-f576-44a5-a0bc-08e438078317}" id="{c5a5a701-d9b6-4971-a2c4-503044dd5411}" done="0">
    <x18tc:text xml:space="preserve">Se enviaron 2 a Cerro el plomo</x18tc:text>
  </x18tc:threadedComment>
  <x18tc:threadedComment ref="AN2" dT="2025-12-30T13:33:05.00" personId="{daff62d3-5f8a-4db5-afa0-cb55dc7945e6}" id="{a67949a1-8d4a-49ef-a252-e3acc113e594}" done="1">
    <x18tc:text xml:space="preserve">@yenire.vera@co-work.cl  Hola Yenire! porfis actulizar , gracias!!
Asignada a yenire.vera@co-work.cl</x18tc:text>
    <x18tc:mentions>
      <x18tc:mention mentionpersonId="{3e7eba3e-221c-4579-a748-c31588b0840f}" mentionId="{357ced4a-33dd-4bef-bc1f-8fb7a27545ae}" startIndex="0" length="23"/>
    </x18tc:mentions>
  </x18tc:threadedComment>
  <x18tc:threadedComment ref="AD5" dT="2025-11-25T17:24:37.00" personId="{f3d3a1b2-f576-44a5-a0bc-08e438078317}" id="{b6ece354-4e22-43e3-a6f2-3d1e5bff9b06}" done="0">
    <x18tc:text xml:space="preserve">Se le envió 3 paquetes a Cerro el plomo, piso 13</x18tc:text>
  </x18tc:threadedComment>
  <x18tc:threadedComment ref="AY8" dT="2026-01-29T13:02:34.00" personId="{f3d3a1b2-f576-44a5-a0bc-08e438078317}" id="{cbf2a55d-db83-4199-b42d-353f6b026d20}" done="0">
    <x18tc:text xml:space="preserve">Se envio 2 Litros de Leche a Cerro el plomo</x18tc:text>
  </x18tc:threadedComment>
  <x18tc:threadedComment ref="AW4" dT="2026-01-26T13:32:16.00" personId="{f3d3a1b2-f576-44a5-a0bc-08e438078317}" id="{8c16e0f9-e7a8-48ed-9a33-b03fcc6be43e}" done="0">
    <x18tc:text xml:space="preserve">1 kg Prestado de la sede de Cerro el plomo</x18tc:text>
  </x18tc:threadedComment>
  <x18tc:threadedComment ref="C16" dT="2026-01-20T15:20:19.00" personId="{daff62d3-5f8a-4db5-afa0-cb55dc7945e6}" id="{e5eb1b18-4ed1-499f-9638-0f250dc3b418}" done="1">
    <x18tc:text xml:space="preserve">Nuevo , favor empezar a divir por tamaño . gracias!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Z2" dT="2025-11-17T16:34:43.00" personId="{daff62d3-5f8a-4db5-afa0-cb55dc7945e6}" id="{5ed3ff0e-0378-427b-97b8-b7f7a7201db6}" done="1">
    <x18tc:text xml:space="preserve">@genesis.daboin@co-work.cl  Hola Genesis! porfavor recuerdo actulizar! mañana llegan inusmos y cafeteria!</x18tc:text>
    <x18tc:mentions>
      <x18tc:mention mentionpersonId="{0bddc051-2868-4b91-b717-8fd88008064d}" mentionId="{a66143a5-ab57-4542-98bb-b0a0787ad831}" startIndex="0" length="26"/>
    </x18tc:mentions>
  </x18tc:threadedComment>
  <x18tc:threadedComment ref="AE7" dT="2025-12-11T18:15:54.00" personId="{5e7e289a-b361-4e0a-b8c4-aae4fd9a0767}" id="{8ee03dab-da6b-4e13-9b87-f40ac4187788}" done="0">
    <x18tc:text xml:space="preserve">Se traspaso 1 A3 75 a Abedules ( Aneley)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2" dT="2025-11-26T12:31:55.00" personId="{d16eaab4-7b7f-4675-b659-314cd64f18d7}" id="{eab4e4ed-40fb-4fe9-9cfb-3f70b1157a8a}" done="0">
    <x18tc:text xml:space="preserve">Me prestaron 3 bultos de nova de sede Nva las condes, en conocimiento y autorizado por @ana@co-work.cl y tambien Anto
Asignada a ana@co-work.cl</x18tc:text>
    <x18tc:mentions>
      <x18tc:mention mentionpersonId="{ca522739-5ac3-4b5a-9b58-4d8f1f5bb31e}" mentionId="{e9207dc1-c10d-4af2-bb3f-74266fd3bef2}" startIndex="87" length="15"/>
    </x18tc:mentions>
  </x18tc:threadedComment>
  <x18tc:threadedComment ref="AF12" dT="2025-11-26T14:39:24.00" personId="{daff62d3-5f8a-4db5-afa0-cb55dc7945e6}" id="{76746e28-c9cd-4cd4-8efa-294c2042e774}" parentId="{eab4e4ed-40fb-4fe9-9cfb-3f70b1157a8a}">
    <x18tc:text xml:space="preserve">okii gracias por la info!</x18tc:text>
  </x18tc:threadedComment>
  <x18tc:threadedComment ref="AF12" dT="2025-11-26T14:50:10.00" personId="{d16eaab4-7b7f-4675-b659-314cd64f18d7}" id="{582ca7c6-2468-4402-8f03-4135ca11d142}" parentId="{eab4e4ed-40fb-4fe9-9cfb-3f70b1157a8a}">
    <x18tc:text xml:space="preserve">holis de nada, lindo Miercoles!!</x18tc:text>
  </x18tc:threadedComment>
  <x18tc:threadedComment ref="BF15" dT="2026-02-02T13:08:49.00" personId="{d16eaab4-7b7f-4675-b659-314cd64f18d7}" id="{35af6bac-8b97-47d7-9d51-d140c8a50b31}" done="0">
    <x18tc:text xml:space="preserve">por autorizacion de ana compre solo 2 litros d leche el viernes 30-01</x18tc:text>
  </x18tc:threadedComment>
  <x18tc:threadedComment ref="BS13" dT="2026-03-09T12:19:43.00" personId="{d16eaab4-7b7f-4675-b659-314cd64f18d7}" id="{efbbf1c4-a43d-431e-aced-1de698fab300}" done="0">
    <x18tc:text xml:space="preserve">se le presto 4 unidaddes de papel higienicco a la sede Nva las Condes por autorizacion de antonirtta</x18tc:text>
  </x18tc:threadedComment>
  <x18tc:threadedComment ref="BB12" dT="2026-01-23T14:54:41.00" personId="{d16eaab4-7b7f-4675-b659-314cd64f18d7}" id="{4e5f372b-6616-4a23-8eea-75d9250b9b68}" done="0">
    <x18tc:text xml:space="preserve">Por orden de ANA, me prestaron 2 bultos de Toalla Papel de la sede Nvas Las Condes entregado el 23-01</x18tc:text>
  </x18tc:threadedComment>
  <x18tc:threadedComment ref="AZ17" dT="2026-01-22T11:42:42.00" personId="{d16eaab4-7b7f-4675-b659-314cd64f18d7}" id="{fcda4328-bc4b-4cdb-b62d-be112df2f671}" done="0">
    <x18tc:text xml:space="preserve">por orden de Anto, se presto 1,5 kg a la sede Nvas Las Condes entregado a Yeni el 21-01</x18tc:text>
  </x18tc:threadedComment>
  <x18tc:threadedComment ref="AZ17" dT="2026-01-22T11:58:44.00" personId="{daff62d3-5f8a-4db5-afa0-cb55dc7945e6}" id="{e4c3a843-d745-4473-b0b7-7c2f028ba8dd}" parentId="{fcda4328-bc4b-4cdb-b62d-be112df2f671}">
    <x18tc:text xml:space="preserve">gracias por la infor!</x18tc:text>
  </x18tc:threadedComment>
  <x18tc:threadedComment ref="BD17" dT="2026-01-28T12:15:25.00" personId="{d16eaab4-7b7f-4675-b659-314cd64f18d7}" id="{2ef3e633-ced5-4f58-92ca-9327194b2464}" done="0">
    <x18tc:text xml:space="preserve">el dia 27-01 se entra a Yeni 1 kg d cafe para sede Nva las condes</x18tc:text>
  </x18tc:threadedComment>
  <x18tc:threadedComment ref="AH5" dT="2025-11-28T12:42:23.00" personId="{d16eaab4-7b7f-4675-b659-314cd64f18d7}" id="{c9b1e79c-5024-41ec-b45e-3914578d8a23}" done="0">
    <x18tc:text xml:space="preserve">Me prestaron 5 kg de sede BCI los MILITARES pero se coloca 1kg y quedaron 4kg autorizado por @ana@co-work.cl
Asignada a ana@co-work.cl</x18tc:text>
    <x18tc:mentions>
      <x18tc:mention mentionpersonId="{ca522739-5ac3-4b5a-9b58-4d8f1f5bb31e}" mentionId="{f0acb672-9df8-4238-93c1-1a447b79c8f1}" startIndex="93" length="15"/>
    </x18tc:mentions>
  </x18tc:threadedComment>
  <x18tc:threadedComment ref="BD12" dT="2026-01-28T20:49:00.00" personId="{d16eaab4-7b7f-4675-b659-314cd64f18d7}" id="{cecaf5be-390c-4f17-ba60-a3123143e987}" done="0">
    <x18tc:text xml:space="preserve">el dia de hoy yeni de sede nva las condes me presto 1 toalla nova, autorizado por ana</x18tc:text>
  </x18tc:threadedComment>
  <x18tc:threadedComment ref="BD15" dT="2026-01-28T20:48:09.00" personId="{d16eaab4-7b7f-4675-b659-314cd64f18d7}" id="{677c86aa-5f5d-4119-aab8-67ed029c2f9e}" done="0">
    <x18tc:text xml:space="preserve">el dia de hoy yeni de nva las condes, me presto 2 litros de leche, fue autorizado por ana</x18tc:text>
  </x18tc:threadedComment>
  <x18tc:threadedComment ref="BC17" dT="2026-01-26T13:07:22.00" personId="{d16eaab4-7b7f-4675-b659-314cd64f18d7}" id="{b349d5d4-1ae1-4122-9e1d-41dc9166504a}" done="0">
    <x18tc:text xml:space="preserve">se presto hoy dia 1kg a la sede Nva las Condes autorizado por ana, el mismo fue entregado a Yeni</x18tc:text>
  </x18tc:threadedComment>
  <x18tc:threadedComment ref="AV19" dT="2026-01-14T16:15:37.00" personId="{d16eaab4-7b7f-4675-b659-314cd64f18d7}" id="{4737e4fb-848f-40b4-875f-bcce709d9b70}" done="0">
    <x18tc:text xml:space="preserve">el dia 13-01 le escribie a Anto consultando si habia tomado aceite de oliva, ya que me estaban faltando 3 de acuerod al inventario que realice el jueves 08-01 y me indico q solo tomo 1, sin mebargo estaria faltando 2 consulte a las colaborados pero me dicen no han repuesto y tampoco sabes xq estaran faltando!!</x18tc:text>
  </x18tc:threadedComment>
  <x18tc:threadedComment ref="BV11" dT="2026-03-12T14:51:15.00" personId="{d16eaab4-7b7f-4675-b659-314cd64f18d7}" id="{e1bb89f2-c84c-4bd6-ba01-1b2f2f1fcdb8}" done="0">
    <x18tc:text xml:space="preserve">se presto 1 bolsa de revolvedores para la sede Nva las Condes autorizado por Anto</x18tc:text>
  </x18tc:threadedComment>
  <x18tc:threadedComment ref="BH12" dT="2026-02-05T15:44:01.00" personId="{d16eaab4-7b7f-4675-b659-314cd64f18d7}" id="{779a6a0f-1ad5-4eab-9d41-b1bdfa7803a5}" done="0">
    <x18tc:text xml:space="preserve">EL DIA 05-02 Yeni de la sede nva las condes me presto 1 me lo trajo ana q estaba alla!!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4.88"/>
    <col customWidth="1" min="3" max="5" width="20.75"/>
    <col customWidth="1" min="6" max="6" width="27.63"/>
    <col customWidth="1" min="7" max="9" width="20.75"/>
    <col customWidth="1" min="10" max="10" width="24.75"/>
    <col customWidth="1" min="11" max="12" width="20.75"/>
  </cols>
  <sheetData>
    <row r="1">
      <c r="A1" s="1">
        <v>46104.0</v>
      </c>
      <c r="B1" s="2"/>
      <c r="C1" s="3" t="str">
        <f>IFERROR(__xludf.DUMMYFUNCTION("unique(filter($C$81:$C1195,$C$81:$C1195&lt;&gt;""Proveedor"",$B$81:$B1195=C5,$C$81:$C1195&lt;&gt;""""))"),"Coporate Coffe")</f>
        <v>Coporate Coffe</v>
      </c>
      <c r="D1" s="3" t="str">
        <f>IFERROR(__xludf.DUMMYFUNCTION("unique(filter($C$81:$C1195,$C$81:$C1195&lt;&gt;""Proveedor"",$B$81:$B1195=D5,$C$81:$C1195&lt;&gt;""""))"),"Cafe Caribe")</f>
        <v>Cafe Caribe</v>
      </c>
      <c r="E1" s="3" t="str">
        <f>IFERROR(__xludf.DUMMYFUNCTION("unique(filter($C$81:$C1195,$C$81:$C1195&lt;&gt;""Proveedor"",$B$81:$B1195=E5,$C$81:$C1195&lt;&gt;""""))"),"Cafe Caribe")</f>
        <v>Cafe Caribe</v>
      </c>
      <c r="F1" s="3" t="str">
        <f>IFERROR(__xludf.DUMMYFUNCTION("unique(filter($C$81:$C1195,$C$81:$C1195&lt;&gt;""Proveedor"",$B$81:$B1195=F5,$C$81:$C1195&lt;&gt;""""))"),"Coporate Coffe")</f>
        <v>Coporate Coffe</v>
      </c>
      <c r="G1" s="3" t="str">
        <f>IFERROR(__xludf.DUMMYFUNCTION("unique(filter($C$81:$C1195,$C$81:$C1195&lt;&gt;""Proveedor"",$B$81:$B1195=G5,$C$81:$C1195&lt;&gt;""""))"),"Cafe Caribe")</f>
        <v>Cafe Caribe</v>
      </c>
      <c r="H1" s="3" t="str">
        <f>IFERROR(__xludf.DUMMYFUNCTION("unique(filter($C$81:$C1195,$C$81:$C1195&lt;&gt;""Proveedor"",$B$81:$B1195=H5,$C$81:$C1195&lt;&gt;""""))"),"Cafe Caribe")</f>
        <v>Cafe Caribe</v>
      </c>
      <c r="I1" s="3" t="str">
        <f>IFERROR(__xludf.DUMMYFUNCTION("unique(filter($C$81:$C1195,$C$81:$C1195&lt;&gt;""Proveedor"",$B$81:$B1195=I5,$C$81:$C1195&lt;&gt;""""))"),"Cafeteria")</f>
        <v>Cafeteria</v>
      </c>
      <c r="J1" s="3" t="str">
        <f>IFERROR(__xludf.DUMMYFUNCTION("unique(filter($C$81:$C1195,$C$81:$C1195&lt;&gt;""Proveedor"",$B$81:$B1195=J5,$C$81:$C1195&lt;&gt;""""))"),"Cafe Caribe")</f>
        <v>Cafe Caribe</v>
      </c>
      <c r="K1" s="3" t="str">
        <f>IFERROR(__xludf.DUMMYFUNCTION("unique(filter($C$81:$C1195,$C$81:$C1195&lt;&gt;""Proveedor"",$B$81:$B1195=K5,$C$81:$C1195&lt;&gt;""""))"),"Cafe Caribe")</f>
        <v>Cafe Caribe</v>
      </c>
      <c r="L1" s="3" t="str">
        <f>IFERROR(__xludf.DUMMYFUNCTION("unique(filter($C$81:$C1195,$C$81:$C1195&lt;&gt;""Proveedor"",$B$81:$B1195=L5,$C$81:$C1195&lt;&gt;""""))"),"Corporate Coffe")</f>
        <v>Corporate Coffe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>
      <c r="A2" s="1">
        <v>46100.0</v>
      </c>
      <c r="B2" s="2"/>
      <c r="C2" s="3" t="str">
        <f>IFERROR(__xludf.DUMMYFUNCTION("""COMPUTED_VALUE"""),"Cafeteria")</f>
        <v>Cafeteria</v>
      </c>
      <c r="D2" s="3" t="str">
        <f>IFERROR(__xludf.DUMMYFUNCTION("""COMPUTED_VALUE"""),"Cafeteria")</f>
        <v>Cafeteria</v>
      </c>
      <c r="E2" s="3" t="str">
        <f>IFERROR(__xludf.DUMMYFUNCTION("""COMPUTED_VALUE"""),"Cafeteria")</f>
        <v>Cafeteria</v>
      </c>
      <c r="F2" s="3" t="str">
        <f>IFERROR(__xludf.DUMMYFUNCTION("""COMPUTED_VALUE"""),"Cafeteria")</f>
        <v>Cafeteria</v>
      </c>
      <c r="G2" s="3" t="str">
        <f>IFERROR(__xludf.DUMMYFUNCTION("""COMPUTED_VALUE"""),"Cafeteria")</f>
        <v>Cafeteria</v>
      </c>
      <c r="H2" s="3" t="str">
        <f>IFERROR(__xludf.DUMMYFUNCTION("""COMPUTED_VALUE"""),"Cafeteria")</f>
        <v>Cafeteria</v>
      </c>
      <c r="I2" s="3" t="str">
        <f>IFERROR(__xludf.DUMMYFUNCTION("""COMPUTED_VALUE"""),"Cafe Caribe")</f>
        <v>Cafe Caribe</v>
      </c>
      <c r="J2" s="3" t="str">
        <f>IFERROR(__xludf.DUMMYFUNCTION("""COMPUTED_VALUE"""),"Cafeteria")</f>
        <v>Cafeteria</v>
      </c>
      <c r="K2" s="3" t="str">
        <f>IFERROR(__xludf.DUMMYFUNCTION("""COMPUTED_VALUE"""),"Cafeteria")</f>
        <v>Cafeteria</v>
      </c>
      <c r="L2" s="3" t="str">
        <f>IFERROR(__xludf.DUMMYFUNCTION("""COMPUTED_VALUE"""),"Cafeteria")</f>
        <v>Cafeteria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>
      <c r="A3" s="2"/>
      <c r="B3" s="2"/>
      <c r="C3" s="3" t="str">
        <f>IFERROR(__xludf.DUMMYFUNCTION("""COMPUTED_VALUE"""),"Aseo")</f>
        <v>Aseo</v>
      </c>
      <c r="D3" s="3" t="str">
        <f>IFERROR(__xludf.DUMMYFUNCTION("""COMPUTED_VALUE"""),"Aseo")</f>
        <v>Aseo</v>
      </c>
      <c r="E3" s="3" t="str">
        <f>IFERROR(__xludf.DUMMYFUNCTION("""COMPUTED_VALUE"""),"Aseo")</f>
        <v>Aseo</v>
      </c>
      <c r="F3" s="3" t="str">
        <f>IFERROR(__xludf.DUMMYFUNCTION("""COMPUTED_VALUE"""),"Aseo")</f>
        <v>Aseo</v>
      </c>
      <c r="G3" s="3" t="str">
        <f>IFERROR(__xludf.DUMMYFUNCTION("""COMPUTED_VALUE"""),"Aseo")</f>
        <v>Aseo</v>
      </c>
      <c r="H3" s="3" t="str">
        <f>IFERROR(__xludf.DUMMYFUNCTION("""COMPUTED_VALUE"""),"Cocina")</f>
        <v>Cocina</v>
      </c>
      <c r="I3" s="3" t="str">
        <f>IFERROR(__xludf.DUMMYFUNCTION("""COMPUTED_VALUE"""),"Aseo")</f>
        <v>Aseo</v>
      </c>
      <c r="J3" s="3" t="str">
        <f>IFERROR(__xludf.DUMMYFUNCTION("""COMPUTED_VALUE"""),"Aseo")</f>
        <v>Aseo</v>
      </c>
      <c r="K3" s="3" t="str">
        <f>IFERROR(__xludf.DUMMYFUNCTION("""COMPUTED_VALUE"""),"Aseo")</f>
        <v>Aseo</v>
      </c>
      <c r="L3" s="3" t="str">
        <f>IFERROR(__xludf.DUMMYFUNCTION("""COMPUTED_VALUE"""),"Aseo")</f>
        <v>Aseo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>
      <c r="B4" s="2"/>
      <c r="C4" s="4"/>
      <c r="D4" s="4"/>
      <c r="E4" s="4"/>
      <c r="F4" s="4"/>
      <c r="G4" s="4"/>
      <c r="H4" s="4" t="str">
        <f>IFERROR(__xludf.DUMMYFUNCTION("""COMPUTED_VALUE"""),"Aseo")</f>
        <v>Aseo</v>
      </c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>
      <c r="B5" s="5"/>
      <c r="C5" s="6" t="str">
        <f>IFERROR(__xludf.DUMMYFUNCTION("TRANSPOSE(unique(filter(B80:B1195,B80:B1195&lt;&gt;""Sede"",B80:B1195&lt;&gt;"""")))"),"Abedules ")</f>
        <v>Abedules </v>
      </c>
      <c r="D5" s="6" t="str">
        <f>IFERROR(__xludf.DUMMYFUNCTION("""COMPUTED_VALUE"""),"Alto el Golf")</f>
        <v>Alto el Golf</v>
      </c>
      <c r="E5" s="6" t="str">
        <f>IFERROR(__xludf.DUMMYFUNCTION("""COMPUTED_VALUE"""),"Apoquindo")</f>
        <v>Apoquindo</v>
      </c>
      <c r="F5" s="6" t="str">
        <f>IFERROR(__xludf.DUMMYFUNCTION("""COMPUTED_VALUE"""),"Los Militares")</f>
        <v>Los Militares</v>
      </c>
      <c r="G5" s="6" t="str">
        <f>IFERROR(__xludf.DUMMYFUNCTION("""COMPUTED_VALUE"""),"Monjitas")</f>
        <v>Monjitas</v>
      </c>
      <c r="H5" s="6" t="str">
        <f>IFERROR(__xludf.DUMMYFUNCTION("""COMPUTED_VALUE"""),"Isidora")</f>
        <v>Isidora</v>
      </c>
      <c r="I5" s="6" t="str">
        <f>IFERROR(__xludf.DUMMYFUNCTION("""COMPUTED_VALUE"""),"Vespucio")</f>
        <v>Vespucio</v>
      </c>
      <c r="J5" s="6" t="str">
        <f>IFERROR(__xludf.DUMMYFUNCTION("""COMPUTED_VALUE"""),"Kennedy")</f>
        <v>Kennedy</v>
      </c>
      <c r="K5" s="6" t="str">
        <f>IFERROR(__xludf.DUMMYFUNCTION("""COMPUTED_VALUE"""),"Nueva Las Condes")</f>
        <v>Nueva Las Condes</v>
      </c>
      <c r="L5" s="6" t="str">
        <f>IFERROR(__xludf.DUMMYFUNCTION("""COMPUTED_VALUE"""),"Cerro el Plomo")</f>
        <v>Cerro el Plomo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>
      <c r="A6" s="2"/>
      <c r="B6" s="7" t="str">
        <f>IFERROR(__xludf.DUMMYFUNCTION("unique(filter(D80:D1195,D80:D1195&lt;&gt;""Producto"",D80:D1195&lt;&gt;""""))"),"Cafe Grano (KG)")</f>
        <v>Cafe Grano (KG)</v>
      </c>
      <c r="C6" s="8" t="str">
        <f t="shared" ref="C6:C79" si="1">IFERROR(INDEX($E$82:$CY$96,MATCH($B6,$D$82:$D$96,0),MATCH($A$2,$E$80:$CY$80,0))&amp;" ---&gt; "&amp;INDEX($E$82:$CY$96,MATCH($B6,$D$82:$D$96,0),MATCH($A$1,$E$80:$CY$80,0)),"-")</f>
        <v>0 ---&gt; 0</v>
      </c>
      <c r="D6" s="9" t="str">
        <f t="shared" ref="D6:D79" si="2">IFERROR(INDEX($E$100:$CY$113,MATCH($B6,$D$100:$D$113,0),MATCH($A$2,$E$98:$CY$98,0))&amp;" ---&gt; "&amp;INDEX($E$100:$CY$113,MATCH($B6,$D$100:$D$113,0),MATCH($A$1,$E$98:$CY$98,0)),"-")</f>
        <v>14 ---&gt; 12</v>
      </c>
      <c r="E6" s="10" t="str">
        <f t="shared" ref="E6:E79" si="3">IFERROR(INDEX($E$117:$CY$130,MATCH($B6,$D$117:$D$130,0),MATCH($A$2,$E$115:$CY$115,0))&amp;" ---&gt; "&amp;INDEX($E$117:$CY$130,MATCH($B6,$D$117:$D$130,0),MATCH($A$1,$E$115:$CY$115,0)),"-")</f>
        <v>13,5 kl ---&gt; 11 kl</v>
      </c>
      <c r="F6" s="10" t="str">
        <f t="shared" ref="F6:F79" si="4">IFERROR(INDEX($E$134:$CY$147,MATCH($B6,$D$134:$D$147,0),MATCH($A$2,$E$132:$CY$132,0))&amp;" ---&gt; "&amp;INDEX($E$134:$CY$147,MATCH($B6,$D$134:$D$147,0),MATCH($A$1,$E$132:$CY$132,0)),"-")</f>
        <v>7 ---&gt; 6</v>
      </c>
      <c r="G6" s="10" t="str">
        <f t="shared" ref="G6:G22" si="5">IFERROR(INDEX($E$151:$CY$164,MATCH($B6,$D$151:$D$164,0),MATCH($A$2,$E$149:$CY$149,0))&amp;" ---&gt; "&amp;INDEX($E$151:$CY$164,MATCH($B6,$D$151:$D$164,0),MATCH($A$1,$E$149:$CY$149,0)),"-")</f>
        <v>13,5 kg ---&gt; 11 kg </v>
      </c>
      <c r="H6" s="10" t="str">
        <f t="shared" ref="H6:H79" si="6">IFERROR(INDEX($E$169:$CY$182,MATCH($B6,$D$169:$D$182,0),MATCH($A$2,$E$167:$CY$167,0))&amp;" ---&gt; "&amp;INDEX($E$169:$CY$182,MATCH($B6,$D$169:$D$182,0),MATCH($A$1,$E$167:$CY$167,0)),"-")</f>
        <v>14.5kg ---&gt; 13 kg</v>
      </c>
      <c r="I6" s="10" t="str">
        <f t="shared" ref="I6:I79" si="7">IFERROR(INDEX($E$186:$CY$224,MATCH($B6,$D$186:$D$224,0),MATCH($A$2,$E$184:$CY$184,0))&amp;" ---&gt; "&amp;INDEX($E$186:$CY$224,MATCH($B6,$D$186:$D$224,0),MATCH($A$1,$E$184:$CY$184,0)),"-")</f>
        <v>15 1/2 ---&gt; 13</v>
      </c>
      <c r="J6" s="10" t="str">
        <f t="shared" ref="J6:J79" si="8">IFERROR(INDEX($E$228:$BK$243,MATCH($B6,$D$228:$D$243,0),MATCH($A$2,$E$226:$BK$226,0))&amp;" ---&gt; "&amp;INDEX($E$228:$BK$243,MATCH($B6,$D$228:$D$243,0),MATCH($A$1,$E$226:$BK$226,0)),"-")</f>
        <v>20  kg ---&gt; 10 Kg</v>
      </c>
      <c r="K6" s="10" t="str">
        <f t="shared" ref="K6:K79" si="9">IFERROR(INDEX($E$246:$CY$260,MATCH($B6,$D$246:$D$260,0),MATCH($A$2,$E$244:$CY$244,0))&amp;" ---&gt; "&amp;INDEX($E$246:$CY$260,MATCH($B6,$D$246:$D$260,0),MATCH($A$1,$E$244:$CY$244,0)),"-")</f>
        <v>9,5 ---&gt; 8</v>
      </c>
      <c r="L6" s="10" t="str">
        <f t="array" ref="L6">IFERROR(INDEX($E$268:$CY$302,MATCH($B6,$D$268:$D$302,0),MATCH($A$2,$E$266:$CY$266,0))&amp;" ---&gt; "&amp;INDEX($E$268:$CY$302,MATCH($B6,$D$268:$D$302,0),MATCH($A$1,$E$266:$CY$266,0)),"-")</f>
        <v>12 ---&gt; 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>
      <c r="A7" s="2"/>
      <c r="B7" s="7" t="str">
        <f>IFERROR(__xludf.DUMMYFUNCTION("""COMPUTED_VALUE"""),"Toalla de Papel Jumbo (UN)")</f>
        <v>Toalla de Papel Jumbo (UN)</v>
      </c>
      <c r="C7" s="9" t="str">
        <f t="shared" si="1"/>
        <v>2 ---&gt; 3</v>
      </c>
      <c r="D7" s="9" t="str">
        <f t="shared" si="2"/>
        <v>5 ---&gt; 4</v>
      </c>
      <c r="E7" s="10" t="str">
        <f t="shared" si="3"/>
        <v>2 und ---&gt; 0</v>
      </c>
      <c r="F7" s="10" t="str">
        <f t="shared" si="4"/>
        <v>7 paquetes ---&gt; 4 paquetes</v>
      </c>
      <c r="G7" s="10" t="str">
        <f t="shared" si="5"/>
        <v>4 und ---&gt; 4 und</v>
      </c>
      <c r="H7" s="10" t="str">
        <f t="shared" si="6"/>
        <v>8 ---&gt; 7</v>
      </c>
      <c r="I7" s="10" t="str">
        <f t="shared" si="7"/>
        <v>13 ---&gt; 4</v>
      </c>
      <c r="J7" s="10" t="str">
        <f t="shared" si="8"/>
        <v>4 ---&gt; 30</v>
      </c>
      <c r="K7" s="11" t="str">
        <f t="shared" si="9"/>
        <v>3 ---&gt; 1</v>
      </c>
      <c r="L7" s="11" t="str">
        <f t="shared" ref="L7:L57" si="10">IFERROR(INDEX($E$268:$CY$293,MATCH($B7,$D$268:$D$293,0),MATCH($A$2,$E$266:$CY$266,0))&amp;" ---&gt; "&amp;INDEX($E$268:$CY$293,MATCH($B7,$D$268:$D$293,0),MATCH($A$1,$E$266:$CY$266,0)),"-")</f>
        <v>0 ---&gt; 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>
      <c r="A8" s="2"/>
      <c r="B8" s="7" t="str">
        <f>IFERROR(__xludf.DUMMYFUNCTION("""COMPUTED_VALUE"""),"Papel Higienico (UN)")</f>
        <v>Papel Higienico (UN)</v>
      </c>
      <c r="C8" s="9" t="str">
        <f t="shared" si="1"/>
        <v>5 ---&gt; 6</v>
      </c>
      <c r="D8" s="9" t="str">
        <f t="shared" si="2"/>
        <v>16 ---&gt; 16</v>
      </c>
      <c r="E8" s="10" t="str">
        <f t="shared" si="3"/>
        <v>2 und ---&gt; 0</v>
      </c>
      <c r="F8" s="10" t="str">
        <f t="shared" si="4"/>
        <v>7 paquetes ---&gt; 4 paquetes</v>
      </c>
      <c r="G8" s="10" t="str">
        <f t="shared" si="5"/>
        <v>44 und ---&gt; 40 und</v>
      </c>
      <c r="H8" s="10" t="str">
        <f t="shared" si="6"/>
        <v>10 ---&gt; 9</v>
      </c>
      <c r="I8" s="10" t="str">
        <f t="shared" si="7"/>
        <v>32 ---&gt; 26</v>
      </c>
      <c r="J8" s="10" t="str">
        <f t="shared" si="8"/>
        <v>5 ---&gt; 36</v>
      </c>
      <c r="K8" s="11" t="str">
        <f t="shared" si="9"/>
        <v>4 ---&gt; 3</v>
      </c>
      <c r="L8" s="10" t="str">
        <f t="shared" si="10"/>
        <v>12 ---&gt; 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ht="16.5" customHeight="1">
      <c r="A9" s="2"/>
      <c r="B9" s="7" t="str">
        <f>IFERROR(__xludf.DUMMYFUNCTION("""COMPUTED_VALUE"""),"Resma Papel Fotocopia (UN)")</f>
        <v>Resma Papel Fotocopia (UN)</v>
      </c>
      <c r="C9" s="9" t="str">
        <f t="shared" si="1"/>
        <v>0 ---&gt; 0</v>
      </c>
      <c r="D9" s="9" t="str">
        <f t="shared" si="2"/>
        <v>5 ---&gt; 5</v>
      </c>
      <c r="E9" s="10" t="str">
        <f t="shared" si="3"/>
        <v>6 ---&gt; 4</v>
      </c>
      <c r="F9" s="10" t="str">
        <f t="shared" si="4"/>
        <v>10 resmas  ---&gt; 10 resmas</v>
      </c>
      <c r="G9" s="10" t="str">
        <f t="shared" si="5"/>
        <v>7 ---&gt; 6 und</v>
      </c>
      <c r="H9" s="10" t="str">
        <f t="shared" si="6"/>
        <v>14 ---&gt; 14</v>
      </c>
      <c r="I9" s="10" t="str">
        <f t="shared" si="7"/>
        <v>-</v>
      </c>
      <c r="J9" s="10" t="str">
        <f t="shared" si="8"/>
        <v>carta: 4
oficio:29
A3 75: 8 ---&gt; carta: 6
oficio:29
A3 75: 8</v>
      </c>
      <c r="K9" s="10" t="str">
        <f t="shared" si="9"/>
        <v>6 ---&gt; 6</v>
      </c>
      <c r="L9" s="10" t="str">
        <f t="shared" si="10"/>
        <v>4 ---&gt; 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>
      <c r="A10" s="2"/>
      <c r="B10" s="7" t="str">
        <f>IFERROR(__xludf.DUMMYFUNCTION("""COMPUTED_VALUE"""),"Cafe Granulado")</f>
        <v>Cafe Granulado</v>
      </c>
      <c r="C10" s="9" t="str">
        <f t="shared" si="1"/>
        <v> ---&gt; 0</v>
      </c>
      <c r="D10" s="9" t="str">
        <f t="shared" si="2"/>
        <v>-</v>
      </c>
      <c r="E10" s="10" t="str">
        <f t="shared" si="3"/>
        <v>-</v>
      </c>
      <c r="F10" s="10" t="str">
        <f t="shared" si="4"/>
        <v>-</v>
      </c>
      <c r="G10" s="10" t="str">
        <f t="shared" si="5"/>
        <v>-</v>
      </c>
      <c r="H10" s="10" t="str">
        <f t="shared" si="6"/>
        <v> ---&gt; </v>
      </c>
      <c r="I10" s="10" t="str">
        <f t="shared" si="7"/>
        <v>3 ---&gt; 3</v>
      </c>
      <c r="J10" s="10" t="str">
        <f t="shared" si="8"/>
        <v>-</v>
      </c>
      <c r="K10" s="11" t="str">
        <f t="shared" si="9"/>
        <v>0 ---&gt; 0</v>
      </c>
      <c r="L10" s="10" t="str">
        <f t="shared" si="10"/>
        <v>-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>
      <c r="A11" s="2"/>
      <c r="B11" s="7" t="str">
        <f>IFERROR(__xludf.DUMMYFUNCTION("""COMPUTED_VALUE"""),"Papel interfoliado ")</f>
        <v>Papel interfoliado </v>
      </c>
      <c r="C11" s="9" t="str">
        <f t="shared" si="1"/>
        <v> ---&gt; 0</v>
      </c>
      <c r="D11" s="9" t="str">
        <f t="shared" si="2"/>
        <v>-</v>
      </c>
      <c r="E11" s="10" t="str">
        <f t="shared" si="3"/>
        <v>-</v>
      </c>
      <c r="F11" s="10" t="str">
        <f t="shared" si="4"/>
        <v>-</v>
      </c>
      <c r="G11" s="10" t="str">
        <f t="shared" si="5"/>
        <v>-</v>
      </c>
      <c r="H11" s="10" t="str">
        <f t="shared" si="6"/>
        <v>-</v>
      </c>
      <c r="I11" s="10" t="str">
        <f t="shared" si="7"/>
        <v>-</v>
      </c>
      <c r="J11" s="10" t="str">
        <f t="shared" si="8"/>
        <v>-</v>
      </c>
      <c r="K11" s="10" t="str">
        <f t="shared" si="9"/>
        <v>-</v>
      </c>
      <c r="L11" s="10" t="str">
        <f t="shared" si="10"/>
        <v>-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>
      <c r="A12" s="2"/>
      <c r="B12" s="7" t="str">
        <f>IFERROR(__xludf.DUMMYFUNCTION("""COMPUTED_VALUE"""),"Leche liquida")</f>
        <v>Leche liquida</v>
      </c>
      <c r="C12" s="9" t="str">
        <f t="shared" si="1"/>
        <v>0 ---&gt; 0</v>
      </c>
      <c r="D12" s="8" t="str">
        <f t="shared" si="2"/>
        <v>4 ---&gt; 1</v>
      </c>
      <c r="E12" s="10" t="str">
        <f t="shared" si="3"/>
        <v>10 lt ---&gt; 6 lt</v>
      </c>
      <c r="F12" s="10" t="str">
        <f t="shared" si="4"/>
        <v>11 unidades ---&gt; 11 unidades</v>
      </c>
      <c r="G12" s="11" t="str">
        <f t="shared" si="5"/>
        <v>26 lts ---&gt; 19 lts </v>
      </c>
      <c r="H12" s="10" t="str">
        <f t="shared" si="6"/>
        <v>19 L ---&gt; 16L</v>
      </c>
      <c r="I12" s="10" t="str">
        <f t="shared" si="7"/>
        <v>20 ---&gt; 14</v>
      </c>
      <c r="J12" s="11" t="str">
        <f t="shared" si="8"/>
        <v>15 ---&gt; 0</v>
      </c>
      <c r="K12" s="10" t="str">
        <f t="shared" si="9"/>
        <v>17 ---&gt; 16</v>
      </c>
      <c r="L12" s="10" t="str">
        <f t="shared" si="10"/>
        <v>20 ---&gt; 18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>
      <c r="A13" s="2"/>
      <c r="B13" s="7" t="str">
        <f>IFERROR(__xludf.DUMMYFUNCTION("""COMPUTED_VALUE"""),"Leche en polvo")</f>
        <v>Leche en polvo</v>
      </c>
      <c r="C13" s="9" t="str">
        <f t="shared" si="1"/>
        <v>2 ---&gt; 3</v>
      </c>
      <c r="D13" s="9" t="str">
        <f t="shared" si="2"/>
        <v>-</v>
      </c>
      <c r="E13" s="10" t="str">
        <f t="shared" si="3"/>
        <v>-</v>
      </c>
      <c r="F13" s="10" t="str">
        <f t="shared" si="4"/>
        <v>-</v>
      </c>
      <c r="G13" s="10" t="str">
        <f t="shared" si="5"/>
        <v>-</v>
      </c>
      <c r="H13" s="10" t="str">
        <f t="shared" si="6"/>
        <v>-</v>
      </c>
      <c r="I13" s="10" t="str">
        <f t="shared" si="7"/>
        <v>-</v>
      </c>
      <c r="J13" s="10" t="str">
        <f t="shared" si="8"/>
        <v>-</v>
      </c>
      <c r="K13" s="10" t="str">
        <f t="shared" si="9"/>
        <v>-</v>
      </c>
      <c r="L13" s="10" t="str">
        <f t="shared" si="10"/>
        <v>-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>
      <c r="A14" s="2"/>
      <c r="B14" s="7" t="str">
        <f>IFERROR(__xludf.DUMMYFUNCTION("""COMPUTED_VALUE"""),"Vainilla")</f>
        <v>Vainilla</v>
      </c>
      <c r="C14" s="9" t="str">
        <f t="shared" si="1"/>
        <v>3 ---&gt; 6</v>
      </c>
      <c r="D14" s="9" t="str">
        <f t="shared" si="2"/>
        <v>-</v>
      </c>
      <c r="E14" s="10" t="str">
        <f t="shared" si="3"/>
        <v>-</v>
      </c>
      <c r="F14" s="10" t="str">
        <f t="shared" si="4"/>
        <v>-</v>
      </c>
      <c r="G14" s="10" t="str">
        <f t="shared" si="5"/>
        <v>-</v>
      </c>
      <c r="H14" s="10" t="str">
        <f t="shared" si="6"/>
        <v>-</v>
      </c>
      <c r="I14" s="10" t="str">
        <f t="shared" si="7"/>
        <v>-</v>
      </c>
      <c r="J14" s="10" t="str">
        <f t="shared" si="8"/>
        <v>-</v>
      </c>
      <c r="K14" s="10" t="str">
        <f t="shared" si="9"/>
        <v>-</v>
      </c>
      <c r="L14" s="10" t="str">
        <f t="shared" si="10"/>
        <v>-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>
      <c r="A15" s="2"/>
      <c r="B15" s="7" t="str">
        <f>IFERROR(__xludf.DUMMYFUNCTION("""COMPUTED_VALUE"""),"Endulzante")</f>
        <v>Endulzante</v>
      </c>
      <c r="C15" s="9" t="str">
        <f t="shared" si="1"/>
        <v>5 ---&gt; 3</v>
      </c>
      <c r="D15" s="8" t="str">
        <f t="shared" si="2"/>
        <v>0 ---&gt; 0</v>
      </c>
      <c r="E15" s="10" t="str">
        <f t="shared" si="3"/>
        <v>1 ---&gt; 1</v>
      </c>
      <c r="F15" s="10" t="str">
        <f t="shared" si="4"/>
        <v>2 unidades ---&gt; 1 unidad</v>
      </c>
      <c r="G15" s="10" t="str">
        <f t="shared" si="5"/>
        <v>3 und ---&gt; 3 und</v>
      </c>
      <c r="H15" s="10" t="str">
        <f t="shared" si="6"/>
        <v>1(450ml) ---&gt; 1(450ml)</v>
      </c>
      <c r="I15" s="10" t="str">
        <f t="shared" si="7"/>
        <v>6 ---&gt; 6</v>
      </c>
      <c r="J15" s="10" t="str">
        <f t="shared" si="8"/>
        <v> ---&gt; </v>
      </c>
      <c r="K15" s="10" t="str">
        <f t="shared" si="9"/>
        <v>2 ---&gt; 2</v>
      </c>
      <c r="L15" s="10" t="str">
        <f t="shared" si="10"/>
        <v>2 ---&gt; 2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>
      <c r="A16" s="12"/>
      <c r="B16" s="13" t="str">
        <f>IFERROR(__xludf.DUMMYFUNCTION("""COMPUTED_VALUE"""),"Servilletas")</f>
        <v>Servilletas</v>
      </c>
      <c r="C16" s="9" t="str">
        <f t="shared" si="1"/>
        <v>14 ---&gt; 16</v>
      </c>
      <c r="D16" s="9" t="str">
        <f t="shared" si="2"/>
        <v>14 ---&gt; 12</v>
      </c>
      <c r="E16" s="10" t="str">
        <f t="shared" si="3"/>
        <v>0 ---&gt; 0</v>
      </c>
      <c r="F16" s="10" t="str">
        <f t="shared" si="4"/>
        <v>10 paquetes ---&gt; 12 paquetes</v>
      </c>
      <c r="G16" s="10" t="str">
        <f t="shared" si="5"/>
        <v>7 cajas ---&gt; 7 cajas</v>
      </c>
      <c r="H16" s="10" t="str">
        <f t="shared" si="6"/>
        <v>4 ---&gt; 3</v>
      </c>
      <c r="I16" s="10" t="str">
        <f t="shared" si="7"/>
        <v>-</v>
      </c>
      <c r="J16" s="11" t="str">
        <f t="shared" si="8"/>
        <v>6 ---&gt; 1</v>
      </c>
      <c r="K16" s="10" t="str">
        <f t="shared" si="9"/>
        <v>15 ---&gt; 13</v>
      </c>
      <c r="L16" s="10" t="str">
        <f t="shared" si="10"/>
        <v>21 ---&gt; 20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</row>
    <row r="17">
      <c r="A17" s="12"/>
      <c r="B17" s="13" t="str">
        <f>IFERROR(__xludf.DUMMYFUNCTION("""COMPUTED_VALUE"""),"Cloro Gel")</f>
        <v>Cloro Gel</v>
      </c>
      <c r="C17" s="9" t="str">
        <f t="shared" si="1"/>
        <v>4 ---&gt; 3</v>
      </c>
      <c r="D17" s="9" t="str">
        <f t="shared" si="2"/>
        <v>1 ---&gt; 1</v>
      </c>
      <c r="E17" s="10" t="str">
        <f t="shared" si="3"/>
        <v>9 ---&gt; 2 paquetes</v>
      </c>
      <c r="F17" s="10" t="str">
        <f t="shared" si="4"/>
        <v>1 ---&gt; 0</v>
      </c>
      <c r="G17" s="10" t="str">
        <f t="shared" si="5"/>
        <v>5 cajas ---&gt; 5 cajas</v>
      </c>
      <c r="H17" s="10" t="str">
        <f t="shared" si="6"/>
        <v>1 ---&gt; 1</v>
      </c>
      <c r="I17" s="10" t="str">
        <f t="shared" si="7"/>
        <v>3 ---&gt; 3</v>
      </c>
      <c r="J17" s="11" t="str">
        <f t="shared" si="8"/>
        <v>4 ---&gt; 0</v>
      </c>
      <c r="K17" s="11" t="str">
        <f t="shared" si="9"/>
        <v>0 ---&gt; 0</v>
      </c>
      <c r="L17" s="10" t="str">
        <f t="shared" si="10"/>
        <v>2 ---&gt; 2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</row>
    <row r="18">
      <c r="A18" s="12"/>
      <c r="B18" s="13" t="str">
        <f>IFERROR(__xludf.DUMMYFUNCTION("""COMPUTED_VALUE"""),"Limpia Piso")</f>
        <v>Limpia Piso</v>
      </c>
      <c r="C18" s="8" t="str">
        <f t="shared" si="1"/>
        <v>4 ---&gt; 0</v>
      </c>
      <c r="D18" s="9" t="str">
        <f t="shared" si="2"/>
        <v>1 ---&gt; 1</v>
      </c>
      <c r="E18" s="10" t="str">
        <f t="shared" si="3"/>
        <v>1 ---&gt; 0</v>
      </c>
      <c r="F18" s="10" t="str">
        <f t="shared" si="4"/>
        <v>0 ---&gt; 0</v>
      </c>
      <c r="G18" s="10" t="str">
        <f t="shared" si="5"/>
        <v>3 cajas ---&gt; 3 cajas</v>
      </c>
      <c r="H18" s="10" t="str">
        <f t="shared" si="6"/>
        <v>1 ---&gt; 3(lts)</v>
      </c>
      <c r="I18" s="10" t="str">
        <f t="shared" si="7"/>
        <v>2 ---&gt; 2</v>
      </c>
      <c r="J18" s="10" t="str">
        <f t="shared" si="8"/>
        <v>4 ---&gt; 3</v>
      </c>
      <c r="K18" s="11" t="str">
        <f t="shared" si="9"/>
        <v>0 ---&gt; 0</v>
      </c>
      <c r="L18" s="10" t="str">
        <f t="shared" si="10"/>
        <v>2 ---&gt; 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</row>
    <row r="19">
      <c r="A19" s="12"/>
      <c r="B19" s="13" t="str">
        <f>IFERROR(__xludf.DUMMYFUNCTION("""COMPUTED_VALUE"""),"Esponja 4U")</f>
        <v>Esponja 4U</v>
      </c>
      <c r="C19" s="9" t="str">
        <f t="shared" si="1"/>
        <v>3 ---&gt; 1</v>
      </c>
      <c r="D19" s="9" t="str">
        <f t="shared" si="2"/>
        <v>3 ---&gt; 3</v>
      </c>
      <c r="E19" s="10" t="str">
        <f t="shared" si="3"/>
        <v>4 ---&gt; 2</v>
      </c>
      <c r="F19" s="10" t="str">
        <f t="shared" si="4"/>
        <v>3 paquetes ---&gt; 3 paquetes</v>
      </c>
      <c r="G19" s="10" t="str">
        <f t="shared" si="5"/>
        <v>2 lts ---&gt; 3 lts</v>
      </c>
      <c r="H19" s="10" t="str">
        <f t="shared" si="6"/>
        <v>4 ---&gt; 4</v>
      </c>
      <c r="I19" s="10" t="str">
        <f t="shared" si="7"/>
        <v>3 ---&gt; 2 1/2</v>
      </c>
      <c r="J19" s="11" t="str">
        <f t="shared" si="8"/>
        <v>2 ---&gt; 0</v>
      </c>
      <c r="K19" s="10" t="str">
        <f t="shared" si="9"/>
        <v>-</v>
      </c>
      <c r="L19" s="10" t="str">
        <f t="shared" si="10"/>
        <v>-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</row>
    <row r="20">
      <c r="A20" s="12"/>
      <c r="B20" s="13" t="str">
        <f>IFERROR(__xludf.DUMMYFUNCTION("""COMPUTED_VALUE"""),"Mopa Redonda")</f>
        <v>Mopa Redonda</v>
      </c>
      <c r="C20" s="9" t="str">
        <f t="shared" si="1"/>
        <v>5 ---&gt; 3</v>
      </c>
      <c r="D20" s="9" t="str">
        <f t="shared" si="2"/>
        <v>3 ---&gt; 3</v>
      </c>
      <c r="E20" s="10" t="str">
        <f t="shared" si="3"/>
        <v>1 ---&gt; 4 und</v>
      </c>
      <c r="F20" s="10" t="str">
        <f t="shared" si="4"/>
        <v>5 unidades ---&gt; 3 unidades</v>
      </c>
      <c r="G20" s="10" t="str">
        <f t="shared" si="5"/>
        <v>1 kg ---&gt; 1 kg</v>
      </c>
      <c r="H20" s="10" t="str">
        <f t="shared" si="6"/>
        <v>-</v>
      </c>
      <c r="I20" s="10" t="str">
        <f t="shared" si="7"/>
        <v>0 ---&gt; 4</v>
      </c>
      <c r="J20" s="10" t="str">
        <f t="shared" si="8"/>
        <v>5 ---&gt; 1</v>
      </c>
      <c r="K20" s="10" t="str">
        <f t="shared" si="9"/>
        <v>-</v>
      </c>
      <c r="L20" s="10" t="str">
        <f t="shared" si="10"/>
        <v>-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</row>
    <row r="21">
      <c r="A21" s="2"/>
      <c r="B21" s="7" t="str">
        <f>IFERROR(__xludf.DUMMYFUNCTION("""COMPUTED_VALUE"""),"Bolsas Basura 50x70")</f>
        <v>Bolsas Basura 50x70</v>
      </c>
      <c r="C21" s="9" t="str">
        <f t="shared" si="1"/>
        <v>-</v>
      </c>
      <c r="D21" s="9" t="str">
        <f t="shared" si="2"/>
        <v>17 ---&gt; 15</v>
      </c>
      <c r="E21" s="10" t="str">
        <f t="shared" si="3"/>
        <v>0 ---&gt; 0</v>
      </c>
      <c r="F21" s="11" t="str">
        <f t="shared" si="4"/>
        <v>0 ---&gt; 0</v>
      </c>
      <c r="G21" s="11" t="str">
        <f t="shared" si="5"/>
        <v>4 lts ---&gt; 4 lts</v>
      </c>
      <c r="H21" s="10" t="str">
        <f t="shared" si="6"/>
        <v>25 ---&gt; 23</v>
      </c>
      <c r="I21" s="10" t="str">
        <f t="shared" si="7"/>
        <v>2 ---&gt; 3</v>
      </c>
      <c r="J21" s="11" t="str">
        <f t="shared" si="8"/>
        <v>4 ---&gt; 2</v>
      </c>
      <c r="K21" s="11" t="str">
        <f t="shared" si="9"/>
        <v>6 ---&gt; 4</v>
      </c>
      <c r="L21" s="10" t="str">
        <f t="shared" si="10"/>
        <v>14 ---&gt; 14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>
      <c r="A22" s="2"/>
      <c r="B22" s="7" t="str">
        <f>IFERROR(__xludf.DUMMYFUNCTION("""COMPUTED_VALUE"""),"Bolsas Basura 70x90")</f>
        <v>Bolsas Basura 70x90</v>
      </c>
      <c r="C22" s="9" t="str">
        <f t="shared" si="1"/>
        <v>-</v>
      </c>
      <c r="D22" s="9" t="str">
        <f t="shared" si="2"/>
        <v>1 ---&gt; 0</v>
      </c>
      <c r="E22" s="10" t="str">
        <f t="shared" si="3"/>
        <v>9 ---&gt; 3</v>
      </c>
      <c r="F22" s="10" t="str">
        <f t="shared" si="4"/>
        <v>4 paquetes ---&gt; 2 paquetes</v>
      </c>
      <c r="G22" s="10" t="str">
        <f t="shared" si="5"/>
        <v>1 lt ---&gt; 1 lt</v>
      </c>
      <c r="H22" s="10" t="str">
        <f t="shared" si="6"/>
        <v>21 ---&gt; 19</v>
      </c>
      <c r="I22" s="10" t="str">
        <f t="shared" si="7"/>
        <v>8 ---&gt; 9</v>
      </c>
      <c r="J22" s="10" t="str">
        <f t="shared" si="8"/>
        <v>17 ---&gt; 0</v>
      </c>
      <c r="K22" s="10" t="str">
        <f t="shared" si="9"/>
        <v>0 ---&gt; 0</v>
      </c>
      <c r="L22" s="10" t="str">
        <f t="shared" si="10"/>
        <v>-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>
      <c r="A23" s="2"/>
      <c r="B23" s="7" t="str">
        <f>IFERROR(__xludf.DUMMYFUNCTION("""COMPUTED_VALUE"""),"Bolsas Basura 80x110")</f>
        <v>Bolsas Basura 80x110</v>
      </c>
      <c r="C23" s="9" t="str">
        <f t="shared" si="1"/>
        <v>-</v>
      </c>
      <c r="D23" s="9" t="str">
        <f t="shared" si="2"/>
        <v>12 ---&gt; 10</v>
      </c>
      <c r="E23" s="10" t="str">
        <f t="shared" si="3"/>
        <v>4 ---&gt; 3</v>
      </c>
      <c r="F23" s="10" t="str">
        <f t="shared" si="4"/>
        <v>5 paquetes ---&gt; 1 paquete</v>
      </c>
      <c r="G23" s="10" t="str">
        <f t="shared" ref="G23:G31" si="11">IFERROR(INDEX($E$151:$CY$165,MATCH($B23,$D$151:$D$165,0),MATCH($A$2,$E$149:$CY$149,0))&amp;" ---&gt; "&amp;INDEX($E$151:$CY$165,MATCH($B23,$D$151:$D$165,0),MATCH($A$1,$E$149:$CY$149,0)),"-")</f>
        <v>2 lts ---&gt; 2 lts</v>
      </c>
      <c r="H23" s="10" t="str">
        <f t="shared" si="6"/>
        <v>15 ---&gt; 13</v>
      </c>
      <c r="I23" s="10" t="str">
        <f t="shared" si="7"/>
        <v>5 ---&gt; 11</v>
      </c>
      <c r="J23" s="10" t="str">
        <f t="shared" si="8"/>
        <v>0 ---&gt; 0</v>
      </c>
      <c r="K23" s="10" t="str">
        <f t="shared" si="9"/>
        <v>1 ---&gt; 1</v>
      </c>
      <c r="L23" s="10" t="str">
        <f t="shared" si="10"/>
        <v>-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>
      <c r="A24" s="2"/>
      <c r="B24" s="7" t="str">
        <f>IFERROR(__xludf.DUMMYFUNCTION("""COMPUTED_VALUE"""),"Repuesto Jabon")</f>
        <v>Repuesto Jabon</v>
      </c>
      <c r="C24" s="9" t="str">
        <f t="shared" si="1"/>
        <v>-</v>
      </c>
      <c r="D24" s="9" t="str">
        <f t="shared" si="2"/>
        <v>-</v>
      </c>
      <c r="E24" s="10" t="str">
        <f t="shared" si="3"/>
        <v>-</v>
      </c>
      <c r="F24" s="10" t="str">
        <f t="shared" si="4"/>
        <v>-</v>
      </c>
      <c r="G24" s="10" t="str">
        <f t="shared" si="11"/>
        <v> ---&gt; </v>
      </c>
      <c r="H24" s="10" t="str">
        <f t="shared" si="6"/>
        <v>-</v>
      </c>
      <c r="I24" s="10" t="str">
        <f t="shared" si="7"/>
        <v>-</v>
      </c>
      <c r="J24" s="10" t="str">
        <f t="shared" si="8"/>
        <v>-</v>
      </c>
      <c r="K24" s="10" t="str">
        <f t="shared" si="9"/>
        <v>-</v>
      </c>
      <c r="L24" s="10" t="str">
        <f t="shared" si="10"/>
        <v>-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>
      <c r="A25" s="2"/>
      <c r="B25" s="7" t="str">
        <f>IFERROR(__xludf.DUMMYFUNCTION("""COMPUTED_VALUE"""),"Aceite de oliva ")</f>
        <v>Aceite de oliva </v>
      </c>
      <c r="C25" s="9" t="str">
        <f t="shared" si="1"/>
        <v>-</v>
      </c>
      <c r="D25" s="9" t="str">
        <f t="shared" si="2"/>
        <v>-</v>
      </c>
      <c r="E25" s="10" t="str">
        <f t="shared" si="3"/>
        <v>-</v>
      </c>
      <c r="F25" s="10" t="str">
        <f t="shared" si="4"/>
        <v>-</v>
      </c>
      <c r="G25" s="10" t="str">
        <f t="shared" si="11"/>
        <v>-</v>
      </c>
      <c r="H25" s="10" t="str">
        <f t="shared" si="6"/>
        <v>-</v>
      </c>
      <c r="I25" s="10" t="str">
        <f t="shared" si="7"/>
        <v>2 ---&gt; 1</v>
      </c>
      <c r="J25" s="10" t="str">
        <f t="shared" si="8"/>
        <v>-</v>
      </c>
      <c r="K25" s="10" t="str">
        <f t="shared" si="9"/>
        <v>1 ---&gt; 1</v>
      </c>
      <c r="L25" s="10" t="str">
        <f t="shared" si="10"/>
        <v>4 ---&gt; 4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>
      <c r="A26" s="2"/>
      <c r="B26" s="7" t="str">
        <f>IFERROR(__xludf.DUMMYFUNCTION("""COMPUTED_VALUE"""),"Aceto Balsamico ")</f>
        <v>Aceto Balsamico </v>
      </c>
      <c r="C26" s="9" t="str">
        <f t="shared" si="1"/>
        <v>-</v>
      </c>
      <c r="D26" s="9" t="str">
        <f t="shared" si="2"/>
        <v>-</v>
      </c>
      <c r="E26" s="10" t="str">
        <f t="shared" si="3"/>
        <v>-</v>
      </c>
      <c r="F26" s="10" t="str">
        <f t="shared" si="4"/>
        <v>-</v>
      </c>
      <c r="G26" s="10" t="str">
        <f t="shared" si="11"/>
        <v>-</v>
      </c>
      <c r="H26" s="10" t="str">
        <f t="shared" si="6"/>
        <v>-</v>
      </c>
      <c r="I26" s="10" t="str">
        <f t="shared" si="7"/>
        <v>2 ---&gt; 1</v>
      </c>
      <c r="J26" s="10" t="str">
        <f t="shared" si="8"/>
        <v>-</v>
      </c>
      <c r="K26" s="10" t="str">
        <f t="shared" si="9"/>
        <v>-</v>
      </c>
      <c r="L26" s="10" t="str">
        <f t="shared" si="10"/>
        <v>-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>
      <c r="A27" s="2"/>
      <c r="B27" s="7" t="str">
        <f>IFERROR(__xludf.DUMMYFUNCTION("""COMPUTED_VALUE"""),"Jugo de Limon ")</f>
        <v>Jugo de Limon </v>
      </c>
      <c r="C27" s="9" t="str">
        <f t="shared" si="1"/>
        <v>-</v>
      </c>
      <c r="D27" s="9" t="str">
        <f t="shared" si="2"/>
        <v>-</v>
      </c>
      <c r="E27" s="10" t="str">
        <f t="shared" si="3"/>
        <v>-</v>
      </c>
      <c r="F27" s="10" t="str">
        <f t="shared" si="4"/>
        <v>-</v>
      </c>
      <c r="G27" s="10" t="str">
        <f t="shared" si="11"/>
        <v>-</v>
      </c>
      <c r="H27" s="10" t="str">
        <f t="shared" si="6"/>
        <v>-</v>
      </c>
      <c r="I27" s="10" t="str">
        <f t="shared" si="7"/>
        <v>5 ---&gt; 5</v>
      </c>
      <c r="J27" s="10" t="str">
        <f t="shared" si="8"/>
        <v>-</v>
      </c>
      <c r="K27" s="10" t="str">
        <f t="shared" si="9"/>
        <v>-</v>
      </c>
      <c r="L27" s="10" t="str">
        <f t="shared" si="10"/>
        <v>-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>
      <c r="A28" s="2"/>
      <c r="B28" s="7" t="str">
        <f>IFERROR(__xludf.DUMMYFUNCTION("""COMPUTED_VALUE"""),"Resma Papel Fot. Carta (UN)")</f>
        <v>Resma Papel Fot. Carta (UN)</v>
      </c>
      <c r="C28" s="9" t="str">
        <f t="shared" si="1"/>
        <v>-</v>
      </c>
      <c r="D28" s="9" t="str">
        <f t="shared" si="2"/>
        <v>-</v>
      </c>
      <c r="E28" s="10" t="str">
        <f t="shared" si="3"/>
        <v>-</v>
      </c>
      <c r="F28" s="10" t="str">
        <f t="shared" si="4"/>
        <v>-</v>
      </c>
      <c r="G28" s="10" t="str">
        <f t="shared" si="11"/>
        <v>-</v>
      </c>
      <c r="H28" s="10" t="str">
        <f t="shared" si="6"/>
        <v>-</v>
      </c>
      <c r="I28" s="10" t="str">
        <f t="shared" si="7"/>
        <v>10 ---&gt; 10</v>
      </c>
      <c r="J28" s="10" t="str">
        <f t="shared" si="8"/>
        <v>-</v>
      </c>
      <c r="K28" s="10" t="str">
        <f t="shared" si="9"/>
        <v>-</v>
      </c>
      <c r="L28" s="10" t="str">
        <f t="shared" si="10"/>
        <v>-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>
      <c r="A29" s="2"/>
      <c r="B29" s="7" t="str">
        <f>IFERROR(__xludf.DUMMYFUNCTION("""COMPUTED_VALUE"""),"Resma Papel Fot. Oficio (UN)")</f>
        <v>Resma Papel Fot. Oficio (UN)</v>
      </c>
      <c r="C29" s="9" t="str">
        <f t="shared" si="1"/>
        <v>-</v>
      </c>
      <c r="D29" s="9" t="str">
        <f t="shared" si="2"/>
        <v>-</v>
      </c>
      <c r="E29" s="10" t="str">
        <f t="shared" si="3"/>
        <v>-</v>
      </c>
      <c r="F29" s="10" t="str">
        <f t="shared" si="4"/>
        <v>-</v>
      </c>
      <c r="G29" s="10" t="str">
        <f t="shared" si="11"/>
        <v>-</v>
      </c>
      <c r="H29" s="10" t="str">
        <f t="shared" si="6"/>
        <v>-</v>
      </c>
      <c r="I29" s="10" t="str">
        <f t="shared" si="7"/>
        <v>9 ---&gt; 9</v>
      </c>
      <c r="J29" s="10" t="str">
        <f t="shared" si="8"/>
        <v>-</v>
      </c>
      <c r="K29" s="10" t="str">
        <f t="shared" si="9"/>
        <v>-</v>
      </c>
      <c r="L29" s="10" t="str">
        <f t="shared" si="10"/>
        <v>-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>
      <c r="A30" s="2"/>
      <c r="B30" s="7" t="str">
        <f>IFERROR(__xludf.DUMMYFUNCTION("""COMPUTED_VALUE"""),"Revolvedores ")</f>
        <v>Revolvedores </v>
      </c>
      <c r="C30" s="9" t="str">
        <f t="shared" si="1"/>
        <v>-</v>
      </c>
      <c r="D30" s="9" t="str">
        <f t="shared" si="2"/>
        <v>-</v>
      </c>
      <c r="E30" s="10" t="str">
        <f t="shared" si="3"/>
        <v>-</v>
      </c>
      <c r="F30" s="10" t="str">
        <f t="shared" si="4"/>
        <v>-</v>
      </c>
      <c r="G30" s="10" t="str">
        <f t="shared" si="11"/>
        <v>-</v>
      </c>
      <c r="H30" s="10" t="str">
        <f t="shared" si="6"/>
        <v>-</v>
      </c>
      <c r="I30" s="10" t="str">
        <f t="shared" si="7"/>
        <v>8 ---&gt; 6</v>
      </c>
      <c r="J30" s="10" t="str">
        <f t="shared" si="8"/>
        <v>-</v>
      </c>
      <c r="K30" s="10" t="str">
        <f t="shared" si="9"/>
        <v>-</v>
      </c>
      <c r="L30" s="10" t="str">
        <f t="shared" si="10"/>
        <v>-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>
      <c r="A31" s="2"/>
      <c r="B31" s="7" t="str">
        <f>IFERROR(__xludf.DUMMYFUNCTION("""COMPUTED_VALUE"""),"Sal")</f>
        <v>Sal</v>
      </c>
      <c r="C31" s="9" t="str">
        <f t="shared" si="1"/>
        <v>-</v>
      </c>
      <c r="D31" s="9" t="str">
        <f t="shared" si="2"/>
        <v>-</v>
      </c>
      <c r="E31" s="10" t="str">
        <f t="shared" si="3"/>
        <v>-</v>
      </c>
      <c r="F31" s="10" t="str">
        <f t="shared" si="4"/>
        <v>-</v>
      </c>
      <c r="G31" s="10" t="str">
        <f t="shared" si="11"/>
        <v>-</v>
      </c>
      <c r="H31" s="10" t="str">
        <f t="shared" si="6"/>
        <v>-</v>
      </c>
      <c r="I31" s="10" t="str">
        <f t="shared" si="7"/>
        <v>1 ---&gt; 1</v>
      </c>
      <c r="J31" s="10" t="str">
        <f t="shared" si="8"/>
        <v>-</v>
      </c>
      <c r="K31" s="10" t="str">
        <f t="shared" si="9"/>
        <v>-</v>
      </c>
      <c r="L31" s="10" t="str">
        <f t="shared" si="10"/>
        <v>4 ---&gt; 3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>
      <c r="A32" s="2"/>
      <c r="B32" s="7" t="str">
        <f>IFERROR(__xludf.DUMMYFUNCTION("""COMPUTED_VALUE"""),"Servilletas ")</f>
        <v>Servilletas </v>
      </c>
      <c r="C32" s="9" t="str">
        <f t="shared" si="1"/>
        <v>-</v>
      </c>
      <c r="D32" s="9" t="str">
        <f t="shared" si="2"/>
        <v>-</v>
      </c>
      <c r="E32" s="10" t="str">
        <f t="shared" si="3"/>
        <v>-</v>
      </c>
      <c r="F32" s="10" t="str">
        <f t="shared" si="4"/>
        <v>-</v>
      </c>
      <c r="G32" s="10" t="str">
        <f t="shared" ref="G32:G79" si="12">IFERROR(INDEX($E$151:$CY$164,MATCH($B32,$D$151:$D$164,0),MATCH($A$2,$E$149:$CY$149,0))&amp;" ---&gt; "&amp;INDEX($E$151:$CY$164,MATCH($B32,$D$151:$D$164,0),MATCH($A$1,$E$149:$CY$149,0)),"-")</f>
        <v>-</v>
      </c>
      <c r="H32" s="10" t="str">
        <f t="shared" si="6"/>
        <v>-</v>
      </c>
      <c r="I32" s="10" t="str">
        <f t="shared" si="7"/>
        <v>14 ---&gt; 10</v>
      </c>
      <c r="J32" s="10" t="str">
        <f t="shared" si="8"/>
        <v>-</v>
      </c>
      <c r="K32" s="10" t="str">
        <f t="shared" si="9"/>
        <v>-</v>
      </c>
      <c r="L32" s="10" t="str">
        <f t="shared" si="10"/>
        <v>-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>
      <c r="A33" s="2"/>
      <c r="B33" s="7" t="str">
        <f>IFERROR(__xludf.DUMMYFUNCTION("""COMPUTED_VALUE"""),"Sobre Azucar x Caja (800 S) ")</f>
        <v>Sobre Azucar x Caja (800 S) </v>
      </c>
      <c r="C33" s="9" t="str">
        <f t="shared" si="1"/>
        <v>-</v>
      </c>
      <c r="D33" s="9" t="str">
        <f t="shared" si="2"/>
        <v>-</v>
      </c>
      <c r="E33" s="10" t="str">
        <f t="shared" si="3"/>
        <v>-</v>
      </c>
      <c r="F33" s="10" t="str">
        <f t="shared" si="4"/>
        <v>-</v>
      </c>
      <c r="G33" s="10" t="str">
        <f t="shared" si="12"/>
        <v>-</v>
      </c>
      <c r="H33" s="10" t="str">
        <f t="shared" si="6"/>
        <v>-</v>
      </c>
      <c r="I33" s="10" t="str">
        <f t="shared" si="7"/>
        <v>1 ---&gt; 2 1/2</v>
      </c>
      <c r="J33" s="10" t="str">
        <f t="shared" si="8"/>
        <v>-</v>
      </c>
      <c r="K33" s="10" t="str">
        <f t="shared" si="9"/>
        <v>-</v>
      </c>
      <c r="L33" s="10" t="str">
        <f t="shared" si="10"/>
        <v>-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>
      <c r="A34" s="2"/>
      <c r="B34" s="7" t="str">
        <f>IFERROR(__xludf.DUMMYFUNCTION("""COMPUTED_VALUE"""),"Vinagre 1000 ml ")</f>
        <v>Vinagre 1000 ml </v>
      </c>
      <c r="C34" s="9" t="str">
        <f t="shared" si="1"/>
        <v>-</v>
      </c>
      <c r="D34" s="9" t="str">
        <f t="shared" si="2"/>
        <v>-</v>
      </c>
      <c r="E34" s="10" t="str">
        <f t="shared" si="3"/>
        <v>-</v>
      </c>
      <c r="F34" s="10" t="str">
        <f t="shared" si="4"/>
        <v>-</v>
      </c>
      <c r="G34" s="10" t="str">
        <f t="shared" si="12"/>
        <v>-</v>
      </c>
      <c r="H34" s="10" t="str">
        <f t="shared" si="6"/>
        <v>-</v>
      </c>
      <c r="I34" s="10" t="str">
        <f t="shared" si="7"/>
        <v>2 ---&gt; 2</v>
      </c>
      <c r="J34" s="10" t="str">
        <f t="shared" si="8"/>
        <v>-</v>
      </c>
      <c r="K34" s="10" t="str">
        <f t="shared" si="9"/>
        <v>-</v>
      </c>
      <c r="L34" s="10" t="str">
        <f t="shared" si="10"/>
        <v>-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>
      <c r="A35" s="2"/>
      <c r="B35" s="7" t="str">
        <f>IFERROR(__xludf.DUMMYFUNCTION("""COMPUTED_VALUE"""),"Vinagre 500 ml ")</f>
        <v>Vinagre 500 ml </v>
      </c>
      <c r="C35" s="9" t="str">
        <f t="shared" si="1"/>
        <v>-</v>
      </c>
      <c r="D35" s="9" t="str">
        <f t="shared" si="2"/>
        <v>-</v>
      </c>
      <c r="E35" s="10" t="str">
        <f t="shared" si="3"/>
        <v>-</v>
      </c>
      <c r="F35" s="10" t="str">
        <f t="shared" si="4"/>
        <v>-</v>
      </c>
      <c r="G35" s="10" t="str">
        <f t="shared" si="12"/>
        <v>-</v>
      </c>
      <c r="H35" s="10" t="str">
        <f t="shared" si="6"/>
        <v>-</v>
      </c>
      <c r="I35" s="10" t="str">
        <f t="shared" si="7"/>
        <v>3 Rosado / 1 Blanco ---&gt; 3 Rosado / 1 Blanco</v>
      </c>
      <c r="J35" s="10" t="str">
        <f t="shared" si="8"/>
        <v>-</v>
      </c>
      <c r="K35" s="10" t="str">
        <f t="shared" si="9"/>
        <v>-</v>
      </c>
      <c r="L35" s="10" t="str">
        <f t="shared" si="10"/>
        <v>-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>
      <c r="A36" s="2"/>
      <c r="B36" s="7" t="str">
        <f>IFERROR(__xludf.DUMMYFUNCTION("""COMPUTED_VALUE"""),"Aerosol ")</f>
        <v>Aerosol </v>
      </c>
      <c r="C36" s="9" t="str">
        <f t="shared" si="1"/>
        <v>-</v>
      </c>
      <c r="D36" s="9" t="str">
        <f t="shared" si="2"/>
        <v>-</v>
      </c>
      <c r="E36" s="10" t="str">
        <f t="shared" si="3"/>
        <v>-</v>
      </c>
      <c r="F36" s="10" t="str">
        <f t="shared" si="4"/>
        <v>-</v>
      </c>
      <c r="G36" s="10" t="str">
        <f t="shared" si="12"/>
        <v>-</v>
      </c>
      <c r="H36" s="10" t="str">
        <f t="shared" si="6"/>
        <v>-</v>
      </c>
      <c r="I36" s="10" t="str">
        <f t="shared" si="7"/>
        <v>4 ---&gt; 8</v>
      </c>
      <c r="J36" s="10" t="str">
        <f t="shared" si="8"/>
        <v>-</v>
      </c>
      <c r="K36" s="10" t="str">
        <f t="shared" si="9"/>
        <v>-</v>
      </c>
      <c r="L36" s="10" t="str">
        <f t="shared" si="10"/>
        <v>-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>
      <c r="A37" s="2"/>
      <c r="B37" s="7" t="str">
        <f>IFERROR(__xludf.DUMMYFUNCTION("""COMPUTED_VALUE"""),"Antisarro x 5 L ")</f>
        <v>Antisarro x 5 L </v>
      </c>
      <c r="C37" s="9" t="str">
        <f t="shared" si="1"/>
        <v>-</v>
      </c>
      <c r="D37" s="9" t="str">
        <f t="shared" si="2"/>
        <v>-</v>
      </c>
      <c r="E37" s="10" t="str">
        <f t="shared" si="3"/>
        <v>-</v>
      </c>
      <c r="F37" s="10" t="str">
        <f t="shared" si="4"/>
        <v>-</v>
      </c>
      <c r="G37" s="10" t="str">
        <f t="shared" si="12"/>
        <v>-</v>
      </c>
      <c r="H37" s="10" t="str">
        <f t="shared" si="6"/>
        <v>-</v>
      </c>
      <c r="I37" s="10" t="str">
        <f t="shared" si="7"/>
        <v>2 ---&gt; 2</v>
      </c>
      <c r="J37" s="10" t="str">
        <f t="shared" si="8"/>
        <v>-</v>
      </c>
      <c r="K37" s="10" t="str">
        <f t="shared" si="9"/>
        <v>-</v>
      </c>
      <c r="L37" s="10" t="str">
        <f t="shared" si="10"/>
        <v>-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>
      <c r="A38" s="2"/>
      <c r="B38" s="7" t="str">
        <f>IFERROR(__xludf.DUMMYFUNCTION("""COMPUTED_VALUE"""),"Guantes ")</f>
        <v>Guantes </v>
      </c>
      <c r="C38" s="9" t="str">
        <f t="shared" si="1"/>
        <v>-</v>
      </c>
      <c r="D38" s="9" t="str">
        <f t="shared" si="2"/>
        <v>-</v>
      </c>
      <c r="E38" s="10" t="str">
        <f t="shared" si="3"/>
        <v>-</v>
      </c>
      <c r="F38" s="10" t="str">
        <f t="shared" si="4"/>
        <v>-</v>
      </c>
      <c r="G38" s="10" t="str">
        <f t="shared" si="12"/>
        <v>-</v>
      </c>
      <c r="H38" s="10" t="str">
        <f t="shared" si="6"/>
        <v>-</v>
      </c>
      <c r="I38" s="10" t="str">
        <f t="shared" si="7"/>
        <v>8 ---&gt; 7</v>
      </c>
      <c r="J38" s="10" t="str">
        <f t="shared" si="8"/>
        <v>-</v>
      </c>
      <c r="K38" s="10" t="str">
        <f t="shared" si="9"/>
        <v>-</v>
      </c>
      <c r="L38" s="10" t="str">
        <f t="shared" si="10"/>
        <v>-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>
      <c r="A39" s="2"/>
      <c r="B39" s="7" t="str">
        <f>IFERROR(__xludf.DUMMYFUNCTION("""COMPUTED_VALUE"""),"Jabon Liquido x 5L")</f>
        <v>Jabon Liquido x 5L</v>
      </c>
      <c r="C39" s="9" t="str">
        <f t="shared" si="1"/>
        <v>-</v>
      </c>
      <c r="D39" s="9" t="str">
        <f t="shared" si="2"/>
        <v>-</v>
      </c>
      <c r="E39" s="10" t="str">
        <f t="shared" si="3"/>
        <v>-</v>
      </c>
      <c r="F39" s="10" t="str">
        <f t="shared" si="4"/>
        <v>-</v>
      </c>
      <c r="G39" s="10" t="str">
        <f t="shared" si="12"/>
        <v>-</v>
      </c>
      <c r="H39" s="10" t="str">
        <f t="shared" si="6"/>
        <v>-</v>
      </c>
      <c r="I39" s="10" t="str">
        <f t="shared" si="7"/>
        <v>2 ---&gt; 2</v>
      </c>
      <c r="J39" s="10" t="str">
        <f t="shared" si="8"/>
        <v>-</v>
      </c>
      <c r="K39" s="10" t="str">
        <f t="shared" si="9"/>
        <v>-</v>
      </c>
      <c r="L39" s="10" t="str">
        <f t="shared" si="10"/>
        <v>-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>
      <c r="A40" s="2"/>
      <c r="B40" s="7" t="str">
        <f>IFERROR(__xludf.DUMMYFUNCTION("""COMPUTED_VALUE"""),"Jabon Lavaloza x 5L")</f>
        <v>Jabon Lavaloza x 5L</v>
      </c>
      <c r="C40" s="9" t="str">
        <f t="shared" si="1"/>
        <v>-</v>
      </c>
      <c r="D40" s="9" t="str">
        <f t="shared" si="2"/>
        <v>-</v>
      </c>
      <c r="E40" s="10" t="str">
        <f t="shared" si="3"/>
        <v>-</v>
      </c>
      <c r="F40" s="10" t="str">
        <f t="shared" si="4"/>
        <v>-</v>
      </c>
      <c r="G40" s="10" t="str">
        <f t="shared" si="12"/>
        <v>-</v>
      </c>
      <c r="H40" s="10" t="str">
        <f t="shared" si="6"/>
        <v>-</v>
      </c>
      <c r="I40" s="10" t="str">
        <f t="shared" si="7"/>
        <v>3 ---&gt; 3</v>
      </c>
      <c r="J40" s="10" t="str">
        <f t="shared" si="8"/>
        <v>-</v>
      </c>
      <c r="K40" s="10" t="str">
        <f t="shared" si="9"/>
        <v>-</v>
      </c>
      <c r="L40" s="10" t="str">
        <f t="shared" si="10"/>
        <v>-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>
      <c r="A41" s="2"/>
      <c r="B41" s="7" t="str">
        <f>IFERROR(__xludf.DUMMYFUNCTION("""COMPUTED_VALUE"""),"Antigrasa x 5L")</f>
        <v>Antigrasa x 5L</v>
      </c>
      <c r="C41" s="9" t="str">
        <f t="shared" si="1"/>
        <v>-</v>
      </c>
      <c r="D41" s="9" t="str">
        <f t="shared" si="2"/>
        <v>-</v>
      </c>
      <c r="E41" s="10" t="str">
        <f t="shared" si="3"/>
        <v>-</v>
      </c>
      <c r="F41" s="10" t="str">
        <f t="shared" si="4"/>
        <v>-</v>
      </c>
      <c r="G41" s="10" t="str">
        <f t="shared" si="12"/>
        <v>-</v>
      </c>
      <c r="H41" s="10" t="str">
        <f t="shared" si="6"/>
        <v>-</v>
      </c>
      <c r="I41" s="10" t="str">
        <f t="shared" si="7"/>
        <v>2 ---&gt; 2</v>
      </c>
      <c r="J41" s="10" t="str">
        <f t="shared" si="8"/>
        <v>-</v>
      </c>
      <c r="K41" s="10" t="str">
        <f t="shared" si="9"/>
        <v>-</v>
      </c>
      <c r="L41" s="10" t="str">
        <f t="shared" si="10"/>
        <v>-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>
      <c r="A42" s="2"/>
      <c r="B42" s="7" t="str">
        <f>IFERROR(__xludf.DUMMYFUNCTION("""COMPUTED_VALUE"""),"Lavavajillas")</f>
        <v>Lavavajillas</v>
      </c>
      <c r="C42" s="9" t="str">
        <f t="shared" si="1"/>
        <v>-</v>
      </c>
      <c r="D42" s="9" t="str">
        <f t="shared" si="2"/>
        <v>-</v>
      </c>
      <c r="E42" s="10" t="str">
        <f t="shared" si="3"/>
        <v>-</v>
      </c>
      <c r="F42" s="10" t="str">
        <f t="shared" si="4"/>
        <v>-</v>
      </c>
      <c r="G42" s="10" t="str">
        <f t="shared" si="12"/>
        <v>-</v>
      </c>
      <c r="H42" s="10" t="str">
        <f t="shared" si="6"/>
        <v>-</v>
      </c>
      <c r="I42" s="10" t="str">
        <f t="shared" si="7"/>
        <v>12 ---&gt; 12</v>
      </c>
      <c r="J42" s="10" t="str">
        <f t="shared" si="8"/>
        <v>-</v>
      </c>
      <c r="K42" s="10" t="str">
        <f t="shared" si="9"/>
        <v>-</v>
      </c>
      <c r="L42" s="10" t="str">
        <f t="shared" si="10"/>
        <v>-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>
      <c r="A43" s="2"/>
      <c r="B43" s="7" t="str">
        <f>IFERROR(__xludf.DUMMYFUNCTION("""COMPUTED_VALUE"""),"Limpia Vidrios")</f>
        <v>Limpia Vidrios</v>
      </c>
      <c r="C43" s="9" t="str">
        <f t="shared" si="1"/>
        <v>-</v>
      </c>
      <c r="D43" s="9" t="str">
        <f t="shared" si="2"/>
        <v>-</v>
      </c>
      <c r="E43" s="10" t="str">
        <f t="shared" si="3"/>
        <v>-</v>
      </c>
      <c r="F43" s="10" t="str">
        <f t="shared" si="4"/>
        <v>-</v>
      </c>
      <c r="G43" s="10" t="str">
        <f t="shared" si="12"/>
        <v>-</v>
      </c>
      <c r="H43" s="10" t="str">
        <f t="shared" si="6"/>
        <v>-</v>
      </c>
      <c r="I43" s="10" t="str">
        <f t="shared" si="7"/>
        <v>2 ---&gt; 2</v>
      </c>
      <c r="J43" s="10" t="str">
        <f t="shared" si="8"/>
        <v>-</v>
      </c>
      <c r="K43" s="10" t="str">
        <f t="shared" si="9"/>
        <v>-</v>
      </c>
      <c r="L43" s="10" t="str">
        <f t="shared" si="10"/>
        <v>-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>
      <c r="A44" s="2"/>
      <c r="B44" s="7" t="str">
        <f>IFERROR(__xludf.DUMMYFUNCTION("""COMPUTED_VALUE"""),"Lisoform")</f>
        <v>Lisoform</v>
      </c>
      <c r="C44" s="9" t="str">
        <f t="shared" si="1"/>
        <v>-</v>
      </c>
      <c r="D44" s="9" t="str">
        <f t="shared" si="2"/>
        <v>-</v>
      </c>
      <c r="E44" s="10" t="str">
        <f t="shared" si="3"/>
        <v>-</v>
      </c>
      <c r="F44" s="10" t="str">
        <f t="shared" si="4"/>
        <v>-</v>
      </c>
      <c r="G44" s="10" t="str">
        <f t="shared" si="12"/>
        <v>-</v>
      </c>
      <c r="H44" s="10" t="str">
        <f t="shared" si="6"/>
        <v>-</v>
      </c>
      <c r="I44" s="10" t="str">
        <f t="shared" si="7"/>
        <v>0 ---&gt; 0</v>
      </c>
      <c r="J44" s="10" t="str">
        <f t="shared" si="8"/>
        <v>-</v>
      </c>
      <c r="K44" s="10" t="str">
        <f t="shared" si="9"/>
        <v>-</v>
      </c>
      <c r="L44" s="10" t="str">
        <f t="shared" si="10"/>
        <v>-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>
      <c r="A45" s="2"/>
      <c r="B45" s="7" t="str">
        <f>IFERROR(__xludf.DUMMYFUNCTION("""COMPUTED_VALUE"""),"Lustra Muebles ")</f>
        <v>Lustra Muebles </v>
      </c>
      <c r="C45" s="9" t="str">
        <f t="shared" si="1"/>
        <v>-</v>
      </c>
      <c r="D45" s="9" t="str">
        <f t="shared" si="2"/>
        <v>-</v>
      </c>
      <c r="E45" s="10" t="str">
        <f t="shared" si="3"/>
        <v>-</v>
      </c>
      <c r="F45" s="10" t="str">
        <f t="shared" si="4"/>
        <v>-</v>
      </c>
      <c r="G45" s="10" t="str">
        <f t="shared" si="12"/>
        <v>-</v>
      </c>
      <c r="H45" s="10" t="str">
        <f t="shared" si="6"/>
        <v>-</v>
      </c>
      <c r="I45" s="10" t="str">
        <f t="shared" si="7"/>
        <v>4 ---&gt; 4</v>
      </c>
      <c r="J45" s="10" t="str">
        <f t="shared" si="8"/>
        <v>-</v>
      </c>
      <c r="K45" s="10" t="str">
        <f t="shared" si="9"/>
        <v>-</v>
      </c>
      <c r="L45" s="10" t="str">
        <f t="shared" si="10"/>
        <v>-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>
      <c r="A46" s="2"/>
      <c r="B46" s="7" t="str">
        <f>IFERROR(__xludf.DUMMYFUNCTION("""COMPUTED_VALUE"""),"Mopa Avion")</f>
        <v>Mopa Avion</v>
      </c>
      <c r="C46" s="9" t="str">
        <f t="shared" si="1"/>
        <v>-</v>
      </c>
      <c r="D46" s="9" t="str">
        <f t="shared" si="2"/>
        <v>-</v>
      </c>
      <c r="E46" s="10" t="str">
        <f t="shared" si="3"/>
        <v>-</v>
      </c>
      <c r="F46" s="10" t="str">
        <f t="shared" si="4"/>
        <v>-</v>
      </c>
      <c r="G46" s="10" t="str">
        <f t="shared" si="12"/>
        <v>-</v>
      </c>
      <c r="H46" s="10" t="str">
        <f t="shared" si="6"/>
        <v>-</v>
      </c>
      <c r="I46" s="10" t="str">
        <f t="shared" si="7"/>
        <v>1 ---&gt; 1</v>
      </c>
      <c r="J46" s="10" t="str">
        <f t="shared" si="8"/>
        <v>-</v>
      </c>
      <c r="K46" s="10" t="str">
        <f t="shared" si="9"/>
        <v>-</v>
      </c>
      <c r="L46" s="10" t="str">
        <f t="shared" si="10"/>
        <v>-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>
      <c r="A47" s="2"/>
      <c r="B47" s="7" t="str">
        <f>IFERROR(__xludf.DUMMYFUNCTION("""COMPUTED_VALUE"""),"Mopa Humeda")</f>
        <v>Mopa Humeda</v>
      </c>
      <c r="C47" s="9" t="str">
        <f t="shared" si="1"/>
        <v>-</v>
      </c>
      <c r="D47" s="9" t="str">
        <f t="shared" si="2"/>
        <v>-</v>
      </c>
      <c r="E47" s="10" t="str">
        <f t="shared" si="3"/>
        <v>-</v>
      </c>
      <c r="F47" s="10" t="str">
        <f t="shared" si="4"/>
        <v>-</v>
      </c>
      <c r="G47" s="10" t="str">
        <f t="shared" si="12"/>
        <v>-</v>
      </c>
      <c r="H47" s="10" t="str">
        <f t="shared" si="6"/>
        <v>-</v>
      </c>
      <c r="I47" s="10" t="str">
        <f t="shared" si="7"/>
        <v>0 ---&gt; 0</v>
      </c>
      <c r="J47" s="10" t="str">
        <f t="shared" si="8"/>
        <v>-</v>
      </c>
      <c r="K47" s="10" t="str">
        <f t="shared" si="9"/>
        <v>-</v>
      </c>
      <c r="L47" s="10" t="str">
        <f t="shared" si="10"/>
        <v>-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>
      <c r="A48" s="2"/>
      <c r="B48" s="7" t="str">
        <f>IFERROR(__xludf.DUMMYFUNCTION("""COMPUTED_VALUE"""),"Paño Esponja x 6Uni. ")</f>
        <v>Paño Esponja x 6Uni. </v>
      </c>
      <c r="C48" s="9" t="str">
        <f t="shared" si="1"/>
        <v>-</v>
      </c>
      <c r="D48" s="9" t="str">
        <f t="shared" si="2"/>
        <v>-</v>
      </c>
      <c r="E48" s="10" t="str">
        <f t="shared" si="3"/>
        <v>-</v>
      </c>
      <c r="F48" s="10" t="str">
        <f t="shared" si="4"/>
        <v>-</v>
      </c>
      <c r="G48" s="10" t="str">
        <f t="shared" si="12"/>
        <v>-</v>
      </c>
      <c r="H48" s="10" t="str">
        <f t="shared" si="6"/>
        <v>-</v>
      </c>
      <c r="I48" s="10" t="str">
        <f t="shared" si="7"/>
        <v>4 ---&gt; 4</v>
      </c>
      <c r="J48" s="10" t="str">
        <f t="shared" si="8"/>
        <v>-</v>
      </c>
      <c r="K48" s="10" t="str">
        <f t="shared" si="9"/>
        <v>-</v>
      </c>
      <c r="L48" s="10" t="str">
        <f t="shared" si="10"/>
        <v>-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>
      <c r="A49" s="2"/>
      <c r="B49" s="7" t="str">
        <f>IFERROR(__xludf.DUMMYFUNCTION("""COMPUTED_VALUE"""),"Trapo Amarillo Uni.")</f>
        <v>Trapo Amarillo Uni.</v>
      </c>
      <c r="C49" s="9" t="str">
        <f t="shared" si="1"/>
        <v>-</v>
      </c>
      <c r="D49" s="9" t="str">
        <f t="shared" si="2"/>
        <v>-</v>
      </c>
      <c r="E49" s="10" t="str">
        <f t="shared" si="3"/>
        <v>-</v>
      </c>
      <c r="F49" s="10" t="str">
        <f t="shared" si="4"/>
        <v>-</v>
      </c>
      <c r="G49" s="10" t="str">
        <f t="shared" si="12"/>
        <v>-</v>
      </c>
      <c r="H49" s="10" t="str">
        <f t="shared" si="6"/>
        <v>-</v>
      </c>
      <c r="I49" s="10" t="str">
        <f t="shared" si="7"/>
        <v>11 ---&gt; 10</v>
      </c>
      <c r="J49" s="10" t="str">
        <f t="shared" si="8"/>
        <v>-</v>
      </c>
      <c r="K49" s="10" t="str">
        <f t="shared" si="9"/>
        <v>-</v>
      </c>
      <c r="L49" s="10" t="str">
        <f t="shared" si="10"/>
        <v>-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>
      <c r="A50" s="2"/>
      <c r="B50" s="7" t="str">
        <f>IFERROR(__xludf.DUMMYFUNCTION("""COMPUTED_VALUE"""),"Trapo Azul Uni. ")</f>
        <v>Trapo Azul Uni. </v>
      </c>
      <c r="C50" s="9" t="str">
        <f t="shared" si="1"/>
        <v>-</v>
      </c>
      <c r="D50" s="9" t="str">
        <f t="shared" si="2"/>
        <v>-</v>
      </c>
      <c r="E50" s="10" t="str">
        <f t="shared" si="3"/>
        <v>-</v>
      </c>
      <c r="F50" s="10" t="str">
        <f t="shared" si="4"/>
        <v>-</v>
      </c>
      <c r="G50" s="10" t="str">
        <f t="shared" si="12"/>
        <v>-</v>
      </c>
      <c r="H50" s="10" t="str">
        <f t="shared" si="6"/>
        <v>-</v>
      </c>
      <c r="I50" s="10" t="str">
        <f t="shared" si="7"/>
        <v>17 ---&gt; 17</v>
      </c>
      <c r="J50" s="10" t="str">
        <f t="shared" si="8"/>
        <v>-</v>
      </c>
      <c r="K50" s="10" t="str">
        <f t="shared" si="9"/>
        <v>-</v>
      </c>
      <c r="L50" s="10" t="str">
        <f t="shared" si="10"/>
        <v>-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>
      <c r="A51" s="2"/>
      <c r="B51" s="7" t="str">
        <f>IFERROR(__xludf.DUMMYFUNCTION("""COMPUTED_VALUE"""),"Papel Interfoliado")</f>
        <v>Papel Interfoliado</v>
      </c>
      <c r="C51" s="9" t="str">
        <f t="shared" si="1"/>
        <v>-</v>
      </c>
      <c r="D51" s="9" t="str">
        <f t="shared" si="2"/>
        <v>-</v>
      </c>
      <c r="E51" s="10" t="str">
        <f t="shared" si="3"/>
        <v>-</v>
      </c>
      <c r="F51" s="10" t="str">
        <f t="shared" si="4"/>
        <v>-</v>
      </c>
      <c r="G51" s="10" t="str">
        <f t="shared" si="12"/>
        <v>-</v>
      </c>
      <c r="H51" s="10" t="str">
        <f t="shared" si="6"/>
        <v>-</v>
      </c>
      <c r="I51" s="10" t="str">
        <f t="shared" si="7"/>
        <v>-</v>
      </c>
      <c r="J51" s="10" t="str">
        <f t="shared" si="8"/>
        <v>20 ---&gt; 25</v>
      </c>
      <c r="K51" s="10" t="str">
        <f t="shared" si="9"/>
        <v>-</v>
      </c>
      <c r="L51" s="10" t="str">
        <f t="shared" si="10"/>
        <v>-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>
      <c r="A52" s="2"/>
      <c r="B52" s="7" t="str">
        <f>IFERROR(__xludf.DUMMYFUNCTION("""COMPUTED_VALUE"""),"Te de Hiervas surtida")</f>
        <v>Te de Hiervas surtida</v>
      </c>
      <c r="C52" s="9" t="str">
        <f t="shared" si="1"/>
        <v>-</v>
      </c>
      <c r="D52" s="9" t="str">
        <f t="shared" si="2"/>
        <v>-</v>
      </c>
      <c r="E52" s="10" t="str">
        <f t="shared" si="3"/>
        <v>-</v>
      </c>
      <c r="F52" s="10" t="str">
        <f t="shared" si="4"/>
        <v>-</v>
      </c>
      <c r="G52" s="10" t="str">
        <f t="shared" si="12"/>
        <v>-</v>
      </c>
      <c r="H52" s="10" t="str">
        <f t="shared" si="6"/>
        <v>-</v>
      </c>
      <c r="I52" s="10" t="str">
        <f t="shared" si="7"/>
        <v>-</v>
      </c>
      <c r="J52" s="10" t="str">
        <f t="shared" si="8"/>
        <v>-</v>
      </c>
      <c r="K52" s="11" t="str">
        <f t="shared" si="9"/>
        <v>1 ---&gt; 0</v>
      </c>
      <c r="L52" s="10" t="str">
        <f t="shared" si="10"/>
        <v>-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>
      <c r="A53" s="2"/>
      <c r="B53" s="7" t="str">
        <f>IFERROR(__xludf.DUMMYFUNCTION("""COMPUTED_VALUE"""),"Mopa Redonda ")</f>
        <v>Mopa Redonda </v>
      </c>
      <c r="C53" s="9" t="str">
        <f t="shared" si="1"/>
        <v>-</v>
      </c>
      <c r="D53" s="9" t="str">
        <f t="shared" si="2"/>
        <v>-</v>
      </c>
      <c r="E53" s="10" t="str">
        <f t="shared" si="3"/>
        <v>-</v>
      </c>
      <c r="F53" s="10" t="str">
        <f t="shared" si="4"/>
        <v>-</v>
      </c>
      <c r="G53" s="10" t="str">
        <f t="shared" si="12"/>
        <v>-</v>
      </c>
      <c r="H53" s="10" t="str">
        <f t="shared" si="6"/>
        <v>-</v>
      </c>
      <c r="I53" s="10" t="str">
        <f t="shared" si="7"/>
        <v>-</v>
      </c>
      <c r="J53" s="10" t="str">
        <f t="shared" si="8"/>
        <v>-</v>
      </c>
      <c r="K53" s="10" t="str">
        <f t="shared" si="9"/>
        <v>-</v>
      </c>
      <c r="L53" s="10" t="str">
        <f t="shared" si="10"/>
        <v>-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>
      <c r="A54" s="2"/>
      <c r="B54" s="7" t="str">
        <f>IFERROR(__xludf.DUMMYFUNCTION("""COMPUTED_VALUE"""),"Mopa Rectangular ")</f>
        <v>Mopa Rectangular </v>
      </c>
      <c r="C54" s="9" t="str">
        <f t="shared" si="1"/>
        <v>-</v>
      </c>
      <c r="D54" s="9" t="str">
        <f t="shared" si="2"/>
        <v>-</v>
      </c>
      <c r="E54" s="10" t="str">
        <f t="shared" si="3"/>
        <v>-</v>
      </c>
      <c r="F54" s="10" t="str">
        <f t="shared" si="4"/>
        <v>-</v>
      </c>
      <c r="G54" s="10" t="str">
        <f t="shared" si="12"/>
        <v>-</v>
      </c>
      <c r="H54" s="10" t="str">
        <f t="shared" si="6"/>
        <v>-</v>
      </c>
      <c r="I54" s="10" t="str">
        <f t="shared" si="7"/>
        <v>-</v>
      </c>
      <c r="J54" s="10" t="str">
        <f t="shared" si="8"/>
        <v>-</v>
      </c>
      <c r="K54" s="10" t="str">
        <f t="shared" si="9"/>
        <v>-</v>
      </c>
      <c r="L54" s="10" t="str">
        <f t="shared" si="10"/>
        <v>-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>
      <c r="A55" s="2"/>
      <c r="B55" s="7" t="str">
        <f>IFERROR(__xludf.DUMMYFUNCTION("""COMPUTED_VALUE"""),"Desodorante ambiental")</f>
        <v>Desodorante ambiental</v>
      </c>
      <c r="C55" s="9" t="str">
        <f t="shared" si="1"/>
        <v>-</v>
      </c>
      <c r="D55" s="9" t="str">
        <f t="shared" si="2"/>
        <v>-</v>
      </c>
      <c r="E55" s="10" t="str">
        <f t="shared" si="3"/>
        <v>-</v>
      </c>
      <c r="F55" s="10" t="str">
        <f t="shared" si="4"/>
        <v>-</v>
      </c>
      <c r="G55" s="10" t="str">
        <f t="shared" si="12"/>
        <v>-</v>
      </c>
      <c r="H55" s="10" t="str">
        <f t="shared" si="6"/>
        <v>-</v>
      </c>
      <c r="I55" s="10" t="str">
        <f t="shared" si="7"/>
        <v>-</v>
      </c>
      <c r="J55" s="10" t="str">
        <f t="shared" si="8"/>
        <v>-</v>
      </c>
      <c r="K55" s="10" t="str">
        <f t="shared" si="9"/>
        <v>-</v>
      </c>
      <c r="L55" s="10" t="str">
        <f t="shared" si="10"/>
        <v>-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>
      <c r="A56" s="2"/>
      <c r="B56" s="7" t="str">
        <f>IFERROR(__xludf.DUMMYFUNCTION("""COMPUTED_VALUE"""),"Vainilla (KG)")</f>
        <v>Vainilla (KG)</v>
      </c>
      <c r="C56" s="9" t="str">
        <f t="shared" si="1"/>
        <v>-</v>
      </c>
      <c r="D56" s="9" t="str">
        <f t="shared" si="2"/>
        <v>-</v>
      </c>
      <c r="E56" s="10" t="str">
        <f t="shared" si="3"/>
        <v>-</v>
      </c>
      <c r="F56" s="10" t="str">
        <f t="shared" si="4"/>
        <v>-</v>
      </c>
      <c r="G56" s="10" t="str">
        <f t="shared" si="12"/>
        <v>-</v>
      </c>
      <c r="H56" s="10" t="str">
        <f t="shared" si="6"/>
        <v>-</v>
      </c>
      <c r="I56" s="10" t="str">
        <f t="shared" si="7"/>
        <v>-</v>
      </c>
      <c r="J56" s="10" t="str">
        <f t="shared" si="8"/>
        <v>-</v>
      </c>
      <c r="K56" s="10" t="str">
        <f t="shared" si="9"/>
        <v>-</v>
      </c>
      <c r="L56" s="10" t="str">
        <f t="shared" si="10"/>
        <v>6,5 ---&gt; 6,5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>
      <c r="A57" s="2"/>
      <c r="B57" s="7" t="str">
        <f>IFERROR(__xludf.DUMMYFUNCTION("""COMPUTED_VALUE"""),"Chocolate (KG)")</f>
        <v>Chocolate (KG)</v>
      </c>
      <c r="C57" s="9" t="str">
        <f t="shared" si="1"/>
        <v>-</v>
      </c>
      <c r="D57" s="9" t="str">
        <f t="shared" si="2"/>
        <v>-</v>
      </c>
      <c r="E57" s="10" t="str">
        <f t="shared" si="3"/>
        <v>-</v>
      </c>
      <c r="F57" s="10" t="str">
        <f t="shared" si="4"/>
        <v>-</v>
      </c>
      <c r="G57" s="10" t="str">
        <f t="shared" si="12"/>
        <v>-</v>
      </c>
      <c r="H57" s="10" t="str">
        <f t="shared" si="6"/>
        <v>-</v>
      </c>
      <c r="I57" s="10" t="str">
        <f t="shared" si="7"/>
        <v>-</v>
      </c>
      <c r="J57" s="10" t="str">
        <f t="shared" si="8"/>
        <v>-</v>
      </c>
      <c r="K57" s="10" t="str">
        <f t="shared" si="9"/>
        <v>-</v>
      </c>
      <c r="L57" s="10" t="str">
        <f t="shared" si="10"/>
        <v>14 ---&gt; 14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>
      <c r="A58" s="2"/>
      <c r="B58" s="7" t="str">
        <f>IFERROR(__xludf.DUMMYFUNCTION("""COMPUTED_VALUE"""),"Leche en polvo (KG)")</f>
        <v>Leche en polvo (KG)</v>
      </c>
      <c r="C58" s="9" t="str">
        <f t="shared" si="1"/>
        <v>-</v>
      </c>
      <c r="D58" s="9" t="str">
        <f t="shared" si="2"/>
        <v>-</v>
      </c>
      <c r="E58" s="10" t="str">
        <f t="shared" si="3"/>
        <v>-</v>
      </c>
      <c r="F58" s="10" t="str">
        <f t="shared" si="4"/>
        <v>-</v>
      </c>
      <c r="G58" s="10" t="str">
        <f t="shared" si="12"/>
        <v>-</v>
      </c>
      <c r="H58" s="10" t="str">
        <f t="shared" si="6"/>
        <v>-</v>
      </c>
      <c r="I58" s="10" t="str">
        <f t="shared" si="7"/>
        <v>-</v>
      </c>
      <c r="J58" s="10" t="str">
        <f t="shared" si="8"/>
        <v>-</v>
      </c>
      <c r="K58" s="10" t="str">
        <f t="shared" si="9"/>
        <v>-</v>
      </c>
      <c r="L58" s="10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>
      <c r="A59" s="2"/>
      <c r="B59" s="7" t="str">
        <f>IFERROR(__xludf.DUMMYFUNCTION("""COMPUTED_VALUE"""),"Te (KG)")</f>
        <v>Te (KG)</v>
      </c>
      <c r="C59" s="9" t="str">
        <f t="shared" si="1"/>
        <v>-</v>
      </c>
      <c r="D59" s="9" t="str">
        <f t="shared" si="2"/>
        <v>-</v>
      </c>
      <c r="E59" s="10" t="str">
        <f t="shared" si="3"/>
        <v>-</v>
      </c>
      <c r="F59" s="10" t="str">
        <f t="shared" si="4"/>
        <v>-</v>
      </c>
      <c r="G59" s="10" t="str">
        <f t="shared" si="12"/>
        <v>-</v>
      </c>
      <c r="H59" s="10" t="str">
        <f t="shared" si="6"/>
        <v>-</v>
      </c>
      <c r="I59" s="10" t="str">
        <f t="shared" si="7"/>
        <v>-</v>
      </c>
      <c r="J59" s="10" t="str">
        <f t="shared" si="8"/>
        <v>-</v>
      </c>
      <c r="K59" s="10" t="str">
        <f t="shared" si="9"/>
        <v>-</v>
      </c>
      <c r="L59" s="10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>
      <c r="A60" s="2"/>
      <c r="B60" s="7" t="str">
        <f>IFERROR(__xludf.DUMMYFUNCTION("""COMPUTED_VALUE"""),"Azucar (UN)")</f>
        <v>Azucar (UN)</v>
      </c>
      <c r="C60" s="9" t="str">
        <f t="shared" si="1"/>
        <v>-</v>
      </c>
      <c r="D60" s="9" t="str">
        <f t="shared" si="2"/>
        <v>-</v>
      </c>
      <c r="E60" s="10" t="str">
        <f t="shared" si="3"/>
        <v>-</v>
      </c>
      <c r="F60" s="10" t="str">
        <f t="shared" si="4"/>
        <v>-</v>
      </c>
      <c r="G60" s="10" t="str">
        <f t="shared" si="12"/>
        <v>-</v>
      </c>
      <c r="H60" s="10" t="str">
        <f t="shared" si="6"/>
        <v>-</v>
      </c>
      <c r="I60" s="10" t="str">
        <f t="shared" si="7"/>
        <v>-</v>
      </c>
      <c r="J60" s="10" t="str">
        <f t="shared" si="8"/>
        <v>-</v>
      </c>
      <c r="K60" s="10" t="str">
        <f t="shared" si="9"/>
        <v>-</v>
      </c>
      <c r="L60" s="10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>
      <c r="A61" s="2"/>
      <c r="B61" s="7" t="str">
        <f>IFERROR(__xludf.DUMMYFUNCTION("""COMPUTED_VALUE"""),"Sucralosa (UN)")</f>
        <v>Sucralosa (UN)</v>
      </c>
      <c r="C61" s="9" t="str">
        <f t="shared" si="1"/>
        <v>-</v>
      </c>
      <c r="D61" s="9" t="str">
        <f t="shared" si="2"/>
        <v>-</v>
      </c>
      <c r="E61" s="10" t="str">
        <f t="shared" si="3"/>
        <v>-</v>
      </c>
      <c r="F61" s="10" t="str">
        <f t="shared" si="4"/>
        <v>-</v>
      </c>
      <c r="G61" s="10" t="str">
        <f t="shared" si="12"/>
        <v>-</v>
      </c>
      <c r="H61" s="10" t="str">
        <f t="shared" si="6"/>
        <v>-</v>
      </c>
      <c r="I61" s="10" t="str">
        <f t="shared" si="7"/>
        <v>-</v>
      </c>
      <c r="J61" s="10" t="str">
        <f t="shared" si="8"/>
        <v>-</v>
      </c>
      <c r="K61" s="10" t="str">
        <f t="shared" si="9"/>
        <v>-</v>
      </c>
      <c r="L61" s="10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>
      <c r="A62" s="2"/>
      <c r="B62" s="7" t="str">
        <f>IFERROR(__xludf.DUMMYFUNCTION("""COMPUTED_VALUE"""),"Removerdores (UN)")</f>
        <v>Removerdores (UN)</v>
      </c>
      <c r="C62" s="9" t="str">
        <f t="shared" si="1"/>
        <v>-</v>
      </c>
      <c r="D62" s="9" t="str">
        <f t="shared" si="2"/>
        <v>-</v>
      </c>
      <c r="E62" s="10" t="str">
        <f t="shared" si="3"/>
        <v>-</v>
      </c>
      <c r="F62" s="10" t="str">
        <f t="shared" si="4"/>
        <v>-</v>
      </c>
      <c r="G62" s="10" t="str">
        <f t="shared" si="12"/>
        <v>-</v>
      </c>
      <c r="H62" s="10" t="str">
        <f t="shared" si="6"/>
        <v>-</v>
      </c>
      <c r="I62" s="10" t="str">
        <f t="shared" si="7"/>
        <v>-</v>
      </c>
      <c r="J62" s="10" t="str">
        <f t="shared" si="8"/>
        <v>-</v>
      </c>
      <c r="K62" s="10" t="str">
        <f t="shared" si="9"/>
        <v>-</v>
      </c>
      <c r="L62" s="10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>
      <c r="A63" s="2"/>
      <c r="B63" s="7" t="str">
        <f>IFERROR(__xludf.DUMMYFUNCTION("""COMPUTED_VALUE"""),"Cafe Caribe Grano (KG)")</f>
        <v>Cafe Caribe Grano (KG)</v>
      </c>
      <c r="C63" s="9" t="str">
        <f t="shared" si="1"/>
        <v>-</v>
      </c>
      <c r="D63" s="9" t="str">
        <f t="shared" si="2"/>
        <v>-</v>
      </c>
      <c r="E63" s="10" t="str">
        <f t="shared" si="3"/>
        <v>-</v>
      </c>
      <c r="F63" s="10" t="str">
        <f t="shared" si="4"/>
        <v>-</v>
      </c>
      <c r="G63" s="10" t="str">
        <f t="shared" si="12"/>
        <v>-</v>
      </c>
      <c r="H63" s="10" t="str">
        <f t="shared" si="6"/>
        <v>-</v>
      </c>
      <c r="I63" s="10" t="str">
        <f t="shared" si="7"/>
        <v>-</v>
      </c>
      <c r="J63" s="10" t="str">
        <f t="shared" si="8"/>
        <v>-</v>
      </c>
      <c r="K63" s="10" t="str">
        <f t="shared" si="9"/>
        <v>-</v>
      </c>
      <c r="L63" s="10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>
      <c r="A64" s="2"/>
      <c r="B64" s="7" t="str">
        <f>IFERROR(__xludf.DUMMYFUNCTION("""COMPUTED_VALUE"""),"Aceto Balsamico")</f>
        <v>Aceto Balsamico</v>
      </c>
      <c r="C64" s="9" t="str">
        <f t="shared" si="1"/>
        <v>-</v>
      </c>
      <c r="D64" s="9" t="str">
        <f t="shared" si="2"/>
        <v>-</v>
      </c>
      <c r="E64" s="10" t="str">
        <f t="shared" si="3"/>
        <v>-</v>
      </c>
      <c r="F64" s="10" t="str">
        <f t="shared" si="4"/>
        <v>-</v>
      </c>
      <c r="G64" s="10" t="str">
        <f t="shared" si="12"/>
        <v>-</v>
      </c>
      <c r="H64" s="10" t="str">
        <f t="shared" si="6"/>
        <v>-</v>
      </c>
      <c r="I64" s="10" t="str">
        <f t="shared" si="7"/>
        <v>-</v>
      </c>
      <c r="J64" s="10" t="str">
        <f t="shared" si="8"/>
        <v>-</v>
      </c>
      <c r="K64" s="10" t="str">
        <f t="shared" si="9"/>
        <v>-</v>
      </c>
      <c r="L64" s="10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>
      <c r="A65" s="2"/>
      <c r="B65" s="7" t="str">
        <f>IFERROR(__xludf.DUMMYFUNCTION("""COMPUTED_VALUE"""),"Vinagre")</f>
        <v>Vinagre</v>
      </c>
      <c r="C65" s="9" t="str">
        <f t="shared" si="1"/>
        <v>-</v>
      </c>
      <c r="D65" s="9" t="str">
        <f t="shared" si="2"/>
        <v>-</v>
      </c>
      <c r="E65" s="10" t="str">
        <f t="shared" si="3"/>
        <v>-</v>
      </c>
      <c r="F65" s="10" t="str">
        <f t="shared" si="4"/>
        <v>-</v>
      </c>
      <c r="G65" s="10" t="str">
        <f t="shared" si="12"/>
        <v>-</v>
      </c>
      <c r="H65" s="10" t="str">
        <f t="shared" si="6"/>
        <v>-</v>
      </c>
      <c r="I65" s="10" t="str">
        <f t="shared" si="7"/>
        <v>-</v>
      </c>
      <c r="J65" s="10" t="str">
        <f t="shared" si="8"/>
        <v>-</v>
      </c>
      <c r="K65" s="10" t="str">
        <f t="shared" si="9"/>
        <v>-</v>
      </c>
      <c r="L65" s="10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>
      <c r="A66" s="2"/>
      <c r="B66" s="7" t="str">
        <f>IFERROR(__xludf.DUMMYFUNCTION("""COMPUTED_VALUE"""),"Sucedaneo Limon")</f>
        <v>Sucedaneo Limon</v>
      </c>
      <c r="C66" s="9" t="str">
        <f t="shared" si="1"/>
        <v>-</v>
      </c>
      <c r="D66" s="9" t="str">
        <f t="shared" si="2"/>
        <v>-</v>
      </c>
      <c r="E66" s="10" t="str">
        <f t="shared" si="3"/>
        <v>-</v>
      </c>
      <c r="F66" s="10" t="str">
        <f t="shared" si="4"/>
        <v>-</v>
      </c>
      <c r="G66" s="10" t="str">
        <f t="shared" si="12"/>
        <v>-</v>
      </c>
      <c r="H66" s="10" t="str">
        <f t="shared" si="6"/>
        <v>-</v>
      </c>
      <c r="I66" s="10" t="str">
        <f t="shared" si="7"/>
        <v>-</v>
      </c>
      <c r="J66" s="10" t="str">
        <f t="shared" si="8"/>
        <v>-</v>
      </c>
      <c r="K66" s="10" t="str">
        <f t="shared" si="9"/>
        <v>-</v>
      </c>
      <c r="L66" s="10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>
      <c r="A67" s="2"/>
      <c r="B67" s="7" t="str">
        <f>IFERROR(__xludf.DUMMYFUNCTION("""COMPUTED_VALUE"""),"Te caja negro supremo ")</f>
        <v>Te caja negro supremo </v>
      </c>
      <c r="C67" s="9" t="str">
        <f t="shared" si="1"/>
        <v>-</v>
      </c>
      <c r="D67" s="9" t="str">
        <f t="shared" si="2"/>
        <v>-</v>
      </c>
      <c r="E67" s="10" t="str">
        <f t="shared" si="3"/>
        <v>-</v>
      </c>
      <c r="F67" s="10" t="str">
        <f t="shared" si="4"/>
        <v>-</v>
      </c>
      <c r="G67" s="10" t="str">
        <f t="shared" si="12"/>
        <v>-</v>
      </c>
      <c r="H67" s="10" t="str">
        <f t="shared" si="6"/>
        <v>-</v>
      </c>
      <c r="I67" s="10" t="str">
        <f t="shared" si="7"/>
        <v>-</v>
      </c>
      <c r="J67" s="10" t="str">
        <f t="shared" si="8"/>
        <v>-</v>
      </c>
      <c r="K67" s="10" t="str">
        <f t="shared" si="9"/>
        <v>-</v>
      </c>
      <c r="L67" s="10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>
      <c r="A68" s="2"/>
      <c r="B68" s="7" t="str">
        <f>IFERROR(__xludf.DUMMYFUNCTION("""COMPUTED_VALUE"""),"Te caja amarillo Lipton")</f>
        <v>Te caja amarillo Lipton</v>
      </c>
      <c r="C68" s="9" t="str">
        <f t="shared" si="1"/>
        <v>-</v>
      </c>
      <c r="D68" s="9" t="str">
        <f t="shared" si="2"/>
        <v>-</v>
      </c>
      <c r="E68" s="10" t="str">
        <f t="shared" si="3"/>
        <v>-</v>
      </c>
      <c r="F68" s="10" t="str">
        <f t="shared" si="4"/>
        <v>-</v>
      </c>
      <c r="G68" s="10" t="str">
        <f t="shared" si="12"/>
        <v>-</v>
      </c>
      <c r="H68" s="10" t="str">
        <f t="shared" si="6"/>
        <v>-</v>
      </c>
      <c r="I68" s="10" t="str">
        <f t="shared" si="7"/>
        <v>-</v>
      </c>
      <c r="J68" s="10" t="str">
        <f t="shared" si="8"/>
        <v>-</v>
      </c>
      <c r="K68" s="10" t="str">
        <f t="shared" si="9"/>
        <v>-</v>
      </c>
      <c r="L68" s="10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>
      <c r="A69" s="2"/>
      <c r="B69" s="7" t="str">
        <f>IFERROR(__xludf.DUMMYFUNCTION("""COMPUTED_VALUE"""),"Te caja surtidos")</f>
        <v>Te caja surtidos</v>
      </c>
      <c r="C69" s="9" t="str">
        <f t="shared" si="1"/>
        <v>-</v>
      </c>
      <c r="D69" s="9" t="str">
        <f t="shared" si="2"/>
        <v>-</v>
      </c>
      <c r="E69" s="10" t="str">
        <f t="shared" si="3"/>
        <v>-</v>
      </c>
      <c r="F69" s="10" t="str">
        <f t="shared" si="4"/>
        <v>-</v>
      </c>
      <c r="G69" s="10" t="str">
        <f t="shared" si="12"/>
        <v>-</v>
      </c>
      <c r="H69" s="10" t="str">
        <f t="shared" si="6"/>
        <v>-</v>
      </c>
      <c r="I69" s="10" t="str">
        <f t="shared" si="7"/>
        <v>-</v>
      </c>
      <c r="J69" s="10" t="str">
        <f t="shared" si="8"/>
        <v>-</v>
      </c>
      <c r="K69" s="10" t="str">
        <f t="shared" si="9"/>
        <v>-</v>
      </c>
      <c r="L69" s="10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>
      <c r="A70" s="2"/>
      <c r="B70" s="7" t="str">
        <f>IFERROR(__xludf.DUMMYFUNCTION("""COMPUTED_VALUE"""),"Jabon liquido")</f>
        <v>Jabon liquido</v>
      </c>
      <c r="C70" s="9" t="str">
        <f t="shared" si="1"/>
        <v>-</v>
      </c>
      <c r="D70" s="9" t="str">
        <f t="shared" si="2"/>
        <v>-</v>
      </c>
      <c r="E70" s="10" t="str">
        <f t="shared" si="3"/>
        <v>-</v>
      </c>
      <c r="F70" s="10" t="str">
        <f t="shared" si="4"/>
        <v>-</v>
      </c>
      <c r="G70" s="10" t="str">
        <f t="shared" si="12"/>
        <v>-</v>
      </c>
      <c r="H70" s="10" t="str">
        <f t="shared" si="6"/>
        <v>-</v>
      </c>
      <c r="I70" s="10" t="str">
        <f t="shared" si="7"/>
        <v>-</v>
      </c>
      <c r="J70" s="10" t="str">
        <f t="shared" si="8"/>
        <v>-</v>
      </c>
      <c r="K70" s="10" t="str">
        <f t="shared" si="9"/>
        <v>-</v>
      </c>
      <c r="L70" s="1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>
      <c r="A71" s="2"/>
      <c r="B71" s="7" t="str">
        <f>IFERROR(__xludf.DUMMYFUNCTION("""COMPUTED_VALUE"""),"Ambientador")</f>
        <v>Ambientador</v>
      </c>
      <c r="C71" s="9" t="str">
        <f t="shared" si="1"/>
        <v>-</v>
      </c>
      <c r="D71" s="9" t="str">
        <f t="shared" si="2"/>
        <v>-</v>
      </c>
      <c r="E71" s="10" t="str">
        <f t="shared" si="3"/>
        <v>-</v>
      </c>
      <c r="F71" s="10" t="str">
        <f t="shared" si="4"/>
        <v>-</v>
      </c>
      <c r="G71" s="10" t="str">
        <f t="shared" si="12"/>
        <v>-</v>
      </c>
      <c r="H71" s="10" t="str">
        <f t="shared" si="6"/>
        <v>-</v>
      </c>
      <c r="I71" s="10" t="str">
        <f t="shared" si="7"/>
        <v>-</v>
      </c>
      <c r="J71" s="10" t="str">
        <f t="shared" si="8"/>
        <v>-</v>
      </c>
      <c r="K71" s="10" t="str">
        <f t="shared" si="9"/>
        <v>-</v>
      </c>
      <c r="L71" s="10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>
      <c r="A72" s="2"/>
      <c r="B72" s="7" t="str">
        <f>IFERROR(__xludf.DUMMYFUNCTION("""COMPUTED_VALUE"""),"Atomizador Pistola")</f>
        <v>Atomizador Pistola</v>
      </c>
      <c r="C72" s="9" t="str">
        <f t="shared" si="1"/>
        <v>-</v>
      </c>
      <c r="D72" s="9" t="str">
        <f t="shared" si="2"/>
        <v>-</v>
      </c>
      <c r="E72" s="10" t="str">
        <f t="shared" si="3"/>
        <v>-</v>
      </c>
      <c r="F72" s="10" t="str">
        <f t="shared" si="4"/>
        <v>-</v>
      </c>
      <c r="G72" s="10" t="str">
        <f t="shared" si="12"/>
        <v>-</v>
      </c>
      <c r="H72" s="10" t="str">
        <f t="shared" si="6"/>
        <v>-</v>
      </c>
      <c r="I72" s="10" t="str">
        <f t="shared" si="7"/>
        <v>-</v>
      </c>
      <c r="J72" s="10" t="str">
        <f t="shared" si="8"/>
        <v>-</v>
      </c>
      <c r="K72" s="10" t="str">
        <f t="shared" si="9"/>
        <v>-</v>
      </c>
      <c r="L72" s="10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>
      <c r="A73" s="2"/>
      <c r="B73" s="7" t="str">
        <f>IFERROR(__xludf.DUMMYFUNCTION("""COMPUTED_VALUE"""),"Lavaloza")</f>
        <v>Lavaloza</v>
      </c>
      <c r="C73" s="9" t="str">
        <f t="shared" si="1"/>
        <v>-</v>
      </c>
      <c r="D73" s="9" t="str">
        <f t="shared" si="2"/>
        <v>-</v>
      </c>
      <c r="E73" s="10" t="str">
        <f t="shared" si="3"/>
        <v>-</v>
      </c>
      <c r="F73" s="10" t="str">
        <f t="shared" si="4"/>
        <v>-</v>
      </c>
      <c r="G73" s="10" t="str">
        <f t="shared" si="12"/>
        <v>-</v>
      </c>
      <c r="H73" s="10" t="str">
        <f t="shared" si="6"/>
        <v>-</v>
      </c>
      <c r="I73" s="10" t="str">
        <f t="shared" si="7"/>
        <v>-</v>
      </c>
      <c r="J73" s="10" t="str">
        <f t="shared" si="8"/>
        <v>-</v>
      </c>
      <c r="K73" s="10" t="str">
        <f t="shared" si="9"/>
        <v>-</v>
      </c>
      <c r="L73" s="10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>
      <c r="A74" s="2"/>
      <c r="B74" s="7" t="str">
        <f>IFERROR(__xludf.DUMMYFUNCTION("""COMPUTED_VALUE"""),"Limpiador Antigrasa ")</f>
        <v>Limpiador Antigrasa </v>
      </c>
      <c r="C74" s="9" t="str">
        <f t="shared" si="1"/>
        <v>-</v>
      </c>
      <c r="D74" s="9" t="str">
        <f t="shared" si="2"/>
        <v>-</v>
      </c>
      <c r="E74" s="10" t="str">
        <f t="shared" si="3"/>
        <v>-</v>
      </c>
      <c r="F74" s="10" t="str">
        <f t="shared" si="4"/>
        <v>-</v>
      </c>
      <c r="G74" s="10" t="str">
        <f t="shared" si="12"/>
        <v>-</v>
      </c>
      <c r="H74" s="10" t="str">
        <f t="shared" si="6"/>
        <v>-</v>
      </c>
      <c r="I74" s="10" t="str">
        <f t="shared" si="7"/>
        <v>-</v>
      </c>
      <c r="J74" s="10" t="str">
        <f t="shared" si="8"/>
        <v>-</v>
      </c>
      <c r="K74" s="10" t="str">
        <f t="shared" si="9"/>
        <v>-</v>
      </c>
      <c r="L74" s="10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>
      <c r="A75" s="2"/>
      <c r="B75" s="7" t="str">
        <f>IFERROR(__xludf.DUMMYFUNCTION("""COMPUTED_VALUE"""),"Lustra muebles")</f>
        <v>Lustra muebles</v>
      </c>
      <c r="C75" s="9" t="str">
        <f t="shared" si="1"/>
        <v>-</v>
      </c>
      <c r="D75" s="9" t="str">
        <f t="shared" si="2"/>
        <v>-</v>
      </c>
      <c r="E75" s="10" t="str">
        <f t="shared" si="3"/>
        <v>-</v>
      </c>
      <c r="F75" s="10" t="str">
        <f t="shared" si="4"/>
        <v>-</v>
      </c>
      <c r="G75" s="10" t="str">
        <f t="shared" si="12"/>
        <v>-</v>
      </c>
      <c r="H75" s="10" t="str">
        <f t="shared" si="6"/>
        <v>-</v>
      </c>
      <c r="I75" s="10" t="str">
        <f t="shared" si="7"/>
        <v>-</v>
      </c>
      <c r="J75" s="10" t="str">
        <f t="shared" si="8"/>
        <v>-</v>
      </c>
      <c r="K75" s="10" t="str">
        <f t="shared" si="9"/>
        <v>-</v>
      </c>
      <c r="L75" s="10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>
      <c r="A76" s="2"/>
      <c r="B76" s="7" t="str">
        <f>IFERROR(__xludf.DUMMYFUNCTION("""COMPUTED_VALUE"""),"Cif en crema")</f>
        <v>Cif en crema</v>
      </c>
      <c r="C76" s="9" t="str">
        <f t="shared" si="1"/>
        <v>-</v>
      </c>
      <c r="D76" s="9" t="str">
        <f t="shared" si="2"/>
        <v>-</v>
      </c>
      <c r="E76" s="10" t="str">
        <f t="shared" si="3"/>
        <v>-</v>
      </c>
      <c r="F76" s="10" t="str">
        <f t="shared" si="4"/>
        <v>-</v>
      </c>
      <c r="G76" s="10" t="str">
        <f t="shared" si="12"/>
        <v>-</v>
      </c>
      <c r="H76" s="10" t="str">
        <f t="shared" si="6"/>
        <v>-</v>
      </c>
      <c r="I76" s="10" t="str">
        <f t="shared" si="7"/>
        <v>-</v>
      </c>
      <c r="J76" s="10" t="str">
        <f t="shared" si="8"/>
        <v>-</v>
      </c>
      <c r="K76" s="10" t="str">
        <f t="shared" si="9"/>
        <v>-</v>
      </c>
      <c r="L76" s="10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>
      <c r="A77" s="2"/>
      <c r="B77" s="7"/>
      <c r="C77" s="9" t="str">
        <f t="shared" si="1"/>
        <v>-</v>
      </c>
      <c r="D77" s="9" t="str">
        <f t="shared" si="2"/>
        <v>-</v>
      </c>
      <c r="E77" s="10" t="str">
        <f t="shared" si="3"/>
        <v>-</v>
      </c>
      <c r="F77" s="10" t="str">
        <f t="shared" si="4"/>
        <v>-</v>
      </c>
      <c r="G77" s="10" t="str">
        <f t="shared" si="12"/>
        <v>-</v>
      </c>
      <c r="H77" s="10" t="str">
        <f t="shared" si="6"/>
        <v>-</v>
      </c>
      <c r="I77" s="10" t="str">
        <f t="shared" si="7"/>
        <v>-</v>
      </c>
      <c r="J77" s="10" t="str">
        <f t="shared" si="8"/>
        <v>-</v>
      </c>
      <c r="K77" s="10" t="str">
        <f t="shared" si="9"/>
        <v>-</v>
      </c>
      <c r="L77" s="10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>
      <c r="A78" s="2"/>
      <c r="B78" s="7"/>
      <c r="C78" s="9" t="str">
        <f t="shared" si="1"/>
        <v>-</v>
      </c>
      <c r="D78" s="9" t="str">
        <f t="shared" si="2"/>
        <v>-</v>
      </c>
      <c r="E78" s="10" t="str">
        <f t="shared" si="3"/>
        <v>-</v>
      </c>
      <c r="F78" s="10" t="str">
        <f t="shared" si="4"/>
        <v>-</v>
      </c>
      <c r="G78" s="10" t="str">
        <f t="shared" si="12"/>
        <v>-</v>
      </c>
      <c r="H78" s="10" t="str">
        <f t="shared" si="6"/>
        <v>-</v>
      </c>
      <c r="I78" s="10" t="str">
        <f t="shared" si="7"/>
        <v>-</v>
      </c>
      <c r="J78" s="10" t="str">
        <f t="shared" si="8"/>
        <v>-</v>
      </c>
      <c r="K78" s="10" t="str">
        <f t="shared" si="9"/>
        <v>-</v>
      </c>
      <c r="L78" s="10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>
      <c r="A79" s="2"/>
      <c r="B79" s="7"/>
      <c r="C79" s="9" t="str">
        <f t="shared" si="1"/>
        <v>-</v>
      </c>
      <c r="D79" s="9" t="str">
        <f t="shared" si="2"/>
        <v>-</v>
      </c>
      <c r="E79" s="10" t="str">
        <f t="shared" si="3"/>
        <v>-</v>
      </c>
      <c r="F79" s="10" t="str">
        <f t="shared" si="4"/>
        <v>-</v>
      </c>
      <c r="G79" s="10" t="str">
        <f t="shared" si="12"/>
        <v>-</v>
      </c>
      <c r="H79" s="10" t="str">
        <f t="shared" si="6"/>
        <v>-</v>
      </c>
      <c r="I79" s="10" t="str">
        <f t="shared" si="7"/>
        <v>-</v>
      </c>
      <c r="J79" s="10" t="str">
        <f t="shared" si="8"/>
        <v>-</v>
      </c>
      <c r="K79" s="10" t="str">
        <f t="shared" si="9"/>
        <v>-</v>
      </c>
      <c r="L79" s="10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>
      <c r="A80" s="2"/>
      <c r="B80" s="2" t="str">
        <f>ABEDULES!A2</f>
        <v/>
      </c>
      <c r="C80" s="2" t="str">
        <f>ABEDULES!B2</f>
        <v/>
      </c>
      <c r="D80" s="14" t="str">
        <f>ABEDULES!C2</f>
        <v/>
      </c>
      <c r="E80" s="14">
        <f>ABEDULES!D2</f>
        <v>45811</v>
      </c>
      <c r="F80" s="14">
        <f>ABEDULES!E2</f>
        <v>45817</v>
      </c>
      <c r="G80" s="14">
        <f>ABEDULES!F2</f>
        <v>45824</v>
      </c>
      <c r="H80" s="14">
        <f>ABEDULES!G2</f>
        <v>45831</v>
      </c>
      <c r="I80" s="14">
        <f>ABEDULES!H2</f>
        <v>45845</v>
      </c>
      <c r="J80" s="14">
        <f>ABEDULES!I2</f>
        <v>45852</v>
      </c>
      <c r="K80" s="14">
        <f>ABEDULES!J2</f>
        <v>45859</v>
      </c>
      <c r="L80" s="14">
        <f>ABEDULES!K2</f>
        <v>45866</v>
      </c>
      <c r="M80" s="14">
        <f>ABEDULES!L2</f>
        <v>45873</v>
      </c>
      <c r="N80" s="14">
        <f>ABEDULES!M2</f>
        <v>45880</v>
      </c>
      <c r="O80" s="14">
        <f>ABEDULES!N2</f>
        <v>45887</v>
      </c>
      <c r="P80" s="14">
        <f>ABEDULES!O2</f>
        <v>45894</v>
      </c>
      <c r="Q80" s="14">
        <f>ABEDULES!P2</f>
        <v>45901</v>
      </c>
      <c r="R80" s="14">
        <f>ABEDULES!Q2</f>
        <v>45915</v>
      </c>
      <c r="S80" s="14">
        <f>ABEDULES!R2</f>
        <v>45922</v>
      </c>
      <c r="T80" s="14">
        <f>ABEDULES!S2</f>
        <v>45929</v>
      </c>
      <c r="U80" s="14">
        <f>ABEDULES!T2</f>
        <v>45936</v>
      </c>
      <c r="V80" s="14">
        <f>ABEDULES!U2</f>
        <v>45939</v>
      </c>
      <c r="W80" s="14">
        <f>ABEDULES!V2</f>
        <v>45957</v>
      </c>
      <c r="X80" s="14">
        <f>ABEDULES!W2</f>
        <v>45964</v>
      </c>
      <c r="Y80" s="14">
        <f>ABEDULES!X2</f>
        <v>45971</v>
      </c>
      <c r="Z80" s="14">
        <f>ABEDULES!Y2</f>
        <v>45978</v>
      </c>
      <c r="AA80" s="14">
        <f>ABEDULES!Z2</f>
        <v>45979</v>
      </c>
      <c r="AB80" s="14">
        <f>ABEDULES!AA2</f>
        <v>45980</v>
      </c>
      <c r="AC80" s="14">
        <f>ABEDULES!AB2</f>
        <v>45985</v>
      </c>
      <c r="AD80" s="14">
        <f>ABEDULES!AC2</f>
        <v>45993</v>
      </c>
      <c r="AE80" s="14">
        <f>ABEDULES!AD2</f>
        <v>46006</v>
      </c>
      <c r="AF80" s="14">
        <f>ABEDULES!AE2</f>
        <v>46013</v>
      </c>
      <c r="AG80" s="14">
        <f>ABEDULES!AF2</f>
        <v>46027</v>
      </c>
      <c r="AH80" s="14">
        <f>ABEDULES!AG2</f>
        <v>46030</v>
      </c>
      <c r="AI80" s="14">
        <f>ABEDULES!AH2</f>
        <v>46034</v>
      </c>
      <c r="AJ80" s="14">
        <f>ABEDULES!AI2</f>
        <v>46037</v>
      </c>
      <c r="AK80" s="14">
        <f>ABEDULES!AJ2</f>
        <v>46041</v>
      </c>
      <c r="AL80" s="14">
        <f>ABEDULES!AK2</f>
        <v>46048</v>
      </c>
      <c r="AM80" s="14">
        <f>ABEDULES!AL2</f>
        <v>46057</v>
      </c>
      <c r="AN80" s="14">
        <f>ABEDULES!AM2</f>
        <v>46062</v>
      </c>
      <c r="AO80" s="14">
        <f>ABEDULES!AN2</f>
        <v>46065</v>
      </c>
      <c r="AP80" s="14">
        <f>ABEDULES!AO2</f>
        <v>46069</v>
      </c>
      <c r="AQ80" s="14">
        <f>ABEDULES!AP2</f>
        <v>46072</v>
      </c>
      <c r="AR80" s="14">
        <f>ABEDULES!AQ2</f>
        <v>46100</v>
      </c>
      <c r="AS80" s="14">
        <f>ABEDULES!AR2</f>
        <v>46104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>
      <c r="A81" s="2"/>
      <c r="B81" s="2" t="str">
        <f>ABEDULES!A3</f>
        <v>Sede</v>
      </c>
      <c r="C81" s="2" t="str">
        <f>ABEDULES!B3</f>
        <v>Proveedor</v>
      </c>
      <c r="D81" s="2" t="str">
        <f>ABEDULES!C3</f>
        <v>Producto</v>
      </c>
      <c r="E81" s="2" t="str">
        <f>ABEDULES!D3</f>
        <v>Stock Actual</v>
      </c>
      <c r="F81" s="2" t="str">
        <f>ABEDULES!E3</f>
        <v>Stock Actual</v>
      </c>
      <c r="G81" s="2" t="str">
        <f>ABEDULES!F3</f>
        <v>Stock Actual</v>
      </c>
      <c r="H81" s="2" t="str">
        <f>ABEDULES!G3</f>
        <v>Stock Actual</v>
      </c>
      <c r="I81" s="2" t="str">
        <f>ABEDULES!H3</f>
        <v>Stock Actual</v>
      </c>
      <c r="J81" s="2" t="str">
        <f>ABEDULES!I3</f>
        <v>Stock Actual</v>
      </c>
      <c r="K81" s="2" t="str">
        <f>ABEDULES!J3</f>
        <v>Stock Actual</v>
      </c>
      <c r="L81" s="2" t="str">
        <f>ABEDULES!K3</f>
        <v>Stock Actual</v>
      </c>
      <c r="M81" s="2" t="str">
        <f>ABEDULES!L3</f>
        <v>Stock Actual</v>
      </c>
      <c r="N81" s="2" t="str">
        <f>ABEDULES!M3</f>
        <v>Stock Actual</v>
      </c>
      <c r="O81" s="2" t="str">
        <f>ABEDULES!N3</f>
        <v>Stock Actual</v>
      </c>
      <c r="P81" s="2" t="str">
        <f>ABEDULES!O3</f>
        <v>Stock Actual</v>
      </c>
      <c r="Q81" s="2" t="str">
        <f>ABEDULES!P3</f>
        <v>Stock Actual</v>
      </c>
      <c r="R81" s="2" t="str">
        <f>ABEDULES!Q3</f>
        <v>Stock Actual</v>
      </c>
      <c r="S81" s="2" t="str">
        <f>ABEDULES!R3</f>
        <v>Stock Actual</v>
      </c>
      <c r="T81" s="2" t="str">
        <f>ABEDULES!S3</f>
        <v>Stock Actual</v>
      </c>
      <c r="U81" s="2" t="str">
        <f>ABEDULES!T3</f>
        <v>Stock Actual</v>
      </c>
      <c r="V81" s="2" t="str">
        <f>ABEDULES!U3</f>
        <v>Stock Actual</v>
      </c>
      <c r="W81" s="2" t="str">
        <f>ABEDULES!V3</f>
        <v>Stock Actual</v>
      </c>
      <c r="X81" s="2" t="str">
        <f>ABEDULES!W3</f>
        <v>Stock Actual</v>
      </c>
      <c r="Y81" s="2" t="str">
        <f>ABEDULES!X3</f>
        <v>Stock Actual</v>
      </c>
      <c r="Z81" s="2" t="str">
        <f>ABEDULES!Y3</f>
        <v>Stock Actual</v>
      </c>
      <c r="AA81" s="2" t="str">
        <f>ABEDULES!Z3</f>
        <v>Stock Actual</v>
      </c>
      <c r="AB81" s="2" t="str">
        <f>ABEDULES!AA3</f>
        <v>Stock Actual</v>
      </c>
      <c r="AC81" s="2" t="str">
        <f>ABEDULES!AB3</f>
        <v>Stock Actual</v>
      </c>
      <c r="AD81" s="2" t="str">
        <f>ABEDULES!AC3</f>
        <v>Stock Actual</v>
      </c>
      <c r="AE81" s="2" t="str">
        <f>ABEDULES!AD3</f>
        <v>Stock Actual</v>
      </c>
      <c r="AF81" s="2" t="str">
        <f>ABEDULES!AE3</f>
        <v>Stock Actual</v>
      </c>
      <c r="AG81" s="2" t="str">
        <f>ABEDULES!AF3</f>
        <v>Stock Actual</v>
      </c>
      <c r="AH81" s="2" t="str">
        <f>ABEDULES!AG3</f>
        <v>Stock Actual</v>
      </c>
      <c r="AI81" s="2" t="str">
        <f>ABEDULES!AH3</f>
        <v>Stock Actual</v>
      </c>
      <c r="AJ81" s="2" t="str">
        <f>ABEDULES!AI3</f>
        <v>Stock Actual</v>
      </c>
      <c r="AK81" s="2" t="str">
        <f>ABEDULES!AJ3</f>
        <v>Stock Actual</v>
      </c>
      <c r="AL81" s="2" t="str">
        <f>ABEDULES!AK3</f>
        <v>Stock Actual</v>
      </c>
      <c r="AM81" s="2" t="str">
        <f>ABEDULES!AL3</f>
        <v>Stock Actual</v>
      </c>
      <c r="AN81" s="2" t="str">
        <f>ABEDULES!AM3</f>
        <v>Stock Actual</v>
      </c>
      <c r="AO81" s="2" t="str">
        <f>ABEDULES!AN3</f>
        <v>Stock Actual</v>
      </c>
      <c r="AP81" s="2" t="str">
        <f>ABEDULES!AO3</f>
        <v>Stock Actual</v>
      </c>
      <c r="AQ81" s="2" t="str">
        <f>ABEDULES!AP3</f>
        <v>Stock Actual</v>
      </c>
      <c r="AR81" s="2" t="str">
        <f>ABEDULES!AQ3</f>
        <v>Stock Actual</v>
      </c>
      <c r="AS81" s="2" t="str">
        <f>ABEDULES!AR3</f>
        <v>Stock Actual</v>
      </c>
      <c r="AT81" s="2" t="str">
        <f>ABEDULES!AS3</f>
        <v/>
      </c>
      <c r="AU81" s="2" t="str">
        <f>ABEDULES!AT3</f>
        <v/>
      </c>
      <c r="AV81" s="2" t="str">
        <f>ABEDULES!AU3</f>
        <v/>
      </c>
      <c r="AW81" s="2" t="str">
        <f>ABEDULES!AV3</f>
        <v/>
      </c>
      <c r="AX81" s="2" t="str">
        <f>ABEDULES!AW3</f>
        <v/>
      </c>
      <c r="AY81" s="2" t="str">
        <f>ABEDULES!AX3</f>
        <v/>
      </c>
      <c r="AZ81" s="2" t="str">
        <f>ABEDULES!AY3</f>
        <v/>
      </c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>
      <c r="A82" s="2"/>
      <c r="B82" s="2" t="str">
        <f>ABEDULES!A4</f>
        <v>Abedules </v>
      </c>
      <c r="C82" s="2" t="str">
        <f>ABEDULES!B4</f>
        <v>Coporate Coffe</v>
      </c>
      <c r="D82" s="2" t="str">
        <f>ABEDULES!C4</f>
        <v>Cafe Grano (KG)</v>
      </c>
      <c r="E82" s="2">
        <f>ABEDULES!D4</f>
        <v>1</v>
      </c>
      <c r="F82" s="2">
        <f>ABEDULES!E4</f>
        <v>0</v>
      </c>
      <c r="G82" s="2">
        <f>ABEDULES!F4</f>
        <v>3</v>
      </c>
      <c r="H82" s="2">
        <f>ABEDULES!G4</f>
        <v>1</v>
      </c>
      <c r="I82" s="2" t="str">
        <f>ABEDULES!H4</f>
        <v/>
      </c>
      <c r="J82" s="2" t="str">
        <f>ABEDULES!I4</f>
        <v/>
      </c>
      <c r="K82" s="2" t="str">
        <f>ABEDULES!J4</f>
        <v/>
      </c>
      <c r="L82" s="2" t="str">
        <f>ABEDULES!K4</f>
        <v/>
      </c>
      <c r="M82" s="2">
        <f>ABEDULES!L4</f>
        <v>9</v>
      </c>
      <c r="N82" s="2" t="str">
        <f>ABEDULES!M4</f>
        <v/>
      </c>
      <c r="O82" s="2" t="str">
        <f>ABEDULES!N4</f>
        <v/>
      </c>
      <c r="P82" s="2">
        <f>ABEDULES!O4</f>
        <v>2</v>
      </c>
      <c r="Q82" s="2">
        <f>ABEDULES!P4</f>
        <v>0</v>
      </c>
      <c r="R82" s="2">
        <f>ABEDULES!Q4</f>
        <v>2</v>
      </c>
      <c r="S82" s="2" t="str">
        <f>ABEDULES!R4</f>
        <v/>
      </c>
      <c r="T82" s="2" t="str">
        <f>ABEDULES!S4</f>
        <v/>
      </c>
      <c r="U82" s="2" t="str">
        <f>ABEDULES!T4</f>
        <v/>
      </c>
      <c r="V82" s="2">
        <f>ABEDULES!U4</f>
        <v>1</v>
      </c>
      <c r="W82" s="2" t="str">
        <f>ABEDULES!V4</f>
        <v/>
      </c>
      <c r="X82" s="2">
        <f>ABEDULES!W4</f>
        <v>1</v>
      </c>
      <c r="Y82" s="2">
        <f>ABEDULES!X4</f>
        <v>0</v>
      </c>
      <c r="Z82" s="2">
        <f>ABEDULES!Y4</f>
        <v>2</v>
      </c>
      <c r="AA82" s="2">
        <f>ABEDULES!Z4</f>
        <v>1</v>
      </c>
      <c r="AB82" s="2">
        <f>ABEDULES!AA4</f>
        <v>3</v>
      </c>
      <c r="AC82" s="2">
        <f>ABEDULES!AB4</f>
        <v>1</v>
      </c>
      <c r="AD82" s="2">
        <f>ABEDULES!AC4</f>
        <v>1</v>
      </c>
      <c r="AE82" s="2">
        <f>ABEDULES!AD4</f>
        <v>1</v>
      </c>
      <c r="AF82" s="2">
        <f>ABEDULES!AE4</f>
        <v>0</v>
      </c>
      <c r="AG82" s="2">
        <f>ABEDULES!AF4</f>
        <v>1</v>
      </c>
      <c r="AH82" s="2">
        <f>ABEDULES!AG4</f>
        <v>8</v>
      </c>
      <c r="AI82" s="2">
        <f>ABEDULES!AH4</f>
        <v>5</v>
      </c>
      <c r="AJ82" s="2">
        <f>ABEDULES!AI4</f>
        <v>5</v>
      </c>
      <c r="AK82" s="2">
        <f>ABEDULES!AJ4</f>
        <v>4</v>
      </c>
      <c r="AL82" s="2">
        <f>ABEDULES!AK4</f>
        <v>0</v>
      </c>
      <c r="AM82" s="2">
        <f>ABEDULES!AL4</f>
        <v>1</v>
      </c>
      <c r="AN82" s="2">
        <f>ABEDULES!AM4</f>
        <v>0</v>
      </c>
      <c r="AO82" s="2">
        <f>ABEDULES!AN4</f>
        <v>0</v>
      </c>
      <c r="AP82" s="2">
        <f>ABEDULES!AO4</f>
        <v>2</v>
      </c>
      <c r="AQ82" s="2">
        <f>ABEDULES!AP4</f>
        <v>0</v>
      </c>
      <c r="AR82" s="2">
        <f>ABEDULES!AQ4</f>
        <v>0</v>
      </c>
      <c r="AS82" s="2">
        <f>ABEDULES!AR4</f>
        <v>0</v>
      </c>
      <c r="AT82" s="2" t="str">
        <f>ABEDULES!AS4</f>
        <v/>
      </c>
      <c r="AU82" s="2" t="str">
        <f>ABEDULES!AT4</f>
        <v/>
      </c>
      <c r="AV82" s="2" t="str">
        <f>ABEDULES!AU4</f>
        <v/>
      </c>
      <c r="AW82" s="2" t="str">
        <f>ABEDULES!AV4</f>
        <v/>
      </c>
      <c r="AX82" s="2" t="str">
        <f>ABEDULES!AW4</f>
        <v/>
      </c>
      <c r="AY82" s="2" t="str">
        <f>ABEDULES!AX4</f>
        <v/>
      </c>
      <c r="AZ82" s="2" t="str">
        <f>ABEDULES!AY4</f>
        <v/>
      </c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>
      <c r="A83" s="2"/>
      <c r="B83" s="2" t="str">
        <f>ABEDULES!A5</f>
        <v>Abedules </v>
      </c>
      <c r="C83" s="2" t="str">
        <f>ABEDULES!B5</f>
        <v>Cafeteria</v>
      </c>
      <c r="D83" s="2" t="str">
        <f>ABEDULES!C5</f>
        <v>Toalla de Papel Jumbo (UN)</v>
      </c>
      <c r="E83" s="2">
        <f>ABEDULES!D5</f>
        <v>12</v>
      </c>
      <c r="F83" s="2">
        <f>ABEDULES!E5</f>
        <v>6</v>
      </c>
      <c r="G83" s="2">
        <f>ABEDULES!F5</f>
        <v>0</v>
      </c>
      <c r="H83" s="2">
        <f>ABEDULES!G5</f>
        <v>0</v>
      </c>
      <c r="I83" s="2" t="str">
        <f>ABEDULES!H5</f>
        <v/>
      </c>
      <c r="J83" s="2" t="str">
        <f>ABEDULES!I5</f>
        <v/>
      </c>
      <c r="K83" s="2" t="str">
        <f>ABEDULES!J5</f>
        <v/>
      </c>
      <c r="L83" s="2" t="str">
        <f>ABEDULES!K5</f>
        <v/>
      </c>
      <c r="M83" s="2">
        <f>ABEDULES!L5</f>
        <v>0</v>
      </c>
      <c r="N83" s="2" t="str">
        <f>ABEDULES!M5</f>
        <v/>
      </c>
      <c r="O83" s="2" t="str">
        <f>ABEDULES!N5</f>
        <v/>
      </c>
      <c r="P83" s="2">
        <f>ABEDULES!O5</f>
        <v>0</v>
      </c>
      <c r="Q83" s="2">
        <f>ABEDULES!P5</f>
        <v>4</v>
      </c>
      <c r="R83" s="2">
        <f>ABEDULES!Q5</f>
        <v>6</v>
      </c>
      <c r="S83" s="2" t="str">
        <f>ABEDULES!R5</f>
        <v/>
      </c>
      <c r="T83" s="2" t="str">
        <f>ABEDULES!S5</f>
        <v/>
      </c>
      <c r="U83" s="2" t="str">
        <f>ABEDULES!T5</f>
        <v/>
      </c>
      <c r="V83" s="2">
        <f>ABEDULES!U5</f>
        <v>0</v>
      </c>
      <c r="W83" s="2" t="str">
        <f>ABEDULES!V5</f>
        <v/>
      </c>
      <c r="X83" s="2">
        <f>ABEDULES!W5</f>
        <v>5</v>
      </c>
      <c r="Y83" s="2">
        <f>ABEDULES!X5</f>
        <v>2</v>
      </c>
      <c r="Z83" s="2">
        <f>ABEDULES!Y5</f>
        <v>4</v>
      </c>
      <c r="AA83" s="2">
        <f>ABEDULES!Z5</f>
        <v>8</v>
      </c>
      <c r="AB83" s="2">
        <f>ABEDULES!AA5</f>
        <v>7</v>
      </c>
      <c r="AC83" s="2">
        <f>ABEDULES!AB5</f>
        <v>5</v>
      </c>
      <c r="AD83" s="2">
        <f>ABEDULES!AC5</f>
        <v>7</v>
      </c>
      <c r="AE83" s="2">
        <f>ABEDULES!AD5</f>
        <v>2</v>
      </c>
      <c r="AF83" s="2">
        <f>ABEDULES!AE5</f>
        <v>4</v>
      </c>
      <c r="AG83" s="2">
        <f>ABEDULES!AF5</f>
        <v>0</v>
      </c>
      <c r="AH83" s="2">
        <f>ABEDULES!AG5</f>
        <v>0</v>
      </c>
      <c r="AI83" s="2">
        <f>ABEDULES!AH5</f>
        <v>0</v>
      </c>
      <c r="AJ83" s="2">
        <f>ABEDULES!AI5</f>
        <v>0</v>
      </c>
      <c r="AK83" s="2">
        <f>ABEDULES!AJ5</f>
        <v>1</v>
      </c>
      <c r="AL83" s="2">
        <f>ABEDULES!AK5</f>
        <v>3</v>
      </c>
      <c r="AM83" s="2">
        <f>ABEDULES!AL5</f>
        <v>1</v>
      </c>
      <c r="AN83" s="2">
        <f>ABEDULES!AM5</f>
        <v>0</v>
      </c>
      <c r="AO83" s="2">
        <f>ABEDULES!AN5</f>
        <v>4</v>
      </c>
      <c r="AP83" s="2">
        <f>ABEDULES!AO5</f>
        <v>2</v>
      </c>
      <c r="AQ83" s="2">
        <f>ABEDULES!AP5</f>
        <v>8</v>
      </c>
      <c r="AR83" s="2">
        <f>ABEDULES!AQ5</f>
        <v>2</v>
      </c>
      <c r="AS83" s="2">
        <f>ABEDULES!AR5</f>
        <v>3</v>
      </c>
      <c r="AT83" s="2" t="str">
        <f>ABEDULES!AS5</f>
        <v/>
      </c>
      <c r="AU83" s="2" t="str">
        <f>ABEDULES!AT5</f>
        <v/>
      </c>
      <c r="AV83" s="2" t="str">
        <f>ABEDULES!AU5</f>
        <v/>
      </c>
      <c r="AW83" s="2" t="str">
        <f>ABEDULES!AV5</f>
        <v/>
      </c>
      <c r="AX83" s="2" t="str">
        <f>ABEDULES!AW5</f>
        <v/>
      </c>
      <c r="AY83" s="2" t="str">
        <f>ABEDULES!AX5</f>
        <v/>
      </c>
      <c r="AZ83" s="2" t="str">
        <f>ABEDULES!AY5</f>
        <v/>
      </c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>
      <c r="A84" s="2"/>
      <c r="B84" s="2" t="str">
        <f>ABEDULES!A6</f>
        <v>Abedules </v>
      </c>
      <c r="C84" s="2" t="str">
        <f>ABEDULES!B6</f>
        <v>Cafeteria</v>
      </c>
      <c r="D84" s="2" t="str">
        <f>ABEDULES!C6</f>
        <v>Papel Higienico (UN)</v>
      </c>
      <c r="E84" s="2">
        <f>ABEDULES!D6</f>
        <v>31</v>
      </c>
      <c r="F84" s="2">
        <f>ABEDULES!E6</f>
        <v>25</v>
      </c>
      <c r="G84" s="2">
        <f>ABEDULES!F6</f>
        <v>20</v>
      </c>
      <c r="H84" s="2">
        <f>ABEDULES!G6</f>
        <v>16</v>
      </c>
      <c r="I84" s="2" t="str">
        <f>ABEDULES!H6</f>
        <v/>
      </c>
      <c r="J84" s="2" t="str">
        <f>ABEDULES!I6</f>
        <v/>
      </c>
      <c r="K84" s="2" t="str">
        <f>ABEDULES!J6</f>
        <v/>
      </c>
      <c r="L84" s="2" t="str">
        <f>ABEDULES!K6</f>
        <v/>
      </c>
      <c r="M84" s="2">
        <f>ABEDULES!L6</f>
        <v>2</v>
      </c>
      <c r="N84" s="2" t="str">
        <f>ABEDULES!M6</f>
        <v/>
      </c>
      <c r="O84" s="2" t="str">
        <f>ABEDULES!N6</f>
        <v/>
      </c>
      <c r="P84" s="2">
        <f>ABEDULES!O6</f>
        <v>2</v>
      </c>
      <c r="Q84" s="2">
        <f>ABEDULES!P6</f>
        <v>4</v>
      </c>
      <c r="R84" s="2">
        <f>ABEDULES!Q6</f>
        <v>4</v>
      </c>
      <c r="S84" s="2" t="str">
        <f>ABEDULES!R6</f>
        <v/>
      </c>
      <c r="T84" s="2" t="str">
        <f>ABEDULES!S6</f>
        <v/>
      </c>
      <c r="U84" s="2" t="str">
        <f>ABEDULES!T6</f>
        <v/>
      </c>
      <c r="V84" s="2">
        <f>ABEDULES!U6</f>
        <v>2</v>
      </c>
      <c r="W84" s="2" t="str">
        <f>ABEDULES!V6</f>
        <v/>
      </c>
      <c r="X84" s="2">
        <f>ABEDULES!W6</f>
        <v>8</v>
      </c>
      <c r="Y84" s="2">
        <f>ABEDULES!X6</f>
        <v>5</v>
      </c>
      <c r="Z84" s="2">
        <f>ABEDULES!Y6</f>
        <v>7</v>
      </c>
      <c r="AA84" s="2">
        <f>ABEDULES!Z6</f>
        <v>11</v>
      </c>
      <c r="AB84" s="2">
        <f>ABEDULES!AA6</f>
        <v>11</v>
      </c>
      <c r="AC84" s="2">
        <f>ABEDULES!AB6</f>
        <v>9</v>
      </c>
      <c r="AD84" s="2">
        <f>ABEDULES!AC6</f>
        <v>6</v>
      </c>
      <c r="AE84" s="2">
        <f>ABEDULES!AD6</f>
        <v>0</v>
      </c>
      <c r="AF84" s="2">
        <f>ABEDULES!AE6</f>
        <v>5</v>
      </c>
      <c r="AG84" s="2">
        <f>ABEDULES!AF6</f>
        <v>6</v>
      </c>
      <c r="AH84" s="2">
        <f>ABEDULES!AG6</f>
        <v>5</v>
      </c>
      <c r="AI84" s="2">
        <f>ABEDULES!AH6</f>
        <v>4</v>
      </c>
      <c r="AJ84" s="2">
        <f>ABEDULES!AI6</f>
        <v>4</v>
      </c>
      <c r="AK84" s="2">
        <f>ABEDULES!AJ6</f>
        <v>3</v>
      </c>
      <c r="AL84" s="2">
        <f>ABEDULES!AK6</f>
        <v>6</v>
      </c>
      <c r="AM84" s="2">
        <f>ABEDULES!AL6</f>
        <v>4</v>
      </c>
      <c r="AN84" s="2">
        <f>ABEDULES!AM6</f>
        <v>2</v>
      </c>
      <c r="AO84" s="2">
        <f>ABEDULES!AN6</f>
        <v>6</v>
      </c>
      <c r="AP84" s="2">
        <f>ABEDULES!AO6</f>
        <v>5</v>
      </c>
      <c r="AQ84" s="2">
        <f>ABEDULES!AP6</f>
        <v>7</v>
      </c>
      <c r="AR84" s="2">
        <f>ABEDULES!AQ6</f>
        <v>5</v>
      </c>
      <c r="AS84" s="2">
        <f>ABEDULES!AR6</f>
        <v>6</v>
      </c>
      <c r="AT84" s="2" t="str">
        <f>ABEDULES!AS6</f>
        <v/>
      </c>
      <c r="AU84" s="2" t="str">
        <f>ABEDULES!AT6</f>
        <v/>
      </c>
      <c r="AV84" s="2" t="str">
        <f>ABEDULES!AU6</f>
        <v/>
      </c>
      <c r="AW84" s="2" t="str">
        <f>ABEDULES!AV6</f>
        <v/>
      </c>
      <c r="AX84" s="2" t="str">
        <f>ABEDULES!AW6</f>
        <v/>
      </c>
      <c r="AY84" s="2" t="str">
        <f>ABEDULES!AX6</f>
        <v/>
      </c>
      <c r="AZ84" s="2" t="str">
        <f>ABEDULES!AY6</f>
        <v/>
      </c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>
      <c r="A85" s="2"/>
      <c r="B85" s="2" t="str">
        <f>ABEDULES!A7</f>
        <v>Abedules </v>
      </c>
      <c r="C85" s="2" t="str">
        <f>ABEDULES!B7</f>
        <v>Cafeteria</v>
      </c>
      <c r="D85" s="2" t="str">
        <f>ABEDULES!C7</f>
        <v>Resma Papel Fotocopia (UN)</v>
      </c>
      <c r="E85" s="2">
        <f>ABEDULES!D7</f>
        <v>7</v>
      </c>
      <c r="F85" s="2">
        <f>ABEDULES!E7</f>
        <v>6</v>
      </c>
      <c r="G85" s="2">
        <f>ABEDULES!F7</f>
        <v>0</v>
      </c>
      <c r="H85" s="2">
        <f>ABEDULES!G7</f>
        <v>0</v>
      </c>
      <c r="I85" s="2" t="str">
        <f>ABEDULES!H7</f>
        <v/>
      </c>
      <c r="J85" s="2" t="str">
        <f>ABEDULES!I7</f>
        <v/>
      </c>
      <c r="K85" s="2" t="str">
        <f>ABEDULES!J7</f>
        <v/>
      </c>
      <c r="L85" s="2" t="str">
        <f>ABEDULES!K7</f>
        <v/>
      </c>
      <c r="M85" s="2">
        <f>ABEDULES!L7</f>
        <v>2</v>
      </c>
      <c r="N85" s="2" t="str">
        <f>ABEDULES!M7</f>
        <v/>
      </c>
      <c r="O85" s="2" t="str">
        <f>ABEDULES!N7</f>
        <v/>
      </c>
      <c r="P85" s="2">
        <f>ABEDULES!O7</f>
        <v>2</v>
      </c>
      <c r="Q85" s="2">
        <f>ABEDULES!P7</f>
        <v>1</v>
      </c>
      <c r="R85" s="2">
        <f>ABEDULES!Q7</f>
        <v>1</v>
      </c>
      <c r="S85" s="2" t="str">
        <f>ABEDULES!R7</f>
        <v/>
      </c>
      <c r="T85" s="2" t="str">
        <f>ABEDULES!S7</f>
        <v/>
      </c>
      <c r="U85" s="2" t="str">
        <f>ABEDULES!T7</f>
        <v/>
      </c>
      <c r="V85" s="2">
        <f>ABEDULES!U7</f>
        <v>2</v>
      </c>
      <c r="W85" s="2" t="str">
        <f>ABEDULES!V7</f>
        <v/>
      </c>
      <c r="X85" s="2">
        <f>ABEDULES!W7</f>
        <v>2</v>
      </c>
      <c r="Y85" s="2">
        <f>ABEDULES!X7</f>
        <v>2</v>
      </c>
      <c r="Z85" s="2">
        <f>ABEDULES!Y7</f>
        <v>1</v>
      </c>
      <c r="AA85" s="2">
        <f>ABEDULES!Z7</f>
        <v>1</v>
      </c>
      <c r="AB85" s="2" t="str">
        <f>ABEDULES!AA7</f>
        <v>NO MANDAR</v>
      </c>
      <c r="AC85" s="2" t="str">
        <f>ABEDULES!AB7</f>
        <v/>
      </c>
      <c r="AD85" s="2" t="str">
        <f>ABEDULES!AC7</f>
        <v/>
      </c>
      <c r="AE85" s="2">
        <f>ABEDULES!AD7</f>
        <v>0</v>
      </c>
      <c r="AF85" s="2">
        <f>ABEDULES!AE7</f>
        <v>5</v>
      </c>
      <c r="AG85" s="2">
        <f>ABEDULES!AF7</f>
        <v>4</v>
      </c>
      <c r="AH85" s="2">
        <f>ABEDULES!AG7</f>
        <v>4</v>
      </c>
      <c r="AI85" s="2">
        <f>ABEDULES!AH7</f>
        <v>3</v>
      </c>
      <c r="AJ85" s="2">
        <f>ABEDULES!AI7</f>
        <v>3</v>
      </c>
      <c r="AK85" s="2">
        <f>ABEDULES!AJ7</f>
        <v>2</v>
      </c>
      <c r="AL85" s="2">
        <f>ABEDULES!AK7</f>
        <v>0</v>
      </c>
      <c r="AM85" s="2">
        <f>ABEDULES!AL7</f>
        <v>0</v>
      </c>
      <c r="AN85" s="2">
        <f>ABEDULES!AM7</f>
        <v>0</v>
      </c>
      <c r="AO85" s="2">
        <f>ABEDULES!AN7</f>
        <v>0</v>
      </c>
      <c r="AP85" s="2">
        <f>ABEDULES!AO7</f>
        <v>0</v>
      </c>
      <c r="AQ85" s="2">
        <f>ABEDULES!AP7</f>
        <v>0</v>
      </c>
      <c r="AR85" s="2">
        <f>ABEDULES!AQ7</f>
        <v>0</v>
      </c>
      <c r="AS85" s="2">
        <f>ABEDULES!AR7</f>
        <v>0</v>
      </c>
      <c r="AT85" s="2" t="str">
        <f>ABEDULES!AS7</f>
        <v/>
      </c>
      <c r="AU85" s="2" t="str">
        <f>ABEDULES!AT7</f>
        <v/>
      </c>
      <c r="AV85" s="2" t="str">
        <f>ABEDULES!AU7</f>
        <v/>
      </c>
      <c r="AW85" s="2" t="str">
        <f>ABEDULES!AV7</f>
        <v/>
      </c>
      <c r="AX85" s="2" t="str">
        <f>ABEDULES!AW7</f>
        <v/>
      </c>
      <c r="AY85" s="2" t="str">
        <f>ABEDULES!AX7</f>
        <v/>
      </c>
      <c r="AZ85" s="2" t="str">
        <f>ABEDULES!AY7</f>
        <v/>
      </c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>
      <c r="A86" s="2"/>
      <c r="B86" s="2" t="str">
        <f>ABEDULES!A8</f>
        <v>Abedules </v>
      </c>
      <c r="C86" s="2" t="str">
        <f>ABEDULES!B8</f>
        <v>Cafeteria</v>
      </c>
      <c r="D86" s="2" t="str">
        <f>ABEDULES!C8</f>
        <v>Cafe Granulado</v>
      </c>
      <c r="E86" s="2" t="str">
        <f>ABEDULES!D8</f>
        <v/>
      </c>
      <c r="F86" s="2" t="str">
        <f>ABEDULES!E8</f>
        <v/>
      </c>
      <c r="G86" s="2" t="str">
        <f>ABEDULES!F8</f>
        <v/>
      </c>
      <c r="H86" s="2" t="str">
        <f>ABEDULES!G8</f>
        <v/>
      </c>
      <c r="I86" s="2" t="str">
        <f>ABEDULES!H8</f>
        <v/>
      </c>
      <c r="J86" s="2" t="str">
        <f>ABEDULES!I8</f>
        <v/>
      </c>
      <c r="K86" s="2" t="str">
        <f>ABEDULES!J8</f>
        <v/>
      </c>
      <c r="L86" s="2" t="str">
        <f>ABEDULES!K8</f>
        <v/>
      </c>
      <c r="M86" s="2" t="str">
        <f>ABEDULES!L8</f>
        <v/>
      </c>
      <c r="N86" s="2" t="str">
        <f>ABEDULES!M8</f>
        <v/>
      </c>
      <c r="O86" s="2" t="str">
        <f>ABEDULES!N8</f>
        <v/>
      </c>
      <c r="P86" s="2" t="str">
        <f>ABEDULES!O8</f>
        <v/>
      </c>
      <c r="Q86" s="2" t="str">
        <f>ABEDULES!P8</f>
        <v/>
      </c>
      <c r="R86" s="2" t="str">
        <f>ABEDULES!Q8</f>
        <v/>
      </c>
      <c r="S86" s="2" t="str">
        <f>ABEDULES!R8</f>
        <v/>
      </c>
      <c r="T86" s="2" t="str">
        <f>ABEDULES!S8</f>
        <v/>
      </c>
      <c r="U86" s="2" t="str">
        <f>ABEDULES!T8</f>
        <v/>
      </c>
      <c r="V86" s="2" t="str">
        <f>ABEDULES!U8</f>
        <v/>
      </c>
      <c r="W86" s="2" t="str">
        <f>ABEDULES!V8</f>
        <v/>
      </c>
      <c r="X86" s="2" t="str">
        <f>ABEDULES!W8</f>
        <v/>
      </c>
      <c r="Y86" s="2" t="str">
        <f>ABEDULES!X8</f>
        <v/>
      </c>
      <c r="Z86" s="2" t="str">
        <f>ABEDULES!Y8</f>
        <v/>
      </c>
      <c r="AA86" s="2" t="str">
        <f>ABEDULES!Z8</f>
        <v/>
      </c>
      <c r="AB86" s="2" t="str">
        <f>ABEDULES!AA8</f>
        <v/>
      </c>
      <c r="AC86" s="2" t="str">
        <f>ABEDULES!AB8</f>
        <v/>
      </c>
      <c r="AD86" s="2" t="str">
        <f>ABEDULES!AC8</f>
        <v/>
      </c>
      <c r="AE86" s="2" t="str">
        <f>ABEDULES!AD8</f>
        <v/>
      </c>
      <c r="AF86" s="2" t="str">
        <f>ABEDULES!AE8</f>
        <v/>
      </c>
      <c r="AG86" s="2" t="str">
        <f>ABEDULES!AF8</f>
        <v/>
      </c>
      <c r="AH86" s="2" t="str">
        <f>ABEDULES!AG8</f>
        <v/>
      </c>
      <c r="AI86" s="2" t="str">
        <f>ABEDULES!AH8</f>
        <v/>
      </c>
      <c r="AJ86" s="2" t="str">
        <f>ABEDULES!AI8</f>
        <v/>
      </c>
      <c r="AK86" s="2" t="str">
        <f>ABEDULES!AJ8</f>
        <v/>
      </c>
      <c r="AL86" s="2" t="str">
        <f>ABEDULES!AK8</f>
        <v/>
      </c>
      <c r="AM86" s="2" t="str">
        <f>ABEDULES!AL8</f>
        <v/>
      </c>
      <c r="AN86" s="2" t="str">
        <f>ABEDULES!AM8</f>
        <v/>
      </c>
      <c r="AO86" s="2" t="str">
        <f>ABEDULES!AN8</f>
        <v/>
      </c>
      <c r="AP86" s="2" t="str">
        <f>ABEDULES!AO8</f>
        <v/>
      </c>
      <c r="AQ86" s="2" t="str">
        <f>ABEDULES!AP8</f>
        <v/>
      </c>
      <c r="AR86" s="2" t="str">
        <f>ABEDULES!AQ8</f>
        <v/>
      </c>
      <c r="AS86" s="2">
        <f>ABEDULES!AR8</f>
        <v>0</v>
      </c>
      <c r="AT86" s="2" t="str">
        <f>ABEDULES!AS8</f>
        <v/>
      </c>
      <c r="AU86" s="2" t="str">
        <f>ABEDULES!AT8</f>
        <v/>
      </c>
      <c r="AV86" s="2" t="str">
        <f>ABEDULES!AU8</f>
        <v/>
      </c>
      <c r="AW86" s="2" t="str">
        <f>ABEDULES!AV8</f>
        <v/>
      </c>
      <c r="AX86" s="2" t="str">
        <f>ABEDULES!AW8</f>
        <v/>
      </c>
      <c r="AY86" s="2" t="str">
        <f>ABEDULES!AX8</f>
        <v/>
      </c>
      <c r="AZ86" s="2" t="str">
        <f>ABEDULES!AY8</f>
        <v/>
      </c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>
      <c r="A87" s="2"/>
      <c r="B87" s="2" t="str">
        <f>ABEDULES!A9</f>
        <v>Abedules </v>
      </c>
      <c r="C87" s="2" t="str">
        <f>ABEDULES!B9</f>
        <v>Aseo</v>
      </c>
      <c r="D87" s="2" t="str">
        <f>ABEDULES!C9</f>
        <v>Papel interfoliado </v>
      </c>
      <c r="E87" s="2" t="str">
        <f>ABEDULES!D9</f>
        <v/>
      </c>
      <c r="F87" s="2" t="str">
        <f>ABEDULES!E9</f>
        <v/>
      </c>
      <c r="G87" s="2" t="str">
        <f>ABEDULES!F9</f>
        <v/>
      </c>
      <c r="H87" s="2" t="str">
        <f>ABEDULES!G9</f>
        <v/>
      </c>
      <c r="I87" s="2" t="str">
        <f>ABEDULES!H9</f>
        <v/>
      </c>
      <c r="J87" s="2" t="str">
        <f>ABEDULES!I9</f>
        <v/>
      </c>
      <c r="K87" s="2" t="str">
        <f>ABEDULES!J9</f>
        <v/>
      </c>
      <c r="L87" s="2" t="str">
        <f>ABEDULES!K9</f>
        <v/>
      </c>
      <c r="M87" s="2" t="str">
        <f>ABEDULES!L9</f>
        <v/>
      </c>
      <c r="N87" s="2" t="str">
        <f>ABEDULES!M9</f>
        <v/>
      </c>
      <c r="O87" s="2" t="str">
        <f>ABEDULES!N9</f>
        <v/>
      </c>
      <c r="P87" s="2" t="str">
        <f>ABEDULES!O9</f>
        <v/>
      </c>
      <c r="Q87" s="2" t="str">
        <f>ABEDULES!P9</f>
        <v/>
      </c>
      <c r="R87" s="2" t="str">
        <f>ABEDULES!Q9</f>
        <v/>
      </c>
      <c r="S87" s="2" t="str">
        <f>ABEDULES!R9</f>
        <v/>
      </c>
      <c r="T87" s="2" t="str">
        <f>ABEDULES!S9</f>
        <v/>
      </c>
      <c r="U87" s="2" t="str">
        <f>ABEDULES!T9</f>
        <v/>
      </c>
      <c r="V87" s="2" t="str">
        <f>ABEDULES!U9</f>
        <v/>
      </c>
      <c r="W87" s="2" t="str">
        <f>ABEDULES!V9</f>
        <v/>
      </c>
      <c r="X87" s="2" t="str">
        <f>ABEDULES!W9</f>
        <v/>
      </c>
      <c r="Y87" s="2" t="str">
        <f>ABEDULES!X9</f>
        <v/>
      </c>
      <c r="Z87" s="2" t="str">
        <f>ABEDULES!Y9</f>
        <v/>
      </c>
      <c r="AA87" s="2" t="str">
        <f>ABEDULES!Z9</f>
        <v/>
      </c>
      <c r="AB87" s="2" t="str">
        <f>ABEDULES!AA9</f>
        <v/>
      </c>
      <c r="AC87" s="2" t="str">
        <f>ABEDULES!AB9</f>
        <v/>
      </c>
      <c r="AD87" s="2" t="str">
        <f>ABEDULES!AC9</f>
        <v/>
      </c>
      <c r="AE87" s="2" t="str">
        <f>ABEDULES!AD9</f>
        <v/>
      </c>
      <c r="AF87" s="2" t="str">
        <f>ABEDULES!AE9</f>
        <v/>
      </c>
      <c r="AG87" s="2" t="str">
        <f>ABEDULES!AF9</f>
        <v/>
      </c>
      <c r="AH87" s="2" t="str">
        <f>ABEDULES!AG9</f>
        <v/>
      </c>
      <c r="AI87" s="2" t="str">
        <f>ABEDULES!AH9</f>
        <v/>
      </c>
      <c r="AJ87" s="2" t="str">
        <f>ABEDULES!AI9</f>
        <v/>
      </c>
      <c r="AK87" s="2" t="str">
        <f>ABEDULES!AJ9</f>
        <v/>
      </c>
      <c r="AL87" s="2" t="str">
        <f>ABEDULES!AK9</f>
        <v/>
      </c>
      <c r="AM87" s="2" t="str">
        <f>ABEDULES!AL9</f>
        <v/>
      </c>
      <c r="AN87" s="2" t="str">
        <f>ABEDULES!AM9</f>
        <v/>
      </c>
      <c r="AO87" s="2" t="str">
        <f>ABEDULES!AN9</f>
        <v/>
      </c>
      <c r="AP87" s="2" t="str">
        <f>ABEDULES!AO9</f>
        <v/>
      </c>
      <c r="AQ87" s="2" t="str">
        <f>ABEDULES!AP9</f>
        <v/>
      </c>
      <c r="AR87" s="2" t="str">
        <f>ABEDULES!AQ9</f>
        <v/>
      </c>
      <c r="AS87" s="2">
        <f>ABEDULES!AR9</f>
        <v>0</v>
      </c>
      <c r="AT87" s="2" t="str">
        <f>ABEDULES!AS9</f>
        <v/>
      </c>
      <c r="AU87" s="2" t="str">
        <f>ABEDULES!AT9</f>
        <v/>
      </c>
      <c r="AV87" s="2" t="str">
        <f>ABEDULES!AU9</f>
        <v/>
      </c>
      <c r="AW87" s="2" t="str">
        <f>ABEDULES!AV9</f>
        <v/>
      </c>
      <c r="AX87" s="2" t="str">
        <f>ABEDULES!AW9</f>
        <v/>
      </c>
      <c r="AY87" s="2" t="str">
        <f>ABEDULES!AX9</f>
        <v/>
      </c>
      <c r="AZ87" s="2" t="str">
        <f>ABEDULES!AY9</f>
        <v/>
      </c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>
      <c r="A88" s="2"/>
      <c r="B88" s="2" t="str">
        <f>ABEDULES!A10</f>
        <v>Abedules </v>
      </c>
      <c r="C88" s="2" t="str">
        <f>ABEDULES!B10</f>
        <v>Cafeteria</v>
      </c>
      <c r="D88" s="2" t="str">
        <f>ABEDULES!C10</f>
        <v>Leche liquida</v>
      </c>
      <c r="E88" s="2" t="str">
        <f>ABEDULES!D10</f>
        <v/>
      </c>
      <c r="F88" s="2" t="str">
        <f>ABEDULES!E10</f>
        <v/>
      </c>
      <c r="G88" s="2" t="str">
        <f>ABEDULES!F10</f>
        <v/>
      </c>
      <c r="H88" s="2" t="str">
        <f>ABEDULES!G10</f>
        <v/>
      </c>
      <c r="I88" s="2" t="str">
        <f>ABEDULES!H10</f>
        <v/>
      </c>
      <c r="J88" s="2" t="str">
        <f>ABEDULES!I10</f>
        <v/>
      </c>
      <c r="K88" s="2" t="str">
        <f>ABEDULES!J10</f>
        <v/>
      </c>
      <c r="L88" s="2" t="str">
        <f>ABEDULES!K10</f>
        <v/>
      </c>
      <c r="M88" s="2" t="str">
        <f>ABEDULES!L10</f>
        <v/>
      </c>
      <c r="N88" s="2" t="str">
        <f>ABEDULES!M10</f>
        <v/>
      </c>
      <c r="O88" s="2" t="str">
        <f>ABEDULES!N10</f>
        <v/>
      </c>
      <c r="P88" s="2" t="str">
        <f>ABEDULES!O10</f>
        <v/>
      </c>
      <c r="Q88" s="2">
        <f>ABEDULES!P10</f>
        <v>0</v>
      </c>
      <c r="R88" s="2">
        <f>ABEDULES!Q10</f>
        <v>0</v>
      </c>
      <c r="S88" s="2">
        <f>ABEDULES!R10</f>
        <v>0</v>
      </c>
      <c r="T88" s="2">
        <f>ABEDULES!S10</f>
        <v>0</v>
      </c>
      <c r="U88" s="2">
        <f>ABEDULES!T10</f>
        <v>0</v>
      </c>
      <c r="V88" s="2">
        <f>ABEDULES!U10</f>
        <v>0</v>
      </c>
      <c r="W88" s="2">
        <f>ABEDULES!V10</f>
        <v>0</v>
      </c>
      <c r="X88" s="2">
        <f>ABEDULES!W10</f>
        <v>0</v>
      </c>
      <c r="Y88" s="2">
        <f>ABEDULES!X10</f>
        <v>0</v>
      </c>
      <c r="Z88" s="2">
        <f>ABEDULES!Y10</f>
        <v>0</v>
      </c>
      <c r="AA88" s="2">
        <f>ABEDULES!Z10</f>
        <v>0</v>
      </c>
      <c r="AB88" s="2">
        <f>ABEDULES!AA10</f>
        <v>0</v>
      </c>
      <c r="AC88" s="2">
        <f>ABEDULES!AB10</f>
        <v>0</v>
      </c>
      <c r="AD88" s="2">
        <f>ABEDULES!AC10</f>
        <v>0</v>
      </c>
      <c r="AE88" s="2">
        <f>ABEDULES!AD10</f>
        <v>0</v>
      </c>
      <c r="AF88" s="2">
        <f>ABEDULES!AE10</f>
        <v>0</v>
      </c>
      <c r="AG88" s="2">
        <f>ABEDULES!AF10</f>
        <v>0</v>
      </c>
      <c r="AH88" s="2">
        <f>ABEDULES!AG10</f>
        <v>0</v>
      </c>
      <c r="AI88" s="2">
        <f>ABEDULES!AH10</f>
        <v>0</v>
      </c>
      <c r="AJ88" s="2">
        <f>ABEDULES!AI10</f>
        <v>0</v>
      </c>
      <c r="AK88" s="2">
        <f>ABEDULES!AJ10</f>
        <v>0</v>
      </c>
      <c r="AL88" s="2">
        <f>ABEDULES!AK10</f>
        <v>0</v>
      </c>
      <c r="AM88" s="2">
        <f>ABEDULES!AL10</f>
        <v>0</v>
      </c>
      <c r="AN88" s="2">
        <f>ABEDULES!AM10</f>
        <v>0</v>
      </c>
      <c r="AO88" s="2">
        <f>ABEDULES!AN10</f>
        <v>0</v>
      </c>
      <c r="AP88" s="2">
        <f>ABEDULES!AO10</f>
        <v>0</v>
      </c>
      <c r="AQ88" s="2">
        <f>ABEDULES!AP10</f>
        <v>0</v>
      </c>
      <c r="AR88" s="2">
        <f>ABEDULES!AQ10</f>
        <v>0</v>
      </c>
      <c r="AS88" s="2">
        <f>ABEDULES!AR10</f>
        <v>0</v>
      </c>
      <c r="AT88" s="2" t="str">
        <f>ABEDULES!AS10</f>
        <v/>
      </c>
      <c r="AU88" s="2" t="str">
        <f>ABEDULES!AT10</f>
        <v/>
      </c>
      <c r="AV88" s="2" t="str">
        <f>ABEDULES!AU10</f>
        <v/>
      </c>
      <c r="AW88" s="2" t="str">
        <f>ABEDULES!AV10</f>
        <v/>
      </c>
      <c r="AX88" s="2" t="str">
        <f>ABEDULES!AW10</f>
        <v/>
      </c>
      <c r="AY88" s="2" t="str">
        <f>ABEDULES!AX10</f>
        <v/>
      </c>
      <c r="AZ88" s="2" t="str">
        <f>ABEDULES!AY10</f>
        <v/>
      </c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>
      <c r="A89" s="2"/>
      <c r="B89" s="2" t="str">
        <f>ABEDULES!A11</f>
        <v>Abedules </v>
      </c>
      <c r="C89" s="2" t="str">
        <f>ABEDULES!B11</f>
        <v>Cafeteria</v>
      </c>
      <c r="D89" s="2" t="str">
        <f>ABEDULES!C11</f>
        <v>Leche en polvo</v>
      </c>
      <c r="E89" s="2" t="str">
        <f>ABEDULES!D11</f>
        <v/>
      </c>
      <c r="F89" s="2" t="str">
        <f>ABEDULES!E11</f>
        <v/>
      </c>
      <c r="G89" s="2" t="str">
        <f>ABEDULES!F11</f>
        <v/>
      </c>
      <c r="H89" s="2" t="str">
        <f>ABEDULES!G11</f>
        <v/>
      </c>
      <c r="I89" s="2" t="str">
        <f>ABEDULES!H11</f>
        <v/>
      </c>
      <c r="J89" s="2" t="str">
        <f>ABEDULES!I11</f>
        <v/>
      </c>
      <c r="K89" s="2" t="str">
        <f>ABEDULES!J11</f>
        <v/>
      </c>
      <c r="L89" s="2" t="str">
        <f>ABEDULES!K11</f>
        <v/>
      </c>
      <c r="M89" s="2" t="str">
        <f>ABEDULES!L11</f>
        <v/>
      </c>
      <c r="N89" s="2" t="str">
        <f>ABEDULES!M11</f>
        <v/>
      </c>
      <c r="O89" s="2" t="str">
        <f>ABEDULES!N11</f>
        <v/>
      </c>
      <c r="P89" s="2" t="str">
        <f>ABEDULES!O11</f>
        <v/>
      </c>
      <c r="Q89" s="2" t="str">
        <f>ABEDULES!P11</f>
        <v/>
      </c>
      <c r="R89" s="2" t="str">
        <f>ABEDULES!Q11</f>
        <v/>
      </c>
      <c r="S89" s="2" t="str">
        <f>ABEDULES!R11</f>
        <v/>
      </c>
      <c r="T89" s="2" t="str">
        <f>ABEDULES!S11</f>
        <v/>
      </c>
      <c r="U89" s="2" t="str">
        <f>ABEDULES!T11</f>
        <v/>
      </c>
      <c r="V89" s="2" t="str">
        <f>ABEDULES!U11</f>
        <v/>
      </c>
      <c r="W89" s="2" t="str">
        <f>ABEDULES!V11</f>
        <v/>
      </c>
      <c r="X89" s="2" t="str">
        <f>ABEDULES!W11</f>
        <v/>
      </c>
      <c r="Y89" s="2" t="str">
        <f>ABEDULES!X11</f>
        <v/>
      </c>
      <c r="Z89" s="2" t="str">
        <f>ABEDULES!Y11</f>
        <v/>
      </c>
      <c r="AA89" s="2" t="str">
        <f>ABEDULES!Z11</f>
        <v/>
      </c>
      <c r="AB89" s="2" t="str">
        <f>ABEDULES!AA11</f>
        <v/>
      </c>
      <c r="AC89" s="2" t="str">
        <f>ABEDULES!AB11</f>
        <v/>
      </c>
      <c r="AD89" s="2">
        <f>ABEDULES!AC11</f>
        <v>0</v>
      </c>
      <c r="AE89" s="2">
        <f>ABEDULES!AD11</f>
        <v>1</v>
      </c>
      <c r="AF89" s="2">
        <f>ABEDULES!AE11</f>
        <v>3</v>
      </c>
      <c r="AG89" s="2">
        <f>ABEDULES!AF11</f>
        <v>4</v>
      </c>
      <c r="AH89" s="2">
        <f>ABEDULES!AG11</f>
        <v>10</v>
      </c>
      <c r="AI89" s="2">
        <f>ABEDULES!AH11</f>
        <v>8</v>
      </c>
      <c r="AJ89" s="2">
        <f>ABEDULES!AI11</f>
        <v>8</v>
      </c>
      <c r="AK89" s="2">
        <f>ABEDULES!AJ11</f>
        <v>5</v>
      </c>
      <c r="AL89" s="2">
        <f>ABEDULES!AK11</f>
        <v>4</v>
      </c>
      <c r="AM89" s="2">
        <f>ABEDULES!AL11</f>
        <v>5</v>
      </c>
      <c r="AN89" s="2">
        <f>ABEDULES!AM11</f>
        <v>3</v>
      </c>
      <c r="AO89" s="2">
        <f>ABEDULES!AN11</f>
        <v>2</v>
      </c>
      <c r="AP89" s="2">
        <f>ABEDULES!AO11</f>
        <v>2</v>
      </c>
      <c r="AQ89" s="2">
        <f>ABEDULES!AP11</f>
        <v>2</v>
      </c>
      <c r="AR89" s="2">
        <f>ABEDULES!AQ11</f>
        <v>2</v>
      </c>
      <c r="AS89" s="2">
        <f>ABEDULES!AR11</f>
        <v>3</v>
      </c>
      <c r="AT89" s="2" t="str">
        <f>ABEDULES!AS11</f>
        <v/>
      </c>
      <c r="AU89" s="2" t="str">
        <f>ABEDULES!AT11</f>
        <v/>
      </c>
      <c r="AV89" s="2" t="str">
        <f>ABEDULES!AU11</f>
        <v/>
      </c>
      <c r="AW89" s="2" t="str">
        <f>ABEDULES!AV11</f>
        <v/>
      </c>
      <c r="AX89" s="2" t="str">
        <f>ABEDULES!AW11</f>
        <v/>
      </c>
      <c r="AY89" s="2" t="str">
        <f>ABEDULES!AX11</f>
        <v/>
      </c>
      <c r="AZ89" s="2" t="str">
        <f>ABEDULES!AY11</f>
        <v/>
      </c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>
      <c r="A90" s="2"/>
      <c r="B90" s="2" t="str">
        <f>ABEDULES!A12</f>
        <v>Abedules </v>
      </c>
      <c r="C90" s="2" t="str">
        <f>ABEDULES!B12</f>
        <v>Cafeteria</v>
      </c>
      <c r="D90" s="2" t="str">
        <f>ABEDULES!C12</f>
        <v>Vainilla</v>
      </c>
      <c r="E90" s="2" t="str">
        <f>ABEDULES!D12</f>
        <v/>
      </c>
      <c r="F90" s="2" t="str">
        <f>ABEDULES!E12</f>
        <v/>
      </c>
      <c r="G90" s="2" t="str">
        <f>ABEDULES!F12</f>
        <v/>
      </c>
      <c r="H90" s="2" t="str">
        <f>ABEDULES!G12</f>
        <v/>
      </c>
      <c r="I90" s="2" t="str">
        <f>ABEDULES!H12</f>
        <v/>
      </c>
      <c r="J90" s="2" t="str">
        <f>ABEDULES!I12</f>
        <v/>
      </c>
      <c r="K90" s="2" t="str">
        <f>ABEDULES!J12</f>
        <v/>
      </c>
      <c r="L90" s="2" t="str">
        <f>ABEDULES!K12</f>
        <v/>
      </c>
      <c r="M90" s="2" t="str">
        <f>ABEDULES!L12</f>
        <v/>
      </c>
      <c r="N90" s="2" t="str">
        <f>ABEDULES!M12</f>
        <v/>
      </c>
      <c r="O90" s="2" t="str">
        <f>ABEDULES!N12</f>
        <v/>
      </c>
      <c r="P90" s="2" t="str">
        <f>ABEDULES!O12</f>
        <v/>
      </c>
      <c r="Q90" s="2" t="str">
        <f>ABEDULES!P12</f>
        <v/>
      </c>
      <c r="R90" s="2" t="str">
        <f>ABEDULES!Q12</f>
        <v/>
      </c>
      <c r="S90" s="2" t="str">
        <f>ABEDULES!R12</f>
        <v/>
      </c>
      <c r="T90" s="2" t="str">
        <f>ABEDULES!S12</f>
        <v/>
      </c>
      <c r="U90" s="2" t="str">
        <f>ABEDULES!T12</f>
        <v/>
      </c>
      <c r="V90" s="2" t="str">
        <f>ABEDULES!U12</f>
        <v/>
      </c>
      <c r="W90" s="2" t="str">
        <f>ABEDULES!V12</f>
        <v/>
      </c>
      <c r="X90" s="2" t="str">
        <f>ABEDULES!W12</f>
        <v/>
      </c>
      <c r="Y90" s="2" t="str">
        <f>ABEDULES!X12</f>
        <v/>
      </c>
      <c r="Z90" s="2" t="str">
        <f>ABEDULES!Y12</f>
        <v/>
      </c>
      <c r="AA90" s="2" t="str">
        <f>ABEDULES!Z12</f>
        <v/>
      </c>
      <c r="AB90" s="2" t="str">
        <f>ABEDULES!AA12</f>
        <v/>
      </c>
      <c r="AC90" s="2" t="str">
        <f>ABEDULES!AB12</f>
        <v/>
      </c>
      <c r="AD90" s="2">
        <f>ABEDULES!AC12</f>
        <v>1</v>
      </c>
      <c r="AE90" s="2">
        <f>ABEDULES!AD12</f>
        <v>2</v>
      </c>
      <c r="AF90" s="2">
        <f>ABEDULES!AE12</f>
        <v>4</v>
      </c>
      <c r="AG90" s="2">
        <f>ABEDULES!AF12</f>
        <v>4</v>
      </c>
      <c r="AH90" s="2">
        <f>ABEDULES!AG12</f>
        <v>7</v>
      </c>
      <c r="AI90" s="2">
        <f>ABEDULES!AH12</f>
        <v>5</v>
      </c>
      <c r="AJ90" s="2">
        <f>ABEDULES!AI12</f>
        <v>5</v>
      </c>
      <c r="AK90" s="2">
        <f>ABEDULES!AJ12</f>
        <v>4</v>
      </c>
      <c r="AL90" s="2">
        <f>ABEDULES!AK12</f>
        <v>1.5</v>
      </c>
      <c r="AM90" s="2">
        <f>ABEDULES!AL12</f>
        <v>4</v>
      </c>
      <c r="AN90" s="2">
        <f>ABEDULES!AM12</f>
        <v>3</v>
      </c>
      <c r="AO90" s="2">
        <f>ABEDULES!AN12</f>
        <v>2</v>
      </c>
      <c r="AP90" s="2">
        <f>ABEDULES!AO12</f>
        <v>3.5</v>
      </c>
      <c r="AQ90" s="2">
        <f>ABEDULES!AP12</f>
        <v>2</v>
      </c>
      <c r="AR90" s="2">
        <f>ABEDULES!AQ12</f>
        <v>3</v>
      </c>
      <c r="AS90" s="2">
        <f>ABEDULES!AR12</f>
        <v>6</v>
      </c>
      <c r="AT90" s="2" t="str">
        <f>ABEDULES!AS12</f>
        <v/>
      </c>
      <c r="AU90" s="2" t="str">
        <f>ABEDULES!AT12</f>
        <v/>
      </c>
      <c r="AV90" s="2" t="str">
        <f>ABEDULES!AU12</f>
        <v/>
      </c>
      <c r="AW90" s="2" t="str">
        <f>ABEDULES!AV12</f>
        <v/>
      </c>
      <c r="AX90" s="2" t="str">
        <f>ABEDULES!AW12</f>
        <v/>
      </c>
      <c r="AY90" s="2" t="str">
        <f>ABEDULES!AX12</f>
        <v/>
      </c>
      <c r="AZ90" s="2" t="str">
        <f>ABEDULES!AY12</f>
        <v/>
      </c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>
      <c r="A91" s="2"/>
      <c r="B91" s="2" t="str">
        <f>ABEDULES!A13</f>
        <v>Abedules </v>
      </c>
      <c r="C91" s="2" t="str">
        <f>ABEDULES!B13</f>
        <v>Cafeteria</v>
      </c>
      <c r="D91" s="2" t="str">
        <f>ABEDULES!C13</f>
        <v>Endulzante</v>
      </c>
      <c r="E91" s="2" t="str">
        <f>ABEDULES!D13</f>
        <v/>
      </c>
      <c r="F91" s="2" t="str">
        <f>ABEDULES!E13</f>
        <v/>
      </c>
      <c r="G91" s="2" t="str">
        <f>ABEDULES!F13</f>
        <v/>
      </c>
      <c r="H91" s="2" t="str">
        <f>ABEDULES!G13</f>
        <v/>
      </c>
      <c r="I91" s="2" t="str">
        <f>ABEDULES!H13</f>
        <v/>
      </c>
      <c r="J91" s="2" t="str">
        <f>ABEDULES!I13</f>
        <v/>
      </c>
      <c r="K91" s="2" t="str">
        <f>ABEDULES!J13</f>
        <v/>
      </c>
      <c r="L91" s="2" t="str">
        <f>ABEDULES!K13</f>
        <v/>
      </c>
      <c r="M91" s="2" t="str">
        <f>ABEDULES!L13</f>
        <v/>
      </c>
      <c r="N91" s="2" t="str">
        <f>ABEDULES!M13</f>
        <v/>
      </c>
      <c r="O91" s="2" t="str">
        <f>ABEDULES!N13</f>
        <v/>
      </c>
      <c r="P91" s="2" t="str">
        <f>ABEDULES!O13</f>
        <v/>
      </c>
      <c r="Q91" s="2">
        <f>ABEDULES!P13</f>
        <v>0</v>
      </c>
      <c r="R91" s="2">
        <f>ABEDULES!Q13</f>
        <v>0</v>
      </c>
      <c r="S91" s="2">
        <f>ABEDULES!R13</f>
        <v>0</v>
      </c>
      <c r="T91" s="2">
        <f>ABEDULES!S13</f>
        <v>0</v>
      </c>
      <c r="U91" s="2">
        <f>ABEDULES!T13</f>
        <v>0</v>
      </c>
      <c r="V91" s="2">
        <f>ABEDULES!U13</f>
        <v>0</v>
      </c>
      <c r="W91" s="2" t="str">
        <f>ABEDULES!V13</f>
        <v/>
      </c>
      <c r="X91" s="2">
        <f>ABEDULES!W13</f>
        <v>1</v>
      </c>
      <c r="Y91" s="2">
        <f>ABEDULES!X13</f>
        <v>2</v>
      </c>
      <c r="Z91" s="2">
        <f>ABEDULES!Y13</f>
        <v>2</v>
      </c>
      <c r="AA91" s="2">
        <f>ABEDULES!Z13</f>
        <v>5</v>
      </c>
      <c r="AB91" s="2">
        <f>ABEDULES!AA13</f>
        <v>4</v>
      </c>
      <c r="AC91" s="2">
        <f>ABEDULES!AB13</f>
        <v>3</v>
      </c>
      <c r="AD91" s="2">
        <f>ABEDULES!AC13</f>
        <v>5</v>
      </c>
      <c r="AE91" s="2">
        <f>ABEDULES!AD13</f>
        <v>3</v>
      </c>
      <c r="AF91" s="2">
        <f>ABEDULES!AE13</f>
        <v>2</v>
      </c>
      <c r="AG91" s="2">
        <f>ABEDULES!AF13</f>
        <v>4</v>
      </c>
      <c r="AH91" s="2">
        <f>ABEDULES!AG13</f>
        <v>4</v>
      </c>
      <c r="AI91" s="2">
        <f>ABEDULES!AH13</f>
        <v>4</v>
      </c>
      <c r="AJ91" s="2">
        <f>ABEDULES!AI13</f>
        <v>4</v>
      </c>
      <c r="AK91" s="2">
        <f>ABEDULES!AJ13</f>
        <v>3</v>
      </c>
      <c r="AL91" s="2">
        <f>ABEDULES!AK13</f>
        <v>6</v>
      </c>
      <c r="AM91" s="2">
        <f>ABEDULES!AL13</f>
        <v>6</v>
      </c>
      <c r="AN91" s="2">
        <f>ABEDULES!AM13</f>
        <v>5</v>
      </c>
      <c r="AO91" s="2">
        <f>ABEDULES!AN13</f>
        <v>5</v>
      </c>
      <c r="AP91" s="2">
        <f>ABEDULES!AO13</f>
        <v>4</v>
      </c>
      <c r="AQ91" s="2">
        <f>ABEDULES!AP13</f>
        <v>4</v>
      </c>
      <c r="AR91" s="2">
        <f>ABEDULES!AQ13</f>
        <v>5</v>
      </c>
      <c r="AS91" s="2">
        <f>ABEDULES!AR13</f>
        <v>3</v>
      </c>
      <c r="AT91" s="2" t="str">
        <f>ABEDULES!AS13</f>
        <v/>
      </c>
      <c r="AU91" s="2" t="str">
        <f>ABEDULES!AT13</f>
        <v/>
      </c>
      <c r="AV91" s="2" t="str">
        <f>ABEDULES!AU13</f>
        <v/>
      </c>
      <c r="AW91" s="2" t="str">
        <f>ABEDULES!AV13</f>
        <v/>
      </c>
      <c r="AX91" s="2" t="str">
        <f>ABEDULES!AW13</f>
        <v/>
      </c>
      <c r="AY91" s="2" t="str">
        <f>ABEDULES!AX13</f>
        <v/>
      </c>
      <c r="AZ91" s="2" t="str">
        <f>ABEDULES!AY13</f>
        <v/>
      </c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>
      <c r="A92" s="2"/>
      <c r="B92" s="2" t="str">
        <f>ABEDULES!A14</f>
        <v>Abedules </v>
      </c>
      <c r="C92" s="2" t="str">
        <f>ABEDULES!B14</f>
        <v>Cafeteria</v>
      </c>
      <c r="D92" s="2" t="str">
        <f>ABEDULES!C14</f>
        <v>Servilletas</v>
      </c>
      <c r="E92" s="2" t="str">
        <f>ABEDULES!D14</f>
        <v/>
      </c>
      <c r="F92" s="2" t="str">
        <f>ABEDULES!E14</f>
        <v/>
      </c>
      <c r="G92" s="2" t="str">
        <f>ABEDULES!F14</f>
        <v/>
      </c>
      <c r="H92" s="2" t="str">
        <f>ABEDULES!G14</f>
        <v/>
      </c>
      <c r="I92" s="2" t="str">
        <f>ABEDULES!H14</f>
        <v/>
      </c>
      <c r="J92" s="2" t="str">
        <f>ABEDULES!I14</f>
        <v/>
      </c>
      <c r="K92" s="2" t="str">
        <f>ABEDULES!J14</f>
        <v/>
      </c>
      <c r="L92" s="2" t="str">
        <f>ABEDULES!K14</f>
        <v/>
      </c>
      <c r="M92" s="2" t="str">
        <f>ABEDULES!L14</f>
        <v/>
      </c>
      <c r="N92" s="2" t="str">
        <f>ABEDULES!M14</f>
        <v/>
      </c>
      <c r="O92" s="2" t="str">
        <f>ABEDULES!N14</f>
        <v/>
      </c>
      <c r="P92" s="2" t="str">
        <f>ABEDULES!O14</f>
        <v/>
      </c>
      <c r="Q92" s="2" t="str">
        <f>ABEDULES!P14</f>
        <v/>
      </c>
      <c r="R92" s="2" t="str">
        <f>ABEDULES!Q14</f>
        <v/>
      </c>
      <c r="S92" s="2" t="str">
        <f>ABEDULES!R14</f>
        <v/>
      </c>
      <c r="T92" s="2" t="str">
        <f>ABEDULES!S14</f>
        <v/>
      </c>
      <c r="U92" s="2" t="str">
        <f>ABEDULES!T14</f>
        <v/>
      </c>
      <c r="V92" s="2" t="str">
        <f>ABEDULES!U14</f>
        <v/>
      </c>
      <c r="W92" s="2" t="str">
        <f>ABEDULES!V14</f>
        <v/>
      </c>
      <c r="X92" s="2" t="str">
        <f>ABEDULES!W14</f>
        <v/>
      </c>
      <c r="Y92" s="2" t="str">
        <f>ABEDULES!X14</f>
        <v/>
      </c>
      <c r="Z92" s="2" t="str">
        <f>ABEDULES!Y14</f>
        <v/>
      </c>
      <c r="AA92" s="2" t="str">
        <f>ABEDULES!Z14</f>
        <v/>
      </c>
      <c r="AB92" s="2" t="str">
        <f>ABEDULES!AA14</f>
        <v/>
      </c>
      <c r="AC92" s="2" t="str">
        <f>ABEDULES!AB14</f>
        <v/>
      </c>
      <c r="AD92" s="2" t="str">
        <f>ABEDULES!AC14</f>
        <v/>
      </c>
      <c r="AE92" s="2" t="str">
        <f>ABEDULES!AD14</f>
        <v/>
      </c>
      <c r="AF92" s="2" t="str">
        <f>ABEDULES!AE14</f>
        <v/>
      </c>
      <c r="AG92" s="2" t="str">
        <f>ABEDULES!AF14</f>
        <v/>
      </c>
      <c r="AH92" s="2" t="str">
        <f>ABEDULES!AG14</f>
        <v/>
      </c>
      <c r="AI92" s="2">
        <f>ABEDULES!AH14</f>
        <v>0</v>
      </c>
      <c r="AJ92" s="2">
        <f>ABEDULES!AI14</f>
        <v>0</v>
      </c>
      <c r="AK92" s="2">
        <f>ABEDULES!AJ14</f>
        <v>0</v>
      </c>
      <c r="AL92" s="2">
        <f>ABEDULES!AK14</f>
        <v>0</v>
      </c>
      <c r="AM92" s="2">
        <f>ABEDULES!AL14</f>
        <v>0</v>
      </c>
      <c r="AN92" s="2">
        <f>ABEDULES!AM14</f>
        <v>0</v>
      </c>
      <c r="AO92" s="2">
        <f>ABEDULES!AN14</f>
        <v>0</v>
      </c>
      <c r="AP92" s="2">
        <f>ABEDULES!AO14</f>
        <v>20</v>
      </c>
      <c r="AQ92" s="2">
        <f>ABEDULES!AP14</f>
        <v>20</v>
      </c>
      <c r="AR92" s="2">
        <f>ABEDULES!AQ14</f>
        <v>14</v>
      </c>
      <c r="AS92" s="2">
        <f>ABEDULES!AR14</f>
        <v>16</v>
      </c>
      <c r="AT92" s="2" t="str">
        <f>ABEDULES!AS14</f>
        <v/>
      </c>
      <c r="AU92" s="2" t="str">
        <f>ABEDULES!AT14</f>
        <v/>
      </c>
      <c r="AV92" s="2" t="str">
        <f>ABEDULES!AU14</f>
        <v/>
      </c>
      <c r="AW92" s="2" t="str">
        <f>ABEDULES!AV14</f>
        <v/>
      </c>
      <c r="AX92" s="2" t="str">
        <f>ABEDULES!AW14</f>
        <v/>
      </c>
      <c r="AY92" s="2" t="str">
        <f>ABEDULES!AX14</f>
        <v/>
      </c>
      <c r="AZ92" s="2" t="str">
        <f>ABEDULES!AY14</f>
        <v/>
      </c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>
      <c r="A93" s="2"/>
      <c r="B93" s="2" t="str">
        <f>ABEDULES!A15</f>
        <v>Abedules </v>
      </c>
      <c r="C93" s="2" t="str">
        <f>ABEDULES!B15</f>
        <v>Aseo</v>
      </c>
      <c r="D93" s="2" t="str">
        <f>ABEDULES!C15</f>
        <v>Cloro Gel</v>
      </c>
      <c r="E93" s="2" t="str">
        <f>ABEDULES!D15</f>
        <v/>
      </c>
      <c r="F93" s="2" t="str">
        <f>ABEDULES!E15</f>
        <v/>
      </c>
      <c r="G93" s="2" t="str">
        <f>ABEDULES!F15</f>
        <v/>
      </c>
      <c r="H93" s="2" t="str">
        <f>ABEDULES!G15</f>
        <v/>
      </c>
      <c r="I93" s="2" t="str">
        <f>ABEDULES!H15</f>
        <v/>
      </c>
      <c r="J93" s="2" t="str">
        <f>ABEDULES!I15</f>
        <v/>
      </c>
      <c r="K93" s="2" t="str">
        <f>ABEDULES!J15</f>
        <v/>
      </c>
      <c r="L93" s="2" t="str">
        <f>ABEDULES!K15</f>
        <v/>
      </c>
      <c r="M93" s="2" t="str">
        <f>ABEDULES!L15</f>
        <v/>
      </c>
      <c r="N93" s="2" t="str">
        <f>ABEDULES!M15</f>
        <v/>
      </c>
      <c r="O93" s="2" t="str">
        <f>ABEDULES!N15</f>
        <v/>
      </c>
      <c r="P93" s="2" t="str">
        <f>ABEDULES!O15</f>
        <v/>
      </c>
      <c r="Q93" s="2" t="str">
        <f>ABEDULES!P15</f>
        <v>-</v>
      </c>
      <c r="R93" s="2" t="str">
        <f>ABEDULES!Q15</f>
        <v>-</v>
      </c>
      <c r="S93" s="2" t="str">
        <f>ABEDULES!R15</f>
        <v>-</v>
      </c>
      <c r="T93" s="2" t="str">
        <f>ABEDULES!S15</f>
        <v>-</v>
      </c>
      <c r="U93" s="2" t="str">
        <f>ABEDULES!T15</f>
        <v>-</v>
      </c>
      <c r="V93" s="2" t="str">
        <f>ABEDULES!U15</f>
        <v>-</v>
      </c>
      <c r="W93" s="2" t="str">
        <f>ABEDULES!V15</f>
        <v>-</v>
      </c>
      <c r="X93" s="2" t="str">
        <f>ABEDULES!W15</f>
        <v>-</v>
      </c>
      <c r="Y93" s="2" t="str">
        <f>ABEDULES!X15</f>
        <v>-</v>
      </c>
      <c r="Z93" s="2" t="str">
        <f>ABEDULES!Y15</f>
        <v/>
      </c>
      <c r="AA93" s="2" t="str">
        <f>ABEDULES!Z15</f>
        <v/>
      </c>
      <c r="AB93" s="2">
        <f>ABEDULES!AA15</f>
        <v>6</v>
      </c>
      <c r="AC93" s="2">
        <f>ABEDULES!AB15</f>
        <v>6</v>
      </c>
      <c r="AD93" s="2">
        <f>ABEDULES!AC15</f>
        <v>5</v>
      </c>
      <c r="AE93" s="2">
        <f>ABEDULES!AD15</f>
        <v>4</v>
      </c>
      <c r="AF93" s="2">
        <f>ABEDULES!AE15</f>
        <v>4</v>
      </c>
      <c r="AG93" s="2">
        <f>ABEDULES!AF15</f>
        <v>5</v>
      </c>
      <c r="AH93" s="2">
        <f>ABEDULES!AG15</f>
        <v>5</v>
      </c>
      <c r="AI93" s="2">
        <f>ABEDULES!AH15</f>
        <v>5</v>
      </c>
      <c r="AJ93" s="2">
        <f>ABEDULES!AI15</f>
        <v>5</v>
      </c>
      <c r="AK93" s="2">
        <f>ABEDULES!AJ15</f>
        <v>4</v>
      </c>
      <c r="AL93" s="2">
        <f>ABEDULES!AK15</f>
        <v>4</v>
      </c>
      <c r="AM93" s="2">
        <f>ABEDULES!AL15</f>
        <v>4</v>
      </c>
      <c r="AN93" s="2">
        <f>ABEDULES!AM15</f>
        <v>4</v>
      </c>
      <c r="AO93" s="2">
        <f>ABEDULES!AN15</f>
        <v>4</v>
      </c>
      <c r="AP93" s="2">
        <f>ABEDULES!AO15</f>
        <v>3</v>
      </c>
      <c r="AQ93" s="2">
        <f>ABEDULES!AP15</f>
        <v>4</v>
      </c>
      <c r="AR93" s="2">
        <f>ABEDULES!AQ15</f>
        <v>4</v>
      </c>
      <c r="AS93" s="2">
        <f>ABEDULES!AR15</f>
        <v>3</v>
      </c>
      <c r="AT93" s="2" t="str">
        <f>ABEDULES!AS15</f>
        <v/>
      </c>
      <c r="AU93" s="2" t="str">
        <f>ABEDULES!AT15</f>
        <v/>
      </c>
      <c r="AV93" s="2" t="str">
        <f>ABEDULES!AU15</f>
        <v/>
      </c>
      <c r="AW93" s="2" t="str">
        <f>ABEDULES!AV15</f>
        <v/>
      </c>
      <c r="AX93" s="2" t="str">
        <f>ABEDULES!AW15</f>
        <v/>
      </c>
      <c r="AY93" s="2" t="str">
        <f>ABEDULES!AX15</f>
        <v/>
      </c>
      <c r="AZ93" s="2" t="str">
        <f>ABEDULES!AY15</f>
        <v/>
      </c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>
      <c r="A94" s="2"/>
      <c r="B94" s="2" t="str">
        <f>ABEDULES!A16</f>
        <v>Abedules </v>
      </c>
      <c r="C94" s="2" t="str">
        <f>ABEDULES!B16</f>
        <v>Aseo</v>
      </c>
      <c r="D94" s="2" t="str">
        <f>ABEDULES!C16</f>
        <v>Limpia Piso</v>
      </c>
      <c r="E94" s="2" t="str">
        <f>ABEDULES!D16</f>
        <v/>
      </c>
      <c r="F94" s="2" t="str">
        <f>ABEDULES!E16</f>
        <v/>
      </c>
      <c r="G94" s="2" t="str">
        <f>ABEDULES!F16</f>
        <v/>
      </c>
      <c r="H94" s="2" t="str">
        <f>ABEDULES!G16</f>
        <v/>
      </c>
      <c r="I94" s="2" t="str">
        <f>ABEDULES!H16</f>
        <v/>
      </c>
      <c r="J94" s="2" t="str">
        <f>ABEDULES!I16</f>
        <v/>
      </c>
      <c r="K94" s="2" t="str">
        <f>ABEDULES!J16</f>
        <v/>
      </c>
      <c r="L94" s="2" t="str">
        <f>ABEDULES!K16</f>
        <v/>
      </c>
      <c r="M94" s="2" t="str">
        <f>ABEDULES!L16</f>
        <v/>
      </c>
      <c r="N94" s="2" t="str">
        <f>ABEDULES!M16</f>
        <v/>
      </c>
      <c r="O94" s="2" t="str">
        <f>ABEDULES!N16</f>
        <v/>
      </c>
      <c r="P94" s="2" t="str">
        <f>ABEDULES!O16</f>
        <v/>
      </c>
      <c r="Q94" s="2" t="str">
        <f>ABEDULES!P16</f>
        <v>-</v>
      </c>
      <c r="R94" s="2" t="str">
        <f>ABEDULES!Q16</f>
        <v>-</v>
      </c>
      <c r="S94" s="2" t="str">
        <f>ABEDULES!R16</f>
        <v>-</v>
      </c>
      <c r="T94" s="2" t="str">
        <f>ABEDULES!S16</f>
        <v>-</v>
      </c>
      <c r="U94" s="2" t="str">
        <f>ABEDULES!T16</f>
        <v>-</v>
      </c>
      <c r="V94" s="2" t="str">
        <f>ABEDULES!U16</f>
        <v>-</v>
      </c>
      <c r="W94" s="2" t="str">
        <f>ABEDULES!V16</f>
        <v>-</v>
      </c>
      <c r="X94" s="2" t="str">
        <f>ABEDULES!W16</f>
        <v>-</v>
      </c>
      <c r="Y94" s="2" t="str">
        <f>ABEDULES!X16</f>
        <v>-</v>
      </c>
      <c r="Z94" s="2" t="str">
        <f>ABEDULES!Y16</f>
        <v/>
      </c>
      <c r="AA94" s="2" t="str">
        <f>ABEDULES!Z16</f>
        <v/>
      </c>
      <c r="AB94" s="2">
        <f>ABEDULES!AA16</f>
        <v>5</v>
      </c>
      <c r="AC94" s="2">
        <f>ABEDULES!AB16</f>
        <v>5</v>
      </c>
      <c r="AD94" s="2">
        <f>ABEDULES!AC16</f>
        <v>5</v>
      </c>
      <c r="AE94" s="2">
        <f>ABEDULES!AD16</f>
        <v>3</v>
      </c>
      <c r="AF94" s="2">
        <f>ABEDULES!AE16</f>
        <v>3</v>
      </c>
      <c r="AG94" s="2">
        <f>ABEDULES!AF16</f>
        <v>3</v>
      </c>
      <c r="AH94" s="2">
        <f>ABEDULES!AG16</f>
        <v>3</v>
      </c>
      <c r="AI94" s="2">
        <f>ABEDULES!AH16</f>
        <v>3</v>
      </c>
      <c r="AJ94" s="2">
        <f>ABEDULES!AI16</f>
        <v>3</v>
      </c>
      <c r="AK94" s="2">
        <f>ABEDULES!AJ16</f>
        <v>2</v>
      </c>
      <c r="AL94" s="2">
        <f>ABEDULES!AK16</f>
        <v>2</v>
      </c>
      <c r="AM94" s="2">
        <f>ABEDULES!AL16</f>
        <v>2</v>
      </c>
      <c r="AN94" s="2">
        <f>ABEDULES!AM16</f>
        <v>2</v>
      </c>
      <c r="AO94" s="2">
        <f>ABEDULES!AN16</f>
        <v>2</v>
      </c>
      <c r="AP94" s="2">
        <f>ABEDULES!AO16</f>
        <v>5</v>
      </c>
      <c r="AQ94" s="2">
        <f>ABEDULES!AP16</f>
        <v>4</v>
      </c>
      <c r="AR94" s="2">
        <f>ABEDULES!AQ16</f>
        <v>4</v>
      </c>
      <c r="AS94" s="2">
        <f>ABEDULES!AR16</f>
        <v>0</v>
      </c>
      <c r="AT94" s="2" t="str">
        <f>ABEDULES!AS16</f>
        <v/>
      </c>
      <c r="AU94" s="2" t="str">
        <f>ABEDULES!AT16</f>
        <v/>
      </c>
      <c r="AV94" s="2" t="str">
        <f>ABEDULES!AU16</f>
        <v/>
      </c>
      <c r="AW94" s="2" t="str">
        <f>ABEDULES!AV16</f>
        <v/>
      </c>
      <c r="AX94" s="2" t="str">
        <f>ABEDULES!AW16</f>
        <v/>
      </c>
      <c r="AY94" s="2" t="str">
        <f>ABEDULES!AX16</f>
        <v/>
      </c>
      <c r="AZ94" s="2" t="str">
        <f>ABEDULES!AY16</f>
        <v/>
      </c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>
      <c r="A95" s="2"/>
      <c r="B95" s="2" t="str">
        <f>ABEDULES!A17</f>
        <v>Abedules </v>
      </c>
      <c r="C95" s="2" t="str">
        <f>ABEDULES!B17</f>
        <v>Aseo</v>
      </c>
      <c r="D95" s="2" t="str">
        <f>ABEDULES!C17</f>
        <v>Esponja 4U</v>
      </c>
      <c r="E95" s="2" t="str">
        <f>ABEDULES!D17</f>
        <v/>
      </c>
      <c r="F95" s="2" t="str">
        <f>ABEDULES!E17</f>
        <v/>
      </c>
      <c r="G95" s="2" t="str">
        <f>ABEDULES!F17</f>
        <v/>
      </c>
      <c r="H95" s="2" t="str">
        <f>ABEDULES!G17</f>
        <v/>
      </c>
      <c r="I95" s="2" t="str">
        <f>ABEDULES!H17</f>
        <v/>
      </c>
      <c r="J95" s="2" t="str">
        <f>ABEDULES!I17</f>
        <v/>
      </c>
      <c r="K95" s="2" t="str">
        <f>ABEDULES!J17</f>
        <v/>
      </c>
      <c r="L95" s="2" t="str">
        <f>ABEDULES!K17</f>
        <v/>
      </c>
      <c r="M95" s="2" t="str">
        <f>ABEDULES!L17</f>
        <v/>
      </c>
      <c r="N95" s="2" t="str">
        <f>ABEDULES!M17</f>
        <v/>
      </c>
      <c r="O95" s="2" t="str">
        <f>ABEDULES!N17</f>
        <v/>
      </c>
      <c r="P95" s="2" t="str">
        <f>ABEDULES!O17</f>
        <v/>
      </c>
      <c r="Q95" s="2" t="str">
        <f>ABEDULES!P17</f>
        <v>-</v>
      </c>
      <c r="R95" s="2" t="str">
        <f>ABEDULES!Q17</f>
        <v>-</v>
      </c>
      <c r="S95" s="2" t="str">
        <f>ABEDULES!R17</f>
        <v>-</v>
      </c>
      <c r="T95" s="2" t="str">
        <f>ABEDULES!S17</f>
        <v>-</v>
      </c>
      <c r="U95" s="2" t="str">
        <f>ABEDULES!T17</f>
        <v>-</v>
      </c>
      <c r="V95" s="2" t="str">
        <f>ABEDULES!U17</f>
        <v>-</v>
      </c>
      <c r="W95" s="2" t="str">
        <f>ABEDULES!V17</f>
        <v>-</v>
      </c>
      <c r="X95" s="2" t="str">
        <f>ABEDULES!W17</f>
        <v>-</v>
      </c>
      <c r="Y95" s="2" t="str">
        <f>ABEDULES!X17</f>
        <v>-</v>
      </c>
      <c r="Z95" s="2" t="str">
        <f>ABEDULES!Y17</f>
        <v/>
      </c>
      <c r="AA95" s="2" t="str">
        <f>ABEDULES!Z17</f>
        <v/>
      </c>
      <c r="AB95" s="2">
        <f>ABEDULES!AA17</f>
        <v>4</v>
      </c>
      <c r="AC95" s="2">
        <f>ABEDULES!AB17</f>
        <v>4</v>
      </c>
      <c r="AD95" s="2">
        <f>ABEDULES!AC17</f>
        <v>4</v>
      </c>
      <c r="AE95" s="2">
        <f>ABEDULES!AD17</f>
        <v>3</v>
      </c>
      <c r="AF95" s="2">
        <f>ABEDULES!AE17</f>
        <v>4</v>
      </c>
      <c r="AG95" s="2">
        <f>ABEDULES!AF17</f>
        <v>4</v>
      </c>
      <c r="AH95" s="2">
        <f>ABEDULES!AG17</f>
        <v>4</v>
      </c>
      <c r="AI95" s="2">
        <f>ABEDULES!AH17</f>
        <v>4</v>
      </c>
      <c r="AJ95" s="2">
        <f>ABEDULES!AI17</f>
        <v>4</v>
      </c>
      <c r="AK95" s="2">
        <f>ABEDULES!AJ17</f>
        <v>3</v>
      </c>
      <c r="AL95" s="2">
        <f>ABEDULES!AK17</f>
        <v>3</v>
      </c>
      <c r="AM95" s="2">
        <f>ABEDULES!AL17</f>
        <v>2</v>
      </c>
      <c r="AN95" s="2">
        <f>ABEDULES!AM17</f>
        <v>2</v>
      </c>
      <c r="AO95" s="2">
        <f>ABEDULES!AN17</f>
        <v>2</v>
      </c>
      <c r="AP95" s="2">
        <f>ABEDULES!AO17</f>
        <v>3</v>
      </c>
      <c r="AQ95" s="2">
        <f>ABEDULES!AP17</f>
        <v>5</v>
      </c>
      <c r="AR95" s="2">
        <f>ABEDULES!AQ17</f>
        <v>3</v>
      </c>
      <c r="AS95" s="2">
        <f>ABEDULES!AR17</f>
        <v>1</v>
      </c>
      <c r="AT95" s="2" t="str">
        <f>ABEDULES!AS17</f>
        <v/>
      </c>
      <c r="AU95" s="2" t="str">
        <f>ABEDULES!AT17</f>
        <v/>
      </c>
      <c r="AV95" s="2" t="str">
        <f>ABEDULES!AU17</f>
        <v/>
      </c>
      <c r="AW95" s="2" t="str">
        <f>ABEDULES!AV17</f>
        <v/>
      </c>
      <c r="AX95" s="2" t="str">
        <f>ABEDULES!AW17</f>
        <v/>
      </c>
      <c r="AY95" s="2" t="str">
        <f>ABEDULES!AX17</f>
        <v/>
      </c>
      <c r="AZ95" s="2" t="str">
        <f>ABEDULES!AY17</f>
        <v/>
      </c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  <row r="96">
      <c r="A96" s="2"/>
      <c r="B96" s="2" t="str">
        <f>ABEDULES!A18</f>
        <v>Abedules </v>
      </c>
      <c r="C96" s="2" t="str">
        <f>ABEDULES!B18</f>
        <v>Aseo</v>
      </c>
      <c r="D96" s="2" t="str">
        <f>ABEDULES!C18</f>
        <v>Mopa Redonda</v>
      </c>
      <c r="E96" s="2" t="str">
        <f>ABEDULES!D18</f>
        <v/>
      </c>
      <c r="F96" s="2" t="str">
        <f>ABEDULES!E18</f>
        <v/>
      </c>
      <c r="G96" s="2" t="str">
        <f>ABEDULES!F18</f>
        <v/>
      </c>
      <c r="H96" s="2" t="str">
        <f>ABEDULES!G18</f>
        <v/>
      </c>
      <c r="I96" s="2" t="str">
        <f>ABEDULES!H18</f>
        <v/>
      </c>
      <c r="J96" s="2" t="str">
        <f>ABEDULES!I18</f>
        <v/>
      </c>
      <c r="K96" s="2" t="str">
        <f>ABEDULES!J18</f>
        <v/>
      </c>
      <c r="L96" s="2" t="str">
        <f>ABEDULES!K18</f>
        <v/>
      </c>
      <c r="M96" s="2" t="str">
        <f>ABEDULES!L18</f>
        <v/>
      </c>
      <c r="N96" s="2" t="str">
        <f>ABEDULES!M18</f>
        <v/>
      </c>
      <c r="O96" s="2" t="str">
        <f>ABEDULES!N18</f>
        <v/>
      </c>
      <c r="P96" s="2" t="str">
        <f>ABEDULES!O18</f>
        <v/>
      </c>
      <c r="Q96" s="2" t="str">
        <f>ABEDULES!P18</f>
        <v>-</v>
      </c>
      <c r="R96" s="2" t="str">
        <f>ABEDULES!Q18</f>
        <v>-</v>
      </c>
      <c r="S96" s="2" t="str">
        <f>ABEDULES!R18</f>
        <v>-</v>
      </c>
      <c r="T96" s="2" t="str">
        <f>ABEDULES!S18</f>
        <v>-</v>
      </c>
      <c r="U96" s="2" t="str">
        <f>ABEDULES!T18</f>
        <v>-</v>
      </c>
      <c r="V96" s="2" t="str">
        <f>ABEDULES!U18</f>
        <v>-</v>
      </c>
      <c r="W96" s="2" t="str">
        <f>ABEDULES!V18</f>
        <v>-</v>
      </c>
      <c r="X96" s="2" t="str">
        <f>ABEDULES!W18</f>
        <v>-</v>
      </c>
      <c r="Y96" s="2" t="str">
        <f>ABEDULES!X18</f>
        <v>-</v>
      </c>
      <c r="Z96" s="2" t="str">
        <f>ABEDULES!Y18</f>
        <v/>
      </c>
      <c r="AA96" s="2" t="str">
        <f>ABEDULES!Z18</f>
        <v/>
      </c>
      <c r="AB96" s="2">
        <f>ABEDULES!AA18</f>
        <v>6</v>
      </c>
      <c r="AC96" s="2">
        <f>ABEDULES!AB18</f>
        <v>6</v>
      </c>
      <c r="AD96" s="2">
        <f>ABEDULES!AC18</f>
        <v>5</v>
      </c>
      <c r="AE96" s="2">
        <f>ABEDULES!AD18</f>
        <v>4</v>
      </c>
      <c r="AF96" s="2">
        <f>ABEDULES!AE18</f>
        <v>3</v>
      </c>
      <c r="AG96" s="2">
        <f>ABEDULES!AF18</f>
        <v>5</v>
      </c>
      <c r="AH96" s="2">
        <f>ABEDULES!AG18</f>
        <v>4</v>
      </c>
      <c r="AI96" s="2">
        <f>ABEDULES!AH18</f>
        <v>4</v>
      </c>
      <c r="AJ96" s="2">
        <f>ABEDULES!AI18</f>
        <v>4</v>
      </c>
      <c r="AK96" s="2">
        <f>ABEDULES!AJ18</f>
        <v>4</v>
      </c>
      <c r="AL96" s="2">
        <f>ABEDULES!AK18</f>
        <v>3</v>
      </c>
      <c r="AM96" s="2">
        <f>ABEDULES!AL18</f>
        <v>2</v>
      </c>
      <c r="AN96" s="2">
        <f>ABEDULES!AM18</f>
        <v>2</v>
      </c>
      <c r="AO96" s="2">
        <f>ABEDULES!AN18</f>
        <v>2</v>
      </c>
      <c r="AP96" s="2">
        <f>ABEDULES!AO18</f>
        <v>3</v>
      </c>
      <c r="AQ96" s="2">
        <f>ABEDULES!AP18</f>
        <v>7</v>
      </c>
      <c r="AR96" s="2">
        <f>ABEDULES!AQ18</f>
        <v>5</v>
      </c>
      <c r="AS96" s="2">
        <f>ABEDULES!AR18</f>
        <v>3</v>
      </c>
      <c r="AT96" s="2" t="str">
        <f>ABEDULES!AS18</f>
        <v/>
      </c>
      <c r="AU96" s="2" t="str">
        <f>ABEDULES!AT18</f>
        <v/>
      </c>
      <c r="AV96" s="2" t="str">
        <f>ABEDULES!AU18</f>
        <v/>
      </c>
      <c r="AW96" s="2" t="str">
        <f>ABEDULES!AV18</f>
        <v/>
      </c>
      <c r="AX96" s="2" t="str">
        <f>ABEDULES!AW18</f>
        <v/>
      </c>
      <c r="AY96" s="2" t="str">
        <f>ABEDULES!AX18</f>
        <v/>
      </c>
      <c r="AZ96" s="2" t="str">
        <f>ABEDULES!AY18</f>
        <v/>
      </c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</row>
    <row r="98">
      <c r="A98" s="2"/>
      <c r="B98" s="2" t="str">
        <f>'ALTO EL GOLF'!A2</f>
        <v/>
      </c>
      <c r="C98" s="2" t="str">
        <f>'ALTO EL GOLF'!B2</f>
        <v/>
      </c>
      <c r="D98" s="14" t="str">
        <f>'ALTO EL GOLF'!C2</f>
        <v/>
      </c>
      <c r="E98" s="14">
        <f>'ALTO EL GOLF'!D2</f>
        <v>45811</v>
      </c>
      <c r="F98" s="14">
        <f>'ALTO EL GOLF'!E2</f>
        <v>45817</v>
      </c>
      <c r="G98" s="14">
        <f>'ALTO EL GOLF'!F2</f>
        <v>45824</v>
      </c>
      <c r="H98" s="14">
        <f>'ALTO EL GOLF'!G2</f>
        <v>45831</v>
      </c>
      <c r="I98" s="14">
        <f>'ALTO EL GOLF'!H2</f>
        <v>45838</v>
      </c>
      <c r="J98" s="14">
        <f>'ALTO EL GOLF'!I2</f>
        <v>45845</v>
      </c>
      <c r="K98" s="14">
        <f>'ALTO EL GOLF'!J2</f>
        <v>45852</v>
      </c>
      <c r="L98" s="14">
        <f>'ALTO EL GOLF'!K2</f>
        <v>45859</v>
      </c>
      <c r="M98" s="14">
        <f>'ALTO EL GOLF'!L2</f>
        <v>45866</v>
      </c>
      <c r="N98" s="14">
        <f>'ALTO EL GOLF'!M2</f>
        <v>45873</v>
      </c>
      <c r="O98" s="14">
        <f>'ALTO EL GOLF'!N2</f>
        <v>45880</v>
      </c>
      <c r="P98" s="14">
        <f>'ALTO EL GOLF'!O2</f>
        <v>45887</v>
      </c>
      <c r="Q98" s="14">
        <f>'ALTO EL GOLF'!P2</f>
        <v>45894</v>
      </c>
      <c r="R98" s="14">
        <f>'ALTO EL GOLF'!Q2</f>
        <v>45901</v>
      </c>
      <c r="S98" s="14">
        <f>'ALTO EL GOLF'!R2</f>
        <v>45908</v>
      </c>
      <c r="T98" s="14">
        <f>'ALTO EL GOLF'!S2</f>
        <v>45915</v>
      </c>
      <c r="U98" s="14">
        <f>'ALTO EL GOLF'!T2</f>
        <v>45922</v>
      </c>
      <c r="V98" s="14">
        <f>'ALTO EL GOLF'!U2</f>
        <v>45929</v>
      </c>
      <c r="W98" s="14">
        <f>'ALTO EL GOLF'!V2</f>
        <v>45936</v>
      </c>
      <c r="X98" s="14">
        <f>'ALTO EL GOLF'!W2</f>
        <v>45943</v>
      </c>
      <c r="Y98" s="14">
        <f>'ALTO EL GOLF'!X2</f>
        <v>45950</v>
      </c>
      <c r="Z98" s="14">
        <f>'ALTO EL GOLF'!Y2</f>
        <v>45957</v>
      </c>
      <c r="AA98" s="14">
        <f>'ALTO EL GOLF'!Z2</f>
        <v>45964</v>
      </c>
      <c r="AB98" s="14">
        <f>'ALTO EL GOLF'!AA2</f>
        <v>45971</v>
      </c>
      <c r="AC98" s="14">
        <f>'ALTO EL GOLF'!AB2</f>
        <v>45979</v>
      </c>
      <c r="AD98" s="14">
        <f>'ALTO EL GOLF'!AC2</f>
        <v>45981</v>
      </c>
      <c r="AE98" s="14">
        <f>'ALTO EL GOLF'!AD2</f>
        <v>45985</v>
      </c>
      <c r="AF98" s="14">
        <f>'ALTO EL GOLF'!AE2</f>
        <v>45993</v>
      </c>
      <c r="AG98" s="14">
        <f>'ALTO EL GOLF'!AF2</f>
        <v>45995</v>
      </c>
      <c r="AH98" s="14">
        <f>'ALTO EL GOLF'!AG2</f>
        <v>46000</v>
      </c>
      <c r="AI98" s="14">
        <f>'ALTO EL GOLF'!AH2</f>
        <v>46002</v>
      </c>
      <c r="AJ98" s="14">
        <f>'ALTO EL GOLF'!AI2</f>
        <v>46006</v>
      </c>
      <c r="AK98" s="14">
        <f>'ALTO EL GOLF'!AJ2</f>
        <v>46009</v>
      </c>
      <c r="AL98" s="14">
        <f>'ALTO EL GOLF'!AK2</f>
        <v>46013</v>
      </c>
      <c r="AM98" s="14">
        <f>'ALTO EL GOLF'!AL2</f>
        <v>46020</v>
      </c>
      <c r="AN98" s="14">
        <f>'ALTO EL GOLF'!AM2</f>
        <v>46027</v>
      </c>
      <c r="AO98" s="14">
        <f>'ALTO EL GOLF'!AN2</f>
        <v>46030</v>
      </c>
      <c r="AP98" s="14">
        <f>'ALTO EL GOLF'!AO2</f>
        <v>46034</v>
      </c>
      <c r="AQ98" s="14">
        <f>'ALTO EL GOLF'!AP2</f>
        <v>46037</v>
      </c>
      <c r="AR98" s="14">
        <f>'ALTO EL GOLF'!AQ2</f>
        <v>46041</v>
      </c>
      <c r="AS98" s="14">
        <f>'ALTO EL GOLF'!AR2</f>
        <v>46044</v>
      </c>
      <c r="AT98" s="14">
        <f>'ALTO EL GOLF'!AS2</f>
        <v>46049</v>
      </c>
      <c r="AU98" s="14">
        <f>'ALTO EL GOLF'!AT2</f>
        <v>46051</v>
      </c>
      <c r="AV98" s="14">
        <f>'ALTO EL GOLF'!AU2</f>
        <v>46055</v>
      </c>
      <c r="AW98" s="14">
        <f>'ALTO EL GOLF'!AV2</f>
        <v>46058</v>
      </c>
      <c r="AX98" s="14">
        <f>'ALTO EL GOLF'!AW2</f>
        <v>46062</v>
      </c>
      <c r="AY98" s="14">
        <f>'ALTO EL GOLF'!AX2</f>
        <v>46065</v>
      </c>
      <c r="AZ98" s="14">
        <f>'ALTO EL GOLF'!AY2</f>
        <v>46069</v>
      </c>
      <c r="BA98" s="14">
        <f>'ALTO EL GOLF'!AZ2</f>
        <v>46072</v>
      </c>
      <c r="BB98" s="14">
        <f>'ALTO EL GOLF'!BA2</f>
        <v>46076</v>
      </c>
      <c r="BC98" s="14">
        <f>'ALTO EL GOLF'!BB2</f>
        <v>46086</v>
      </c>
      <c r="BD98" s="14">
        <f>'ALTO EL GOLF'!BC2</f>
        <v>46090</v>
      </c>
      <c r="BE98" s="14">
        <f>'ALTO EL GOLF'!BD2</f>
        <v>46093</v>
      </c>
      <c r="BF98" s="14">
        <f>'ALTO EL GOLF'!BE2</f>
        <v>46097</v>
      </c>
      <c r="BG98" s="14">
        <f>'ALTO EL GOLF'!BF2</f>
        <v>46100</v>
      </c>
      <c r="BH98" s="14">
        <f>'ALTO EL GOLF'!BG2</f>
        <v>46104</v>
      </c>
      <c r="BI98" s="14" t="str">
        <f>'ALTO EL GOLF'!BH2</f>
        <v/>
      </c>
      <c r="BJ98" s="14" t="str">
        <f>'ALTO EL GOLF'!BI2</f>
        <v/>
      </c>
      <c r="BK98" s="14" t="str">
        <f>'ALTO EL GOLF'!BJ2</f>
        <v/>
      </c>
      <c r="BL98" s="14" t="str">
        <f>'ALTO EL GOLF'!BK2</f>
        <v/>
      </c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</row>
    <row r="99">
      <c r="A99" s="2"/>
      <c r="B99" s="2" t="str">
        <f>'ALTO EL GOLF'!A3</f>
        <v>Sede</v>
      </c>
      <c r="C99" s="2" t="str">
        <f>'ALTO EL GOLF'!B3</f>
        <v>Proveedor</v>
      </c>
      <c r="D99" s="2" t="str">
        <f>'ALTO EL GOLF'!C3</f>
        <v>Producto</v>
      </c>
      <c r="E99" s="2" t="str">
        <f>'ALTO EL GOLF'!D3</f>
        <v>Stock Actual</v>
      </c>
      <c r="F99" s="2" t="str">
        <f>'ALTO EL GOLF'!E3</f>
        <v>Stock Actual</v>
      </c>
      <c r="G99" s="2" t="str">
        <f>'ALTO EL GOLF'!F3</f>
        <v>Stock Actual</v>
      </c>
      <c r="H99" s="2" t="str">
        <f>'ALTO EL GOLF'!G3</f>
        <v>Stock Actual</v>
      </c>
      <c r="I99" s="2" t="str">
        <f>'ALTO EL GOLF'!H3</f>
        <v>Stock Actual</v>
      </c>
      <c r="J99" s="2" t="str">
        <f>'ALTO EL GOLF'!I3</f>
        <v>Stock Actual</v>
      </c>
      <c r="K99" s="2" t="str">
        <f>'ALTO EL GOLF'!J3</f>
        <v>Stock Actual</v>
      </c>
      <c r="L99" s="2" t="str">
        <f>'ALTO EL GOLF'!K3</f>
        <v>Stock Actual</v>
      </c>
      <c r="M99" s="2" t="str">
        <f>'ALTO EL GOLF'!L3</f>
        <v>Stock Actual</v>
      </c>
      <c r="N99" s="2" t="str">
        <f>'ALTO EL GOLF'!M3</f>
        <v>Stock Actual</v>
      </c>
      <c r="O99" s="2" t="str">
        <f>'ALTO EL GOLF'!N3</f>
        <v>Stock Actual</v>
      </c>
      <c r="P99" s="2" t="str">
        <f>'ALTO EL GOLF'!O3</f>
        <v>Stock Actual</v>
      </c>
      <c r="Q99" s="2" t="str">
        <f>'ALTO EL GOLF'!P3</f>
        <v>Stock Actual</v>
      </c>
      <c r="R99" s="2" t="str">
        <f>'ALTO EL GOLF'!Q3</f>
        <v>Stock Actual</v>
      </c>
      <c r="S99" s="2" t="str">
        <f>'ALTO EL GOLF'!R3</f>
        <v>Stock Actual</v>
      </c>
      <c r="T99" s="2" t="str">
        <f>'ALTO EL GOLF'!S3</f>
        <v>Stock Actual</v>
      </c>
      <c r="U99" s="2" t="str">
        <f>'ALTO EL GOLF'!T3</f>
        <v>Stock Actual</v>
      </c>
      <c r="V99" s="2" t="str">
        <f>'ALTO EL GOLF'!U3</f>
        <v>Stock Actual</v>
      </c>
      <c r="W99" s="2" t="str">
        <f>'ALTO EL GOLF'!V3</f>
        <v>Stock Actual</v>
      </c>
      <c r="X99" s="2" t="str">
        <f>'ALTO EL GOLF'!W3</f>
        <v>Stock Actual</v>
      </c>
      <c r="Y99" s="2" t="str">
        <f>'ALTO EL GOLF'!X3</f>
        <v>Stock Actual</v>
      </c>
      <c r="Z99" s="2" t="str">
        <f>'ALTO EL GOLF'!Y3</f>
        <v>Stock Actual</v>
      </c>
      <c r="AA99" s="2" t="str">
        <f>'ALTO EL GOLF'!Z3</f>
        <v>Stock Actual</v>
      </c>
      <c r="AB99" s="2" t="str">
        <f>'ALTO EL GOLF'!AA3</f>
        <v>Stock Actual</v>
      </c>
      <c r="AC99" s="2" t="str">
        <f>'ALTO EL GOLF'!AB3</f>
        <v>Stock Actual</v>
      </c>
      <c r="AD99" s="2" t="str">
        <f>'ALTO EL GOLF'!AC3</f>
        <v>Stock Actual</v>
      </c>
      <c r="AE99" s="2" t="str">
        <f>'ALTO EL GOLF'!AD3</f>
        <v>Stock Actual</v>
      </c>
      <c r="AF99" s="2" t="str">
        <f>'ALTO EL GOLF'!AE3</f>
        <v>Stock Actual</v>
      </c>
      <c r="AG99" s="2" t="str">
        <f>'ALTO EL GOLF'!AF3</f>
        <v>Stock Actual</v>
      </c>
      <c r="AH99" s="2" t="str">
        <f>'ALTO EL GOLF'!AG3</f>
        <v>Stock Actual</v>
      </c>
      <c r="AI99" s="2" t="str">
        <f>'ALTO EL GOLF'!AH3</f>
        <v>Stock Actual</v>
      </c>
      <c r="AJ99" s="2" t="str">
        <f>'ALTO EL GOLF'!AI3</f>
        <v>Stock Actual</v>
      </c>
      <c r="AK99" s="2" t="str">
        <f>'ALTO EL GOLF'!AJ3</f>
        <v>Stock Actual</v>
      </c>
      <c r="AL99" s="2" t="str">
        <f>'ALTO EL GOLF'!AK3</f>
        <v>Stock Actual</v>
      </c>
      <c r="AM99" s="2" t="str">
        <f>'ALTO EL GOLF'!AL3</f>
        <v>Stock Actual</v>
      </c>
      <c r="AN99" s="2" t="str">
        <f>'ALTO EL GOLF'!AM3</f>
        <v>Stock Actual</v>
      </c>
      <c r="AO99" s="2" t="str">
        <f>'ALTO EL GOLF'!AN3</f>
        <v>Stock Actual</v>
      </c>
      <c r="AP99" s="2" t="str">
        <f>'ALTO EL GOLF'!AO3</f>
        <v>Stock Actual</v>
      </c>
      <c r="AQ99" s="2" t="str">
        <f>'ALTO EL GOLF'!AP3</f>
        <v>Stock Actual</v>
      </c>
      <c r="AR99" s="2" t="str">
        <f>'ALTO EL GOLF'!AQ3</f>
        <v>Stock Actual</v>
      </c>
      <c r="AS99" s="2" t="str">
        <f>'ALTO EL GOLF'!AR3</f>
        <v>Stock Actual</v>
      </c>
      <c r="AT99" s="2" t="str">
        <f>'ALTO EL GOLF'!AS3</f>
        <v>Stock Actual</v>
      </c>
      <c r="AU99" s="2" t="str">
        <f>'ALTO EL GOLF'!AT3</f>
        <v>Stock Actual</v>
      </c>
      <c r="AV99" s="2" t="str">
        <f>'ALTO EL GOLF'!AU3</f>
        <v>Stock Actual</v>
      </c>
      <c r="AW99" s="2" t="str">
        <f>'ALTO EL GOLF'!AV3</f>
        <v>Stock Actual</v>
      </c>
      <c r="AX99" s="2" t="str">
        <f>'ALTO EL GOLF'!AW3</f>
        <v>Stock Actual</v>
      </c>
      <c r="AY99" s="2" t="str">
        <f>'ALTO EL GOLF'!AX3</f>
        <v>Stock Actual</v>
      </c>
      <c r="AZ99" s="2" t="str">
        <f>'ALTO EL GOLF'!AY3</f>
        <v>Stock Actual</v>
      </c>
      <c r="BA99" s="2" t="str">
        <f>'ALTO EL GOLF'!AZ3</f>
        <v>Stock Actual</v>
      </c>
      <c r="BB99" s="2" t="str">
        <f>'ALTO EL GOLF'!BA3</f>
        <v>Stock Actual</v>
      </c>
      <c r="BC99" s="2" t="str">
        <f>'ALTO EL GOLF'!BB3</f>
        <v>Stock Actual</v>
      </c>
      <c r="BD99" s="2" t="str">
        <f>'ALTO EL GOLF'!BC3</f>
        <v>Stock Actual</v>
      </c>
      <c r="BE99" s="2" t="str">
        <f>'ALTO EL GOLF'!BD3</f>
        <v>Stock Actual</v>
      </c>
      <c r="BF99" s="2" t="str">
        <f>'ALTO EL GOLF'!BE3</f>
        <v>Stock Actual</v>
      </c>
      <c r="BG99" s="2" t="str">
        <f>'ALTO EL GOLF'!BF3</f>
        <v>Stock Actual</v>
      </c>
      <c r="BH99" s="2" t="str">
        <f>'ALTO EL GOLF'!BG3</f>
        <v>Stock Actual</v>
      </c>
      <c r="BI99" s="2" t="str">
        <f>'ALTO EL GOLF'!BH3</f>
        <v/>
      </c>
      <c r="BJ99" s="2" t="str">
        <f>'ALTO EL GOLF'!BI3</f>
        <v/>
      </c>
      <c r="BK99" s="2" t="str">
        <f>'ALTO EL GOLF'!BJ3</f>
        <v/>
      </c>
      <c r="BL99" s="2" t="str">
        <f>'ALTO EL GOLF'!BK3</f>
        <v/>
      </c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</row>
    <row r="100">
      <c r="A100" s="2"/>
      <c r="B100" s="2" t="str">
        <f>'ALTO EL GOLF'!A4</f>
        <v>Alto el Golf</v>
      </c>
      <c r="C100" s="2" t="str">
        <f>'ALTO EL GOLF'!B4</f>
        <v>Cafe Caribe</v>
      </c>
      <c r="D100" s="2" t="str">
        <f>'ALTO EL GOLF'!C4</f>
        <v>Cafe Grano (KG)</v>
      </c>
      <c r="E100" s="2">
        <f>'ALTO EL GOLF'!D4</f>
        <v>6</v>
      </c>
      <c r="F100" s="2">
        <f>'ALTO EL GOLF'!E4</f>
        <v>5</v>
      </c>
      <c r="G100" s="2">
        <f>'ALTO EL GOLF'!F4</f>
        <v>10</v>
      </c>
      <c r="H100" s="2">
        <f>'ALTO EL GOLF'!G4</f>
        <v>7</v>
      </c>
      <c r="I100" s="2">
        <f>'ALTO EL GOLF'!H4</f>
        <v>7</v>
      </c>
      <c r="J100" s="2">
        <f>'ALTO EL GOLF'!I4</f>
        <v>5</v>
      </c>
      <c r="K100" s="2">
        <f>'ALTO EL GOLF'!J4</f>
        <v>5</v>
      </c>
      <c r="L100" s="2">
        <f>'ALTO EL GOLF'!K4</f>
        <v>2</v>
      </c>
      <c r="M100" s="2">
        <f>'ALTO EL GOLF'!L4</f>
        <v>0</v>
      </c>
      <c r="N100" s="2">
        <f>'ALTO EL GOLF'!M4</f>
        <v>9</v>
      </c>
      <c r="O100" s="2">
        <f>'ALTO EL GOLF'!N4</f>
        <v>5</v>
      </c>
      <c r="P100" s="2">
        <f>'ALTO EL GOLF'!O4</f>
        <v>4</v>
      </c>
      <c r="Q100" s="2">
        <f>'ALTO EL GOLF'!P4</f>
        <v>3</v>
      </c>
      <c r="R100" s="2">
        <f>'ALTO EL GOLF'!Q4</f>
        <v>1.5</v>
      </c>
      <c r="S100" s="2">
        <f>'ALTO EL GOLF'!R4</f>
        <v>0</v>
      </c>
      <c r="T100" s="2">
        <f>'ALTO EL GOLF'!S4</f>
        <v>8</v>
      </c>
      <c r="U100" s="2">
        <f>'ALTO EL GOLF'!T4</f>
        <v>5</v>
      </c>
      <c r="V100" s="2">
        <f>'ALTO EL GOLF'!U4</f>
        <v>5</v>
      </c>
      <c r="W100" s="2">
        <f>'ALTO EL GOLF'!V4</f>
        <v>2</v>
      </c>
      <c r="X100" s="2">
        <f>'ALTO EL GOLF'!W4</f>
        <v>8</v>
      </c>
      <c r="Y100" s="2">
        <f>'ALTO EL GOLF'!X4</f>
        <v>8</v>
      </c>
      <c r="Z100" s="2">
        <f>'ALTO EL GOLF'!Y4</f>
        <v>7</v>
      </c>
      <c r="AA100" s="2">
        <f>'ALTO EL GOLF'!Z4</f>
        <v>5</v>
      </c>
      <c r="AB100" s="2">
        <f>'ALTO EL GOLF'!AA4</f>
        <v>12</v>
      </c>
      <c r="AC100" s="2">
        <f>'ALTO EL GOLF'!AB4</f>
        <v>8</v>
      </c>
      <c r="AD100" s="2">
        <f>'ALTO EL GOLF'!AC4</f>
        <v>8</v>
      </c>
      <c r="AE100" s="2">
        <f>'ALTO EL GOLF'!AD4</f>
        <v>6</v>
      </c>
      <c r="AF100" s="2">
        <f>'ALTO EL GOLF'!AE4</f>
        <v>3</v>
      </c>
      <c r="AG100" s="2">
        <f>'ALTO EL GOLF'!AF4</f>
        <v>11</v>
      </c>
      <c r="AH100" s="2">
        <f>'ALTO EL GOLF'!AG4</f>
        <v>11</v>
      </c>
      <c r="AI100" s="2">
        <f>'ALTO EL GOLF'!AH4</f>
        <v>9</v>
      </c>
      <c r="AJ100" s="2">
        <f>'ALTO EL GOLF'!AI4</f>
        <v>8</v>
      </c>
      <c r="AK100" s="2">
        <f>'ALTO EL GOLF'!AJ4</f>
        <v>5</v>
      </c>
      <c r="AL100" s="2">
        <f>'ALTO EL GOLF'!AK4</f>
        <v>9</v>
      </c>
      <c r="AM100" s="2">
        <f>'ALTO EL GOLF'!AL4</f>
        <v>8</v>
      </c>
      <c r="AN100" s="2">
        <f>'ALTO EL GOLF'!AM4</f>
        <v>8</v>
      </c>
      <c r="AO100" s="2">
        <f>'ALTO EL GOLF'!AN4</f>
        <v>7</v>
      </c>
      <c r="AP100" s="2">
        <f>'ALTO EL GOLF'!AO4</f>
        <v>5</v>
      </c>
      <c r="AQ100" s="2">
        <f>'ALTO EL GOLF'!AP4</f>
        <v>3</v>
      </c>
      <c r="AR100" s="2">
        <f>'ALTO EL GOLF'!AQ4</f>
        <v>1</v>
      </c>
      <c r="AS100" s="2">
        <f>'ALTO EL GOLF'!AR4</f>
        <v>3</v>
      </c>
      <c r="AT100" s="2">
        <f>'ALTO EL GOLF'!AS4</f>
        <v>1.5</v>
      </c>
      <c r="AU100" s="2">
        <f>'ALTO EL GOLF'!AT4</f>
        <v>10</v>
      </c>
      <c r="AV100" s="2">
        <f>'ALTO EL GOLF'!AU4</f>
        <v>10</v>
      </c>
      <c r="AW100" s="2">
        <f>'ALTO EL GOLF'!AV4</f>
        <v>8</v>
      </c>
      <c r="AX100" s="2">
        <f>'ALTO EL GOLF'!AW4</f>
        <v>7</v>
      </c>
      <c r="AY100" s="2">
        <f>'ALTO EL GOLF'!AX4</f>
        <v>4</v>
      </c>
      <c r="AZ100" s="2">
        <f>'ALTO EL GOLF'!AY4</f>
        <v>9</v>
      </c>
      <c r="BA100" s="2">
        <f>'ALTO EL GOLF'!AZ4</f>
        <v>9</v>
      </c>
      <c r="BB100" s="2">
        <f>'ALTO EL GOLF'!BA4</f>
        <v>8</v>
      </c>
      <c r="BC100" s="2">
        <f>'ALTO EL GOLF'!BB4</f>
        <v>17</v>
      </c>
      <c r="BD100" s="2">
        <f>'ALTO EL GOLF'!BC4</f>
        <v>17</v>
      </c>
      <c r="BE100" s="2">
        <f>'ALTO EL GOLF'!BD4</f>
        <v>15</v>
      </c>
      <c r="BF100" s="2">
        <f>'ALTO EL GOLF'!BE4</f>
        <v>15</v>
      </c>
      <c r="BG100" s="2">
        <f>'ALTO EL GOLF'!BF4</f>
        <v>14</v>
      </c>
      <c r="BH100" s="2">
        <f>'ALTO EL GOLF'!BG4</f>
        <v>12</v>
      </c>
      <c r="BI100" s="2" t="str">
        <f>'ALTO EL GOLF'!BH4</f>
        <v/>
      </c>
      <c r="BJ100" s="2" t="str">
        <f>'ALTO EL GOLF'!BI4</f>
        <v/>
      </c>
      <c r="BK100" s="2" t="str">
        <f>'ALTO EL GOLF'!BJ4</f>
        <v/>
      </c>
      <c r="BL100" s="2" t="str">
        <f>'ALTO EL GOLF'!BK4</f>
        <v/>
      </c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</row>
    <row r="101">
      <c r="A101" s="2"/>
      <c r="B101" s="2" t="str">
        <f>'ALTO EL GOLF'!A5</f>
        <v>Alto el Golf</v>
      </c>
      <c r="C101" s="2" t="str">
        <f>'ALTO EL GOLF'!B5</f>
        <v>Cafeteria</v>
      </c>
      <c r="D101" s="2" t="str">
        <f>'ALTO EL GOLF'!C5</f>
        <v>Toalla de Papel Jumbo (UN)</v>
      </c>
      <c r="E101" s="2">
        <f>'ALTO EL GOLF'!D5</f>
        <v>10</v>
      </c>
      <c r="F101" s="2">
        <f>'ALTO EL GOLF'!E5</f>
        <v>9</v>
      </c>
      <c r="G101" s="2">
        <f>'ALTO EL GOLF'!F5</f>
        <v>9</v>
      </c>
      <c r="H101" s="2">
        <f>'ALTO EL GOLF'!G5</f>
        <v>8</v>
      </c>
      <c r="I101" s="2">
        <f>'ALTO EL GOLF'!H5</f>
        <v>8</v>
      </c>
      <c r="J101" s="2">
        <f>'ALTO EL GOLF'!I5</f>
        <v>10</v>
      </c>
      <c r="K101" s="2">
        <f>'ALTO EL GOLF'!J5</f>
        <v>8</v>
      </c>
      <c r="L101" s="2">
        <f>'ALTO EL GOLF'!K5</f>
        <v>8</v>
      </c>
      <c r="M101" s="2">
        <f>'ALTO EL GOLF'!L5</f>
        <v>10</v>
      </c>
      <c r="N101" s="2">
        <f>'ALTO EL GOLF'!M5</f>
        <v>8</v>
      </c>
      <c r="O101" s="2">
        <f>'ALTO EL GOLF'!N5</f>
        <v>14</v>
      </c>
      <c r="P101" s="2">
        <f>'ALTO EL GOLF'!O5</f>
        <v>12</v>
      </c>
      <c r="Q101" s="2">
        <f>'ALTO EL GOLF'!P5</f>
        <v>12</v>
      </c>
      <c r="R101" s="2">
        <f>'ALTO EL GOLF'!Q5</f>
        <v>10</v>
      </c>
      <c r="S101" s="2">
        <f>'ALTO EL GOLF'!R5</f>
        <v>10</v>
      </c>
      <c r="T101" s="2">
        <f>'ALTO EL GOLF'!S5</f>
        <v>8</v>
      </c>
      <c r="U101" s="2">
        <f>'ALTO EL GOLF'!T5</f>
        <v>6</v>
      </c>
      <c r="V101" s="2">
        <f>'ALTO EL GOLF'!U5</f>
        <v>14</v>
      </c>
      <c r="W101" s="2">
        <f>'ALTO EL GOLF'!V5</f>
        <v>13</v>
      </c>
      <c r="X101" s="2">
        <f>'ALTO EL GOLF'!W5</f>
        <v>12</v>
      </c>
      <c r="Y101" s="2">
        <f>'ALTO EL GOLF'!X5</f>
        <v>6</v>
      </c>
      <c r="Z101" s="2">
        <f>'ALTO EL GOLF'!Y5</f>
        <v>12</v>
      </c>
      <c r="AA101" s="2">
        <f>'ALTO EL GOLF'!Z5</f>
        <v>12</v>
      </c>
      <c r="AB101" s="2">
        <f>'ALTO EL GOLF'!AA5</f>
        <v>14</v>
      </c>
      <c r="AC101" s="2">
        <f>'ALTO EL GOLF'!AB5</f>
        <v>10</v>
      </c>
      <c r="AD101" s="2">
        <f>'ALTO EL GOLF'!AC5</f>
        <v>10</v>
      </c>
      <c r="AE101" s="2">
        <f>'ALTO EL GOLF'!AD5</f>
        <v>10</v>
      </c>
      <c r="AF101" s="2">
        <f>'ALTO EL GOLF'!AE5</f>
        <v>8</v>
      </c>
      <c r="AG101" s="2">
        <f>'ALTO EL GOLF'!AF5</f>
        <v>6</v>
      </c>
      <c r="AH101" s="2">
        <f>'ALTO EL GOLF'!AG5</f>
        <v>6</v>
      </c>
      <c r="AI101" s="2">
        <f>'ALTO EL GOLF'!AH5</f>
        <v>6</v>
      </c>
      <c r="AJ101" s="2">
        <f>'ALTO EL GOLF'!AI5</f>
        <v>4</v>
      </c>
      <c r="AK101" s="2">
        <f>'ALTO EL GOLF'!AJ5</f>
        <v>3</v>
      </c>
      <c r="AL101" s="2">
        <f>'ALTO EL GOLF'!AK5</f>
        <v>6</v>
      </c>
      <c r="AM101" s="2">
        <f>'ALTO EL GOLF'!AL5</f>
        <v>6</v>
      </c>
      <c r="AN101" s="2">
        <f>'ALTO EL GOLF'!AM5</f>
        <v>6</v>
      </c>
      <c r="AO101" s="2">
        <f>'ALTO EL GOLF'!AN5</f>
        <v>5</v>
      </c>
      <c r="AP101" s="2">
        <f>'ALTO EL GOLF'!AO5</f>
        <v>4</v>
      </c>
      <c r="AQ101" s="2">
        <f>'ALTO EL GOLF'!AP5</f>
        <v>8</v>
      </c>
      <c r="AR101" s="2">
        <f>'ALTO EL GOLF'!AQ5</f>
        <v>8</v>
      </c>
      <c r="AS101" s="2">
        <f>'ALTO EL GOLF'!AR5</f>
        <v>7</v>
      </c>
      <c r="AT101" s="2">
        <f>'ALTO EL GOLF'!AS5</f>
        <v>6</v>
      </c>
      <c r="AU101" s="2">
        <f>'ALTO EL GOLF'!AT5</f>
        <v>5</v>
      </c>
      <c r="AV101" s="2">
        <f>'ALTO EL GOLF'!AU5</f>
        <v>5</v>
      </c>
      <c r="AW101" s="2">
        <f>'ALTO EL GOLF'!AV5</f>
        <v>3</v>
      </c>
      <c r="AX101" s="2">
        <f>'ALTO EL GOLF'!AW5</f>
        <v>2</v>
      </c>
      <c r="AY101" s="2">
        <f>'ALTO EL GOLF'!AX5</f>
        <v>5</v>
      </c>
      <c r="AZ101" s="2">
        <f>'ALTO EL GOLF'!AY5</f>
        <v>4</v>
      </c>
      <c r="BA101" s="2">
        <f>'ALTO EL GOLF'!AZ5</f>
        <v>5</v>
      </c>
      <c r="BB101" s="2">
        <f>'ALTO EL GOLF'!BA5</f>
        <v>4</v>
      </c>
      <c r="BC101" s="2">
        <f>'ALTO EL GOLF'!BB5</f>
        <v>5</v>
      </c>
      <c r="BD101" s="2">
        <f>'ALTO EL GOLF'!BC5</f>
        <v>5</v>
      </c>
      <c r="BE101" s="2">
        <f>'ALTO EL GOLF'!BD5</f>
        <v>6</v>
      </c>
      <c r="BF101" s="2">
        <f>'ALTO EL GOLF'!BE5</f>
        <v>6</v>
      </c>
      <c r="BG101" s="2">
        <f>'ALTO EL GOLF'!BF5</f>
        <v>5</v>
      </c>
      <c r="BH101" s="2">
        <f>'ALTO EL GOLF'!BG5</f>
        <v>4</v>
      </c>
      <c r="BI101" s="2" t="str">
        <f>'ALTO EL GOLF'!BH5</f>
        <v/>
      </c>
      <c r="BJ101" s="2" t="str">
        <f>'ALTO EL GOLF'!BI5</f>
        <v/>
      </c>
      <c r="BK101" s="2" t="str">
        <f>'ALTO EL GOLF'!BJ5</f>
        <v/>
      </c>
      <c r="BL101" s="2" t="str">
        <f>'ALTO EL GOLF'!BK5</f>
        <v/>
      </c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</row>
    <row r="102">
      <c r="A102" s="2"/>
      <c r="B102" s="2" t="str">
        <f>'ALTO EL GOLF'!A6</f>
        <v>Alto el Golf</v>
      </c>
      <c r="C102" s="2" t="str">
        <f>'ALTO EL GOLF'!B6</f>
        <v>Cafeteria</v>
      </c>
      <c r="D102" s="2" t="str">
        <f>'ALTO EL GOLF'!C6</f>
        <v>Papel Higienico (UN)</v>
      </c>
      <c r="E102" s="2">
        <f>'ALTO EL GOLF'!D6</f>
        <v>16</v>
      </c>
      <c r="F102" s="2">
        <f>'ALTO EL GOLF'!E6</f>
        <v>14</v>
      </c>
      <c r="G102" s="2">
        <f>'ALTO EL GOLF'!F6</f>
        <v>12</v>
      </c>
      <c r="H102" s="2">
        <f>'ALTO EL GOLF'!G6</f>
        <v>8</v>
      </c>
      <c r="I102" s="2">
        <f>'ALTO EL GOLF'!H6</f>
        <v>4</v>
      </c>
      <c r="J102" s="2">
        <f>'ALTO EL GOLF'!I6</f>
        <v>28</v>
      </c>
      <c r="K102" s="2">
        <f>'ALTO EL GOLF'!J6</f>
        <v>28</v>
      </c>
      <c r="L102" s="2">
        <f>'ALTO EL GOLF'!K6</f>
        <v>24</v>
      </c>
      <c r="M102" s="2">
        <f>'ALTO EL GOLF'!L6</f>
        <v>20</v>
      </c>
      <c r="N102" s="2">
        <f>'ALTO EL GOLF'!M6</f>
        <v>16</v>
      </c>
      <c r="O102" s="2">
        <f>'ALTO EL GOLF'!N6</f>
        <v>8</v>
      </c>
      <c r="P102" s="2">
        <f>'ALTO EL GOLF'!O6</f>
        <v>20</v>
      </c>
      <c r="Q102" s="2">
        <f>'ALTO EL GOLF'!P6</f>
        <v>16</v>
      </c>
      <c r="R102" s="2">
        <f>'ALTO EL GOLF'!Q6</f>
        <v>16</v>
      </c>
      <c r="S102" s="2">
        <f>'ALTO EL GOLF'!R6</f>
        <v>14</v>
      </c>
      <c r="T102" s="2">
        <f>'ALTO EL GOLF'!S6</f>
        <v>8</v>
      </c>
      <c r="U102" s="2">
        <f>'ALTO EL GOLF'!T6</f>
        <v>8</v>
      </c>
      <c r="V102" s="2">
        <f>'ALTO EL GOLF'!U6</f>
        <v>20</v>
      </c>
      <c r="W102" s="2">
        <f>'ALTO EL GOLF'!V6</f>
        <v>20</v>
      </c>
      <c r="X102" s="2">
        <f>'ALTO EL GOLF'!W6</f>
        <v>16</v>
      </c>
      <c r="Y102" s="2">
        <f>'ALTO EL GOLF'!X6</f>
        <v>12</v>
      </c>
      <c r="Z102" s="2">
        <f>'ALTO EL GOLF'!Y6</f>
        <v>24</v>
      </c>
      <c r="AA102" s="2">
        <f>'ALTO EL GOLF'!Z6</f>
        <v>24</v>
      </c>
      <c r="AB102" s="2">
        <f>'ALTO EL GOLF'!AA6</f>
        <v>28</v>
      </c>
      <c r="AC102" s="2">
        <f>'ALTO EL GOLF'!AB6</f>
        <v>32</v>
      </c>
      <c r="AD102" s="2">
        <f>'ALTO EL GOLF'!AC6</f>
        <v>32</v>
      </c>
      <c r="AE102" s="2">
        <f>'ALTO EL GOLF'!AD6</f>
        <v>28</v>
      </c>
      <c r="AF102" s="2">
        <f>'ALTO EL GOLF'!AE6</f>
        <v>24</v>
      </c>
      <c r="AG102" s="2">
        <f>'ALTO EL GOLF'!AF6</f>
        <v>24</v>
      </c>
      <c r="AH102" s="2">
        <f>'ALTO EL GOLF'!AG6</f>
        <v>24</v>
      </c>
      <c r="AI102" s="2">
        <f>'ALTO EL GOLF'!AH6</f>
        <v>20</v>
      </c>
      <c r="AJ102" s="2">
        <f>'ALTO EL GOLF'!AI6</f>
        <v>20</v>
      </c>
      <c r="AK102" s="2">
        <f>'ALTO EL GOLF'!AJ6</f>
        <v>16</v>
      </c>
      <c r="AL102" s="2">
        <f>'ALTO EL GOLF'!AK6</f>
        <v>24</v>
      </c>
      <c r="AM102" s="2">
        <f>'ALTO EL GOLF'!AL6</f>
        <v>20</v>
      </c>
      <c r="AN102" s="2">
        <f>'ALTO EL GOLF'!AM6</f>
        <v>20</v>
      </c>
      <c r="AO102" s="2">
        <f>'ALTO EL GOLF'!AN6</f>
        <v>16</v>
      </c>
      <c r="AP102" s="2">
        <f>'ALTO EL GOLF'!AO6</f>
        <v>16</v>
      </c>
      <c r="AQ102" s="2">
        <f>'ALTO EL GOLF'!AP6</f>
        <v>20</v>
      </c>
      <c r="AR102" s="2">
        <f>'ALTO EL GOLF'!AQ6</f>
        <v>16</v>
      </c>
      <c r="AS102" s="2">
        <f>'ALTO EL GOLF'!AR6</f>
        <v>16</v>
      </c>
      <c r="AT102" s="2">
        <f>'ALTO EL GOLF'!AS6</f>
        <v>16</v>
      </c>
      <c r="AU102" s="2">
        <f>'ALTO EL GOLF'!AT6</f>
        <v>14</v>
      </c>
      <c r="AV102" s="2">
        <f>'ALTO EL GOLF'!AU6</f>
        <v>12</v>
      </c>
      <c r="AW102" s="2">
        <f>'ALTO EL GOLF'!AV6</f>
        <v>10</v>
      </c>
      <c r="AX102" s="2">
        <f>'ALTO EL GOLF'!AW6</f>
        <v>6</v>
      </c>
      <c r="AY102" s="2">
        <f>'ALTO EL GOLF'!AX6</f>
        <v>18</v>
      </c>
      <c r="AZ102" s="2">
        <f>'ALTO EL GOLF'!AY6</f>
        <v>14</v>
      </c>
      <c r="BA102" s="2">
        <f>'ALTO EL GOLF'!AZ6</f>
        <v>24</v>
      </c>
      <c r="BB102" s="2">
        <f>'ALTO EL GOLF'!BA6</f>
        <v>24</v>
      </c>
      <c r="BC102" s="2">
        <f>'ALTO EL GOLF'!BB6</f>
        <v>24</v>
      </c>
      <c r="BD102" s="2">
        <f>'ALTO EL GOLF'!BC6</f>
        <v>24</v>
      </c>
      <c r="BE102" s="2">
        <f>'ALTO EL GOLF'!BD6</f>
        <v>20</v>
      </c>
      <c r="BF102" s="2">
        <f>'ALTO EL GOLF'!BE6</f>
        <v>20</v>
      </c>
      <c r="BG102" s="2">
        <f>'ALTO EL GOLF'!BF6</f>
        <v>16</v>
      </c>
      <c r="BH102" s="2">
        <f>'ALTO EL GOLF'!BG6</f>
        <v>16</v>
      </c>
      <c r="BI102" s="2" t="str">
        <f>'ALTO EL GOLF'!BH6</f>
        <v/>
      </c>
      <c r="BJ102" s="2" t="str">
        <f>'ALTO EL GOLF'!BI6</f>
        <v/>
      </c>
      <c r="BK102" s="2" t="str">
        <f>'ALTO EL GOLF'!BJ6</f>
        <v/>
      </c>
      <c r="BL102" s="2" t="str">
        <f>'ALTO EL GOLF'!BK6</f>
        <v/>
      </c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</row>
    <row r="103">
      <c r="A103" s="2"/>
      <c r="B103" s="2" t="str">
        <f>'ALTO EL GOLF'!A7</f>
        <v>Alto el Golf</v>
      </c>
      <c r="C103" s="2" t="str">
        <f>'ALTO EL GOLF'!B7</f>
        <v>Cafeteria</v>
      </c>
      <c r="D103" s="2" t="str">
        <f>'ALTO EL GOLF'!C7</f>
        <v>Resma Papel Fotocopia (UN)</v>
      </c>
      <c r="E103" s="2">
        <f>'ALTO EL GOLF'!D7</f>
        <v>4</v>
      </c>
      <c r="F103" s="2">
        <f>'ALTO EL GOLF'!E7</f>
        <v>4</v>
      </c>
      <c r="G103" s="2">
        <f>'ALTO EL GOLF'!F7</f>
        <v>4</v>
      </c>
      <c r="H103" s="2">
        <f>'ALTO EL GOLF'!G7</f>
        <v>4</v>
      </c>
      <c r="I103" s="2">
        <f>'ALTO EL GOLF'!H7</f>
        <v>4</v>
      </c>
      <c r="J103" s="2">
        <f>'ALTO EL GOLF'!I7</f>
        <v>3</v>
      </c>
      <c r="K103" s="2">
        <f>'ALTO EL GOLF'!J7</f>
        <v>3</v>
      </c>
      <c r="L103" s="2">
        <f>'ALTO EL GOLF'!K7</f>
        <v>2</v>
      </c>
      <c r="M103" s="2">
        <f>'ALTO EL GOLF'!L7</f>
        <v>2</v>
      </c>
      <c r="N103" s="2">
        <f>'ALTO EL GOLF'!M7</f>
        <v>2</v>
      </c>
      <c r="O103" s="2">
        <f>'ALTO EL GOLF'!N7</f>
        <v>1</v>
      </c>
      <c r="P103" s="2">
        <f>'ALTO EL GOLF'!O7</f>
        <v>3</v>
      </c>
      <c r="Q103" s="2">
        <f>'ALTO EL GOLF'!P7</f>
        <v>3</v>
      </c>
      <c r="R103" s="2">
        <f>'ALTO EL GOLF'!Q7</f>
        <v>3</v>
      </c>
      <c r="S103" s="2">
        <f>'ALTO EL GOLF'!R7</f>
        <v>3</v>
      </c>
      <c r="T103" s="2">
        <f>'ALTO EL GOLF'!S7</f>
        <v>3</v>
      </c>
      <c r="U103" s="2">
        <f>'ALTO EL GOLF'!T7</f>
        <v>3</v>
      </c>
      <c r="V103" s="2">
        <f>'ALTO EL GOLF'!U7</f>
        <v>6</v>
      </c>
      <c r="W103" s="2">
        <f>'ALTO EL GOLF'!V7</f>
        <v>6</v>
      </c>
      <c r="X103" s="2">
        <f>'ALTO EL GOLF'!W7</f>
        <v>5</v>
      </c>
      <c r="Y103" s="2">
        <f>'ALTO EL GOLF'!X7</f>
        <v>4</v>
      </c>
      <c r="Z103" s="2">
        <f>'ALTO EL GOLF'!Y7</f>
        <v>3</v>
      </c>
      <c r="AA103" s="2">
        <f>'ALTO EL GOLF'!Z7</f>
        <v>3</v>
      </c>
      <c r="AB103" s="2">
        <f>'ALTO EL GOLF'!AA7</f>
        <v>3</v>
      </c>
      <c r="AC103" s="2">
        <f>'ALTO EL GOLF'!AB7</f>
        <v>3</v>
      </c>
      <c r="AD103" s="2">
        <f>'ALTO EL GOLF'!AC7</f>
        <v>3</v>
      </c>
      <c r="AE103" s="2">
        <f>'ALTO EL GOLF'!AD7</f>
        <v>3</v>
      </c>
      <c r="AF103" s="2">
        <f>'ALTO EL GOLF'!AE7</f>
        <v>3</v>
      </c>
      <c r="AG103" s="2">
        <f>'ALTO EL GOLF'!AF7</f>
        <v>3</v>
      </c>
      <c r="AH103" s="2">
        <f>'ALTO EL GOLF'!AG7</f>
        <v>3</v>
      </c>
      <c r="AI103" s="2">
        <f>'ALTO EL GOLF'!AH7</f>
        <v>3</v>
      </c>
      <c r="AJ103" s="2">
        <f>'ALTO EL GOLF'!AI7</f>
        <v>2</v>
      </c>
      <c r="AK103" s="2">
        <f>'ALTO EL GOLF'!AJ7</f>
        <v>2</v>
      </c>
      <c r="AL103" s="2">
        <f>'ALTO EL GOLF'!AK7</f>
        <v>7</v>
      </c>
      <c r="AM103" s="2">
        <f>'ALTO EL GOLF'!AL7</f>
        <v>7</v>
      </c>
      <c r="AN103" s="2">
        <f>'ALTO EL GOLF'!AM7</f>
        <v>7</v>
      </c>
      <c r="AO103" s="2">
        <f>'ALTO EL GOLF'!AN7</f>
        <v>7</v>
      </c>
      <c r="AP103" s="2">
        <f>'ALTO EL GOLF'!AO7</f>
        <v>6</v>
      </c>
      <c r="AQ103" s="2">
        <f>'ALTO EL GOLF'!AP7</f>
        <v>6</v>
      </c>
      <c r="AR103" s="2">
        <f>'ALTO EL GOLF'!AQ7</f>
        <v>6</v>
      </c>
      <c r="AS103" s="2">
        <f>'ALTO EL GOLF'!AR7</f>
        <v>6</v>
      </c>
      <c r="AT103" s="2">
        <f>'ALTO EL GOLF'!AS7</f>
        <v>6</v>
      </c>
      <c r="AU103" s="2">
        <f>'ALTO EL GOLF'!AT7</f>
        <v>5</v>
      </c>
      <c r="AV103" s="2">
        <f>'ALTO EL GOLF'!AU7</f>
        <v>5</v>
      </c>
      <c r="AW103" s="2">
        <f>'ALTO EL GOLF'!AV7</f>
        <v>5</v>
      </c>
      <c r="AX103" s="2">
        <f>'ALTO EL GOLF'!AW7</f>
        <v>5</v>
      </c>
      <c r="AY103" s="2">
        <f>'ALTO EL GOLF'!AX7</f>
        <v>5</v>
      </c>
      <c r="AZ103" s="2">
        <f>'ALTO EL GOLF'!AY7</f>
        <v>5</v>
      </c>
      <c r="BA103" s="2">
        <f>'ALTO EL GOLF'!AZ7</f>
        <v>5</v>
      </c>
      <c r="BB103" s="2">
        <f>'ALTO EL GOLF'!BA7</f>
        <v>5</v>
      </c>
      <c r="BC103" s="2">
        <f>'ALTO EL GOLF'!BB7</f>
        <v>5</v>
      </c>
      <c r="BD103" s="2">
        <f>'ALTO EL GOLF'!BC7</f>
        <v>5</v>
      </c>
      <c r="BE103" s="2">
        <f>'ALTO EL GOLF'!BD7</f>
        <v>5</v>
      </c>
      <c r="BF103" s="2">
        <f>'ALTO EL GOLF'!BE7</f>
        <v>5</v>
      </c>
      <c r="BG103" s="2">
        <f>'ALTO EL GOLF'!BF7</f>
        <v>5</v>
      </c>
      <c r="BH103" s="2">
        <f>'ALTO EL GOLF'!BG7</f>
        <v>5</v>
      </c>
      <c r="BI103" s="2" t="str">
        <f>'ALTO EL GOLF'!BH7</f>
        <v/>
      </c>
      <c r="BJ103" s="2" t="str">
        <f>'ALTO EL GOLF'!BI7</f>
        <v/>
      </c>
      <c r="BK103" s="2" t="str">
        <f>'ALTO EL GOLF'!BJ7</f>
        <v/>
      </c>
      <c r="BL103" s="2" t="str">
        <f>'ALTO EL GOLF'!BK7</f>
        <v/>
      </c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</row>
    <row r="104">
      <c r="A104" s="2"/>
      <c r="B104" s="2" t="str">
        <f>'ALTO EL GOLF'!A8</f>
        <v>Alto el Golf</v>
      </c>
      <c r="C104" s="2" t="str">
        <f>'ALTO EL GOLF'!B8</f>
        <v>Cafeteria</v>
      </c>
      <c r="D104" s="2" t="str">
        <f>'ALTO EL GOLF'!C8</f>
        <v>Leche liquida</v>
      </c>
      <c r="E104" s="2" t="str">
        <f>'ALTO EL GOLF'!D8</f>
        <v/>
      </c>
      <c r="F104" s="2" t="str">
        <f>'ALTO EL GOLF'!E8</f>
        <v/>
      </c>
      <c r="G104" s="2" t="str">
        <f>'ALTO EL GOLF'!F8</f>
        <v/>
      </c>
      <c r="H104" s="2" t="str">
        <f>'ALTO EL GOLF'!G8</f>
        <v/>
      </c>
      <c r="I104" s="2" t="str">
        <f>'ALTO EL GOLF'!H8</f>
        <v/>
      </c>
      <c r="J104" s="2" t="str">
        <f>'ALTO EL GOLF'!I8</f>
        <v/>
      </c>
      <c r="K104" s="2" t="str">
        <f>'ALTO EL GOLF'!J8</f>
        <v/>
      </c>
      <c r="L104" s="2" t="str">
        <f>'ALTO EL GOLF'!K8</f>
        <v/>
      </c>
      <c r="M104" s="2" t="str">
        <f>'ALTO EL GOLF'!L8</f>
        <v/>
      </c>
      <c r="N104" s="2" t="str">
        <f>'ALTO EL GOLF'!M8</f>
        <v/>
      </c>
      <c r="O104" s="2" t="str">
        <f>'ALTO EL GOLF'!N8</f>
        <v/>
      </c>
      <c r="P104" s="2" t="str">
        <f>'ALTO EL GOLF'!O8</f>
        <v/>
      </c>
      <c r="Q104" s="2" t="str">
        <f>'ALTO EL GOLF'!P8</f>
        <v/>
      </c>
      <c r="R104" s="2">
        <f>'ALTO EL GOLF'!Q8</f>
        <v>0</v>
      </c>
      <c r="S104" s="2">
        <f>'ALTO EL GOLF'!R8</f>
        <v>0</v>
      </c>
      <c r="T104" s="2">
        <f>'ALTO EL GOLF'!S8</f>
        <v>0</v>
      </c>
      <c r="U104" s="2">
        <f>'ALTO EL GOLF'!T8</f>
        <v>0</v>
      </c>
      <c r="V104" s="2">
        <f>'ALTO EL GOLF'!U8</f>
        <v>0</v>
      </c>
      <c r="W104" s="2">
        <f>'ALTO EL GOLF'!V8</f>
        <v>0</v>
      </c>
      <c r="X104" s="2">
        <f>'ALTO EL GOLF'!W8</f>
        <v>0</v>
      </c>
      <c r="Y104" s="2">
        <f>'ALTO EL GOLF'!X8</f>
        <v>0</v>
      </c>
      <c r="Z104" s="2">
        <f>'ALTO EL GOLF'!Y8</f>
        <v>0</v>
      </c>
      <c r="AA104" s="2">
        <f>'ALTO EL GOLF'!Z8</f>
        <v>10</v>
      </c>
      <c r="AB104" s="2">
        <f>'ALTO EL GOLF'!AA8</f>
        <v>13</v>
      </c>
      <c r="AC104" s="2">
        <f>'ALTO EL GOLF'!AB8</f>
        <v>19</v>
      </c>
      <c r="AD104" s="2">
        <f>'ALTO EL GOLF'!AC8</f>
        <v>17</v>
      </c>
      <c r="AE104" s="2">
        <f>'ALTO EL GOLF'!AD8</f>
        <v>16</v>
      </c>
      <c r="AF104" s="2">
        <f>'ALTO EL GOLF'!AE8</f>
        <v>11</v>
      </c>
      <c r="AG104" s="2">
        <f>'ALTO EL GOLF'!AF8</f>
        <v>9</v>
      </c>
      <c r="AH104" s="2">
        <f>'ALTO EL GOLF'!AG8</f>
        <v>7</v>
      </c>
      <c r="AI104" s="2">
        <f>'ALTO EL GOLF'!AH8</f>
        <v>5</v>
      </c>
      <c r="AJ104" s="2">
        <f>'ALTO EL GOLF'!AI8</f>
        <v>3</v>
      </c>
      <c r="AK104" s="2">
        <f>'ALTO EL GOLF'!AJ8</f>
        <v>2</v>
      </c>
      <c r="AL104" s="2">
        <f>'ALTO EL GOLF'!AK8</f>
        <v>24</v>
      </c>
      <c r="AM104" s="2">
        <f>'ALTO EL GOLF'!AL8</f>
        <v>24</v>
      </c>
      <c r="AN104" s="2">
        <f>'ALTO EL GOLF'!AM8</f>
        <v>19</v>
      </c>
      <c r="AO104" s="2">
        <f>'ALTO EL GOLF'!AN8</f>
        <v>17</v>
      </c>
      <c r="AP104" s="2">
        <f>'ALTO EL GOLF'!AO8</f>
        <v>15</v>
      </c>
      <c r="AQ104" s="2">
        <f>'ALTO EL GOLF'!AP8</f>
        <v>12</v>
      </c>
      <c r="AR104" s="2">
        <f>'ALTO EL GOLF'!AQ8</f>
        <v>9</v>
      </c>
      <c r="AS104" s="2">
        <f>'ALTO EL GOLF'!AR8</f>
        <v>21</v>
      </c>
      <c r="AT104" s="2">
        <f>'ALTO EL GOLF'!AS8</f>
        <v>17</v>
      </c>
      <c r="AU104" s="2">
        <f>'ALTO EL GOLF'!AT8</f>
        <v>16</v>
      </c>
      <c r="AV104" s="2">
        <f>'ALTO EL GOLF'!AU8</f>
        <v>15</v>
      </c>
      <c r="AW104" s="2">
        <f>'ALTO EL GOLF'!AV8</f>
        <v>12</v>
      </c>
      <c r="AX104" s="2">
        <f>'ALTO EL GOLF'!AW8</f>
        <v>10</v>
      </c>
      <c r="AY104" s="2">
        <f>'ALTO EL GOLF'!AX8</f>
        <v>13</v>
      </c>
      <c r="AZ104" s="2">
        <f>'ALTO EL GOLF'!AY8</f>
        <v>12</v>
      </c>
      <c r="BA104" s="2">
        <f>'ALTO EL GOLF'!AZ8</f>
        <v>8</v>
      </c>
      <c r="BB104" s="2">
        <f>'ALTO EL GOLF'!BA8</f>
        <v>7</v>
      </c>
      <c r="BC104" s="2">
        <f>'ALTO EL GOLF'!BB8</f>
        <v>0</v>
      </c>
      <c r="BD104" s="2">
        <f>'ALTO EL GOLF'!BC8</f>
        <v>0</v>
      </c>
      <c r="BE104" s="2">
        <f>'ALTO EL GOLF'!BD8</f>
        <v>10</v>
      </c>
      <c r="BF104" s="2">
        <f>'ALTO EL GOLF'!BE8</f>
        <v>9</v>
      </c>
      <c r="BG104" s="2">
        <f>'ALTO EL GOLF'!BF8</f>
        <v>4</v>
      </c>
      <c r="BH104" s="2">
        <f>'ALTO EL GOLF'!BG8</f>
        <v>1</v>
      </c>
      <c r="BI104" s="2" t="str">
        <f>'ALTO EL GOLF'!BH8</f>
        <v/>
      </c>
      <c r="BJ104" s="2" t="str">
        <f>'ALTO EL GOLF'!BI8</f>
        <v/>
      </c>
      <c r="BK104" s="2" t="str">
        <f>'ALTO EL GOLF'!BJ8</f>
        <v/>
      </c>
      <c r="BL104" s="2" t="str">
        <f>'ALTO EL GOLF'!BK8</f>
        <v/>
      </c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</row>
    <row r="105">
      <c r="A105" s="2"/>
      <c r="B105" s="2" t="str">
        <f>'ALTO EL GOLF'!A10</f>
        <v>Alto el Golf</v>
      </c>
      <c r="C105" s="2" t="str">
        <f>'ALTO EL GOLF'!B10</f>
        <v>Cafeteria</v>
      </c>
      <c r="D105" s="2" t="str">
        <f>'ALTO EL GOLF'!C10</f>
        <v>Endulzante</v>
      </c>
      <c r="E105" s="2" t="str">
        <f>'ALTO EL GOLF'!D10</f>
        <v/>
      </c>
      <c r="F105" s="2" t="str">
        <f>'ALTO EL GOLF'!E10</f>
        <v/>
      </c>
      <c r="G105" s="2" t="str">
        <f>'ALTO EL GOLF'!F10</f>
        <v/>
      </c>
      <c r="H105" s="2" t="str">
        <f>'ALTO EL GOLF'!G10</f>
        <v/>
      </c>
      <c r="I105" s="2" t="str">
        <f>'ALTO EL GOLF'!H10</f>
        <v/>
      </c>
      <c r="J105" s="2" t="str">
        <f>'ALTO EL GOLF'!I10</f>
        <v/>
      </c>
      <c r="K105" s="2" t="str">
        <f>'ALTO EL GOLF'!J10</f>
        <v/>
      </c>
      <c r="L105" s="2" t="str">
        <f>'ALTO EL GOLF'!K10</f>
        <v/>
      </c>
      <c r="M105" s="2" t="str">
        <f>'ALTO EL GOLF'!L10</f>
        <v/>
      </c>
      <c r="N105" s="2" t="str">
        <f>'ALTO EL GOLF'!M10</f>
        <v/>
      </c>
      <c r="O105" s="2" t="str">
        <f>'ALTO EL GOLF'!N10</f>
        <v/>
      </c>
      <c r="P105" s="2" t="str">
        <f>'ALTO EL GOLF'!O10</f>
        <v/>
      </c>
      <c r="Q105" s="2" t="str">
        <f>'ALTO EL GOLF'!P10</f>
        <v/>
      </c>
      <c r="R105" s="2">
        <f>'ALTO EL GOLF'!Q10</f>
        <v>0</v>
      </c>
      <c r="S105" s="2">
        <f>'ALTO EL GOLF'!R10</f>
        <v>0</v>
      </c>
      <c r="T105" s="2">
        <f>'ALTO EL GOLF'!S10</f>
        <v>0</v>
      </c>
      <c r="U105" s="2">
        <f>'ALTO EL GOLF'!T10</f>
        <v>0</v>
      </c>
      <c r="V105" s="2">
        <f>'ALTO EL GOLF'!U10</f>
        <v>0</v>
      </c>
      <c r="W105" s="2">
        <f>'ALTO EL GOLF'!V10</f>
        <v>0</v>
      </c>
      <c r="X105" s="2">
        <f>'ALTO EL GOLF'!W10</f>
        <v>0</v>
      </c>
      <c r="Y105" s="2">
        <f>'ALTO EL GOLF'!X10</f>
        <v>0</v>
      </c>
      <c r="Z105" s="2">
        <f>'ALTO EL GOLF'!Y10</f>
        <v>0</v>
      </c>
      <c r="AA105" s="2">
        <f>'ALTO EL GOLF'!Z10</f>
        <v>0</v>
      </c>
      <c r="AB105" s="2">
        <f>'ALTO EL GOLF'!AA10</f>
        <v>2</v>
      </c>
      <c r="AC105" s="2">
        <f>'ALTO EL GOLF'!AB10</f>
        <v>3</v>
      </c>
      <c r="AD105" s="2">
        <f>'ALTO EL GOLF'!AC10</f>
        <v>3</v>
      </c>
      <c r="AE105" s="2">
        <f>'ALTO EL GOLF'!AD10</f>
        <v>3</v>
      </c>
      <c r="AF105" s="2">
        <f>'ALTO EL GOLF'!AE10</f>
        <v>3</v>
      </c>
      <c r="AG105" s="2">
        <f>'ALTO EL GOLF'!AF10</f>
        <v>2</v>
      </c>
      <c r="AH105" s="2">
        <f>'ALTO EL GOLF'!AG10</f>
        <v>2</v>
      </c>
      <c r="AI105" s="2">
        <f>'ALTO EL GOLF'!AH10</f>
        <v>2</v>
      </c>
      <c r="AJ105" s="2">
        <f>'ALTO EL GOLF'!AI10</f>
        <v>2</v>
      </c>
      <c r="AK105" s="2">
        <f>'ALTO EL GOLF'!AJ10</f>
        <v>2</v>
      </c>
      <c r="AL105" s="2">
        <f>'ALTO EL GOLF'!AK10</f>
        <v>2</v>
      </c>
      <c r="AM105" s="2">
        <f>'ALTO EL GOLF'!AL10</f>
        <v>2</v>
      </c>
      <c r="AN105" s="2">
        <f>'ALTO EL GOLF'!AM10</f>
        <v>2</v>
      </c>
      <c r="AO105" s="2">
        <f>'ALTO EL GOLF'!AN10</f>
        <v>2</v>
      </c>
      <c r="AP105" s="2">
        <f>'ALTO EL GOLF'!AO10</f>
        <v>2</v>
      </c>
      <c r="AQ105" s="2">
        <f>'ALTO EL GOLF'!AP10</f>
        <v>1</v>
      </c>
      <c r="AR105" s="2">
        <f>'ALTO EL GOLF'!AQ10</f>
        <v>1</v>
      </c>
      <c r="AS105" s="2">
        <f>'ALTO EL GOLF'!AR10</f>
        <v>3</v>
      </c>
      <c r="AT105" s="2">
        <f>'ALTO EL GOLF'!AS10</f>
        <v>3</v>
      </c>
      <c r="AU105" s="2">
        <f>'ALTO EL GOLF'!AT10</f>
        <v>2</v>
      </c>
      <c r="AV105" s="2">
        <f>'ALTO EL GOLF'!AU10</f>
        <v>2</v>
      </c>
      <c r="AW105" s="2">
        <f>'ALTO EL GOLF'!AV10</f>
        <v>1</v>
      </c>
      <c r="AX105" s="2">
        <f>'ALTO EL GOLF'!AW10</f>
        <v>1</v>
      </c>
      <c r="AY105" s="2">
        <f>'ALTO EL GOLF'!AX10</f>
        <v>2</v>
      </c>
      <c r="AZ105" s="2">
        <f>'ALTO EL GOLF'!AY10</f>
        <v>2</v>
      </c>
      <c r="BA105" s="2">
        <f>'ALTO EL GOLF'!AZ10</f>
        <v>1</v>
      </c>
      <c r="BB105" s="2">
        <f>'ALTO EL GOLF'!BA10</f>
        <v>1</v>
      </c>
      <c r="BC105" s="2">
        <f>'ALTO EL GOLF'!BB10</f>
        <v>1</v>
      </c>
      <c r="BD105" s="2">
        <f>'ALTO EL GOLF'!BC10</f>
        <v>1</v>
      </c>
      <c r="BE105" s="2">
        <f>'ALTO EL GOLF'!BD10</f>
        <v>0</v>
      </c>
      <c r="BF105" s="2">
        <f>'ALTO EL GOLF'!BE10</f>
        <v>0</v>
      </c>
      <c r="BG105" s="2">
        <f>'ALTO EL GOLF'!BF10</f>
        <v>0</v>
      </c>
      <c r="BH105" s="2">
        <f>'ALTO EL GOLF'!BG10</f>
        <v>0</v>
      </c>
      <c r="BI105" s="2" t="str">
        <f>'ALTO EL GOLF'!BH10</f>
        <v/>
      </c>
      <c r="BJ105" s="2" t="str">
        <f>'ALTO EL GOLF'!BI10</f>
        <v/>
      </c>
      <c r="BK105" s="2" t="str">
        <f>'ALTO EL GOLF'!BJ10</f>
        <v/>
      </c>
      <c r="BL105" s="2" t="str">
        <f>'ALTO EL GOLF'!BK10</f>
        <v/>
      </c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</row>
    <row r="106">
      <c r="A106" s="2"/>
      <c r="B106" s="2" t="str">
        <f>'ALTO EL GOLF'!A11</f>
        <v>Alto el Golf</v>
      </c>
      <c r="C106" s="2" t="str">
        <f>'ALTO EL GOLF'!B11</f>
        <v>Cafeteria</v>
      </c>
      <c r="D106" s="2" t="str">
        <f>'ALTO EL GOLF'!C11</f>
        <v>Servilletas</v>
      </c>
      <c r="E106" s="2" t="str">
        <f>'ALTO EL GOLF'!D11</f>
        <v/>
      </c>
      <c r="F106" s="2" t="str">
        <f>'ALTO EL GOLF'!E11</f>
        <v/>
      </c>
      <c r="G106" s="2" t="str">
        <f>'ALTO EL GOLF'!F11</f>
        <v/>
      </c>
      <c r="H106" s="2" t="str">
        <f>'ALTO EL GOLF'!G11</f>
        <v/>
      </c>
      <c r="I106" s="2" t="str">
        <f>'ALTO EL GOLF'!H11</f>
        <v/>
      </c>
      <c r="J106" s="2" t="str">
        <f>'ALTO EL GOLF'!I11</f>
        <v/>
      </c>
      <c r="K106" s="2" t="str">
        <f>'ALTO EL GOLF'!J11</f>
        <v/>
      </c>
      <c r="L106" s="2" t="str">
        <f>'ALTO EL GOLF'!K11</f>
        <v/>
      </c>
      <c r="M106" s="2" t="str">
        <f>'ALTO EL GOLF'!L11</f>
        <v/>
      </c>
      <c r="N106" s="2" t="str">
        <f>'ALTO EL GOLF'!M11</f>
        <v/>
      </c>
      <c r="O106" s="2" t="str">
        <f>'ALTO EL GOLF'!N11</f>
        <v/>
      </c>
      <c r="P106" s="2" t="str">
        <f>'ALTO EL GOLF'!O11</f>
        <v/>
      </c>
      <c r="Q106" s="2" t="str">
        <f>'ALTO EL GOLF'!P11</f>
        <v/>
      </c>
      <c r="R106" s="2" t="str">
        <f>'ALTO EL GOLF'!Q11</f>
        <v/>
      </c>
      <c r="S106" s="2" t="str">
        <f>'ALTO EL GOLF'!R11</f>
        <v/>
      </c>
      <c r="T106" s="2" t="str">
        <f>'ALTO EL GOLF'!S11</f>
        <v/>
      </c>
      <c r="U106" s="2" t="str">
        <f>'ALTO EL GOLF'!T11</f>
        <v/>
      </c>
      <c r="V106" s="2" t="str">
        <f>'ALTO EL GOLF'!U11</f>
        <v/>
      </c>
      <c r="W106" s="2" t="str">
        <f>'ALTO EL GOLF'!V11</f>
        <v/>
      </c>
      <c r="X106" s="2" t="str">
        <f>'ALTO EL GOLF'!W11</f>
        <v/>
      </c>
      <c r="Y106" s="2" t="str">
        <f>'ALTO EL GOLF'!X11</f>
        <v/>
      </c>
      <c r="Z106" s="2" t="str">
        <f>'ALTO EL GOLF'!Y11</f>
        <v/>
      </c>
      <c r="AA106" s="2" t="str">
        <f>'ALTO EL GOLF'!Z11</f>
        <v/>
      </c>
      <c r="AB106" s="2" t="str">
        <f>'ALTO EL GOLF'!AA11</f>
        <v/>
      </c>
      <c r="AC106" s="2" t="str">
        <f>'ALTO EL GOLF'!AB11</f>
        <v/>
      </c>
      <c r="AD106" s="2" t="str">
        <f>'ALTO EL GOLF'!AC11</f>
        <v/>
      </c>
      <c r="AE106" s="2" t="str">
        <f>'ALTO EL GOLF'!AD11</f>
        <v/>
      </c>
      <c r="AF106" s="2" t="str">
        <f>'ALTO EL GOLF'!AE11</f>
        <v/>
      </c>
      <c r="AG106" s="2" t="str">
        <f>'ALTO EL GOLF'!AF11</f>
        <v/>
      </c>
      <c r="AH106" s="2" t="str">
        <f>'ALTO EL GOLF'!AG11</f>
        <v/>
      </c>
      <c r="AI106" s="2" t="str">
        <f>'ALTO EL GOLF'!AH11</f>
        <v/>
      </c>
      <c r="AJ106" s="2" t="str">
        <f>'ALTO EL GOLF'!AI11</f>
        <v/>
      </c>
      <c r="AK106" s="2" t="str">
        <f>'ALTO EL GOLF'!AJ11</f>
        <v/>
      </c>
      <c r="AL106" s="2" t="str">
        <f>'ALTO EL GOLF'!AK11</f>
        <v/>
      </c>
      <c r="AM106" s="2" t="str">
        <f>'ALTO EL GOLF'!AL11</f>
        <v/>
      </c>
      <c r="AN106" s="2" t="str">
        <f>'ALTO EL GOLF'!AM11</f>
        <v/>
      </c>
      <c r="AO106" s="2" t="str">
        <f>'ALTO EL GOLF'!AN11</f>
        <v/>
      </c>
      <c r="AP106" s="2" t="str">
        <f>'ALTO EL GOLF'!AO11</f>
        <v/>
      </c>
      <c r="AQ106" s="2">
        <f>'ALTO EL GOLF'!AP11</f>
        <v>0</v>
      </c>
      <c r="AR106" s="2">
        <f>'ALTO EL GOLF'!AQ11</f>
        <v>0</v>
      </c>
      <c r="AS106" s="2">
        <f>'ALTO EL GOLF'!AR11</f>
        <v>0</v>
      </c>
      <c r="AT106" s="2">
        <f>'ALTO EL GOLF'!AS11</f>
        <v>0</v>
      </c>
      <c r="AU106" s="2">
        <f>'ALTO EL GOLF'!AT11</f>
        <v>0</v>
      </c>
      <c r="AV106" s="2">
        <f>'ALTO EL GOLF'!AU11</f>
        <v>0</v>
      </c>
      <c r="AW106" s="2">
        <f>'ALTO EL GOLF'!AV11</f>
        <v>0</v>
      </c>
      <c r="AX106" s="2">
        <f>'ALTO EL GOLF'!AW11</f>
        <v>6</v>
      </c>
      <c r="AY106" s="2">
        <f>'ALTO EL GOLF'!AX11</f>
        <v>5</v>
      </c>
      <c r="AZ106" s="2">
        <f>'ALTO EL GOLF'!AY11</f>
        <v>4</v>
      </c>
      <c r="BA106" s="2">
        <f>'ALTO EL GOLF'!AZ11</f>
        <v>2</v>
      </c>
      <c r="BB106" s="2">
        <f>'ALTO EL GOLF'!BA11</f>
        <v>10</v>
      </c>
      <c r="BC106" s="2">
        <f>'ALTO EL GOLF'!BB11</f>
        <v>5</v>
      </c>
      <c r="BD106" s="2">
        <f>'ALTO EL GOLF'!BC11</f>
        <v>5</v>
      </c>
      <c r="BE106" s="2">
        <f>'ALTO EL GOLF'!BD11</f>
        <v>15</v>
      </c>
      <c r="BF106" s="2">
        <f>'ALTO EL GOLF'!BE11</f>
        <v>15</v>
      </c>
      <c r="BG106" s="2">
        <f>'ALTO EL GOLF'!BF11</f>
        <v>14</v>
      </c>
      <c r="BH106" s="2">
        <f>'ALTO EL GOLF'!BG11</f>
        <v>12</v>
      </c>
      <c r="BI106" s="2" t="str">
        <f>'ALTO EL GOLF'!BH11</f>
        <v/>
      </c>
      <c r="BJ106" s="2" t="str">
        <f>'ALTO EL GOLF'!BI11</f>
        <v/>
      </c>
      <c r="BK106" s="2" t="str">
        <f>'ALTO EL GOLF'!BJ11</f>
        <v/>
      </c>
      <c r="BL106" s="2" t="str">
        <f>'ALTO EL GOLF'!BK11</f>
        <v/>
      </c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</row>
    <row r="107">
      <c r="A107" s="2"/>
      <c r="B107" s="2" t="str">
        <f>'ALTO EL GOLF'!A12</f>
        <v>Alto el Golf</v>
      </c>
      <c r="C107" s="2" t="str">
        <f>'ALTO EL GOLF'!B12</f>
        <v>Aseo</v>
      </c>
      <c r="D107" s="2" t="str">
        <f>'ALTO EL GOLF'!C12</f>
        <v>Cloro Gel</v>
      </c>
      <c r="E107" s="2" t="str">
        <f>'ALTO EL GOLF'!D12</f>
        <v/>
      </c>
      <c r="F107" s="2" t="str">
        <f>'ALTO EL GOLF'!E12</f>
        <v/>
      </c>
      <c r="G107" s="2" t="str">
        <f>'ALTO EL GOLF'!F12</f>
        <v/>
      </c>
      <c r="H107" s="2" t="str">
        <f>'ALTO EL GOLF'!G12</f>
        <v/>
      </c>
      <c r="I107" s="2" t="str">
        <f>'ALTO EL GOLF'!H12</f>
        <v/>
      </c>
      <c r="J107" s="2" t="str">
        <f>'ALTO EL GOLF'!I12</f>
        <v/>
      </c>
      <c r="K107" s="2" t="str">
        <f>'ALTO EL GOLF'!J12</f>
        <v/>
      </c>
      <c r="L107" s="2" t="str">
        <f>'ALTO EL GOLF'!K12</f>
        <v/>
      </c>
      <c r="M107" s="2" t="str">
        <f>'ALTO EL GOLF'!L12</f>
        <v/>
      </c>
      <c r="N107" s="2" t="str">
        <f>'ALTO EL GOLF'!M12</f>
        <v/>
      </c>
      <c r="O107" s="2" t="str">
        <f>'ALTO EL GOLF'!N12</f>
        <v/>
      </c>
      <c r="P107" s="2" t="str">
        <f>'ALTO EL GOLF'!O12</f>
        <v/>
      </c>
      <c r="Q107" s="2" t="str">
        <f>'ALTO EL GOLF'!P12</f>
        <v/>
      </c>
      <c r="R107" s="2" t="str">
        <f>'ALTO EL GOLF'!Q12</f>
        <v>-</v>
      </c>
      <c r="S107" s="2" t="str">
        <f>'ALTO EL GOLF'!R12</f>
        <v>-</v>
      </c>
      <c r="T107" s="2" t="str">
        <f>'ALTO EL GOLF'!S12</f>
        <v>-</v>
      </c>
      <c r="U107" s="2" t="str">
        <f>'ALTO EL GOLF'!T12</f>
        <v>-</v>
      </c>
      <c r="V107" s="2" t="str">
        <f>'ALTO EL GOLF'!U12</f>
        <v>-</v>
      </c>
      <c r="W107" s="2" t="str">
        <f>'ALTO EL GOLF'!V12</f>
        <v>-</v>
      </c>
      <c r="X107" s="2" t="str">
        <f>'ALTO EL GOLF'!W12</f>
        <v>-</v>
      </c>
      <c r="Y107" s="2" t="str">
        <f>'ALTO EL GOLF'!X12</f>
        <v>-</v>
      </c>
      <c r="Z107" s="2" t="str">
        <f>'ALTO EL GOLF'!Y12</f>
        <v>-</v>
      </c>
      <c r="AA107" s="2" t="str">
        <f>'ALTO EL GOLF'!Z12</f>
        <v>-</v>
      </c>
      <c r="AB107" s="2" t="str">
        <f>'ALTO EL GOLF'!AA12</f>
        <v>-</v>
      </c>
      <c r="AC107" s="2">
        <f>'ALTO EL GOLF'!AB12</f>
        <v>3</v>
      </c>
      <c r="AD107" s="2">
        <f>'ALTO EL GOLF'!AC12</f>
        <v>3</v>
      </c>
      <c r="AE107" s="2">
        <f>'ALTO EL GOLF'!AD12</f>
        <v>3</v>
      </c>
      <c r="AF107" s="2">
        <f>'ALTO EL GOLF'!AE12</f>
        <v>3</v>
      </c>
      <c r="AG107" s="2">
        <f>'ALTO EL GOLF'!AF12</f>
        <v>3</v>
      </c>
      <c r="AH107" s="2">
        <f>'ALTO EL GOLF'!AG12</f>
        <v>3</v>
      </c>
      <c r="AI107" s="2">
        <f>'ALTO EL GOLF'!AH12</f>
        <v>3</v>
      </c>
      <c r="AJ107" s="2">
        <f>'ALTO EL GOLF'!AI12</f>
        <v>3</v>
      </c>
      <c r="AK107" s="2">
        <f>'ALTO EL GOLF'!AJ12</f>
        <v>3</v>
      </c>
      <c r="AL107" s="2">
        <f>'ALTO EL GOLF'!AK12</f>
        <v>3</v>
      </c>
      <c r="AM107" s="2">
        <f>'ALTO EL GOLF'!AL12</f>
        <v>2</v>
      </c>
      <c r="AN107" s="2">
        <f>'ALTO EL GOLF'!AM12</f>
        <v>2</v>
      </c>
      <c r="AO107" s="2">
        <f>'ALTO EL GOLF'!AN12</f>
        <v>2</v>
      </c>
      <c r="AP107" s="2">
        <f>'ALTO EL GOLF'!AO12</f>
        <v>2</v>
      </c>
      <c r="AQ107" s="2">
        <f>'ALTO EL GOLF'!AP12</f>
        <v>2</v>
      </c>
      <c r="AR107" s="2">
        <f>'ALTO EL GOLF'!AQ12</f>
        <v>2</v>
      </c>
      <c r="AS107" s="2">
        <f>'ALTO EL GOLF'!AR12</f>
        <v>2</v>
      </c>
      <c r="AT107" s="2">
        <f>'ALTO EL GOLF'!AS12</f>
        <v>2</v>
      </c>
      <c r="AU107" s="2">
        <f>'ALTO EL GOLF'!AT12</f>
        <v>2</v>
      </c>
      <c r="AV107" s="2">
        <f>'ALTO EL GOLF'!AU12</f>
        <v>2</v>
      </c>
      <c r="AW107" s="2">
        <f>'ALTO EL GOLF'!AV12</f>
        <v>2</v>
      </c>
      <c r="AX107" s="2">
        <f>'ALTO EL GOLF'!AW12</f>
        <v>2</v>
      </c>
      <c r="AY107" s="2">
        <f>'ALTO EL GOLF'!AX12</f>
        <v>2</v>
      </c>
      <c r="AZ107" s="2">
        <f>'ALTO EL GOLF'!AY12</f>
        <v>2</v>
      </c>
      <c r="BA107" s="2">
        <f>'ALTO EL GOLF'!AZ12</f>
        <v>2</v>
      </c>
      <c r="BB107" s="2">
        <f>'ALTO EL GOLF'!BA12</f>
        <v>2</v>
      </c>
      <c r="BC107" s="2">
        <f>'ALTO EL GOLF'!BB12</f>
        <v>2</v>
      </c>
      <c r="BD107" s="2">
        <f>'ALTO EL GOLF'!BC12</f>
        <v>2</v>
      </c>
      <c r="BE107" s="2">
        <f>'ALTO EL GOLF'!BD12</f>
        <v>1</v>
      </c>
      <c r="BF107" s="2">
        <f>'ALTO EL GOLF'!BE12</f>
        <v>1</v>
      </c>
      <c r="BG107" s="2">
        <f>'ALTO EL GOLF'!BF12</f>
        <v>1</v>
      </c>
      <c r="BH107" s="2">
        <f>'ALTO EL GOLF'!BG12</f>
        <v>1</v>
      </c>
      <c r="BI107" s="2" t="str">
        <f>'ALTO EL GOLF'!BH12</f>
        <v/>
      </c>
      <c r="BJ107" s="2" t="str">
        <f>'ALTO EL GOLF'!BI12</f>
        <v/>
      </c>
      <c r="BK107" s="2" t="str">
        <f>'ALTO EL GOLF'!BJ12</f>
        <v/>
      </c>
      <c r="BL107" s="2" t="str">
        <f>'ALTO EL GOLF'!BK12</f>
        <v/>
      </c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</row>
    <row r="108">
      <c r="A108" s="2"/>
      <c r="B108" s="2" t="str">
        <f>'ALTO EL GOLF'!A13</f>
        <v>Alto el Golf</v>
      </c>
      <c r="C108" s="2" t="str">
        <f>'ALTO EL GOLF'!B13</f>
        <v>Aseo</v>
      </c>
      <c r="D108" s="2" t="str">
        <f>'ALTO EL GOLF'!C13</f>
        <v>Limpia Piso</v>
      </c>
      <c r="E108" s="2" t="str">
        <f>'ALTO EL GOLF'!D13</f>
        <v/>
      </c>
      <c r="F108" s="2" t="str">
        <f>'ALTO EL GOLF'!E13</f>
        <v/>
      </c>
      <c r="G108" s="2" t="str">
        <f>'ALTO EL GOLF'!F13</f>
        <v/>
      </c>
      <c r="H108" s="2" t="str">
        <f>'ALTO EL GOLF'!G13</f>
        <v/>
      </c>
      <c r="I108" s="2" t="str">
        <f>'ALTO EL GOLF'!H13</f>
        <v/>
      </c>
      <c r="J108" s="2" t="str">
        <f>'ALTO EL GOLF'!I13</f>
        <v/>
      </c>
      <c r="K108" s="2" t="str">
        <f>'ALTO EL GOLF'!J13</f>
        <v/>
      </c>
      <c r="L108" s="2" t="str">
        <f>'ALTO EL GOLF'!K13</f>
        <v/>
      </c>
      <c r="M108" s="2" t="str">
        <f>'ALTO EL GOLF'!L13</f>
        <v/>
      </c>
      <c r="N108" s="2" t="str">
        <f>'ALTO EL GOLF'!M13</f>
        <v/>
      </c>
      <c r="O108" s="2" t="str">
        <f>'ALTO EL GOLF'!N13</f>
        <v/>
      </c>
      <c r="P108" s="2" t="str">
        <f>'ALTO EL GOLF'!O13</f>
        <v/>
      </c>
      <c r="Q108" s="2" t="str">
        <f>'ALTO EL GOLF'!P13</f>
        <v/>
      </c>
      <c r="R108" s="2" t="str">
        <f>'ALTO EL GOLF'!Q13</f>
        <v>-</v>
      </c>
      <c r="S108" s="2" t="str">
        <f>'ALTO EL GOLF'!R13</f>
        <v>-</v>
      </c>
      <c r="T108" s="2" t="str">
        <f>'ALTO EL GOLF'!S13</f>
        <v>-</v>
      </c>
      <c r="U108" s="2" t="str">
        <f>'ALTO EL GOLF'!T13</f>
        <v>-</v>
      </c>
      <c r="V108" s="2" t="str">
        <f>'ALTO EL GOLF'!U13</f>
        <v>-</v>
      </c>
      <c r="W108" s="2" t="str">
        <f>'ALTO EL GOLF'!V13</f>
        <v>-</v>
      </c>
      <c r="X108" s="2" t="str">
        <f>'ALTO EL GOLF'!W13</f>
        <v>-</v>
      </c>
      <c r="Y108" s="2" t="str">
        <f>'ALTO EL GOLF'!X13</f>
        <v>-</v>
      </c>
      <c r="Z108" s="2" t="str">
        <f>'ALTO EL GOLF'!Y13</f>
        <v>-</v>
      </c>
      <c r="AA108" s="2" t="str">
        <f>'ALTO EL GOLF'!Z13</f>
        <v>-</v>
      </c>
      <c r="AB108" s="2" t="str">
        <f>'ALTO EL GOLF'!AA13</f>
        <v>-</v>
      </c>
      <c r="AC108" s="2">
        <f>'ALTO EL GOLF'!AB13</f>
        <v>1</v>
      </c>
      <c r="AD108" s="2">
        <f>'ALTO EL GOLF'!AC13</f>
        <v>1</v>
      </c>
      <c r="AE108" s="2">
        <f>'ALTO EL GOLF'!AD13</f>
        <v>1</v>
      </c>
      <c r="AF108" s="2">
        <f>'ALTO EL GOLF'!AE13</f>
        <v>1</v>
      </c>
      <c r="AG108" s="2">
        <f>'ALTO EL GOLF'!AF13</f>
        <v>1</v>
      </c>
      <c r="AH108" s="2">
        <f>'ALTO EL GOLF'!AG13</f>
        <v>1</v>
      </c>
      <c r="AI108" s="2">
        <f>'ALTO EL GOLF'!AH13</f>
        <v>1</v>
      </c>
      <c r="AJ108" s="2">
        <f>'ALTO EL GOLF'!AI13</f>
        <v>1</v>
      </c>
      <c r="AK108" s="2">
        <f>'ALTO EL GOLF'!AJ13</f>
        <v>1</v>
      </c>
      <c r="AL108" s="2">
        <f>'ALTO EL GOLF'!AK13</f>
        <v>1</v>
      </c>
      <c r="AM108" s="2">
        <f>'ALTO EL GOLF'!AL13</f>
        <v>1</v>
      </c>
      <c r="AN108" s="2">
        <f>'ALTO EL GOLF'!AM13</f>
        <v>1</v>
      </c>
      <c r="AO108" s="2">
        <f>'ALTO EL GOLF'!AN13</f>
        <v>1</v>
      </c>
      <c r="AP108" s="2">
        <f>'ALTO EL GOLF'!AO13</f>
        <v>1</v>
      </c>
      <c r="AQ108" s="2">
        <f>'ALTO EL GOLF'!AP13</f>
        <v>1</v>
      </c>
      <c r="AR108" s="2">
        <f>'ALTO EL GOLF'!AQ13</f>
        <v>1</v>
      </c>
      <c r="AS108" s="2">
        <f>'ALTO EL GOLF'!AR13</f>
        <v>1</v>
      </c>
      <c r="AT108" s="2">
        <f>'ALTO EL GOLF'!AS13</f>
        <v>0</v>
      </c>
      <c r="AU108" s="2">
        <f>'ALTO EL GOLF'!AT13</f>
        <v>0</v>
      </c>
      <c r="AV108" s="2">
        <f>'ALTO EL GOLF'!AU13</f>
        <v>0</v>
      </c>
      <c r="AW108" s="2">
        <f>'ALTO EL GOLF'!AV13</f>
        <v>0</v>
      </c>
      <c r="AX108" s="2">
        <f>'ALTO EL GOLF'!AW13</f>
        <v>0</v>
      </c>
      <c r="AY108" s="2">
        <f>'ALTO EL GOLF'!AX13</f>
        <v>1</v>
      </c>
      <c r="AZ108" s="2">
        <f>'ALTO EL GOLF'!AY13</f>
        <v>1</v>
      </c>
      <c r="BA108" s="2">
        <f>'ALTO EL GOLF'!AZ13</f>
        <v>1</v>
      </c>
      <c r="BB108" s="2">
        <f>'ALTO EL GOLF'!BA13</f>
        <v>1</v>
      </c>
      <c r="BC108" s="2">
        <f>'ALTO EL GOLF'!BB13</f>
        <v>1</v>
      </c>
      <c r="BD108" s="2">
        <f>'ALTO EL GOLF'!BC13</f>
        <v>1</v>
      </c>
      <c r="BE108" s="2">
        <f>'ALTO EL GOLF'!BD13</f>
        <v>1</v>
      </c>
      <c r="BF108" s="2">
        <f>'ALTO EL GOLF'!BE13</f>
        <v>1</v>
      </c>
      <c r="BG108" s="2">
        <f>'ALTO EL GOLF'!BF13</f>
        <v>1</v>
      </c>
      <c r="BH108" s="2">
        <f>'ALTO EL GOLF'!BG13</f>
        <v>1</v>
      </c>
      <c r="BI108" s="2" t="str">
        <f>'ALTO EL GOLF'!BH13</f>
        <v/>
      </c>
      <c r="BJ108" s="2" t="str">
        <f>'ALTO EL GOLF'!BI13</f>
        <v/>
      </c>
      <c r="BK108" s="2" t="str">
        <f>'ALTO EL GOLF'!BJ13</f>
        <v/>
      </c>
      <c r="BL108" s="2" t="str">
        <f>'ALTO EL GOLF'!BK13</f>
        <v/>
      </c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</row>
    <row r="109">
      <c r="A109" s="2"/>
      <c r="B109" s="2" t="str">
        <f>'ALTO EL GOLF'!A14</f>
        <v>Alto el Golf</v>
      </c>
      <c r="C109" s="2" t="str">
        <f>'ALTO EL GOLF'!B14</f>
        <v>Aseo</v>
      </c>
      <c r="D109" s="2" t="str">
        <f>'ALTO EL GOLF'!C14</f>
        <v>Bolsas Basura 50x70</v>
      </c>
      <c r="E109" s="2" t="str">
        <f>'ALTO EL GOLF'!D14</f>
        <v/>
      </c>
      <c r="F109" s="2" t="str">
        <f>'ALTO EL GOLF'!E14</f>
        <v/>
      </c>
      <c r="G109" s="2" t="str">
        <f>'ALTO EL GOLF'!F14</f>
        <v/>
      </c>
      <c r="H109" s="2" t="str">
        <f>'ALTO EL GOLF'!G14</f>
        <v/>
      </c>
      <c r="I109" s="2" t="str">
        <f>'ALTO EL GOLF'!H14</f>
        <v/>
      </c>
      <c r="J109" s="2" t="str">
        <f>'ALTO EL GOLF'!I14</f>
        <v/>
      </c>
      <c r="K109" s="2" t="str">
        <f>'ALTO EL GOLF'!J14</f>
        <v/>
      </c>
      <c r="L109" s="2" t="str">
        <f>'ALTO EL GOLF'!K14</f>
        <v/>
      </c>
      <c r="M109" s="2" t="str">
        <f>'ALTO EL GOLF'!L14</f>
        <v/>
      </c>
      <c r="N109" s="2" t="str">
        <f>'ALTO EL GOLF'!M14</f>
        <v/>
      </c>
      <c r="O109" s="2" t="str">
        <f>'ALTO EL GOLF'!N14</f>
        <v/>
      </c>
      <c r="P109" s="2" t="str">
        <f>'ALTO EL GOLF'!O14</f>
        <v/>
      </c>
      <c r="Q109" s="2" t="str">
        <f>'ALTO EL GOLF'!P14</f>
        <v/>
      </c>
      <c r="R109" s="2" t="str">
        <f>'ALTO EL GOLF'!Q14</f>
        <v>-</v>
      </c>
      <c r="S109" s="2" t="str">
        <f>'ALTO EL GOLF'!R14</f>
        <v>-</v>
      </c>
      <c r="T109" s="2" t="str">
        <f>'ALTO EL GOLF'!S14</f>
        <v>-</v>
      </c>
      <c r="U109" s="2" t="str">
        <f>'ALTO EL GOLF'!T14</f>
        <v>-</v>
      </c>
      <c r="V109" s="2" t="str">
        <f>'ALTO EL GOLF'!U14</f>
        <v>-</v>
      </c>
      <c r="W109" s="2" t="str">
        <f>'ALTO EL GOLF'!V14</f>
        <v>-</v>
      </c>
      <c r="X109" s="2" t="str">
        <f>'ALTO EL GOLF'!W14</f>
        <v>-</v>
      </c>
      <c r="Y109" s="2" t="str">
        <f>'ALTO EL GOLF'!X14</f>
        <v>-</v>
      </c>
      <c r="Z109" s="2" t="str">
        <f>'ALTO EL GOLF'!Y14</f>
        <v>-</v>
      </c>
      <c r="AA109" s="2" t="str">
        <f>'ALTO EL GOLF'!Z14</f>
        <v>-</v>
      </c>
      <c r="AB109" s="2" t="str">
        <f>'ALTO EL GOLF'!AA14</f>
        <v>-</v>
      </c>
      <c r="AC109" s="2">
        <f>'ALTO EL GOLF'!AB14</f>
        <v>25</v>
      </c>
      <c r="AD109" s="2" t="str">
        <f>'ALTO EL GOLF'!AC14</f>
        <v>24 paquetes de 50x70</v>
      </c>
      <c r="AE109" s="2" t="str">
        <f>'ALTO EL GOLF'!AD14</f>
        <v>23 paquetes de 50x70</v>
      </c>
      <c r="AF109" s="2" t="str">
        <f>'ALTO EL GOLF'!AE14</f>
        <v>23 paquetes de 50x70</v>
      </c>
      <c r="AG109" s="2" t="str">
        <f>'ALTO EL GOLF'!AF14</f>
        <v>23 paquetes de 50x70</v>
      </c>
      <c r="AH109" s="2" t="str">
        <f>'ALTO EL GOLF'!AG14</f>
        <v>22 paquetes de 50x70</v>
      </c>
      <c r="AI109" s="2" t="str">
        <f>'ALTO EL GOLF'!AH14</f>
        <v>21 paquetes de 50x70</v>
      </c>
      <c r="AJ109" s="2" t="str">
        <f>'ALTO EL GOLF'!AI14</f>
        <v>17 paquetes de 50x70</v>
      </c>
      <c r="AK109" s="2" t="str">
        <f>'ALTO EL GOLF'!AJ14</f>
        <v>17 paquetes de 50x70</v>
      </c>
      <c r="AL109" s="2">
        <f>'ALTO EL GOLF'!AK14</f>
        <v>18</v>
      </c>
      <c r="AM109" s="2">
        <f>'ALTO EL GOLF'!AL14</f>
        <v>25</v>
      </c>
      <c r="AN109" s="2">
        <f>'ALTO EL GOLF'!AM14</f>
        <v>23</v>
      </c>
      <c r="AO109" s="2">
        <f>'ALTO EL GOLF'!AN14</f>
        <v>23</v>
      </c>
      <c r="AP109" s="2">
        <f>'ALTO EL GOLF'!AO14</f>
        <v>23</v>
      </c>
      <c r="AQ109" s="2">
        <f>'ALTO EL GOLF'!AP14</f>
        <v>23</v>
      </c>
      <c r="AR109" s="2">
        <f>'ALTO EL GOLF'!AQ14</f>
        <v>20</v>
      </c>
      <c r="AS109" s="2">
        <f>'ALTO EL GOLF'!AR14</f>
        <v>20</v>
      </c>
      <c r="AT109" s="2">
        <f>'ALTO EL GOLF'!AS14</f>
        <v>19</v>
      </c>
      <c r="AU109" s="2">
        <f>'ALTO EL GOLF'!AT14</f>
        <v>19</v>
      </c>
      <c r="AV109" s="2">
        <f>'ALTO EL GOLF'!AU14</f>
        <v>19</v>
      </c>
      <c r="AW109" s="2">
        <f>'ALTO EL GOLF'!AV14</f>
        <v>19</v>
      </c>
      <c r="AX109" s="2">
        <f>'ALTO EL GOLF'!AW14</f>
        <v>17</v>
      </c>
      <c r="AY109" s="2">
        <f>'ALTO EL GOLF'!AX14</f>
        <v>27</v>
      </c>
      <c r="AZ109" s="2">
        <f>'ALTO EL GOLF'!AY14</f>
        <v>26</v>
      </c>
      <c r="BA109" s="2">
        <f>'ALTO EL GOLF'!AZ14</f>
        <v>23</v>
      </c>
      <c r="BB109" s="2">
        <f>'ALTO EL GOLF'!BA14</f>
        <v>23</v>
      </c>
      <c r="BC109" s="2">
        <f>'ALTO EL GOLF'!BB14</f>
        <v>20</v>
      </c>
      <c r="BD109" s="2">
        <f>'ALTO EL GOLF'!BC14</f>
        <v>20</v>
      </c>
      <c r="BE109" s="2">
        <f>'ALTO EL GOLF'!BD14</f>
        <v>17</v>
      </c>
      <c r="BF109" s="2">
        <f>'ALTO EL GOLF'!BE14</f>
        <v>17</v>
      </c>
      <c r="BG109" s="2">
        <f>'ALTO EL GOLF'!BF14</f>
        <v>17</v>
      </c>
      <c r="BH109" s="2">
        <f>'ALTO EL GOLF'!BG14</f>
        <v>15</v>
      </c>
      <c r="BI109" s="2" t="str">
        <f>'ALTO EL GOLF'!BH14</f>
        <v/>
      </c>
      <c r="BJ109" s="2" t="str">
        <f>'ALTO EL GOLF'!BI14</f>
        <v/>
      </c>
      <c r="BK109" s="2" t="str">
        <f>'ALTO EL GOLF'!BJ14</f>
        <v/>
      </c>
      <c r="BL109" s="2" t="str">
        <f>'ALTO EL GOLF'!BK14</f>
        <v/>
      </c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</row>
    <row r="110">
      <c r="A110" s="2"/>
      <c r="B110" s="2" t="str">
        <f>'ALTO EL GOLF'!A15</f>
        <v>Alto el Golf</v>
      </c>
      <c r="C110" s="2" t="str">
        <f>'ALTO EL GOLF'!B15</f>
        <v>Aseo</v>
      </c>
      <c r="D110" s="2" t="str">
        <f>'ALTO EL GOLF'!C15</f>
        <v>Bolsas Basura 70x90</v>
      </c>
      <c r="E110" s="2" t="str">
        <f>'ALTO EL GOLF'!D15</f>
        <v/>
      </c>
      <c r="F110" s="2" t="str">
        <f>'ALTO EL GOLF'!E15</f>
        <v/>
      </c>
      <c r="G110" s="2" t="str">
        <f>'ALTO EL GOLF'!F15</f>
        <v/>
      </c>
      <c r="H110" s="2" t="str">
        <f>'ALTO EL GOLF'!G15</f>
        <v/>
      </c>
      <c r="I110" s="2" t="str">
        <f>'ALTO EL GOLF'!H15</f>
        <v/>
      </c>
      <c r="J110" s="2" t="str">
        <f>'ALTO EL GOLF'!I15</f>
        <v/>
      </c>
      <c r="K110" s="2" t="str">
        <f>'ALTO EL GOLF'!J15</f>
        <v/>
      </c>
      <c r="L110" s="2" t="str">
        <f>'ALTO EL GOLF'!K15</f>
        <v/>
      </c>
      <c r="M110" s="2" t="str">
        <f>'ALTO EL GOLF'!L15</f>
        <v/>
      </c>
      <c r="N110" s="2" t="str">
        <f>'ALTO EL GOLF'!M15</f>
        <v/>
      </c>
      <c r="O110" s="2" t="str">
        <f>'ALTO EL GOLF'!N15</f>
        <v/>
      </c>
      <c r="P110" s="2" t="str">
        <f>'ALTO EL GOLF'!O15</f>
        <v/>
      </c>
      <c r="Q110" s="2" t="str">
        <f>'ALTO EL GOLF'!P15</f>
        <v/>
      </c>
      <c r="R110" s="2" t="str">
        <f>'ALTO EL GOLF'!Q15</f>
        <v/>
      </c>
      <c r="S110" s="2" t="str">
        <f>'ALTO EL GOLF'!R15</f>
        <v/>
      </c>
      <c r="T110" s="2" t="str">
        <f>'ALTO EL GOLF'!S15</f>
        <v/>
      </c>
      <c r="U110" s="2" t="str">
        <f>'ALTO EL GOLF'!T15</f>
        <v/>
      </c>
      <c r="V110" s="2" t="str">
        <f>'ALTO EL GOLF'!U15</f>
        <v/>
      </c>
      <c r="W110" s="2" t="str">
        <f>'ALTO EL GOLF'!V15</f>
        <v/>
      </c>
      <c r="X110" s="2" t="str">
        <f>'ALTO EL GOLF'!W15</f>
        <v/>
      </c>
      <c r="Y110" s="2" t="str">
        <f>'ALTO EL GOLF'!X15</f>
        <v/>
      </c>
      <c r="Z110" s="2" t="str">
        <f>'ALTO EL GOLF'!Y15</f>
        <v/>
      </c>
      <c r="AA110" s="2" t="str">
        <f>'ALTO EL GOLF'!Z15</f>
        <v/>
      </c>
      <c r="AB110" s="2" t="str">
        <f>'ALTO EL GOLF'!AA15</f>
        <v/>
      </c>
      <c r="AC110" s="2" t="str">
        <f>'ALTO EL GOLF'!AB15</f>
        <v/>
      </c>
      <c r="AD110" s="2" t="str">
        <f>'ALTO EL GOLF'!AC15</f>
        <v>5 paquetes de 70x90</v>
      </c>
      <c r="AE110" s="2" t="str">
        <f>'ALTO EL GOLF'!AD15</f>
        <v>3 paquetes de 70x90</v>
      </c>
      <c r="AF110" s="2" t="str">
        <f>'ALTO EL GOLF'!AE15</f>
        <v>2 paquetes de 70x90</v>
      </c>
      <c r="AG110" s="2" t="str">
        <f>'ALTO EL GOLF'!AF15</f>
        <v>2 paquetes de 70x90</v>
      </c>
      <c r="AH110" s="2" t="str">
        <f>'ALTO EL GOLF'!AG15</f>
        <v>2 paquetes de 70x90</v>
      </c>
      <c r="AI110" s="2" t="str">
        <f>'ALTO EL GOLF'!AH15</f>
        <v>1 paquete de 70x90</v>
      </c>
      <c r="AJ110" s="2" t="str">
        <f>'ALTO EL GOLF'!AI15</f>
        <v>0 paquete de 70x90</v>
      </c>
      <c r="AK110" s="2" t="str">
        <f>'ALTO EL GOLF'!AJ15</f>
        <v>0 paquete de 70x90</v>
      </c>
      <c r="AL110" s="2">
        <f>'ALTO EL GOLF'!AK15</f>
        <v>8</v>
      </c>
      <c r="AM110" s="2">
        <f>'ALTO EL GOLF'!AL15</f>
        <v>8</v>
      </c>
      <c r="AN110" s="2">
        <f>'ALTO EL GOLF'!AM15</f>
        <v>6</v>
      </c>
      <c r="AO110" s="2">
        <f>'ALTO EL GOLF'!AN15</f>
        <v>6</v>
      </c>
      <c r="AP110" s="2">
        <f>'ALTO EL GOLF'!AO15</f>
        <v>4</v>
      </c>
      <c r="AQ110" s="2">
        <f>'ALTO EL GOLF'!AP15</f>
        <v>4</v>
      </c>
      <c r="AR110" s="2">
        <f>'ALTO EL GOLF'!AQ15</f>
        <v>0</v>
      </c>
      <c r="AS110" s="2">
        <f>'ALTO EL GOLF'!AR15</f>
        <v>0</v>
      </c>
      <c r="AT110" s="2">
        <f>'ALTO EL GOLF'!AS15</f>
        <v>3</v>
      </c>
      <c r="AU110" s="2">
        <f>'ALTO EL GOLF'!AT15</f>
        <v>3</v>
      </c>
      <c r="AV110" s="2">
        <f>'ALTO EL GOLF'!AU15</f>
        <v>3</v>
      </c>
      <c r="AW110" s="2">
        <f>'ALTO EL GOLF'!AV15</f>
        <v>3</v>
      </c>
      <c r="AX110" s="2">
        <f>'ALTO EL GOLF'!AW15</f>
        <v>2</v>
      </c>
      <c r="AY110" s="2">
        <f>'ALTO EL GOLF'!AX15</f>
        <v>10</v>
      </c>
      <c r="AZ110" s="2">
        <f>'ALTO EL GOLF'!AY15</f>
        <v>11</v>
      </c>
      <c r="BA110" s="2">
        <f>'ALTO EL GOLF'!AZ15</f>
        <v>8</v>
      </c>
      <c r="BB110" s="2">
        <f>'ALTO EL GOLF'!BA15</f>
        <v>8</v>
      </c>
      <c r="BC110" s="2">
        <f>'ALTO EL GOLF'!BB15</f>
        <v>3</v>
      </c>
      <c r="BD110" s="2">
        <f>'ALTO EL GOLF'!BC15</f>
        <v>3</v>
      </c>
      <c r="BE110" s="2">
        <f>'ALTO EL GOLF'!BD15</f>
        <v>2</v>
      </c>
      <c r="BF110" s="2">
        <f>'ALTO EL GOLF'!BE15</f>
        <v>1</v>
      </c>
      <c r="BG110" s="2">
        <f>'ALTO EL GOLF'!BF15</f>
        <v>1</v>
      </c>
      <c r="BH110" s="2">
        <f>'ALTO EL GOLF'!BG15</f>
        <v>0</v>
      </c>
      <c r="BI110" s="2" t="str">
        <f>'ALTO EL GOLF'!BH15</f>
        <v/>
      </c>
      <c r="BJ110" s="2" t="str">
        <f>'ALTO EL GOLF'!BI15</f>
        <v/>
      </c>
      <c r="BK110" s="2" t="str">
        <f>'ALTO EL GOLF'!BJ15</f>
        <v/>
      </c>
      <c r="BL110" s="2" t="str">
        <f>'ALTO EL GOLF'!BK15</f>
        <v/>
      </c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</row>
    <row r="111">
      <c r="A111" s="2"/>
      <c r="B111" s="2" t="str">
        <f>'ALTO EL GOLF'!A16</f>
        <v>Alto el Golf</v>
      </c>
      <c r="C111" s="2" t="str">
        <f>'ALTO EL GOLF'!B16</f>
        <v>Aseo</v>
      </c>
      <c r="D111" s="2" t="str">
        <f>'ALTO EL GOLF'!C16</f>
        <v>Bolsas Basura 80x110</v>
      </c>
      <c r="E111" s="2" t="str">
        <f>'ALTO EL GOLF'!D16</f>
        <v/>
      </c>
      <c r="F111" s="2" t="str">
        <f>'ALTO EL GOLF'!E16</f>
        <v/>
      </c>
      <c r="G111" s="2" t="str">
        <f>'ALTO EL GOLF'!F16</f>
        <v/>
      </c>
      <c r="H111" s="2" t="str">
        <f>'ALTO EL GOLF'!G16</f>
        <v/>
      </c>
      <c r="I111" s="2" t="str">
        <f>'ALTO EL GOLF'!H16</f>
        <v/>
      </c>
      <c r="J111" s="2" t="str">
        <f>'ALTO EL GOLF'!I16</f>
        <v/>
      </c>
      <c r="K111" s="2" t="str">
        <f>'ALTO EL GOLF'!J16</f>
        <v/>
      </c>
      <c r="L111" s="2" t="str">
        <f>'ALTO EL GOLF'!K16</f>
        <v/>
      </c>
      <c r="M111" s="2" t="str">
        <f>'ALTO EL GOLF'!L16</f>
        <v/>
      </c>
      <c r="N111" s="2" t="str">
        <f>'ALTO EL GOLF'!M16</f>
        <v/>
      </c>
      <c r="O111" s="2" t="str">
        <f>'ALTO EL GOLF'!N16</f>
        <v/>
      </c>
      <c r="P111" s="2" t="str">
        <f>'ALTO EL GOLF'!O16</f>
        <v/>
      </c>
      <c r="Q111" s="2" t="str">
        <f>'ALTO EL GOLF'!P16</f>
        <v/>
      </c>
      <c r="R111" s="2" t="str">
        <f>'ALTO EL GOLF'!Q16</f>
        <v/>
      </c>
      <c r="S111" s="2" t="str">
        <f>'ALTO EL GOLF'!R16</f>
        <v/>
      </c>
      <c r="T111" s="2" t="str">
        <f>'ALTO EL GOLF'!S16</f>
        <v/>
      </c>
      <c r="U111" s="2" t="str">
        <f>'ALTO EL GOLF'!T16</f>
        <v/>
      </c>
      <c r="V111" s="2" t="str">
        <f>'ALTO EL GOLF'!U16</f>
        <v/>
      </c>
      <c r="W111" s="2" t="str">
        <f>'ALTO EL GOLF'!V16</f>
        <v/>
      </c>
      <c r="X111" s="2" t="str">
        <f>'ALTO EL GOLF'!W16</f>
        <v/>
      </c>
      <c r="Y111" s="2" t="str">
        <f>'ALTO EL GOLF'!X16</f>
        <v/>
      </c>
      <c r="Z111" s="2" t="str">
        <f>'ALTO EL GOLF'!Y16</f>
        <v/>
      </c>
      <c r="AA111" s="2" t="str">
        <f>'ALTO EL GOLF'!Z16</f>
        <v/>
      </c>
      <c r="AB111" s="2" t="str">
        <f>'ALTO EL GOLF'!AA16</f>
        <v/>
      </c>
      <c r="AC111" s="2" t="str">
        <f>'ALTO EL GOLF'!AB16</f>
        <v/>
      </c>
      <c r="AD111" s="2" t="str">
        <f>'ALTO EL GOLF'!AC16</f>
        <v>9 paquetes de 80x110</v>
      </c>
      <c r="AE111" s="2" t="str">
        <f>'ALTO EL GOLF'!AD16</f>
        <v>9 paquetes de 80x110</v>
      </c>
      <c r="AF111" s="2" t="str">
        <f>'ALTO EL GOLF'!AE16</f>
        <v>9 paquetes de 80x110</v>
      </c>
      <c r="AG111" s="2" t="str">
        <f>'ALTO EL GOLF'!AF16</f>
        <v>9 paquetes de 80x110</v>
      </c>
      <c r="AH111" s="2" t="str">
        <f>'ALTO EL GOLF'!AG16</f>
        <v>7 paquetes de 80x110</v>
      </c>
      <c r="AI111" s="2" t="str">
        <f>'ALTO EL GOLF'!AH16</f>
        <v>7 paquetes de 80x110</v>
      </c>
      <c r="AJ111" s="2" t="str">
        <f>'ALTO EL GOLF'!AI16</f>
        <v>7 paquetes de 80x110</v>
      </c>
      <c r="AK111" s="2" t="str">
        <f>'ALTO EL GOLF'!AJ16</f>
        <v>7 paquetes de 80x110</v>
      </c>
      <c r="AL111" s="2">
        <f>'ALTO EL GOLF'!AK16</f>
        <v>7</v>
      </c>
      <c r="AM111" s="2">
        <f>'ALTO EL GOLF'!AL16</f>
        <v>11</v>
      </c>
      <c r="AN111" s="2">
        <f>'ALTO EL GOLF'!AM16</f>
        <v>10</v>
      </c>
      <c r="AO111" s="2">
        <f>'ALTO EL GOLF'!AN16</f>
        <v>10</v>
      </c>
      <c r="AP111" s="2">
        <f>'ALTO EL GOLF'!AO16</f>
        <v>10</v>
      </c>
      <c r="AQ111" s="2">
        <f>'ALTO EL GOLF'!AP16</f>
        <v>10</v>
      </c>
      <c r="AR111" s="2">
        <f>'ALTO EL GOLF'!AQ16</f>
        <v>9</v>
      </c>
      <c r="AS111" s="2">
        <f>'ALTO EL GOLF'!AR16</f>
        <v>9</v>
      </c>
      <c r="AT111" s="2">
        <f>'ALTO EL GOLF'!AS16</f>
        <v>9</v>
      </c>
      <c r="AU111" s="2">
        <f>'ALTO EL GOLF'!AT16</f>
        <v>9</v>
      </c>
      <c r="AV111" s="2">
        <f>'ALTO EL GOLF'!AU16</f>
        <v>9</v>
      </c>
      <c r="AW111" s="2">
        <f>'ALTO EL GOLF'!AV16</f>
        <v>8</v>
      </c>
      <c r="AX111" s="2">
        <f>'ALTO EL GOLF'!AW16</f>
        <v>8</v>
      </c>
      <c r="AY111" s="2">
        <f>'ALTO EL GOLF'!AX16</f>
        <v>17</v>
      </c>
      <c r="AZ111" s="2">
        <f>'ALTO EL GOLF'!AY16</f>
        <v>15</v>
      </c>
      <c r="BA111" s="2">
        <f>'ALTO EL GOLF'!AZ16</f>
        <v>15</v>
      </c>
      <c r="BB111" s="2">
        <f>'ALTO EL GOLF'!BA16</f>
        <v>14</v>
      </c>
      <c r="BC111" s="2">
        <f>'ALTO EL GOLF'!BB16</f>
        <v>13</v>
      </c>
      <c r="BD111" s="2">
        <f>'ALTO EL GOLF'!BC16</f>
        <v>13</v>
      </c>
      <c r="BE111" s="2">
        <f>'ALTO EL GOLF'!BD16</f>
        <v>13</v>
      </c>
      <c r="BF111" s="2">
        <f>'ALTO EL GOLF'!BE16</f>
        <v>12</v>
      </c>
      <c r="BG111" s="2">
        <f>'ALTO EL GOLF'!BF16</f>
        <v>12</v>
      </c>
      <c r="BH111" s="2">
        <f>'ALTO EL GOLF'!BG16</f>
        <v>10</v>
      </c>
      <c r="BI111" s="2" t="str">
        <f>'ALTO EL GOLF'!BH16</f>
        <v/>
      </c>
      <c r="BJ111" s="2" t="str">
        <f>'ALTO EL GOLF'!BI16</f>
        <v/>
      </c>
      <c r="BK111" s="2" t="str">
        <f>'ALTO EL GOLF'!BJ16</f>
        <v/>
      </c>
      <c r="BL111" s="2" t="str">
        <f>'ALTO EL GOLF'!BK16</f>
        <v/>
      </c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</row>
    <row r="112">
      <c r="A112" s="2"/>
      <c r="B112" s="2" t="str">
        <f>'ALTO EL GOLF'!A17</f>
        <v>Alto el Golf</v>
      </c>
      <c r="C112" s="2" t="str">
        <f>'ALTO EL GOLF'!B17</f>
        <v>Aseo</v>
      </c>
      <c r="D112" s="2" t="str">
        <f>'ALTO EL GOLF'!C17</f>
        <v>Esponja 4U</v>
      </c>
      <c r="E112" s="2" t="str">
        <f>'ALTO EL GOLF'!D17</f>
        <v/>
      </c>
      <c r="F112" s="2" t="str">
        <f>'ALTO EL GOLF'!E17</f>
        <v/>
      </c>
      <c r="G112" s="2" t="str">
        <f>'ALTO EL GOLF'!F17</f>
        <v/>
      </c>
      <c r="H112" s="2" t="str">
        <f>'ALTO EL GOLF'!G17</f>
        <v/>
      </c>
      <c r="I112" s="2" t="str">
        <f>'ALTO EL GOLF'!H17</f>
        <v/>
      </c>
      <c r="J112" s="2" t="str">
        <f>'ALTO EL GOLF'!I17</f>
        <v/>
      </c>
      <c r="K112" s="2" t="str">
        <f>'ALTO EL GOLF'!J17</f>
        <v/>
      </c>
      <c r="L112" s="2" t="str">
        <f>'ALTO EL GOLF'!K17</f>
        <v/>
      </c>
      <c r="M112" s="2" t="str">
        <f>'ALTO EL GOLF'!L17</f>
        <v/>
      </c>
      <c r="N112" s="2" t="str">
        <f>'ALTO EL GOLF'!M17</f>
        <v/>
      </c>
      <c r="O112" s="2" t="str">
        <f>'ALTO EL GOLF'!N17</f>
        <v/>
      </c>
      <c r="P112" s="2" t="str">
        <f>'ALTO EL GOLF'!O17</f>
        <v/>
      </c>
      <c r="Q112" s="2" t="str">
        <f>'ALTO EL GOLF'!P17</f>
        <v/>
      </c>
      <c r="R112" s="2" t="str">
        <f>'ALTO EL GOLF'!Q17</f>
        <v>-</v>
      </c>
      <c r="S112" s="2" t="str">
        <f>'ALTO EL GOLF'!R17</f>
        <v>-</v>
      </c>
      <c r="T112" s="2" t="str">
        <f>'ALTO EL GOLF'!S17</f>
        <v>-</v>
      </c>
      <c r="U112" s="2" t="str">
        <f>'ALTO EL GOLF'!T17</f>
        <v>-</v>
      </c>
      <c r="V112" s="2" t="str">
        <f>'ALTO EL GOLF'!U17</f>
        <v>-</v>
      </c>
      <c r="W112" s="2" t="str">
        <f>'ALTO EL GOLF'!V17</f>
        <v>-</v>
      </c>
      <c r="X112" s="2" t="str">
        <f>'ALTO EL GOLF'!W17</f>
        <v>-</v>
      </c>
      <c r="Y112" s="2" t="str">
        <f>'ALTO EL GOLF'!X17</f>
        <v>-</v>
      </c>
      <c r="Z112" s="2" t="str">
        <f>'ALTO EL GOLF'!Y17</f>
        <v>-</v>
      </c>
      <c r="AA112" s="2" t="str">
        <f>'ALTO EL GOLF'!Z17</f>
        <v>-</v>
      </c>
      <c r="AB112" s="2" t="str">
        <f>'ALTO EL GOLF'!AA17</f>
        <v>-</v>
      </c>
      <c r="AC112" s="2">
        <f>'ALTO EL GOLF'!AB17</f>
        <v>6</v>
      </c>
      <c r="AD112" s="2">
        <f>'ALTO EL GOLF'!AC17</f>
        <v>6</v>
      </c>
      <c r="AE112" s="2">
        <f>'ALTO EL GOLF'!AD17</f>
        <v>6</v>
      </c>
      <c r="AF112" s="2">
        <f>'ALTO EL GOLF'!AE17</f>
        <v>4</v>
      </c>
      <c r="AG112" s="2">
        <f>'ALTO EL GOLF'!AF17</f>
        <v>4</v>
      </c>
      <c r="AH112" s="2">
        <f>'ALTO EL GOLF'!AG17</f>
        <v>4</v>
      </c>
      <c r="AI112" s="2">
        <f>'ALTO EL GOLF'!AH17</f>
        <v>4</v>
      </c>
      <c r="AJ112" s="2">
        <f>'ALTO EL GOLF'!AI17</f>
        <v>4</v>
      </c>
      <c r="AK112" s="2">
        <f>'ALTO EL GOLF'!AJ17</f>
        <v>4</v>
      </c>
      <c r="AL112" s="2">
        <f>'ALTO EL GOLF'!AK17</f>
        <v>4</v>
      </c>
      <c r="AM112" s="2">
        <f>'ALTO EL GOLF'!AL17</f>
        <v>6</v>
      </c>
      <c r="AN112" s="2">
        <f>'ALTO EL GOLF'!AM17</f>
        <v>5</v>
      </c>
      <c r="AO112" s="2">
        <f>'ALTO EL GOLF'!AN17</f>
        <v>5</v>
      </c>
      <c r="AP112" s="2">
        <f>'ALTO EL GOLF'!AO17</f>
        <v>4</v>
      </c>
      <c r="AQ112" s="2">
        <f>'ALTO EL GOLF'!AP17</f>
        <v>4</v>
      </c>
      <c r="AR112" s="2">
        <f>'ALTO EL GOLF'!AQ17</f>
        <v>4</v>
      </c>
      <c r="AS112" s="2">
        <f>'ALTO EL GOLF'!AR17</f>
        <v>4</v>
      </c>
      <c r="AT112" s="2">
        <f>'ALTO EL GOLF'!AS17</f>
        <v>2</v>
      </c>
      <c r="AU112" s="2">
        <f>'ALTO EL GOLF'!AT17</f>
        <v>2</v>
      </c>
      <c r="AV112" s="2">
        <f>'ALTO EL GOLF'!AU17</f>
        <v>2</v>
      </c>
      <c r="AW112" s="2">
        <f>'ALTO EL GOLF'!AV17</f>
        <v>2</v>
      </c>
      <c r="AX112" s="2">
        <f>'ALTO EL GOLF'!AW17</f>
        <v>2</v>
      </c>
      <c r="AY112" s="2">
        <f>'ALTO EL GOLF'!AX17</f>
        <v>2</v>
      </c>
      <c r="AZ112" s="2">
        <f>'ALTO EL GOLF'!AY17</f>
        <v>2</v>
      </c>
      <c r="BA112" s="2">
        <f>'ALTO EL GOLF'!AZ17</f>
        <v>4</v>
      </c>
      <c r="BB112" s="2">
        <f>'ALTO EL GOLF'!BA17</f>
        <v>4</v>
      </c>
      <c r="BC112" s="2">
        <f>'ALTO EL GOLF'!BB17</f>
        <v>4</v>
      </c>
      <c r="BD112" s="2">
        <f>'ALTO EL GOLF'!BC17</f>
        <v>4</v>
      </c>
      <c r="BE112" s="2">
        <f>'ALTO EL GOLF'!BD17</f>
        <v>3</v>
      </c>
      <c r="BF112" s="2">
        <f>'ALTO EL GOLF'!BE17</f>
        <v>3</v>
      </c>
      <c r="BG112" s="2">
        <f>'ALTO EL GOLF'!BF17</f>
        <v>3</v>
      </c>
      <c r="BH112" s="2">
        <f>'ALTO EL GOLF'!BG17</f>
        <v>3</v>
      </c>
      <c r="BI112" s="2" t="str">
        <f>'ALTO EL GOLF'!BH17</f>
        <v/>
      </c>
      <c r="BJ112" s="2" t="str">
        <f>'ALTO EL GOLF'!BI17</f>
        <v/>
      </c>
      <c r="BK112" s="2" t="str">
        <f>'ALTO EL GOLF'!BJ17</f>
        <v/>
      </c>
      <c r="BL112" s="2" t="str">
        <f>'ALTO EL GOLF'!BK17</f>
        <v/>
      </c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</row>
    <row r="113">
      <c r="A113" s="2"/>
      <c r="B113" s="2" t="str">
        <f>'ALTO EL GOLF'!A18</f>
        <v>Alto el Golf</v>
      </c>
      <c r="C113" s="2" t="str">
        <f>'ALTO EL GOLF'!B18</f>
        <v>Aseo</v>
      </c>
      <c r="D113" s="2" t="str">
        <f>'ALTO EL GOLF'!C18</f>
        <v>Mopa Redonda</v>
      </c>
      <c r="E113" s="2" t="str">
        <f>'ALTO EL GOLF'!D18</f>
        <v/>
      </c>
      <c r="F113" s="2" t="str">
        <f>'ALTO EL GOLF'!E18</f>
        <v/>
      </c>
      <c r="G113" s="2" t="str">
        <f>'ALTO EL GOLF'!F18</f>
        <v/>
      </c>
      <c r="H113" s="2" t="str">
        <f>'ALTO EL GOLF'!G18</f>
        <v/>
      </c>
      <c r="I113" s="2" t="str">
        <f>'ALTO EL GOLF'!H18</f>
        <v/>
      </c>
      <c r="J113" s="2" t="str">
        <f>'ALTO EL GOLF'!I18</f>
        <v/>
      </c>
      <c r="K113" s="2" t="str">
        <f>'ALTO EL GOLF'!J18</f>
        <v/>
      </c>
      <c r="L113" s="2" t="str">
        <f>'ALTO EL GOLF'!K18</f>
        <v/>
      </c>
      <c r="M113" s="2" t="str">
        <f>'ALTO EL GOLF'!L18</f>
        <v/>
      </c>
      <c r="N113" s="2" t="str">
        <f>'ALTO EL GOLF'!M18</f>
        <v/>
      </c>
      <c r="O113" s="2" t="str">
        <f>'ALTO EL GOLF'!N18</f>
        <v/>
      </c>
      <c r="P113" s="2" t="str">
        <f>'ALTO EL GOLF'!O18</f>
        <v/>
      </c>
      <c r="Q113" s="2" t="str">
        <f>'ALTO EL GOLF'!P18</f>
        <v/>
      </c>
      <c r="R113" s="2" t="str">
        <f>'ALTO EL GOLF'!Q18</f>
        <v>-</v>
      </c>
      <c r="S113" s="2" t="str">
        <f>'ALTO EL GOLF'!R18</f>
        <v>-</v>
      </c>
      <c r="T113" s="2" t="str">
        <f>'ALTO EL GOLF'!S18</f>
        <v>-</v>
      </c>
      <c r="U113" s="2" t="str">
        <f>'ALTO EL GOLF'!T18</f>
        <v>-</v>
      </c>
      <c r="V113" s="2" t="str">
        <f>'ALTO EL GOLF'!U18</f>
        <v>-</v>
      </c>
      <c r="W113" s="2" t="str">
        <f>'ALTO EL GOLF'!V18</f>
        <v>-</v>
      </c>
      <c r="X113" s="2" t="str">
        <f>'ALTO EL GOLF'!W18</f>
        <v>-</v>
      </c>
      <c r="Y113" s="2" t="str">
        <f>'ALTO EL GOLF'!X18</f>
        <v>-</v>
      </c>
      <c r="Z113" s="2" t="str">
        <f>'ALTO EL GOLF'!Y18</f>
        <v>-</v>
      </c>
      <c r="AA113" s="2" t="str">
        <f>'ALTO EL GOLF'!Z18</f>
        <v>-</v>
      </c>
      <c r="AB113" s="2" t="str">
        <f>'ALTO EL GOLF'!AA18</f>
        <v>-</v>
      </c>
      <c r="AC113" s="2">
        <f>'ALTO EL GOLF'!AB18</f>
        <v>6</v>
      </c>
      <c r="AD113" s="2">
        <f>'ALTO EL GOLF'!AC18</f>
        <v>6</v>
      </c>
      <c r="AE113" s="2">
        <f>'ALTO EL GOLF'!AD18</f>
        <v>5</v>
      </c>
      <c r="AF113" s="2">
        <f>'ALTO EL GOLF'!AE18</f>
        <v>4</v>
      </c>
      <c r="AG113" s="2">
        <f>'ALTO EL GOLF'!AF18</f>
        <v>4</v>
      </c>
      <c r="AH113" s="2">
        <f>'ALTO EL GOLF'!AG18</f>
        <v>4</v>
      </c>
      <c r="AI113" s="2">
        <f>'ALTO EL GOLF'!AH18</f>
        <v>4</v>
      </c>
      <c r="AJ113" s="2">
        <f>'ALTO EL GOLF'!AI18</f>
        <v>4</v>
      </c>
      <c r="AK113" s="2">
        <f>'ALTO EL GOLF'!AJ18</f>
        <v>4</v>
      </c>
      <c r="AL113" s="2">
        <f>'ALTO EL GOLF'!AK18</f>
        <v>7</v>
      </c>
      <c r="AM113" s="2">
        <f>'ALTO EL GOLF'!AL18</f>
        <v>6</v>
      </c>
      <c r="AN113" s="2">
        <f>'ALTO EL GOLF'!AM18</f>
        <v>4</v>
      </c>
      <c r="AO113" s="2">
        <f>'ALTO EL GOLF'!AN18</f>
        <v>4</v>
      </c>
      <c r="AP113" s="2">
        <f>'ALTO EL GOLF'!AO18</f>
        <v>4</v>
      </c>
      <c r="AQ113" s="2">
        <f>'ALTO EL GOLF'!AP18</f>
        <v>4</v>
      </c>
      <c r="AR113" s="2">
        <f>'ALTO EL GOLF'!AQ18</f>
        <v>4</v>
      </c>
      <c r="AS113" s="2">
        <f>'ALTO EL GOLF'!AR18</f>
        <v>4</v>
      </c>
      <c r="AT113" s="2">
        <f>'ALTO EL GOLF'!AS18</f>
        <v>4</v>
      </c>
      <c r="AU113" s="2">
        <f>'ALTO EL GOLF'!AT18</f>
        <v>4</v>
      </c>
      <c r="AV113" s="2">
        <f>'ALTO EL GOLF'!AU18</f>
        <v>3</v>
      </c>
      <c r="AW113" s="2">
        <f>'ALTO EL GOLF'!AV18</f>
        <v>2</v>
      </c>
      <c r="AX113" s="2">
        <f>'ALTO EL GOLF'!AW18</f>
        <v>2</v>
      </c>
      <c r="AY113" s="2">
        <f>'ALTO EL GOLF'!AX18</f>
        <v>2</v>
      </c>
      <c r="AZ113" s="2">
        <f>'ALTO EL GOLF'!AY18</f>
        <v>2</v>
      </c>
      <c r="BA113" s="2">
        <f>'ALTO EL GOLF'!AZ18</f>
        <v>1</v>
      </c>
      <c r="BB113" s="2">
        <f>'ALTO EL GOLF'!BA18</f>
        <v>1</v>
      </c>
      <c r="BC113" s="2">
        <f>'ALTO EL GOLF'!BB18</f>
        <v>1</v>
      </c>
      <c r="BD113" s="2">
        <f>'ALTO EL GOLF'!BC18</f>
        <v>1</v>
      </c>
      <c r="BE113" s="2">
        <f>'ALTO EL GOLF'!BD18</f>
        <v>3</v>
      </c>
      <c r="BF113" s="2">
        <f>'ALTO EL GOLF'!BE18</f>
        <v>3</v>
      </c>
      <c r="BG113" s="2">
        <f>'ALTO EL GOLF'!BF18</f>
        <v>3</v>
      </c>
      <c r="BH113" s="2">
        <f>'ALTO EL GOLF'!BG18</f>
        <v>3</v>
      </c>
      <c r="BI113" s="2" t="str">
        <f>'ALTO EL GOLF'!BH18</f>
        <v/>
      </c>
      <c r="BJ113" s="2" t="str">
        <f>'ALTO EL GOLF'!BI18</f>
        <v/>
      </c>
      <c r="BK113" s="2" t="str">
        <f>'ALTO EL GOLF'!BJ18</f>
        <v/>
      </c>
      <c r="BL113" s="2" t="str">
        <f>'ALTO EL GOLF'!BK18</f>
        <v/>
      </c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</row>
    <row r="115">
      <c r="A115" s="2"/>
      <c r="B115" s="2" t="str">
        <f>APOQUINDO!A2</f>
        <v/>
      </c>
      <c r="C115" s="2" t="str">
        <f>APOQUINDO!B2</f>
        <v/>
      </c>
      <c r="D115" s="14" t="str">
        <f>APOQUINDO!C2</f>
        <v/>
      </c>
      <c r="E115" s="14">
        <f>APOQUINDO!D2</f>
        <v>45811</v>
      </c>
      <c r="F115" s="14">
        <f>APOQUINDO!E2</f>
        <v>45817</v>
      </c>
      <c r="G115" s="14">
        <f>APOQUINDO!F2</f>
        <v>45824</v>
      </c>
      <c r="H115" s="14">
        <f>APOQUINDO!G2</f>
        <v>45831</v>
      </c>
      <c r="I115" s="14">
        <f>APOQUINDO!H2</f>
        <v>45838</v>
      </c>
      <c r="J115" s="14">
        <f>APOQUINDO!I2</f>
        <v>45845</v>
      </c>
      <c r="K115" s="14">
        <f>APOQUINDO!J2</f>
        <v>45852</v>
      </c>
      <c r="L115" s="14">
        <f>APOQUINDO!K2</f>
        <v>45859</v>
      </c>
      <c r="M115" s="14">
        <f>APOQUINDO!L2</f>
        <v>45866</v>
      </c>
      <c r="N115" s="14">
        <f>APOQUINDO!M2</f>
        <v>45873</v>
      </c>
      <c r="O115" s="14">
        <f>APOQUINDO!N2</f>
        <v>45880</v>
      </c>
      <c r="P115" s="14">
        <f>APOQUINDO!O2</f>
        <v>45887</v>
      </c>
      <c r="Q115" s="14">
        <f>APOQUINDO!P2</f>
        <v>45894</v>
      </c>
      <c r="R115" s="14">
        <f>APOQUINDO!Q2</f>
        <v>45901</v>
      </c>
      <c r="S115" s="14">
        <f>APOQUINDO!R2</f>
        <v>45908</v>
      </c>
      <c r="T115" s="14">
        <f>APOQUINDO!S2</f>
        <v>45915</v>
      </c>
      <c r="U115" s="14">
        <f>APOQUINDO!T2</f>
        <v>45922</v>
      </c>
      <c r="V115" s="14">
        <f>APOQUINDO!U2</f>
        <v>45929</v>
      </c>
      <c r="W115" s="14">
        <f>APOQUINDO!V2</f>
        <v>45936</v>
      </c>
      <c r="X115" s="14">
        <f>APOQUINDO!W2</f>
        <v>45943</v>
      </c>
      <c r="Y115" s="14">
        <f>APOQUINDO!X2</f>
        <v>45950</v>
      </c>
      <c r="Z115" s="14">
        <f>APOQUINDO!Y2</f>
        <v>45957</v>
      </c>
      <c r="AA115" s="14">
        <f>APOQUINDO!Z2</f>
        <v>45964</v>
      </c>
      <c r="AB115" s="14">
        <f>APOQUINDO!AA2</f>
        <v>45967</v>
      </c>
      <c r="AC115" s="14">
        <f>APOQUINDO!AB2</f>
        <v>45971</v>
      </c>
      <c r="AD115" s="14">
        <f>APOQUINDO!AC2</f>
        <v>45979</v>
      </c>
      <c r="AE115" s="14">
        <f>APOQUINDO!AD2</f>
        <v>45985</v>
      </c>
      <c r="AF115" s="14">
        <f>APOQUINDO!AE2</f>
        <v>45989</v>
      </c>
      <c r="AG115" s="14">
        <f>APOQUINDO!AF2</f>
        <v>45992</v>
      </c>
      <c r="AH115" s="14">
        <f>APOQUINDO!AG2</f>
        <v>45993</v>
      </c>
      <c r="AI115" s="14">
        <f>APOQUINDO!AH2</f>
        <v>46000</v>
      </c>
      <c r="AJ115" s="14">
        <f>APOQUINDO!AI2</f>
        <v>46006</v>
      </c>
      <c r="AK115" s="14">
        <f>APOQUINDO!AJ2</f>
        <v>46013</v>
      </c>
      <c r="AL115" s="14">
        <f>APOQUINDO!AK2</f>
        <v>46020</v>
      </c>
      <c r="AM115" s="14">
        <f>APOQUINDO!AL2</f>
        <v>46027</v>
      </c>
      <c r="AN115" s="14">
        <f>APOQUINDO!AM2</f>
        <v>46030</v>
      </c>
      <c r="AO115" s="14">
        <f>APOQUINDO!AN2</f>
        <v>46034</v>
      </c>
      <c r="AP115" s="14">
        <f>APOQUINDO!AO2</f>
        <v>46037</v>
      </c>
      <c r="AQ115" s="14">
        <f>APOQUINDO!AP2</f>
        <v>46041</v>
      </c>
      <c r="AR115" s="14">
        <f>APOQUINDO!AQ2</f>
        <v>46044</v>
      </c>
      <c r="AS115" s="14">
        <f>APOQUINDO!AR2</f>
        <v>46051</v>
      </c>
      <c r="AT115" s="14">
        <f>APOQUINDO!AS2</f>
        <v>46055</v>
      </c>
      <c r="AU115" s="14">
        <f>APOQUINDO!AT2</f>
        <v>46062</v>
      </c>
      <c r="AV115" s="14">
        <f>APOQUINDO!AU2</f>
        <v>46065</v>
      </c>
      <c r="AW115" s="14">
        <f>APOQUINDO!AV2</f>
        <v>46069</v>
      </c>
      <c r="AX115" s="14">
        <f>APOQUINDO!AW2</f>
        <v>46072</v>
      </c>
      <c r="AY115" s="14">
        <f>APOQUINDO!AX2</f>
        <v>46076</v>
      </c>
      <c r="AZ115" s="14">
        <f>APOQUINDO!AY2</f>
        <v>46083</v>
      </c>
      <c r="BA115" s="14">
        <f>APOQUINDO!AZ2</f>
        <v>46090</v>
      </c>
      <c r="BB115" s="14">
        <f>APOQUINDO!BA2</f>
        <v>46091</v>
      </c>
      <c r="BC115" s="14">
        <f>APOQUINDO!BB2</f>
        <v>46100</v>
      </c>
      <c r="BD115" s="14">
        <f>APOQUINDO!BC2</f>
        <v>46104</v>
      </c>
      <c r="BE115" s="14" t="str">
        <f>APOQUINDO!BD2</f>
        <v/>
      </c>
      <c r="BF115" s="14" t="str">
        <f>APOQUINDO!BE2</f>
        <v/>
      </c>
      <c r="BG115" s="14" t="str">
        <f>APOQUINDO!BF2</f>
        <v/>
      </c>
      <c r="BH115" s="14" t="str">
        <f>APOQUINDO!BG2</f>
        <v/>
      </c>
      <c r="BI115" s="2" t="str">
        <f>APOQUINDO!BQ2</f>
        <v/>
      </c>
      <c r="BJ115" s="2" t="str">
        <f>APOQUINDO!BR2</f>
        <v/>
      </c>
      <c r="BK115" s="2" t="str">
        <f>APOQUINDO!BS2</f>
        <v/>
      </c>
      <c r="BL115" s="2" t="str">
        <f>APOQUINDO!BT2</f>
        <v/>
      </c>
      <c r="BM115" s="2" t="str">
        <f>APOQUINDO!BU2</f>
        <v/>
      </c>
      <c r="BN115" s="2" t="str">
        <f>APOQUINDO!BV2</f>
        <v/>
      </c>
      <c r="BO115" s="2" t="str">
        <f>APOQUINDO!BW2</f>
        <v/>
      </c>
      <c r="BP115" s="2" t="str">
        <f>APOQUINDO!BX2</f>
        <v/>
      </c>
      <c r="BQ115" s="2" t="str">
        <f>APOQUINDO!BY2</f>
        <v/>
      </c>
      <c r="BR115" s="2" t="str">
        <f>APOQUINDO!BZ2</f>
        <v/>
      </c>
      <c r="BS115" s="2" t="str">
        <f>APOQUINDO!CA2</f>
        <v/>
      </c>
      <c r="BT115" s="2" t="str">
        <f>APOQUINDO!CB2</f>
        <v/>
      </c>
      <c r="BU115" s="2"/>
      <c r="BV115" s="2"/>
      <c r="BW115" s="2"/>
      <c r="BX115" s="2"/>
      <c r="BY115" s="2"/>
      <c r="BZ115" s="2"/>
      <c r="CA115" s="2"/>
      <c r="CB115" s="2"/>
      <c r="CC115" s="2"/>
    </row>
    <row r="116">
      <c r="A116" s="2"/>
      <c r="B116" s="2" t="str">
        <f>APOQUINDO!A3</f>
        <v>Sede</v>
      </c>
      <c r="C116" s="2" t="str">
        <f>APOQUINDO!B3</f>
        <v>Proveedor</v>
      </c>
      <c r="D116" s="2" t="str">
        <f>APOQUINDO!C3</f>
        <v>Producto</v>
      </c>
      <c r="E116" s="2" t="str">
        <f>APOQUINDO!D3</f>
        <v>Stock Actual</v>
      </c>
      <c r="F116" s="2" t="str">
        <f>APOQUINDO!E3</f>
        <v>Stock Actual</v>
      </c>
      <c r="G116" s="2" t="str">
        <f>APOQUINDO!F3</f>
        <v>Stock Actual</v>
      </c>
      <c r="H116" s="2" t="str">
        <f>APOQUINDO!G3</f>
        <v>Stock Actual</v>
      </c>
      <c r="I116" s="2" t="str">
        <f>APOQUINDO!H3</f>
        <v>Stock Actual</v>
      </c>
      <c r="J116" s="2" t="str">
        <f>APOQUINDO!I3</f>
        <v>Stock Actual</v>
      </c>
      <c r="K116" s="2" t="str">
        <f>APOQUINDO!J3</f>
        <v>Stock Actual</v>
      </c>
      <c r="L116" s="2" t="str">
        <f>APOQUINDO!K3</f>
        <v>Stock Actual</v>
      </c>
      <c r="M116" s="2" t="str">
        <f>APOQUINDO!L3</f>
        <v>Stock Actual</v>
      </c>
      <c r="N116" s="2" t="str">
        <f>APOQUINDO!M3</f>
        <v>Stock Actual</v>
      </c>
      <c r="O116" s="2" t="str">
        <f>APOQUINDO!N3</f>
        <v>Stock Actual</v>
      </c>
      <c r="P116" s="2" t="str">
        <f>APOQUINDO!O3</f>
        <v>Stock Actual</v>
      </c>
      <c r="Q116" s="2" t="str">
        <f>APOQUINDO!P3</f>
        <v>Stock Actual</v>
      </c>
      <c r="R116" s="2" t="str">
        <f>APOQUINDO!Q3</f>
        <v>Stock Actual</v>
      </c>
      <c r="S116" s="2" t="str">
        <f>APOQUINDO!R3</f>
        <v>Stock Actual</v>
      </c>
      <c r="T116" s="2" t="str">
        <f>APOQUINDO!S3</f>
        <v>Stock Actual</v>
      </c>
      <c r="U116" s="2" t="str">
        <f>APOQUINDO!T3</f>
        <v>Stock Actual</v>
      </c>
      <c r="V116" s="2" t="str">
        <f>APOQUINDO!U3</f>
        <v>Stock Actual</v>
      </c>
      <c r="W116" s="2" t="str">
        <f>APOQUINDO!V3</f>
        <v>Stock Actual</v>
      </c>
      <c r="X116" s="2" t="str">
        <f>APOQUINDO!W3</f>
        <v>Stock Actual</v>
      </c>
      <c r="Y116" s="2" t="str">
        <f>APOQUINDO!X3</f>
        <v>Stock Actual</v>
      </c>
      <c r="Z116" s="2" t="str">
        <f>APOQUINDO!Y3</f>
        <v>Stock Actual</v>
      </c>
      <c r="AA116" s="2" t="str">
        <f>APOQUINDO!Z3</f>
        <v>Stock Actual</v>
      </c>
      <c r="AB116" s="2" t="str">
        <f>APOQUINDO!AA3</f>
        <v>Stock Actual</v>
      </c>
      <c r="AC116" s="2" t="str">
        <f>APOQUINDO!AB3</f>
        <v>Stock Actual</v>
      </c>
      <c r="AD116" s="2" t="str">
        <f>APOQUINDO!AC3</f>
        <v>Stock Actual</v>
      </c>
      <c r="AE116" s="2" t="str">
        <f>APOQUINDO!AD3</f>
        <v>Stock Actual</v>
      </c>
      <c r="AF116" s="2" t="str">
        <f>APOQUINDO!AE3</f>
        <v>Stock Actual</v>
      </c>
      <c r="AG116" s="2" t="str">
        <f>APOQUINDO!AF3</f>
        <v>Stock Actual</v>
      </c>
      <c r="AH116" s="2" t="str">
        <f>APOQUINDO!AG3</f>
        <v>Stock Actual</v>
      </c>
      <c r="AI116" s="2" t="str">
        <f>APOQUINDO!AH3</f>
        <v>Stock Actual</v>
      </c>
      <c r="AJ116" s="2" t="str">
        <f>APOQUINDO!AI3</f>
        <v>Stock Actual</v>
      </c>
      <c r="AK116" s="2" t="str">
        <f>APOQUINDO!AJ3</f>
        <v>Stock Actual</v>
      </c>
      <c r="AL116" s="2" t="str">
        <f>APOQUINDO!AK3</f>
        <v>Stock Actual</v>
      </c>
      <c r="AM116" s="2" t="str">
        <f>APOQUINDO!AL3</f>
        <v>Stock Actual</v>
      </c>
      <c r="AN116" s="2" t="str">
        <f>APOQUINDO!AM3</f>
        <v>Stock Actual</v>
      </c>
      <c r="AO116" s="2" t="str">
        <f>APOQUINDO!AN3</f>
        <v>Stock Actual</v>
      </c>
      <c r="AP116" s="2" t="str">
        <f>APOQUINDO!AO3</f>
        <v>Stock Actual</v>
      </c>
      <c r="AQ116" s="2" t="str">
        <f>APOQUINDO!AP3</f>
        <v>Stock Actual</v>
      </c>
      <c r="AR116" s="2" t="str">
        <f>APOQUINDO!AQ3</f>
        <v>Stock Actual</v>
      </c>
      <c r="AS116" s="2" t="str">
        <f>APOQUINDO!AR3</f>
        <v>Stock Actual</v>
      </c>
      <c r="AT116" s="2" t="str">
        <f>APOQUINDO!AS3</f>
        <v>Stock Actual</v>
      </c>
      <c r="AU116" s="2" t="str">
        <f>APOQUINDO!AT3</f>
        <v>Stock Actual</v>
      </c>
      <c r="AV116" s="2" t="str">
        <f>APOQUINDO!AU3</f>
        <v>Stock Actual</v>
      </c>
      <c r="AW116" s="2" t="str">
        <f>APOQUINDO!AV3</f>
        <v>Stock Actual</v>
      </c>
      <c r="AX116" s="2" t="str">
        <f>APOQUINDO!AW3</f>
        <v>Stock Actual</v>
      </c>
      <c r="AY116" s="2" t="str">
        <f>APOQUINDO!AX3</f>
        <v>Stock Actual</v>
      </c>
      <c r="AZ116" s="2" t="str">
        <f>APOQUINDO!AY3</f>
        <v>Stock Actual</v>
      </c>
      <c r="BA116" s="2" t="str">
        <f>APOQUINDO!AZ3</f>
        <v>Stock Actual</v>
      </c>
      <c r="BB116" s="2" t="str">
        <f>APOQUINDO!BA3</f>
        <v>Stock Actual</v>
      </c>
      <c r="BC116" s="2" t="str">
        <f>APOQUINDO!BB3</f>
        <v>Stock Actual</v>
      </c>
      <c r="BD116" s="2" t="str">
        <f>APOQUINDO!BC3</f>
        <v>Stock Actual</v>
      </c>
      <c r="BE116" s="2" t="str">
        <f>APOQUINDO!BD3</f>
        <v/>
      </c>
      <c r="BF116" s="2" t="str">
        <f>APOQUINDO!BE3</f>
        <v/>
      </c>
      <c r="BG116" s="2" t="str">
        <f>APOQUINDO!BF3</f>
        <v/>
      </c>
      <c r="BH116" s="2" t="str">
        <f>APOQUINDO!BG3</f>
        <v/>
      </c>
      <c r="BI116" s="2" t="str">
        <f>APOQUINDO!BQ3</f>
        <v/>
      </c>
      <c r="BJ116" s="2" t="str">
        <f>APOQUINDO!BR3</f>
        <v/>
      </c>
      <c r="BK116" s="2" t="str">
        <f>APOQUINDO!BS3</f>
        <v/>
      </c>
      <c r="BL116" s="2" t="str">
        <f>APOQUINDO!BT3</f>
        <v/>
      </c>
      <c r="BM116" s="2" t="str">
        <f>APOQUINDO!BU3</f>
        <v/>
      </c>
      <c r="BN116" s="2" t="str">
        <f>APOQUINDO!BV3</f>
        <v/>
      </c>
      <c r="BO116" s="2" t="str">
        <f>APOQUINDO!BW3</f>
        <v/>
      </c>
      <c r="BP116" s="2" t="str">
        <f>APOQUINDO!BX3</f>
        <v/>
      </c>
      <c r="BQ116" s="2" t="str">
        <f>APOQUINDO!BY3</f>
        <v/>
      </c>
      <c r="BR116" s="2" t="str">
        <f>APOQUINDO!BZ3</f>
        <v/>
      </c>
      <c r="BS116" s="2" t="str">
        <f>APOQUINDO!CA3</f>
        <v/>
      </c>
      <c r="BT116" s="2" t="str">
        <f>APOQUINDO!CB3</f>
        <v/>
      </c>
      <c r="BU116" s="2"/>
      <c r="BV116" s="2"/>
      <c r="BW116" s="2"/>
      <c r="BX116" s="2"/>
      <c r="BY116" s="2"/>
      <c r="BZ116" s="2"/>
      <c r="CA116" s="2"/>
      <c r="CB116" s="2"/>
      <c r="CC116" s="2"/>
    </row>
    <row r="117">
      <c r="A117" s="2"/>
      <c r="B117" s="2" t="str">
        <f>APOQUINDO!A4</f>
        <v>Apoquindo</v>
      </c>
      <c r="C117" s="2" t="str">
        <f>APOQUINDO!B4</f>
        <v>Cafe Caribe</v>
      </c>
      <c r="D117" s="2" t="str">
        <f>APOQUINDO!C4</f>
        <v>Cafe Grano (KG)</v>
      </c>
      <c r="E117" s="2">
        <f>APOQUINDO!D4</f>
        <v>6.5</v>
      </c>
      <c r="F117" s="2">
        <f>APOQUINDO!E4</f>
        <v>4.5</v>
      </c>
      <c r="G117" s="2">
        <f>APOQUINDO!F4</f>
        <v>13</v>
      </c>
      <c r="H117" s="2">
        <f>APOQUINDO!G4</f>
        <v>17</v>
      </c>
      <c r="I117" s="2">
        <f>APOQUINDO!H4</f>
        <v>10.5</v>
      </c>
      <c r="J117" s="2">
        <f>APOQUINDO!I4</f>
        <v>11.5</v>
      </c>
      <c r="K117" s="2" t="str">
        <f>APOQUINDO!J4</f>
        <v>9 kg</v>
      </c>
      <c r="L117" s="2" t="str">
        <f>APOQUINDO!K4</f>
        <v>13,5 kg</v>
      </c>
      <c r="M117" s="2" t="str">
        <f>APOQUINDO!L4</f>
        <v>12 kg</v>
      </c>
      <c r="N117" s="2" t="str">
        <f>APOQUINDO!M4</f>
        <v>6 kg</v>
      </c>
      <c r="O117" s="2" t="str">
        <f>APOQUINDO!N4</f>
        <v>1kg</v>
      </c>
      <c r="P117" s="2" t="str">
        <f>APOQUINDO!O4</f>
        <v/>
      </c>
      <c r="Q117" s="2">
        <f>APOQUINDO!P4</f>
        <v>10</v>
      </c>
      <c r="R117" s="2">
        <f>APOQUINDO!Q4</f>
        <v>8.5</v>
      </c>
      <c r="S117" s="2" t="str">
        <f>APOQUINDO!R4</f>
        <v>6kg</v>
      </c>
      <c r="T117" s="2" t="str">
        <f>APOQUINDO!S4</f>
        <v>4kg</v>
      </c>
      <c r="U117" s="2" t="str">
        <f>APOQUINDO!T4</f>
        <v>3kg</v>
      </c>
      <c r="V117" s="2" t="str">
        <f>APOQUINDO!U4</f>
        <v>6 KG</v>
      </c>
      <c r="W117" s="2" t="str">
        <f>APOQUINDO!V4</f>
        <v>3,5 kg</v>
      </c>
      <c r="X117" s="2" t="str">
        <f>APOQUINDO!W4</f>
        <v>12,5 kg</v>
      </c>
      <c r="Y117" s="2" t="str">
        <f>APOQUINDO!X4</f>
        <v>10,5 kg</v>
      </c>
      <c r="Z117" s="2">
        <f>APOQUINDO!Y4</f>
        <v>8.5</v>
      </c>
      <c r="AA117" s="2">
        <f>APOQUINDO!Z4</f>
        <v>7.5</v>
      </c>
      <c r="AB117" s="2">
        <f>APOQUINDO!AA4</f>
        <v>7</v>
      </c>
      <c r="AC117" s="2" t="str">
        <f>APOQUINDO!AB4</f>
        <v>5 kl</v>
      </c>
      <c r="AD117" s="2" t="str">
        <f>APOQUINDO!AC4</f>
        <v>8kl</v>
      </c>
      <c r="AE117" s="2" t="str">
        <f>APOQUINDO!AD4</f>
        <v>9 kl</v>
      </c>
      <c r="AF117" s="2" t="str">
        <f>APOQUINDO!AE4</f>
        <v/>
      </c>
      <c r="AG117" s="2" t="str">
        <f>APOQUINDO!AF4</f>
        <v>7 kl</v>
      </c>
      <c r="AH117" s="2" t="str">
        <f>APOQUINDO!AG4</f>
        <v>7KL</v>
      </c>
      <c r="AI117" s="2" t="str">
        <f>APOQUINDO!AH4</f>
        <v>6 KL</v>
      </c>
      <c r="AJ117" s="2" t="str">
        <f>APOQUINDO!AI4</f>
        <v>5kl</v>
      </c>
      <c r="AK117" s="2" t="str">
        <f>APOQUINDO!AJ4</f>
        <v>3 kl</v>
      </c>
      <c r="AL117" s="2" t="str">
        <f>APOQUINDO!AK4</f>
        <v>2 KL</v>
      </c>
      <c r="AM117" s="2" t="str">
        <f>APOQUINDO!AL4</f>
        <v>2 Kl</v>
      </c>
      <c r="AN117" s="2" t="str">
        <f>APOQUINDO!AM4</f>
        <v>11 KL</v>
      </c>
      <c r="AO117" s="2" t="str">
        <f>APOQUINDO!AN4</f>
        <v>11 kl</v>
      </c>
      <c r="AP117" s="2" t="str">
        <f>APOQUINDO!AO4</f>
        <v>11 kl</v>
      </c>
      <c r="AQ117" s="2" t="str">
        <f>APOQUINDO!AP4</f>
        <v>9 kl</v>
      </c>
      <c r="AR117" s="2" t="str">
        <f>APOQUINDO!AQ4</f>
        <v>8 kl</v>
      </c>
      <c r="AS117" s="2" t="str">
        <f>APOQUINDO!AR4</f>
        <v>7kl</v>
      </c>
      <c r="AT117" s="2">
        <f>APOQUINDO!AS4</f>
        <v>6.5</v>
      </c>
      <c r="AU117" s="2" t="str">
        <f>APOQUINDO!AT4</f>
        <v>6 KL</v>
      </c>
      <c r="AV117" s="2" t="str">
        <f>APOQUINDO!AU4</f>
        <v>5,5 kl</v>
      </c>
      <c r="AW117" s="2" t="str">
        <f>APOQUINDO!AV4</f>
        <v>15 Kl</v>
      </c>
      <c r="AX117" s="2" t="str">
        <f>APOQUINDO!AW4</f>
        <v>14 KL</v>
      </c>
      <c r="AY117" s="2" t="str">
        <f>APOQUINDO!AX4</f>
        <v>13 kl</v>
      </c>
      <c r="AZ117" s="2" t="str">
        <f>APOQUINDO!AY4</f>
        <v>17 KL</v>
      </c>
      <c r="BA117" s="2" t="str">
        <f>APOQUINDO!AZ4</f>
        <v>15 KL</v>
      </c>
      <c r="BB117" s="2" t="str">
        <f>APOQUINDO!BA4</f>
        <v>15 kl</v>
      </c>
      <c r="BC117" s="2" t="str">
        <f>APOQUINDO!BB4</f>
        <v>13,5 kl</v>
      </c>
      <c r="BD117" s="2" t="str">
        <f>APOQUINDO!BC4</f>
        <v>11 kl</v>
      </c>
      <c r="BE117" s="2" t="str">
        <f>APOQUINDO!BD4</f>
        <v/>
      </c>
      <c r="BF117" s="2" t="str">
        <f>APOQUINDO!BE4</f>
        <v/>
      </c>
      <c r="BG117" s="2" t="str">
        <f>APOQUINDO!BF4</f>
        <v/>
      </c>
      <c r="BH117" s="2" t="str">
        <f>APOQUINDO!BG4</f>
        <v/>
      </c>
      <c r="BI117" s="2" t="str">
        <f>APOQUINDO!BQ4</f>
        <v/>
      </c>
      <c r="BJ117" s="2" t="str">
        <f>APOQUINDO!BR4</f>
        <v/>
      </c>
      <c r="BK117" s="2" t="str">
        <f>APOQUINDO!BS4</f>
        <v/>
      </c>
      <c r="BL117" s="2" t="str">
        <f>APOQUINDO!BT4</f>
        <v/>
      </c>
      <c r="BM117" s="2" t="str">
        <f>APOQUINDO!BU4</f>
        <v/>
      </c>
      <c r="BN117" s="2" t="str">
        <f>APOQUINDO!BV4</f>
        <v/>
      </c>
      <c r="BO117" s="2" t="str">
        <f>APOQUINDO!BW4</f>
        <v/>
      </c>
      <c r="BP117" s="2" t="str">
        <f>APOQUINDO!BX4</f>
        <v/>
      </c>
      <c r="BQ117" s="2" t="str">
        <f>APOQUINDO!BY4</f>
        <v/>
      </c>
      <c r="BR117" s="2" t="str">
        <f>APOQUINDO!BZ4</f>
        <v/>
      </c>
      <c r="BS117" s="2" t="str">
        <f>APOQUINDO!CA4</f>
        <v/>
      </c>
      <c r="BT117" s="2" t="str">
        <f>APOQUINDO!CB4</f>
        <v/>
      </c>
      <c r="BU117" s="2"/>
      <c r="BV117" s="2"/>
      <c r="BW117" s="2"/>
      <c r="BX117" s="2"/>
      <c r="BY117" s="2"/>
      <c r="BZ117" s="2"/>
      <c r="CA117" s="2"/>
      <c r="CB117" s="2"/>
      <c r="CC117" s="2"/>
    </row>
    <row r="118">
      <c r="A118" s="2"/>
      <c r="B118" s="2" t="str">
        <f>APOQUINDO!A5</f>
        <v>Apoquindo</v>
      </c>
      <c r="C118" s="2" t="str">
        <f>APOQUINDO!B5</f>
        <v>Cafeteria</v>
      </c>
      <c r="D118" s="2" t="str">
        <f>APOQUINDO!C5</f>
        <v>Toalla de Papel Jumbo (UN)</v>
      </c>
      <c r="E118" s="2">
        <f>APOQUINDO!D5</f>
        <v>7</v>
      </c>
      <c r="F118" s="2">
        <f>APOQUINDO!E5</f>
        <v>10</v>
      </c>
      <c r="G118" s="2">
        <f>APOQUINDO!F5</f>
        <v>8</v>
      </c>
      <c r="H118" s="2">
        <f>APOQUINDO!G5</f>
        <v>7</v>
      </c>
      <c r="I118" s="2" t="str">
        <f>APOQUINDO!H5</f>
        <v>5 paquetes (10 und)</v>
      </c>
      <c r="J118" s="2" t="str">
        <f>APOQUINDO!I5</f>
        <v>3 paquetes (6 und)</v>
      </c>
      <c r="K118" s="2" t="str">
        <f>APOQUINDO!J5</f>
        <v>2 und</v>
      </c>
      <c r="L118" s="2" t="str">
        <f>APOQUINDO!K5</f>
        <v>12 und</v>
      </c>
      <c r="M118" s="2" t="str">
        <f>APOQUINDO!L5</f>
        <v>8 und</v>
      </c>
      <c r="N118" s="2">
        <f>APOQUINDO!M5</f>
        <v>3</v>
      </c>
      <c r="O118" s="2">
        <f>APOQUINDO!N5</f>
        <v>0</v>
      </c>
      <c r="P118" s="2">
        <f>APOQUINDO!O5</f>
        <v>0</v>
      </c>
      <c r="Q118" s="2">
        <f>APOQUINDO!P5</f>
        <v>2</v>
      </c>
      <c r="R118" s="2">
        <f>APOQUINDO!Q5</f>
        <v>8</v>
      </c>
      <c r="S118" s="2" t="str">
        <f>APOQUINDO!R5</f>
        <v>5 und</v>
      </c>
      <c r="T118" s="2" t="str">
        <f>APOQUINDO!S5</f>
        <v>3 und</v>
      </c>
      <c r="U118" s="2">
        <f>APOQUINDO!T5</f>
        <v>1</v>
      </c>
      <c r="V118" s="2">
        <f>APOQUINDO!U5</f>
        <v>10</v>
      </c>
      <c r="W118" s="2" t="str">
        <f>APOQUINDO!V5</f>
        <v>3 und</v>
      </c>
      <c r="X118" s="2">
        <f>APOQUINDO!W5</f>
        <v>0</v>
      </c>
      <c r="Y118" s="2">
        <f>APOQUINDO!X5</f>
        <v>0</v>
      </c>
      <c r="Z118" s="2" t="str">
        <f>APOQUINDO!Y5</f>
        <v>4 und</v>
      </c>
      <c r="AA118" s="2">
        <f>APOQUINDO!Z5</f>
        <v>0</v>
      </c>
      <c r="AB118" s="2">
        <f>APOQUINDO!AA5</f>
        <v>10</v>
      </c>
      <c r="AC118" s="2" t="str">
        <f>APOQUINDO!AB5</f>
        <v>5 und</v>
      </c>
      <c r="AD118" s="2">
        <f>APOQUINDO!AC5</f>
        <v>3</v>
      </c>
      <c r="AE118" s="2">
        <f>APOQUINDO!AD5</f>
        <v>0</v>
      </c>
      <c r="AF118" s="2" t="str">
        <f>APOQUINDO!AE5</f>
        <v>2 und</v>
      </c>
      <c r="AG118" s="2">
        <f>APOQUINDO!AF5</f>
        <v>0</v>
      </c>
      <c r="AH118" s="2" t="str">
        <f>APOQUINDO!AG5</f>
        <v>7 paq</v>
      </c>
      <c r="AI118" s="2" t="str">
        <f>APOQUINDO!AH5</f>
        <v>4 PAQ</v>
      </c>
      <c r="AJ118" s="2" t="str">
        <f>APOQUINDO!AI5</f>
        <v>5 und</v>
      </c>
      <c r="AK118" s="2" t="str">
        <f>APOQUINDO!AJ5</f>
        <v>14 und</v>
      </c>
      <c r="AL118" s="2" t="str">
        <f>APOQUINDO!AK5</f>
        <v>10und</v>
      </c>
      <c r="AM118" s="2" t="str">
        <f>APOQUINDO!AL5</f>
        <v>8 und</v>
      </c>
      <c r="AN118" s="2" t="str">
        <f>APOQUINDO!AM5</f>
        <v>7 UND</v>
      </c>
      <c r="AO118" s="2" t="str">
        <f>APOQUINDO!AN5</f>
        <v>2 und</v>
      </c>
      <c r="AP118" s="2" t="str">
        <f>APOQUINDO!AO5</f>
        <v>2 und</v>
      </c>
      <c r="AQ118" s="2" t="str">
        <f>APOQUINDO!AP5</f>
        <v>8 und</v>
      </c>
      <c r="AR118" s="2" t="str">
        <f>APOQUINDO!AQ5</f>
        <v>11 und</v>
      </c>
      <c r="AS118" s="2" t="str">
        <f>APOQUINDO!AR5</f>
        <v>10 und</v>
      </c>
      <c r="AT118" s="2" t="str">
        <f>APOQUINDO!AS5</f>
        <v>2 und</v>
      </c>
      <c r="AU118" s="2" t="str">
        <f>APOQUINDO!AT5</f>
        <v>2 und</v>
      </c>
      <c r="AV118" s="2" t="str">
        <f>APOQUINDO!AU5</f>
        <v>8 und</v>
      </c>
      <c r="AW118" s="2" t="str">
        <f>APOQUINDO!AV5</f>
        <v>6 und</v>
      </c>
      <c r="AX118" s="2" t="str">
        <f>APOQUINDO!AW5</f>
        <v>11 und</v>
      </c>
      <c r="AY118" s="2" t="str">
        <f>APOQUINDO!AX5</f>
        <v>3 paquetes</v>
      </c>
      <c r="AZ118" s="2" t="str">
        <f>APOQUINDO!AY5</f>
        <v>1 paquete</v>
      </c>
      <c r="BA118" s="2">
        <f>APOQUINDO!AZ5</f>
        <v>0</v>
      </c>
      <c r="BB118" s="2" t="str">
        <f>APOQUINDO!BA5</f>
        <v>4und</v>
      </c>
      <c r="BC118" s="2" t="str">
        <f>APOQUINDO!BB5</f>
        <v>2 und</v>
      </c>
      <c r="BD118" s="2">
        <f>APOQUINDO!BC5</f>
        <v>0</v>
      </c>
      <c r="BE118" s="2" t="str">
        <f>APOQUINDO!BD5</f>
        <v/>
      </c>
      <c r="BF118" s="2" t="str">
        <f>APOQUINDO!BE5</f>
        <v/>
      </c>
      <c r="BG118" s="2" t="str">
        <f>APOQUINDO!BF5</f>
        <v/>
      </c>
      <c r="BH118" s="2" t="str">
        <f>APOQUINDO!BG5</f>
        <v/>
      </c>
      <c r="BI118" s="2" t="str">
        <f>APOQUINDO!BQ5</f>
        <v/>
      </c>
      <c r="BJ118" s="2" t="str">
        <f>APOQUINDO!BR5</f>
        <v/>
      </c>
      <c r="BK118" s="2" t="str">
        <f>APOQUINDO!BS5</f>
        <v/>
      </c>
      <c r="BL118" s="2" t="str">
        <f>APOQUINDO!BT5</f>
        <v/>
      </c>
      <c r="BM118" s="2" t="str">
        <f>APOQUINDO!BU5</f>
        <v/>
      </c>
      <c r="BN118" s="2" t="str">
        <f>APOQUINDO!BV5</f>
        <v/>
      </c>
      <c r="BO118" s="2" t="str">
        <f>APOQUINDO!BW5</f>
        <v/>
      </c>
      <c r="BP118" s="2" t="str">
        <f>APOQUINDO!BX5</f>
        <v/>
      </c>
      <c r="BQ118" s="2" t="str">
        <f>APOQUINDO!BY5</f>
        <v/>
      </c>
      <c r="BR118" s="2" t="str">
        <f>APOQUINDO!BZ5</f>
        <v/>
      </c>
      <c r="BS118" s="2" t="str">
        <f>APOQUINDO!CA5</f>
        <v/>
      </c>
      <c r="BT118" s="2" t="str">
        <f>APOQUINDO!CB5</f>
        <v/>
      </c>
      <c r="BU118" s="2"/>
      <c r="BV118" s="2"/>
      <c r="BW118" s="2"/>
      <c r="BX118" s="2"/>
      <c r="BY118" s="2"/>
      <c r="BZ118" s="2"/>
      <c r="CA118" s="2"/>
      <c r="CB118" s="2"/>
      <c r="CC118" s="2"/>
    </row>
    <row r="119">
      <c r="A119" s="2"/>
      <c r="B119" s="2" t="str">
        <f>APOQUINDO!A6</f>
        <v>Apoquindo</v>
      </c>
      <c r="C119" s="2" t="str">
        <f>APOQUINDO!B6</f>
        <v>Cafeteria</v>
      </c>
      <c r="D119" s="2" t="str">
        <f>APOQUINDO!C6</f>
        <v>Papel Higienico (UN)</v>
      </c>
      <c r="E119" s="2">
        <f>APOQUINDO!D6</f>
        <v>8</v>
      </c>
      <c r="F119" s="2">
        <f>APOQUINDO!E6</f>
        <v>12</v>
      </c>
      <c r="G119" s="2">
        <f>APOQUINDO!F6</f>
        <v>10</v>
      </c>
      <c r="H119" s="2" t="str">
        <f>APOQUINDO!G6</f>
        <v>11 paquetes (44 und)</v>
      </c>
      <c r="I119" s="2" t="str">
        <f>APOQUINDO!H6</f>
        <v>8 paquetes (32 und)</v>
      </c>
      <c r="J119" s="2" t="str">
        <f>APOQUINDO!I6</f>
        <v>7 paquetes (28 und)</v>
      </c>
      <c r="K119" s="2" t="str">
        <f>APOQUINDO!J6</f>
        <v>16 und </v>
      </c>
      <c r="L119" s="2" t="str">
        <f>APOQUINDO!K6</f>
        <v>46 und</v>
      </c>
      <c r="M119" s="2" t="str">
        <f>APOQUINDO!L6</f>
        <v>34 und</v>
      </c>
      <c r="N119" s="2">
        <f>APOQUINDO!M6</f>
        <v>23</v>
      </c>
      <c r="O119" s="2">
        <f>APOQUINDO!N6</f>
        <v>0</v>
      </c>
      <c r="P119" s="2">
        <f>APOQUINDO!O6</f>
        <v>0</v>
      </c>
      <c r="Q119" s="2">
        <f>APOQUINDO!P6</f>
        <v>1</v>
      </c>
      <c r="R119" s="2">
        <f>APOQUINDO!Q6</f>
        <v>20</v>
      </c>
      <c r="S119" s="2" t="str">
        <f>APOQUINDO!R6</f>
        <v>16 und</v>
      </c>
      <c r="T119" s="2" t="str">
        <f>APOQUINDO!S6</f>
        <v>10 und</v>
      </c>
      <c r="U119" s="2">
        <f>APOQUINDO!T6</f>
        <v>4</v>
      </c>
      <c r="V119" s="2">
        <f>APOQUINDO!U6</f>
        <v>18</v>
      </c>
      <c r="W119" s="2" t="str">
        <f>APOQUINDO!V6</f>
        <v>5 und</v>
      </c>
      <c r="X119" s="2" t="str">
        <f>APOQUINDO!W6</f>
        <v>6 und</v>
      </c>
      <c r="Y119" s="2">
        <f>APOQUINDO!X6</f>
        <v>0</v>
      </c>
      <c r="Z119" s="2" t="str">
        <f>APOQUINDO!Y6</f>
        <v>16 und</v>
      </c>
      <c r="AA119" s="2" t="str">
        <f>APOQUINDO!Z6</f>
        <v>8 und</v>
      </c>
      <c r="AB119" s="2">
        <f>APOQUINDO!AA6</f>
        <v>20</v>
      </c>
      <c r="AC119" s="2" t="str">
        <f>APOQUINDO!AB6</f>
        <v>18 und</v>
      </c>
      <c r="AD119" s="2">
        <f>APOQUINDO!AC6</f>
        <v>14</v>
      </c>
      <c r="AE119" s="2" t="str">
        <f>APOQUINDO!AD6</f>
        <v>9 und</v>
      </c>
      <c r="AF119" s="2" t="str">
        <f>APOQUINDO!AE6</f>
        <v/>
      </c>
      <c r="AG119" s="2" t="str">
        <f>APOQUINDO!AF6</f>
        <v>1 und</v>
      </c>
      <c r="AH119" s="2" t="str">
        <f>APOQUINDO!AG6</f>
        <v>6 paq</v>
      </c>
      <c r="AI119" s="2" t="str">
        <f>APOQUINDO!AH6</f>
        <v>5 PAQ</v>
      </c>
      <c r="AJ119" s="2" t="str">
        <f>APOQUINDO!AI6</f>
        <v>12 und</v>
      </c>
      <c r="AK119" s="2" t="str">
        <f>APOQUINDO!AJ6</f>
        <v>28 und</v>
      </c>
      <c r="AL119" s="2" t="str">
        <f>APOQUINDO!AK6</f>
        <v>28 und</v>
      </c>
      <c r="AM119" s="2" t="str">
        <f>APOQUINDO!AL6</f>
        <v>24 und</v>
      </c>
      <c r="AN119" s="2" t="str">
        <f>APOQUINDO!AM6</f>
        <v>20 UND</v>
      </c>
      <c r="AO119" s="2" t="str">
        <f>APOQUINDO!AN6</f>
        <v>20 und</v>
      </c>
      <c r="AP119" s="2" t="str">
        <f>APOQUINDO!AO6</f>
        <v>20 und</v>
      </c>
      <c r="AQ119" s="2" t="str">
        <f>APOQUINDO!AP6</f>
        <v>32 und</v>
      </c>
      <c r="AR119" s="2" t="str">
        <f>APOQUINDO!AQ6</f>
        <v>42 und</v>
      </c>
      <c r="AS119" s="2" t="str">
        <f>APOQUINDO!AR6</f>
        <v>39 und</v>
      </c>
      <c r="AT119" s="2" t="str">
        <f>APOQUINDO!AS6</f>
        <v>7 paq</v>
      </c>
      <c r="AU119" s="2" t="str">
        <f>APOQUINDO!AT6</f>
        <v>6 paquetes</v>
      </c>
      <c r="AV119" s="2" t="str">
        <f>APOQUINDO!AU6</f>
        <v>6 paquetes </v>
      </c>
      <c r="AW119" s="2" t="str">
        <f>APOQUINDO!AV6</f>
        <v>5 paquetes</v>
      </c>
      <c r="AX119" s="2" t="str">
        <f>APOQUINDO!AW6</f>
        <v>4 paquetes</v>
      </c>
      <c r="AY119" s="2" t="str">
        <f>APOQUINDO!AX6</f>
        <v>3 paquetes</v>
      </c>
      <c r="AZ119" s="2" t="str">
        <f>APOQUINDO!AY6</f>
        <v>1 paquete</v>
      </c>
      <c r="BA119" s="2">
        <f>APOQUINDO!AZ6</f>
        <v>0</v>
      </c>
      <c r="BB119" s="2" t="str">
        <f>APOQUINDO!BA6</f>
        <v>8 und</v>
      </c>
      <c r="BC119" s="2" t="str">
        <f>APOQUINDO!BB6</f>
        <v>2 und</v>
      </c>
      <c r="BD119" s="2">
        <f>APOQUINDO!BC6</f>
        <v>0</v>
      </c>
      <c r="BE119" s="2" t="str">
        <f>APOQUINDO!BD6</f>
        <v/>
      </c>
      <c r="BF119" s="2" t="str">
        <f>APOQUINDO!BE6</f>
        <v/>
      </c>
      <c r="BG119" s="2" t="str">
        <f>APOQUINDO!BF6</f>
        <v/>
      </c>
      <c r="BH119" s="2" t="str">
        <f>APOQUINDO!BG6</f>
        <v/>
      </c>
      <c r="BI119" s="2" t="str">
        <f>APOQUINDO!BQ6</f>
        <v/>
      </c>
      <c r="BJ119" s="2" t="str">
        <f>APOQUINDO!BR6</f>
        <v/>
      </c>
      <c r="BK119" s="2" t="str">
        <f>APOQUINDO!BS6</f>
        <v/>
      </c>
      <c r="BL119" s="2" t="str">
        <f>APOQUINDO!BT6</f>
        <v/>
      </c>
      <c r="BM119" s="2" t="str">
        <f>APOQUINDO!BU6</f>
        <v/>
      </c>
      <c r="BN119" s="2" t="str">
        <f>APOQUINDO!BV6</f>
        <v/>
      </c>
      <c r="BO119" s="2" t="str">
        <f>APOQUINDO!BW6</f>
        <v/>
      </c>
      <c r="BP119" s="2" t="str">
        <f>APOQUINDO!BX6</f>
        <v/>
      </c>
      <c r="BQ119" s="2" t="str">
        <f>APOQUINDO!BY6</f>
        <v/>
      </c>
      <c r="BR119" s="2" t="str">
        <f>APOQUINDO!BZ6</f>
        <v/>
      </c>
      <c r="BS119" s="2" t="str">
        <f>APOQUINDO!CA6</f>
        <v/>
      </c>
      <c r="BT119" s="2" t="str">
        <f>APOQUINDO!CB6</f>
        <v/>
      </c>
      <c r="BU119" s="2"/>
      <c r="BV119" s="2"/>
      <c r="BW119" s="2"/>
      <c r="BX119" s="2"/>
      <c r="BY119" s="2"/>
      <c r="BZ119" s="2"/>
      <c r="CA119" s="2"/>
      <c r="CB119" s="2"/>
      <c r="CC119" s="2"/>
    </row>
    <row r="120">
      <c r="A120" s="2"/>
      <c r="B120" s="2" t="str">
        <f>APOQUINDO!A7</f>
        <v>Apoquindo</v>
      </c>
      <c r="C120" s="2" t="str">
        <f>APOQUINDO!B7</f>
        <v>Cafeteria</v>
      </c>
      <c r="D120" s="2" t="str">
        <f>APOQUINDO!C7</f>
        <v>Resma Papel Fotocopia (UN)</v>
      </c>
      <c r="E120" s="2">
        <f>APOQUINDO!D7</f>
        <v>1</v>
      </c>
      <c r="F120" s="2">
        <f>APOQUINDO!E7</f>
        <v>6</v>
      </c>
      <c r="G120" s="2">
        <f>APOQUINDO!F7</f>
        <v>5</v>
      </c>
      <c r="H120" s="2">
        <f>APOQUINDO!G7</f>
        <v>4</v>
      </c>
      <c r="I120" s="2">
        <f>APOQUINDO!H7</f>
        <v>3</v>
      </c>
      <c r="J120" s="2">
        <f>APOQUINDO!I7</f>
        <v>3</v>
      </c>
      <c r="K120" s="2" t="str">
        <f>APOQUINDO!J7</f>
        <v>2 und</v>
      </c>
      <c r="L120" s="2" t="str">
        <f>APOQUINDO!K7</f>
        <v>2 und</v>
      </c>
      <c r="M120" s="2" t="str">
        <f>APOQUINDO!L7</f>
        <v>2 und</v>
      </c>
      <c r="N120" s="2">
        <f>APOQUINDO!M7</f>
        <v>2</v>
      </c>
      <c r="O120" s="2">
        <f>APOQUINDO!N7</f>
        <v>0</v>
      </c>
      <c r="P120" s="2">
        <f>APOQUINDO!O7</f>
        <v>1</v>
      </c>
      <c r="Q120" s="2">
        <f>APOQUINDO!P7</f>
        <v>1</v>
      </c>
      <c r="R120" s="2">
        <f>APOQUINDO!Q7</f>
        <v>3</v>
      </c>
      <c r="S120" s="2" t="str">
        <f>APOQUINDO!R7</f>
        <v>3 y 1/2</v>
      </c>
      <c r="T120" s="2">
        <f>APOQUINDO!S7</f>
        <v>3</v>
      </c>
      <c r="U120" s="2">
        <f>APOQUINDO!T7</f>
        <v>3</v>
      </c>
      <c r="V120" s="2">
        <f>APOQUINDO!U7</f>
        <v>5</v>
      </c>
      <c r="W120" s="2">
        <f>APOQUINDO!V7</f>
        <v>4</v>
      </c>
      <c r="X120" s="2" t="str">
        <f>APOQUINDO!W7</f>
        <v>4 und</v>
      </c>
      <c r="Y120" s="2">
        <f>APOQUINDO!X7</f>
        <v>3.5</v>
      </c>
      <c r="Z120" s="2">
        <f>APOQUINDO!Y7</f>
        <v>3</v>
      </c>
      <c r="AA120" s="2">
        <f>APOQUINDO!Z7</f>
        <v>3</v>
      </c>
      <c r="AB120" s="2">
        <f>APOQUINDO!AA7</f>
        <v>2</v>
      </c>
      <c r="AC120" s="2">
        <f>APOQUINDO!AB7</f>
        <v>2</v>
      </c>
      <c r="AD120" s="2">
        <f>APOQUINDO!AC7</f>
        <v>1</v>
      </c>
      <c r="AE120" s="2">
        <f>APOQUINDO!AD7</f>
        <v>1</v>
      </c>
      <c r="AF120" s="2" t="str">
        <f>APOQUINDO!AE7</f>
        <v/>
      </c>
      <c r="AG120" s="2">
        <f>APOQUINDO!AF7</f>
        <v>1</v>
      </c>
      <c r="AH120" s="2">
        <f>APOQUINDO!AG7</f>
        <v>1</v>
      </c>
      <c r="AI120" s="2">
        <f>APOQUINDO!AH7</f>
        <v>1</v>
      </c>
      <c r="AJ120" s="2">
        <f>APOQUINDO!AI7</f>
        <v>1</v>
      </c>
      <c r="AK120" s="2">
        <f>APOQUINDO!AJ7</f>
        <v>5</v>
      </c>
      <c r="AL120" s="2">
        <f>APOQUINDO!AK7</f>
        <v>5</v>
      </c>
      <c r="AM120" s="2">
        <f>APOQUINDO!AL7</f>
        <v>5</v>
      </c>
      <c r="AN120" s="2">
        <f>APOQUINDO!AM7</f>
        <v>4</v>
      </c>
      <c r="AO120" s="2">
        <f>APOQUINDO!AN7</f>
        <v>4</v>
      </c>
      <c r="AP120" s="2">
        <f>APOQUINDO!AO7</f>
        <v>4</v>
      </c>
      <c r="AQ120" s="2">
        <f>APOQUINDO!AP7</f>
        <v>4</v>
      </c>
      <c r="AR120" s="2">
        <f>APOQUINDO!AQ7</f>
        <v>3</v>
      </c>
      <c r="AS120" s="2">
        <f>APOQUINDO!AR7</f>
        <v>3</v>
      </c>
      <c r="AT120" s="2">
        <f>APOQUINDO!AS7</f>
        <v>3</v>
      </c>
      <c r="AU120" s="2">
        <f>APOQUINDO!AT7</f>
        <v>2</v>
      </c>
      <c r="AV120" s="2">
        <f>APOQUINDO!AU7</f>
        <v>2</v>
      </c>
      <c r="AW120" s="2">
        <f>APOQUINDO!AV7</f>
        <v>2</v>
      </c>
      <c r="AX120" s="2">
        <f>APOQUINDO!AW7</f>
        <v>2</v>
      </c>
      <c r="AY120" s="2">
        <f>APOQUINDO!AX7</f>
        <v>1</v>
      </c>
      <c r="AZ120" s="2">
        <f>APOQUINDO!AY7</f>
        <v>1</v>
      </c>
      <c r="BA120" s="2">
        <f>APOQUINDO!AZ7</f>
        <v>2</v>
      </c>
      <c r="BB120" s="2">
        <f>APOQUINDO!BA7</f>
        <v>6</v>
      </c>
      <c r="BC120" s="2">
        <f>APOQUINDO!BB7</f>
        <v>6</v>
      </c>
      <c r="BD120" s="2">
        <f>APOQUINDO!BC7</f>
        <v>4</v>
      </c>
      <c r="BE120" s="2" t="str">
        <f>APOQUINDO!BD7</f>
        <v/>
      </c>
      <c r="BF120" s="2" t="str">
        <f>APOQUINDO!BE7</f>
        <v/>
      </c>
      <c r="BG120" s="2" t="str">
        <f>APOQUINDO!BF7</f>
        <v/>
      </c>
      <c r="BH120" s="2" t="str">
        <f>APOQUINDO!BG7</f>
        <v/>
      </c>
      <c r="BI120" s="2" t="str">
        <f>APOQUINDO!BQ7</f>
        <v/>
      </c>
      <c r="BJ120" s="2" t="str">
        <f>APOQUINDO!BR7</f>
        <v/>
      </c>
      <c r="BK120" s="2" t="str">
        <f>APOQUINDO!BS7</f>
        <v/>
      </c>
      <c r="BL120" s="2" t="str">
        <f>APOQUINDO!BT7</f>
        <v/>
      </c>
      <c r="BM120" s="2" t="str">
        <f>APOQUINDO!BU7</f>
        <v/>
      </c>
      <c r="BN120" s="2" t="str">
        <f>APOQUINDO!BV7</f>
        <v/>
      </c>
      <c r="BO120" s="2" t="str">
        <f>APOQUINDO!BW7</f>
        <v/>
      </c>
      <c r="BP120" s="2" t="str">
        <f>APOQUINDO!BX7</f>
        <v/>
      </c>
      <c r="BQ120" s="2" t="str">
        <f>APOQUINDO!BY7</f>
        <v/>
      </c>
      <c r="BR120" s="2" t="str">
        <f>APOQUINDO!BZ7</f>
        <v/>
      </c>
      <c r="BS120" s="2" t="str">
        <f>APOQUINDO!CA7</f>
        <v/>
      </c>
      <c r="BT120" s="2" t="str">
        <f>APOQUINDO!CB7</f>
        <v/>
      </c>
      <c r="BU120" s="2"/>
      <c r="BV120" s="2"/>
      <c r="BW120" s="2"/>
      <c r="BX120" s="2"/>
      <c r="BY120" s="2"/>
      <c r="BZ120" s="2"/>
      <c r="CA120" s="2"/>
      <c r="CB120" s="2"/>
      <c r="CC120" s="2"/>
    </row>
    <row r="121">
      <c r="A121" s="2"/>
      <c r="B121" s="2" t="str">
        <f>APOQUINDO!A8</f>
        <v>Apoquindo</v>
      </c>
      <c r="C121" s="2" t="str">
        <f>APOQUINDO!B8</f>
        <v>Cafeteria</v>
      </c>
      <c r="D121" s="2" t="str">
        <f>APOQUINDO!C8</f>
        <v>Leche liquida</v>
      </c>
      <c r="E121" s="2" t="str">
        <f>APOQUINDO!D8</f>
        <v/>
      </c>
      <c r="F121" s="2" t="str">
        <f>APOQUINDO!E8</f>
        <v/>
      </c>
      <c r="G121" s="2" t="str">
        <f>APOQUINDO!F8</f>
        <v/>
      </c>
      <c r="H121" s="2" t="str">
        <f>APOQUINDO!G8</f>
        <v/>
      </c>
      <c r="I121" s="2" t="str">
        <f>APOQUINDO!H8</f>
        <v/>
      </c>
      <c r="J121" s="2" t="str">
        <f>APOQUINDO!I8</f>
        <v/>
      </c>
      <c r="K121" s="2" t="str">
        <f>APOQUINDO!J8</f>
        <v/>
      </c>
      <c r="L121" s="2" t="str">
        <f>APOQUINDO!K8</f>
        <v/>
      </c>
      <c r="M121" s="2" t="str">
        <f>APOQUINDO!L8</f>
        <v/>
      </c>
      <c r="N121" s="2" t="str">
        <f>APOQUINDO!M8</f>
        <v/>
      </c>
      <c r="O121" s="2" t="str">
        <f>APOQUINDO!N8</f>
        <v/>
      </c>
      <c r="P121" s="2" t="str">
        <f>APOQUINDO!O8</f>
        <v/>
      </c>
      <c r="Q121" s="2" t="str">
        <f>APOQUINDO!P8</f>
        <v/>
      </c>
      <c r="R121" s="2" t="str">
        <f>APOQUINDO!Q8</f>
        <v>-</v>
      </c>
      <c r="S121" s="2" t="str">
        <f>APOQUINDO!R8</f>
        <v>-</v>
      </c>
      <c r="T121" s="2" t="str">
        <f>APOQUINDO!S8</f>
        <v>-</v>
      </c>
      <c r="U121" s="2" t="str">
        <f>APOQUINDO!T8</f>
        <v>-</v>
      </c>
      <c r="V121" s="2" t="str">
        <f>APOQUINDO!U8</f>
        <v>-</v>
      </c>
      <c r="W121" s="2" t="str">
        <f>APOQUINDO!V8</f>
        <v>-</v>
      </c>
      <c r="X121" s="2" t="str">
        <f>APOQUINDO!W8</f>
        <v>-</v>
      </c>
      <c r="Y121" s="2" t="str">
        <f>APOQUINDO!X8</f>
        <v>-</v>
      </c>
      <c r="Z121" s="2" t="str">
        <f>APOQUINDO!Y8</f>
        <v>-</v>
      </c>
      <c r="AA121" s="2">
        <f>APOQUINDO!Z8</f>
        <v>7</v>
      </c>
      <c r="AB121" s="2">
        <f>APOQUINDO!AA8</f>
        <v>12</v>
      </c>
      <c r="AC121" s="2" t="str">
        <f>APOQUINDO!AB8</f>
        <v>10 lt</v>
      </c>
      <c r="AD121" s="2">
        <f>APOQUINDO!AC8</f>
        <v>12</v>
      </c>
      <c r="AE121" s="2">
        <f>APOQUINDO!AD8</f>
        <v>3</v>
      </c>
      <c r="AF121" s="2" t="str">
        <f>APOQUINDO!AE8</f>
        <v/>
      </c>
      <c r="AG121" s="2">
        <f>APOQUINDO!AF8</f>
        <v>0</v>
      </c>
      <c r="AH121" s="2">
        <f>APOQUINDO!AG8</f>
        <v>12</v>
      </c>
      <c r="AI121" s="2">
        <f>APOQUINDO!AH8</f>
        <v>8</v>
      </c>
      <c r="AJ121" s="2">
        <f>APOQUINDO!AI8</f>
        <v>3</v>
      </c>
      <c r="AK121" s="2">
        <f>APOQUINDO!AJ8</f>
        <v>24</v>
      </c>
      <c r="AL121" s="2">
        <f>APOQUINDO!AK8</f>
        <v>22</v>
      </c>
      <c r="AM121" s="2">
        <f>APOQUINDO!AL8</f>
        <v>20</v>
      </c>
      <c r="AN121" s="2">
        <f>APOQUINDO!AM8</f>
        <v>17</v>
      </c>
      <c r="AO121" s="2">
        <f>APOQUINDO!AN8</f>
        <v>15</v>
      </c>
      <c r="AP121" s="2">
        <f>APOQUINDO!AO8</f>
        <v>15</v>
      </c>
      <c r="AQ121" s="2" t="str">
        <f>APOQUINDO!AP8</f>
        <v>13 lt</v>
      </c>
      <c r="AR121" s="2" t="str">
        <f>APOQUINDO!AQ8</f>
        <v>9 lts</v>
      </c>
      <c r="AS121" s="2" t="str">
        <f>APOQUINDO!AR8</f>
        <v>5 lts</v>
      </c>
      <c r="AT121" s="2">
        <f>APOQUINDO!AS8</f>
        <v>0</v>
      </c>
      <c r="AU121" s="2">
        <f>APOQUINDO!AT8</f>
        <v>0</v>
      </c>
      <c r="AV121" s="2">
        <f>APOQUINDO!AU8</f>
        <v>24</v>
      </c>
      <c r="AW121" s="2">
        <f>APOQUINDO!AV8</f>
        <v>22</v>
      </c>
      <c r="AX121" s="2">
        <f>APOQUINDO!AW8</f>
        <v>19</v>
      </c>
      <c r="AY121" s="2">
        <f>APOQUINDO!AX8</f>
        <v>15</v>
      </c>
      <c r="AZ121" s="2">
        <f>APOQUINDO!AY8</f>
        <v>10</v>
      </c>
      <c r="BA121" s="2">
        <f>APOQUINDO!AZ8</f>
        <v>5</v>
      </c>
      <c r="BB121" s="2" t="str">
        <f>APOQUINDO!BA8</f>
        <v>19 lt</v>
      </c>
      <c r="BC121" s="2" t="str">
        <f>APOQUINDO!BB8</f>
        <v>10 lt</v>
      </c>
      <c r="BD121" s="2" t="str">
        <f>APOQUINDO!BC8</f>
        <v>6 lt</v>
      </c>
      <c r="BE121" s="2" t="str">
        <f>APOQUINDO!BD8</f>
        <v/>
      </c>
      <c r="BF121" s="2" t="str">
        <f>APOQUINDO!BE8</f>
        <v/>
      </c>
      <c r="BG121" s="2" t="str">
        <f>APOQUINDO!BF8</f>
        <v/>
      </c>
      <c r="BH121" s="2" t="str">
        <f>APOQUINDO!BG8</f>
        <v/>
      </c>
      <c r="BI121" s="2" t="str">
        <f>APOQUINDO!BQ8</f>
        <v/>
      </c>
      <c r="BJ121" s="2" t="str">
        <f>APOQUINDO!BR8</f>
        <v/>
      </c>
      <c r="BK121" s="2" t="str">
        <f>APOQUINDO!BS8</f>
        <v/>
      </c>
      <c r="BL121" s="2" t="str">
        <f>APOQUINDO!BT8</f>
        <v/>
      </c>
      <c r="BM121" s="2" t="str">
        <f>APOQUINDO!BU8</f>
        <v/>
      </c>
      <c r="BN121" s="2" t="str">
        <f>APOQUINDO!BV8</f>
        <v/>
      </c>
      <c r="BO121" s="2" t="str">
        <f>APOQUINDO!BW8</f>
        <v/>
      </c>
      <c r="BP121" s="2" t="str">
        <f>APOQUINDO!BX8</f>
        <v/>
      </c>
      <c r="BQ121" s="2" t="str">
        <f>APOQUINDO!BY8</f>
        <v/>
      </c>
      <c r="BR121" s="2" t="str">
        <f>APOQUINDO!BZ8</f>
        <v/>
      </c>
      <c r="BS121" s="2" t="str">
        <f>APOQUINDO!CA8</f>
        <v/>
      </c>
      <c r="BT121" s="2" t="str">
        <f>APOQUINDO!CB8</f>
        <v/>
      </c>
      <c r="BU121" s="2"/>
      <c r="BV121" s="2"/>
      <c r="BW121" s="2"/>
      <c r="BX121" s="2"/>
      <c r="BY121" s="2"/>
      <c r="BZ121" s="2"/>
      <c r="CA121" s="2"/>
      <c r="CB121" s="2"/>
      <c r="CC121" s="2"/>
    </row>
    <row r="122">
      <c r="A122" s="2"/>
      <c r="B122" s="2" t="str">
        <f>APOQUINDO!A10</f>
        <v>Apoquindo</v>
      </c>
      <c r="C122" s="2" t="str">
        <f>APOQUINDO!B10</f>
        <v>Cafeteria</v>
      </c>
      <c r="D122" s="2" t="str">
        <f>APOQUINDO!C10</f>
        <v>Endulzante</v>
      </c>
      <c r="E122" s="2" t="str">
        <f>APOQUINDO!D10</f>
        <v/>
      </c>
      <c r="F122" s="2" t="str">
        <f>APOQUINDO!E10</f>
        <v/>
      </c>
      <c r="G122" s="2" t="str">
        <f>APOQUINDO!F10</f>
        <v/>
      </c>
      <c r="H122" s="2" t="str">
        <f>APOQUINDO!G10</f>
        <v/>
      </c>
      <c r="I122" s="2" t="str">
        <f>APOQUINDO!H10</f>
        <v/>
      </c>
      <c r="J122" s="2" t="str">
        <f>APOQUINDO!I10</f>
        <v/>
      </c>
      <c r="K122" s="2" t="str">
        <f>APOQUINDO!J10</f>
        <v/>
      </c>
      <c r="L122" s="2" t="str">
        <f>APOQUINDO!K10</f>
        <v/>
      </c>
      <c r="M122" s="2" t="str">
        <f>APOQUINDO!L10</f>
        <v/>
      </c>
      <c r="N122" s="2" t="str">
        <f>APOQUINDO!M10</f>
        <v/>
      </c>
      <c r="O122" s="2" t="str">
        <f>APOQUINDO!N10</f>
        <v/>
      </c>
      <c r="P122" s="2" t="str">
        <f>APOQUINDO!O10</f>
        <v/>
      </c>
      <c r="Q122" s="2" t="str">
        <f>APOQUINDO!P10</f>
        <v/>
      </c>
      <c r="R122" s="2" t="str">
        <f>APOQUINDO!Q10</f>
        <v>-</v>
      </c>
      <c r="S122" s="2" t="str">
        <f>APOQUINDO!R10</f>
        <v>-</v>
      </c>
      <c r="T122" s="2" t="str">
        <f>APOQUINDO!S10</f>
        <v>-</v>
      </c>
      <c r="U122" s="2" t="str">
        <f>APOQUINDO!T10</f>
        <v>-</v>
      </c>
      <c r="V122" s="2" t="str">
        <f>APOQUINDO!U10</f>
        <v>-</v>
      </c>
      <c r="W122" s="2" t="str">
        <f>APOQUINDO!V10</f>
        <v>-</v>
      </c>
      <c r="X122" s="2" t="str">
        <f>APOQUINDO!W10</f>
        <v>-</v>
      </c>
      <c r="Y122" s="2" t="str">
        <f>APOQUINDO!X10</f>
        <v>-</v>
      </c>
      <c r="Z122" s="2" t="str">
        <f>APOQUINDO!Y10</f>
        <v>-</v>
      </c>
      <c r="AA122" s="2">
        <f>APOQUINDO!Z10</f>
        <v>1</v>
      </c>
      <c r="AB122" s="2">
        <f>APOQUINDO!AA10</f>
        <v>3</v>
      </c>
      <c r="AC122" s="2">
        <f>APOQUINDO!AB10</f>
        <v>2</v>
      </c>
      <c r="AD122" s="2">
        <f>APOQUINDO!AC10</f>
        <v>1</v>
      </c>
      <c r="AE122" s="2" t="str">
        <f>APOQUINDO!AD10</f>
        <v>1 - 1/2</v>
      </c>
      <c r="AF122" s="2" t="str">
        <f>APOQUINDO!AE10</f>
        <v/>
      </c>
      <c r="AG122" s="2">
        <f>APOQUINDO!AF10</f>
        <v>1</v>
      </c>
      <c r="AH122" s="2">
        <f>APOQUINDO!AG10</f>
        <v>3</v>
      </c>
      <c r="AI122" s="2">
        <f>APOQUINDO!AH10</f>
        <v>3</v>
      </c>
      <c r="AJ122" s="2">
        <f>APOQUINDO!AI10</f>
        <v>2</v>
      </c>
      <c r="AK122" s="2">
        <f>APOQUINDO!AJ10</f>
        <v>1</v>
      </c>
      <c r="AL122" s="2">
        <f>APOQUINDO!AK10</f>
        <v>0</v>
      </c>
      <c r="AM122" s="2">
        <f>APOQUINDO!AL10</f>
        <v>0</v>
      </c>
      <c r="AN122" s="2">
        <f>APOQUINDO!AM10</f>
        <v>0</v>
      </c>
      <c r="AO122" s="2">
        <f>APOQUINDO!AN10</f>
        <v>0</v>
      </c>
      <c r="AP122" s="2">
        <f>APOQUINDO!AO10</f>
        <v>0</v>
      </c>
      <c r="AQ122" s="2">
        <f>APOQUINDO!AP10</f>
        <v>2</v>
      </c>
      <c r="AR122" s="2">
        <f>APOQUINDO!AQ10</f>
        <v>2</v>
      </c>
      <c r="AS122" s="2">
        <f>APOQUINDO!AR10</f>
        <v>2</v>
      </c>
      <c r="AT122" s="2">
        <f>APOQUINDO!AS10</f>
        <v>1</v>
      </c>
      <c r="AU122" s="2">
        <f>APOQUINDO!AT10</f>
        <v>1</v>
      </c>
      <c r="AV122" s="2">
        <f>APOQUINDO!AU10</f>
        <v>2</v>
      </c>
      <c r="AW122" s="2">
        <f>APOQUINDO!AV10</f>
        <v>2</v>
      </c>
      <c r="AX122" s="2">
        <f>APOQUINDO!AW10</f>
        <v>3</v>
      </c>
      <c r="AY122" s="2">
        <f>APOQUINDO!AX10</f>
        <v>2</v>
      </c>
      <c r="AZ122" s="2" t="str">
        <f>APOQUINDO!AY9</f>
        <v/>
      </c>
      <c r="BA122" s="2" t="str">
        <f>APOQUINDO!AZ9</f>
        <v/>
      </c>
      <c r="BB122" s="2">
        <f>APOQUINDO!BA9</f>
        <v>2</v>
      </c>
      <c r="BC122" s="2">
        <f>APOQUINDO!BB9</f>
        <v>1</v>
      </c>
      <c r="BD122" s="2">
        <f>APOQUINDO!BC9</f>
        <v>1</v>
      </c>
      <c r="BE122" s="2" t="str">
        <f>APOQUINDO!BD9</f>
        <v/>
      </c>
      <c r="BF122" s="2" t="str">
        <f>APOQUINDO!BE9</f>
        <v/>
      </c>
      <c r="BG122" s="2" t="str">
        <f>APOQUINDO!BF9</f>
        <v/>
      </c>
      <c r="BH122" s="2" t="str">
        <f>APOQUINDO!BG9</f>
        <v/>
      </c>
      <c r="BI122" s="2" t="str">
        <f>APOQUINDO!BQ10</f>
        <v/>
      </c>
      <c r="BJ122" s="2" t="str">
        <f>APOQUINDO!BR10</f>
        <v/>
      </c>
      <c r="BK122" s="2" t="str">
        <f>APOQUINDO!BS10</f>
        <v/>
      </c>
      <c r="BL122" s="2" t="str">
        <f>APOQUINDO!BT10</f>
        <v/>
      </c>
      <c r="BM122" s="2" t="str">
        <f>APOQUINDO!BU10</f>
        <v/>
      </c>
      <c r="BN122" s="2" t="str">
        <f>APOQUINDO!BV10</f>
        <v/>
      </c>
      <c r="BO122" s="2" t="str">
        <f>APOQUINDO!BW10</f>
        <v/>
      </c>
      <c r="BP122" s="2" t="str">
        <f>APOQUINDO!BX10</f>
        <v/>
      </c>
      <c r="BQ122" s="2" t="str">
        <f>APOQUINDO!BY10</f>
        <v/>
      </c>
      <c r="BR122" s="2" t="str">
        <f>APOQUINDO!BZ10</f>
        <v/>
      </c>
      <c r="BS122" s="2" t="str">
        <f>APOQUINDO!CA10</f>
        <v/>
      </c>
      <c r="BT122" s="2" t="str">
        <f>APOQUINDO!CB10</f>
        <v/>
      </c>
      <c r="BU122" s="2"/>
      <c r="BV122" s="2"/>
      <c r="BW122" s="2"/>
      <c r="BX122" s="2"/>
      <c r="BY122" s="2"/>
      <c r="BZ122" s="2"/>
      <c r="CA122" s="2"/>
      <c r="CB122" s="2"/>
      <c r="CC122" s="2"/>
    </row>
    <row r="123">
      <c r="A123" s="2"/>
      <c r="B123" s="2" t="str">
        <f>APOQUINDO!A11</f>
        <v>Apoquindo</v>
      </c>
      <c r="C123" s="2" t="str">
        <f>APOQUINDO!B11</f>
        <v>Cafeteria</v>
      </c>
      <c r="D123" s="2" t="str">
        <f>APOQUINDO!C11</f>
        <v>Servilletas</v>
      </c>
      <c r="E123" s="2" t="str">
        <f>APOQUINDO!D11</f>
        <v/>
      </c>
      <c r="F123" s="2" t="str">
        <f>APOQUINDO!E11</f>
        <v/>
      </c>
      <c r="G123" s="2" t="str">
        <f>APOQUINDO!F11</f>
        <v/>
      </c>
      <c r="H123" s="2" t="str">
        <f>APOQUINDO!G11</f>
        <v/>
      </c>
      <c r="I123" s="2" t="str">
        <f>APOQUINDO!H11</f>
        <v/>
      </c>
      <c r="J123" s="2" t="str">
        <f>APOQUINDO!I11</f>
        <v/>
      </c>
      <c r="K123" s="2" t="str">
        <f>APOQUINDO!J11</f>
        <v/>
      </c>
      <c r="L123" s="2" t="str">
        <f>APOQUINDO!K11</f>
        <v/>
      </c>
      <c r="M123" s="2" t="str">
        <f>APOQUINDO!L11</f>
        <v/>
      </c>
      <c r="N123" s="2" t="str">
        <f>APOQUINDO!M11</f>
        <v/>
      </c>
      <c r="O123" s="2" t="str">
        <f>APOQUINDO!N11</f>
        <v/>
      </c>
      <c r="P123" s="2" t="str">
        <f>APOQUINDO!O11</f>
        <v/>
      </c>
      <c r="Q123" s="2" t="str">
        <f>APOQUINDO!P11</f>
        <v/>
      </c>
      <c r="R123" s="2" t="str">
        <f>APOQUINDO!Q11</f>
        <v/>
      </c>
      <c r="S123" s="2" t="str">
        <f>APOQUINDO!R11</f>
        <v/>
      </c>
      <c r="T123" s="2" t="str">
        <f>APOQUINDO!S11</f>
        <v/>
      </c>
      <c r="U123" s="2" t="str">
        <f>APOQUINDO!T11</f>
        <v/>
      </c>
      <c r="V123" s="2" t="str">
        <f>APOQUINDO!U11</f>
        <v/>
      </c>
      <c r="W123" s="2" t="str">
        <f>APOQUINDO!V11</f>
        <v/>
      </c>
      <c r="X123" s="2" t="str">
        <f>APOQUINDO!W11</f>
        <v/>
      </c>
      <c r="Y123" s="2" t="str">
        <f>APOQUINDO!X11</f>
        <v/>
      </c>
      <c r="Z123" s="2" t="str">
        <f>APOQUINDO!Y11</f>
        <v/>
      </c>
      <c r="AA123" s="2" t="str">
        <f>APOQUINDO!Z11</f>
        <v/>
      </c>
      <c r="AB123" s="2" t="str">
        <f>APOQUINDO!AA11</f>
        <v/>
      </c>
      <c r="AC123" s="2" t="str">
        <f>APOQUINDO!AB11</f>
        <v/>
      </c>
      <c r="AD123" s="2" t="str">
        <f>APOQUINDO!AC11</f>
        <v/>
      </c>
      <c r="AE123" s="2" t="str">
        <f>APOQUINDO!AD11</f>
        <v/>
      </c>
      <c r="AF123" s="2" t="str">
        <f>APOQUINDO!AE11</f>
        <v/>
      </c>
      <c r="AG123" s="2" t="str">
        <f>APOQUINDO!AF11</f>
        <v/>
      </c>
      <c r="AH123" s="2" t="str">
        <f>APOQUINDO!AG11</f>
        <v/>
      </c>
      <c r="AI123" s="2" t="str">
        <f>APOQUINDO!AH11</f>
        <v/>
      </c>
      <c r="AJ123" s="2" t="str">
        <f>APOQUINDO!AI11</f>
        <v/>
      </c>
      <c r="AK123" s="2" t="str">
        <f>APOQUINDO!AJ11</f>
        <v/>
      </c>
      <c r="AL123" s="2" t="str">
        <f>APOQUINDO!AK11</f>
        <v/>
      </c>
      <c r="AM123" s="2" t="str">
        <f>APOQUINDO!AL11</f>
        <v/>
      </c>
      <c r="AN123" s="2" t="str">
        <f>APOQUINDO!AM11</f>
        <v/>
      </c>
      <c r="AO123" s="2">
        <f>APOQUINDO!AN11</f>
        <v>0</v>
      </c>
      <c r="AP123" s="2">
        <f>APOQUINDO!AO11</f>
        <v>0</v>
      </c>
      <c r="AQ123" s="2">
        <f>APOQUINDO!AP11</f>
        <v>0</v>
      </c>
      <c r="AR123" s="2">
        <f>APOQUINDO!AQ11</f>
        <v>0</v>
      </c>
      <c r="AS123" s="2">
        <f>APOQUINDO!AR11</f>
        <v>0</v>
      </c>
      <c r="AT123" s="2">
        <f>APOQUINDO!AS11</f>
        <v>0</v>
      </c>
      <c r="AU123" s="2">
        <f>APOQUINDO!AT11</f>
        <v>0</v>
      </c>
      <c r="AV123" s="2">
        <f>APOQUINDO!AU11</f>
        <v>0</v>
      </c>
      <c r="AW123" s="2">
        <f>APOQUINDO!AV11</f>
        <v>0</v>
      </c>
      <c r="AX123" s="2" t="str">
        <f>APOQUINDO!AW11</f>
        <v>10 paquetes</v>
      </c>
      <c r="AY123" s="2" t="str">
        <f>APOQUINDO!AX11</f>
        <v>11 paquetes</v>
      </c>
      <c r="AZ123" s="2">
        <f>APOQUINDO!AY10</f>
        <v>1</v>
      </c>
      <c r="BA123" s="2">
        <f>APOQUINDO!AZ10</f>
        <v>1</v>
      </c>
      <c r="BB123" s="2">
        <f>APOQUINDO!BA10</f>
        <v>0</v>
      </c>
      <c r="BC123" s="2">
        <f>APOQUINDO!BB10</f>
        <v>0</v>
      </c>
      <c r="BD123" s="2">
        <f>APOQUINDO!BC10</f>
        <v>0</v>
      </c>
      <c r="BE123" s="2" t="str">
        <f>APOQUINDO!BD10</f>
        <v/>
      </c>
      <c r="BF123" s="2" t="str">
        <f>APOQUINDO!BE10</f>
        <v/>
      </c>
      <c r="BG123" s="2" t="str">
        <f>APOQUINDO!BF10</f>
        <v/>
      </c>
      <c r="BH123" s="2" t="str">
        <f>APOQUINDO!BG10</f>
        <v/>
      </c>
      <c r="BI123" s="2" t="str">
        <f>APOQUINDO!BQ12</f>
        <v/>
      </c>
      <c r="BJ123" s="2" t="str">
        <f>APOQUINDO!BR12</f>
        <v/>
      </c>
      <c r="BK123" s="2" t="str">
        <f>APOQUINDO!BS12</f>
        <v/>
      </c>
      <c r="BL123" s="2" t="str">
        <f>APOQUINDO!BT12</f>
        <v/>
      </c>
      <c r="BM123" s="2" t="str">
        <f>APOQUINDO!BU12</f>
        <v/>
      </c>
      <c r="BN123" s="2" t="str">
        <f>APOQUINDO!BV12</f>
        <v/>
      </c>
      <c r="BO123" s="2" t="str">
        <f>APOQUINDO!BW12</f>
        <v/>
      </c>
      <c r="BP123" s="2" t="str">
        <f>APOQUINDO!BX12</f>
        <v/>
      </c>
      <c r="BQ123" s="2" t="str">
        <f>APOQUINDO!BY12</f>
        <v/>
      </c>
      <c r="BR123" s="2" t="str">
        <f>APOQUINDO!BZ12</f>
        <v/>
      </c>
      <c r="BS123" s="2" t="str">
        <f>APOQUINDO!CA12</f>
        <v/>
      </c>
      <c r="BT123" s="2" t="str">
        <f>APOQUINDO!CB12</f>
        <v/>
      </c>
      <c r="BU123" s="2"/>
      <c r="BV123" s="2"/>
      <c r="BW123" s="2"/>
      <c r="BX123" s="2"/>
      <c r="BY123" s="2"/>
      <c r="BZ123" s="2"/>
      <c r="CA123" s="2"/>
      <c r="CB123" s="2"/>
      <c r="CC123" s="2"/>
    </row>
    <row r="124">
      <c r="A124" s="2"/>
      <c r="B124" s="2" t="str">
        <f>APOQUINDO!A12</f>
        <v>Apoquindo</v>
      </c>
      <c r="C124" s="2" t="str">
        <f>APOQUINDO!B12</f>
        <v>Aseo</v>
      </c>
      <c r="D124" s="2" t="str">
        <f>APOQUINDO!C12</f>
        <v>Cloro Gel</v>
      </c>
      <c r="E124" s="2" t="str">
        <f>APOQUINDO!D12</f>
        <v/>
      </c>
      <c r="F124" s="2" t="str">
        <f>APOQUINDO!E12</f>
        <v/>
      </c>
      <c r="G124" s="2" t="str">
        <f>APOQUINDO!F12</f>
        <v/>
      </c>
      <c r="H124" s="2" t="str">
        <f>APOQUINDO!G12</f>
        <v/>
      </c>
      <c r="I124" s="2" t="str">
        <f>APOQUINDO!H12</f>
        <v/>
      </c>
      <c r="J124" s="2" t="str">
        <f>APOQUINDO!I12</f>
        <v/>
      </c>
      <c r="K124" s="2" t="str">
        <f>APOQUINDO!J12</f>
        <v/>
      </c>
      <c r="L124" s="2" t="str">
        <f>APOQUINDO!K12</f>
        <v/>
      </c>
      <c r="M124" s="2" t="str">
        <f>APOQUINDO!L12</f>
        <v/>
      </c>
      <c r="N124" s="2" t="str">
        <f>APOQUINDO!M12</f>
        <v/>
      </c>
      <c r="O124" s="2" t="str">
        <f>APOQUINDO!N12</f>
        <v/>
      </c>
      <c r="P124" s="2" t="str">
        <f>APOQUINDO!O12</f>
        <v/>
      </c>
      <c r="Q124" s="2" t="str">
        <f>APOQUINDO!P12</f>
        <v/>
      </c>
      <c r="R124" s="2" t="str">
        <f>APOQUINDO!Q12</f>
        <v>-</v>
      </c>
      <c r="S124" s="2" t="str">
        <f>APOQUINDO!R12</f>
        <v>-</v>
      </c>
      <c r="T124" s="2" t="str">
        <f>APOQUINDO!S12</f>
        <v>-</v>
      </c>
      <c r="U124" s="2" t="str">
        <f>APOQUINDO!T12</f>
        <v>-</v>
      </c>
      <c r="V124" s="2" t="str">
        <f>APOQUINDO!U12</f>
        <v>-</v>
      </c>
      <c r="W124" s="2" t="str">
        <f>APOQUINDO!V12</f>
        <v>-</v>
      </c>
      <c r="X124" s="2" t="str">
        <f>APOQUINDO!W12</f>
        <v>-</v>
      </c>
      <c r="Y124" s="2" t="str">
        <f>APOQUINDO!X12</f>
        <v>-</v>
      </c>
      <c r="Z124" s="2" t="str">
        <f>APOQUINDO!Y12</f>
        <v>-</v>
      </c>
      <c r="AA124" s="2" t="str">
        <f>APOQUINDO!Z12</f>
        <v>-</v>
      </c>
      <c r="AB124" s="2" t="str">
        <f>APOQUINDO!AA12</f>
        <v>-</v>
      </c>
      <c r="AC124" s="2" t="str">
        <f>APOQUINDO!AB12</f>
        <v/>
      </c>
      <c r="AD124" s="2">
        <f>APOQUINDO!AC12</f>
        <v>1</v>
      </c>
      <c r="AE124" s="2" t="str">
        <f>APOQUINDO!AD12</f>
        <v>1/2 lt</v>
      </c>
      <c r="AF124" s="2" t="str">
        <f>APOQUINDO!AE12</f>
        <v/>
      </c>
      <c r="AG124" s="2">
        <f>APOQUINDO!AF12</f>
        <v>0</v>
      </c>
      <c r="AH124" s="2">
        <f>APOQUINDO!AG12</f>
        <v>1</v>
      </c>
      <c r="AI124" s="2">
        <f>APOQUINDO!AH12</f>
        <v>1</v>
      </c>
      <c r="AJ124" s="2">
        <f>APOQUINDO!AI12</f>
        <v>0</v>
      </c>
      <c r="AK124" s="2">
        <f>APOQUINDO!AJ12</f>
        <v>1</v>
      </c>
      <c r="AL124" s="2">
        <f>APOQUINDO!AK12</f>
        <v>1</v>
      </c>
      <c r="AM124" s="2">
        <f>APOQUINDO!AL12</f>
        <v>1</v>
      </c>
      <c r="AN124" s="2">
        <f>APOQUINDO!AM12</f>
        <v>1</v>
      </c>
      <c r="AO124" s="2">
        <f>APOQUINDO!AN12</f>
        <v>1</v>
      </c>
      <c r="AP124" s="2">
        <f>APOQUINDO!AO12</f>
        <v>1</v>
      </c>
      <c r="AQ124" s="2">
        <f>APOQUINDO!AP12</f>
        <v>2</v>
      </c>
      <c r="AR124" s="2">
        <f>APOQUINDO!AQ12</f>
        <v>1</v>
      </c>
      <c r="AS124" s="2">
        <f>APOQUINDO!AR12</f>
        <v>1</v>
      </c>
      <c r="AT124" s="2">
        <f>APOQUINDO!AS12</f>
        <v>1</v>
      </c>
      <c r="AU124" s="2">
        <f>APOQUINDO!AT12</f>
        <v>1</v>
      </c>
      <c r="AV124" s="2">
        <f>APOQUINDO!AU12</f>
        <v>1</v>
      </c>
      <c r="AW124" s="2">
        <f>APOQUINDO!AV12</f>
        <v>1</v>
      </c>
      <c r="AX124" s="2">
        <f>APOQUINDO!AW12</f>
        <v>1</v>
      </c>
      <c r="AY124" s="2">
        <f>APOQUINDO!AX12</f>
        <v>0</v>
      </c>
      <c r="AZ124" s="2" t="str">
        <f>APOQUINDO!AY11</f>
        <v>6 paquetes</v>
      </c>
      <c r="BA124" s="2" t="str">
        <f>APOQUINDO!AZ11</f>
        <v>4 paquetes</v>
      </c>
      <c r="BB124" s="2">
        <f>APOQUINDO!BA11</f>
        <v>10</v>
      </c>
      <c r="BC124" s="2">
        <f>APOQUINDO!BB11</f>
        <v>9</v>
      </c>
      <c r="BD124" s="2" t="str">
        <f>APOQUINDO!BC11</f>
        <v>2 paquetes</v>
      </c>
      <c r="BE124" s="2" t="str">
        <f>APOQUINDO!BD11</f>
        <v/>
      </c>
      <c r="BF124" s="2" t="str">
        <f>APOQUINDO!BE11</f>
        <v/>
      </c>
      <c r="BG124" s="2" t="str">
        <f>APOQUINDO!BF11</f>
        <v/>
      </c>
      <c r="BH124" s="2" t="str">
        <f>APOQUINDO!BG11</f>
        <v/>
      </c>
      <c r="BI124" s="2" t="str">
        <f>APOQUINDO!BQ13</f>
        <v/>
      </c>
      <c r="BJ124" s="2" t="str">
        <f>APOQUINDO!BR13</f>
        <v/>
      </c>
      <c r="BK124" s="2" t="str">
        <f>APOQUINDO!BS13</f>
        <v/>
      </c>
      <c r="BL124" s="2" t="str">
        <f>APOQUINDO!BT13</f>
        <v/>
      </c>
      <c r="BM124" s="2" t="str">
        <f>APOQUINDO!BU13</f>
        <v/>
      </c>
      <c r="BN124" s="2" t="str">
        <f>APOQUINDO!BV13</f>
        <v/>
      </c>
      <c r="BO124" s="2" t="str">
        <f>APOQUINDO!BW13</f>
        <v/>
      </c>
      <c r="BP124" s="2" t="str">
        <f>APOQUINDO!BX13</f>
        <v/>
      </c>
      <c r="BQ124" s="2" t="str">
        <f>APOQUINDO!BY13</f>
        <v/>
      </c>
      <c r="BR124" s="2" t="str">
        <f>APOQUINDO!BZ13</f>
        <v/>
      </c>
      <c r="BS124" s="2" t="str">
        <f>APOQUINDO!CA13</f>
        <v/>
      </c>
      <c r="BT124" s="2" t="str">
        <f>APOQUINDO!CB13</f>
        <v/>
      </c>
      <c r="BU124" s="2"/>
      <c r="BV124" s="2"/>
      <c r="BW124" s="2"/>
      <c r="BX124" s="2"/>
      <c r="BY124" s="2"/>
      <c r="BZ124" s="2"/>
      <c r="CA124" s="2"/>
      <c r="CB124" s="2"/>
      <c r="CC124" s="2"/>
    </row>
    <row r="125">
      <c r="A125" s="2"/>
      <c r="B125" s="2" t="str">
        <f>APOQUINDO!A13</f>
        <v>Apoquindo</v>
      </c>
      <c r="C125" s="2" t="str">
        <f>APOQUINDO!B13</f>
        <v>Aseo</v>
      </c>
      <c r="D125" s="2" t="str">
        <f>APOQUINDO!C13</f>
        <v>Limpia Piso</v>
      </c>
      <c r="E125" s="2" t="str">
        <f>APOQUINDO!D13</f>
        <v/>
      </c>
      <c r="F125" s="2" t="str">
        <f>APOQUINDO!E13</f>
        <v/>
      </c>
      <c r="G125" s="2" t="str">
        <f>APOQUINDO!F13</f>
        <v/>
      </c>
      <c r="H125" s="2" t="str">
        <f>APOQUINDO!G13</f>
        <v/>
      </c>
      <c r="I125" s="2" t="str">
        <f>APOQUINDO!H13</f>
        <v/>
      </c>
      <c r="J125" s="2" t="str">
        <f>APOQUINDO!I13</f>
        <v/>
      </c>
      <c r="K125" s="2" t="str">
        <f>APOQUINDO!J13</f>
        <v/>
      </c>
      <c r="L125" s="2" t="str">
        <f>APOQUINDO!K13</f>
        <v/>
      </c>
      <c r="M125" s="2" t="str">
        <f>APOQUINDO!L13</f>
        <v/>
      </c>
      <c r="N125" s="2" t="str">
        <f>APOQUINDO!M13</f>
        <v/>
      </c>
      <c r="O125" s="2" t="str">
        <f>APOQUINDO!N13</f>
        <v/>
      </c>
      <c r="P125" s="2" t="str">
        <f>APOQUINDO!O13</f>
        <v/>
      </c>
      <c r="Q125" s="2" t="str">
        <f>APOQUINDO!P13</f>
        <v/>
      </c>
      <c r="R125" s="2" t="str">
        <f>APOQUINDO!Q13</f>
        <v>-</v>
      </c>
      <c r="S125" s="2" t="str">
        <f>APOQUINDO!R13</f>
        <v>-</v>
      </c>
      <c r="T125" s="2" t="str">
        <f>APOQUINDO!S13</f>
        <v>-</v>
      </c>
      <c r="U125" s="2" t="str">
        <f>APOQUINDO!T13</f>
        <v>-</v>
      </c>
      <c r="V125" s="2" t="str">
        <f>APOQUINDO!U13</f>
        <v>-</v>
      </c>
      <c r="W125" s="2" t="str">
        <f>APOQUINDO!V13</f>
        <v>-</v>
      </c>
      <c r="X125" s="2" t="str">
        <f>APOQUINDO!W13</f>
        <v>-</v>
      </c>
      <c r="Y125" s="2" t="str">
        <f>APOQUINDO!X13</f>
        <v>-</v>
      </c>
      <c r="Z125" s="2" t="str">
        <f>APOQUINDO!Y13</f>
        <v>-</v>
      </c>
      <c r="AA125" s="2" t="str">
        <f>APOQUINDO!Z13</f>
        <v>-</v>
      </c>
      <c r="AB125" s="2" t="str">
        <f>APOQUINDO!AA13</f>
        <v>-</v>
      </c>
      <c r="AC125" s="2" t="str">
        <f>APOQUINDO!AB13</f>
        <v/>
      </c>
      <c r="AD125" s="2">
        <f>APOQUINDO!AC13</f>
        <v>2</v>
      </c>
      <c r="AE125" s="2">
        <f>APOQUINDO!AD13</f>
        <v>2</v>
      </c>
      <c r="AF125" s="2" t="str">
        <f>APOQUINDO!AE13</f>
        <v/>
      </c>
      <c r="AG125" s="2">
        <f>APOQUINDO!AF13</f>
        <v>0</v>
      </c>
      <c r="AH125" s="2">
        <f>APOQUINDO!AG13</f>
        <v>2</v>
      </c>
      <c r="AI125" s="2">
        <f>APOQUINDO!AH13</f>
        <v>1</v>
      </c>
      <c r="AJ125" s="2">
        <f>APOQUINDO!AI13</f>
        <v>1</v>
      </c>
      <c r="AK125" s="2">
        <f>APOQUINDO!AJ13</f>
        <v>1</v>
      </c>
      <c r="AL125" s="2">
        <f>APOQUINDO!AK13</f>
        <v>1</v>
      </c>
      <c r="AM125" s="2">
        <f>APOQUINDO!AL13</f>
        <v>1</v>
      </c>
      <c r="AN125" s="2">
        <f>APOQUINDO!AM13</f>
        <v>1</v>
      </c>
      <c r="AO125" s="2">
        <f>APOQUINDO!AN13</f>
        <v>1</v>
      </c>
      <c r="AP125" s="2">
        <f>APOQUINDO!AO13</f>
        <v>1</v>
      </c>
      <c r="AQ125" s="2">
        <f>APOQUINDO!AP13</f>
        <v>2</v>
      </c>
      <c r="AR125" s="2">
        <f>APOQUINDO!AQ13</f>
        <v>1</v>
      </c>
      <c r="AS125" s="2">
        <f>APOQUINDO!AR13</f>
        <v>1</v>
      </c>
      <c r="AT125" s="2">
        <f>APOQUINDO!AS13</f>
        <v>1</v>
      </c>
      <c r="AU125" s="2">
        <f>APOQUINDO!AT13</f>
        <v>1</v>
      </c>
      <c r="AV125" s="2">
        <f>APOQUINDO!AU13</f>
        <v>1</v>
      </c>
      <c r="AW125" s="2">
        <f>APOQUINDO!AV13</f>
        <v>1</v>
      </c>
      <c r="AX125" s="2">
        <f>APOQUINDO!AW13</f>
        <v>1</v>
      </c>
      <c r="AY125" s="2">
        <f>APOQUINDO!AX13</f>
        <v>0</v>
      </c>
      <c r="AZ125" s="2">
        <f>APOQUINDO!AY12</f>
        <v>0</v>
      </c>
      <c r="BA125" s="2">
        <f>APOQUINDO!AZ12</f>
        <v>0</v>
      </c>
      <c r="BB125" s="2">
        <f>APOQUINDO!BA12</f>
        <v>1</v>
      </c>
      <c r="BC125" s="2">
        <f>APOQUINDO!BB12</f>
        <v>1</v>
      </c>
      <c r="BD125" s="2">
        <f>APOQUINDO!BC12</f>
        <v>0</v>
      </c>
      <c r="BE125" s="2" t="str">
        <f>APOQUINDO!BD12</f>
        <v/>
      </c>
      <c r="BF125" s="2" t="str">
        <f>APOQUINDO!BE12</f>
        <v/>
      </c>
      <c r="BG125" s="2" t="str">
        <f>APOQUINDO!BF12</f>
        <v/>
      </c>
      <c r="BH125" s="2" t="str">
        <f>APOQUINDO!BG12</f>
        <v/>
      </c>
      <c r="BI125" s="2" t="str">
        <f>APOQUINDO!BQ14</f>
        <v/>
      </c>
      <c r="BJ125" s="2" t="str">
        <f>APOQUINDO!BR14</f>
        <v/>
      </c>
      <c r="BK125" s="2" t="str">
        <f>APOQUINDO!BS14</f>
        <v/>
      </c>
      <c r="BL125" s="2" t="str">
        <f>APOQUINDO!BT14</f>
        <v/>
      </c>
      <c r="BM125" s="2" t="str">
        <f>APOQUINDO!BU14</f>
        <v/>
      </c>
      <c r="BN125" s="2" t="str">
        <f>APOQUINDO!BV14</f>
        <v/>
      </c>
      <c r="BO125" s="2" t="str">
        <f>APOQUINDO!BW14</f>
        <v/>
      </c>
      <c r="BP125" s="2" t="str">
        <f>APOQUINDO!BX14</f>
        <v/>
      </c>
      <c r="BQ125" s="2" t="str">
        <f>APOQUINDO!BY14</f>
        <v/>
      </c>
      <c r="BR125" s="2" t="str">
        <f>APOQUINDO!BZ14</f>
        <v/>
      </c>
      <c r="BS125" s="2" t="str">
        <f>APOQUINDO!CA14</f>
        <v/>
      </c>
      <c r="BT125" s="2" t="str">
        <f>APOQUINDO!CB14</f>
        <v/>
      </c>
      <c r="BU125" s="2"/>
      <c r="BV125" s="2"/>
      <c r="BW125" s="2"/>
      <c r="BX125" s="2"/>
      <c r="BY125" s="2"/>
      <c r="BZ125" s="2"/>
      <c r="CA125" s="2"/>
      <c r="CB125" s="2"/>
      <c r="CC125" s="2"/>
    </row>
    <row r="126">
      <c r="A126" s="2"/>
      <c r="B126" s="2" t="str">
        <f>APOQUINDO!A14</f>
        <v>Apoquindo</v>
      </c>
      <c r="C126" s="2" t="str">
        <f>APOQUINDO!B14</f>
        <v>Aseo</v>
      </c>
      <c r="D126" s="2" t="str">
        <f>APOQUINDO!C14</f>
        <v>Bolsas Basura 50x70</v>
      </c>
      <c r="E126" s="2" t="str">
        <f>APOQUINDO!D14</f>
        <v/>
      </c>
      <c r="F126" s="2" t="str">
        <f>APOQUINDO!E14</f>
        <v/>
      </c>
      <c r="G126" s="2" t="str">
        <f>APOQUINDO!F14</f>
        <v/>
      </c>
      <c r="H126" s="2" t="str">
        <f>APOQUINDO!G14</f>
        <v/>
      </c>
      <c r="I126" s="2" t="str">
        <f>APOQUINDO!H14</f>
        <v/>
      </c>
      <c r="J126" s="2" t="str">
        <f>APOQUINDO!I14</f>
        <v/>
      </c>
      <c r="K126" s="2" t="str">
        <f>APOQUINDO!J14</f>
        <v/>
      </c>
      <c r="L126" s="2" t="str">
        <f>APOQUINDO!K14</f>
        <v/>
      </c>
      <c r="M126" s="2" t="str">
        <f>APOQUINDO!L14</f>
        <v/>
      </c>
      <c r="N126" s="2" t="str">
        <f>APOQUINDO!M14</f>
        <v/>
      </c>
      <c r="O126" s="2" t="str">
        <f>APOQUINDO!N14</f>
        <v/>
      </c>
      <c r="P126" s="2" t="str">
        <f>APOQUINDO!O14</f>
        <v/>
      </c>
      <c r="Q126" s="2" t="str">
        <f>APOQUINDO!P14</f>
        <v/>
      </c>
      <c r="R126" s="2" t="str">
        <f>APOQUINDO!Q14</f>
        <v>-</v>
      </c>
      <c r="S126" s="2" t="str">
        <f>APOQUINDO!R14</f>
        <v>-</v>
      </c>
      <c r="T126" s="2" t="str">
        <f>APOQUINDO!S14</f>
        <v>-</v>
      </c>
      <c r="U126" s="2" t="str">
        <f>APOQUINDO!T14</f>
        <v>-</v>
      </c>
      <c r="V126" s="2" t="str">
        <f>APOQUINDO!U14</f>
        <v>-</v>
      </c>
      <c r="W126" s="2" t="str">
        <f>APOQUINDO!V14</f>
        <v>-</v>
      </c>
      <c r="X126" s="2" t="str">
        <f>APOQUINDO!W14</f>
        <v>-</v>
      </c>
      <c r="Y126" s="2" t="str">
        <f>APOQUINDO!X14</f>
        <v>-</v>
      </c>
      <c r="Z126" s="2" t="str">
        <f>APOQUINDO!Y14</f>
        <v>-</v>
      </c>
      <c r="AA126" s="2" t="str">
        <f>APOQUINDO!Z14</f>
        <v>-</v>
      </c>
      <c r="AB126" s="2" t="str">
        <f>APOQUINDO!AA14</f>
        <v>-</v>
      </c>
      <c r="AC126" s="2" t="str">
        <f>APOQUINDO!AB14</f>
        <v/>
      </c>
      <c r="AD126" s="2" t="str">
        <f>APOQUINDO!AC14</f>
        <v>10 paquetes</v>
      </c>
      <c r="AE126" s="2">
        <f>APOQUINDO!AD14</f>
        <v>0</v>
      </c>
      <c r="AF126" s="2" t="str">
        <f>APOQUINDO!AE14</f>
        <v/>
      </c>
      <c r="AG126" s="2">
        <f>APOQUINDO!AF14</f>
        <v>0</v>
      </c>
      <c r="AH126" s="2" t="str">
        <f>APOQUINDO!AG14</f>
        <v>20 paq</v>
      </c>
      <c r="AI126" s="2" t="str">
        <f>APOQUINDO!AH14</f>
        <v>15 PAQ</v>
      </c>
      <c r="AJ126" s="2" t="str">
        <f>APOQUINDO!AI14</f>
        <v>11 paq</v>
      </c>
      <c r="AK126" s="2" t="str">
        <f>APOQUINDO!AJ14</f>
        <v>27 paquetes</v>
      </c>
      <c r="AL126" s="2" t="str">
        <f>APOQUINDO!AK14</f>
        <v>27 paquetes</v>
      </c>
      <c r="AM126" s="2" t="str">
        <f>APOQUINDO!AL14</f>
        <v>25 paquetes</v>
      </c>
      <c r="AN126" s="2" t="str">
        <f>APOQUINDO!AM14</f>
        <v>24 PAQ</v>
      </c>
      <c r="AO126" s="2" t="str">
        <f>APOQUINDO!AN14</f>
        <v>22 paq</v>
      </c>
      <c r="AP126" s="2" t="str">
        <f>APOQUINDO!AO14</f>
        <v>22 paq</v>
      </c>
      <c r="AQ126" s="2" t="str">
        <f>APOQUINDO!AP14</f>
        <v>24 paquetes</v>
      </c>
      <c r="AR126" s="2" t="str">
        <f>APOQUINDO!AQ14</f>
        <v>32  paquetes</v>
      </c>
      <c r="AS126" s="2" t="str">
        <f>APOQUINDO!AR14</f>
        <v>31 paquetes</v>
      </c>
      <c r="AT126" s="2" t="str">
        <f>APOQUINDO!AS14</f>
        <v>17 paq</v>
      </c>
      <c r="AU126" s="2" t="str">
        <f>APOQUINDO!AT14</f>
        <v>14 paq</v>
      </c>
      <c r="AV126" s="2" t="str">
        <f>APOQUINDO!AU14</f>
        <v>10 paquetes</v>
      </c>
      <c r="AW126" s="2" t="str">
        <f>APOQUINDO!AV14</f>
        <v>3 paquetes</v>
      </c>
      <c r="AX126" s="2" t="str">
        <f>APOQUINDO!AW14</f>
        <v>2 paquetes</v>
      </c>
      <c r="AY126" s="2" t="str">
        <f>APOQUINDO!AX14</f>
        <v>1 paquetes</v>
      </c>
      <c r="AZ126" s="2">
        <f>APOQUINDO!AY13</f>
        <v>0</v>
      </c>
      <c r="BA126" s="2">
        <f>APOQUINDO!AZ13</f>
        <v>0</v>
      </c>
      <c r="BB126" s="2">
        <f>APOQUINDO!BA13</f>
        <v>0</v>
      </c>
      <c r="BC126" s="2">
        <f>APOQUINDO!BB13</f>
        <v>0</v>
      </c>
      <c r="BD126" s="2">
        <f>APOQUINDO!BC13</f>
        <v>0</v>
      </c>
      <c r="BE126" s="2" t="str">
        <f>APOQUINDO!BD13</f>
        <v/>
      </c>
      <c r="BF126" s="2" t="str">
        <f>APOQUINDO!BE13</f>
        <v/>
      </c>
      <c r="BG126" s="2" t="str">
        <f>APOQUINDO!BF13</f>
        <v/>
      </c>
      <c r="BH126" s="2" t="str">
        <f>APOQUINDO!BG13</f>
        <v/>
      </c>
      <c r="BI126" s="2" t="str">
        <f>APOQUINDO!BQ17</f>
        <v/>
      </c>
      <c r="BJ126" s="2" t="str">
        <f>APOQUINDO!BR17</f>
        <v/>
      </c>
      <c r="BK126" s="2" t="str">
        <f>APOQUINDO!BS17</f>
        <v/>
      </c>
      <c r="BL126" s="2" t="str">
        <f>APOQUINDO!BT17</f>
        <v/>
      </c>
      <c r="BM126" s="2" t="str">
        <f>APOQUINDO!BU17</f>
        <v/>
      </c>
      <c r="BN126" s="2" t="str">
        <f>APOQUINDO!BV17</f>
        <v/>
      </c>
      <c r="BO126" s="2" t="str">
        <f>APOQUINDO!BW17</f>
        <v/>
      </c>
      <c r="BP126" s="2" t="str">
        <f>APOQUINDO!BX17</f>
        <v/>
      </c>
      <c r="BQ126" s="2" t="str">
        <f>APOQUINDO!BY17</f>
        <v/>
      </c>
      <c r="BR126" s="2" t="str">
        <f>APOQUINDO!BZ17</f>
        <v/>
      </c>
      <c r="BS126" s="2" t="str">
        <f>APOQUINDO!CA17</f>
        <v/>
      </c>
      <c r="BT126" s="2" t="str">
        <f>APOQUINDO!CB17</f>
        <v/>
      </c>
      <c r="BU126" s="2"/>
      <c r="BV126" s="2"/>
      <c r="BW126" s="2"/>
      <c r="BX126" s="2"/>
      <c r="BY126" s="2"/>
      <c r="BZ126" s="2"/>
      <c r="CA126" s="2"/>
      <c r="CB126" s="2"/>
      <c r="CC126" s="2"/>
    </row>
    <row r="127">
      <c r="A127" s="2"/>
      <c r="B127" s="2" t="str">
        <f>APOQUINDO!A15</f>
        <v>Apoquindo</v>
      </c>
      <c r="C127" s="2" t="str">
        <f>APOQUINDO!B15</f>
        <v>Aseo</v>
      </c>
      <c r="D127" s="2" t="str">
        <f>APOQUINDO!C15</f>
        <v>Bolsas Basura 70x90</v>
      </c>
      <c r="E127" s="2" t="str">
        <f>APOQUINDO!D15</f>
        <v/>
      </c>
      <c r="F127" s="2" t="str">
        <f>APOQUINDO!E15</f>
        <v/>
      </c>
      <c r="G127" s="2" t="str">
        <f>APOQUINDO!F15</f>
        <v/>
      </c>
      <c r="H127" s="2" t="str">
        <f>APOQUINDO!G15</f>
        <v/>
      </c>
      <c r="I127" s="2" t="str">
        <f>APOQUINDO!H15</f>
        <v/>
      </c>
      <c r="J127" s="2" t="str">
        <f>APOQUINDO!I15</f>
        <v/>
      </c>
      <c r="K127" s="2" t="str">
        <f>APOQUINDO!J15</f>
        <v/>
      </c>
      <c r="L127" s="2" t="str">
        <f>APOQUINDO!K15</f>
        <v/>
      </c>
      <c r="M127" s="2" t="str">
        <f>APOQUINDO!L15</f>
        <v/>
      </c>
      <c r="N127" s="2" t="str">
        <f>APOQUINDO!M15</f>
        <v/>
      </c>
      <c r="O127" s="2" t="str">
        <f>APOQUINDO!N15</f>
        <v/>
      </c>
      <c r="P127" s="2" t="str">
        <f>APOQUINDO!O15</f>
        <v/>
      </c>
      <c r="Q127" s="2" t="str">
        <f>APOQUINDO!P15</f>
        <v/>
      </c>
      <c r="R127" s="2" t="str">
        <f>APOQUINDO!Q15</f>
        <v/>
      </c>
      <c r="S127" s="2" t="str">
        <f>APOQUINDO!R15</f>
        <v/>
      </c>
      <c r="T127" s="2" t="str">
        <f>APOQUINDO!S15</f>
        <v/>
      </c>
      <c r="U127" s="2" t="str">
        <f>APOQUINDO!T15</f>
        <v/>
      </c>
      <c r="V127" s="2" t="str">
        <f>APOQUINDO!U15</f>
        <v/>
      </c>
      <c r="W127" s="2" t="str">
        <f>APOQUINDO!V15</f>
        <v/>
      </c>
      <c r="X127" s="2" t="str">
        <f>APOQUINDO!W15</f>
        <v/>
      </c>
      <c r="Y127" s="2" t="str">
        <f>APOQUINDO!X15</f>
        <v/>
      </c>
      <c r="Z127" s="2" t="str">
        <f>APOQUINDO!Y15</f>
        <v/>
      </c>
      <c r="AA127" s="2" t="str">
        <f>APOQUINDO!Z15</f>
        <v/>
      </c>
      <c r="AB127" s="2" t="str">
        <f>APOQUINDO!AA15</f>
        <v/>
      </c>
      <c r="AC127" s="2" t="str">
        <f>APOQUINDO!AB15</f>
        <v/>
      </c>
      <c r="AD127" s="2" t="str">
        <f>APOQUINDO!AC15</f>
        <v/>
      </c>
      <c r="AE127" s="2" t="str">
        <f>APOQUINDO!AD15</f>
        <v/>
      </c>
      <c r="AF127" s="2" t="str">
        <f>APOQUINDO!AE15</f>
        <v/>
      </c>
      <c r="AG127" s="2" t="str">
        <f>APOQUINDO!AF15</f>
        <v/>
      </c>
      <c r="AH127" s="2" t="str">
        <f>APOQUINDO!AG15</f>
        <v/>
      </c>
      <c r="AI127" s="2" t="str">
        <f>APOQUINDO!AH15</f>
        <v/>
      </c>
      <c r="AJ127" s="2" t="str">
        <f>APOQUINDO!AI15</f>
        <v/>
      </c>
      <c r="AK127" s="2" t="str">
        <f>APOQUINDO!AJ15</f>
        <v/>
      </c>
      <c r="AL127" s="2" t="str">
        <f>APOQUINDO!AK15</f>
        <v/>
      </c>
      <c r="AM127" s="2" t="str">
        <f>APOQUINDO!AL15</f>
        <v/>
      </c>
      <c r="AN127" s="2" t="str">
        <f>APOQUINDO!AM15</f>
        <v/>
      </c>
      <c r="AO127" s="2" t="str">
        <f>APOQUINDO!AN15</f>
        <v/>
      </c>
      <c r="AP127" s="2" t="str">
        <f>APOQUINDO!AO15</f>
        <v/>
      </c>
      <c r="AQ127" s="2" t="str">
        <f>APOQUINDO!AP15</f>
        <v/>
      </c>
      <c r="AR127" s="2" t="str">
        <f>APOQUINDO!AQ15</f>
        <v/>
      </c>
      <c r="AS127" s="2" t="str">
        <f>APOQUINDO!AR15</f>
        <v/>
      </c>
      <c r="AT127" s="2" t="str">
        <f>APOQUINDO!AS15</f>
        <v/>
      </c>
      <c r="AU127" s="2" t="str">
        <f>APOQUINDO!AT15</f>
        <v>10 paquetes</v>
      </c>
      <c r="AV127" s="2" t="str">
        <f>APOQUINDO!AU15</f>
        <v>10 paquetes</v>
      </c>
      <c r="AW127" s="2" t="str">
        <f>APOQUINDO!AV15</f>
        <v>5 paquetes</v>
      </c>
      <c r="AX127" s="2" t="str">
        <f>APOQUINDO!AW15</f>
        <v>5 paquetes</v>
      </c>
      <c r="AY127" s="2" t="str">
        <f>APOQUINDO!AX15</f>
        <v>3 paquetes</v>
      </c>
      <c r="AZ127" s="2">
        <f>APOQUINDO!AY14</f>
        <v>1</v>
      </c>
      <c r="BA127" s="2">
        <f>APOQUINDO!AZ14</f>
        <v>0</v>
      </c>
      <c r="BB127" s="2">
        <f>APOQUINDO!BA14</f>
        <v>10</v>
      </c>
      <c r="BC127" s="2">
        <f>APOQUINDO!BB14</f>
        <v>9</v>
      </c>
      <c r="BD127" s="2">
        <f>APOQUINDO!BC14</f>
        <v>3</v>
      </c>
      <c r="BE127" s="2" t="str">
        <f>APOQUINDO!BD14</f>
        <v/>
      </c>
      <c r="BF127" s="2" t="str">
        <f>APOQUINDO!BE14</f>
        <v/>
      </c>
      <c r="BG127" s="2" t="str">
        <f>APOQUINDO!BF14</f>
        <v/>
      </c>
      <c r="BH127" s="2" t="str">
        <f>APOQUINDO!BG14</f>
        <v/>
      </c>
      <c r="BI127" s="2" t="str">
        <f>APOQUINDO!BQ18</f>
        <v/>
      </c>
      <c r="BJ127" s="2" t="str">
        <f>APOQUINDO!BR18</f>
        <v/>
      </c>
      <c r="BK127" s="2" t="str">
        <f>APOQUINDO!BS18</f>
        <v/>
      </c>
      <c r="BL127" s="2" t="str">
        <f>APOQUINDO!BT18</f>
        <v/>
      </c>
      <c r="BM127" s="2" t="str">
        <f>APOQUINDO!BU18</f>
        <v/>
      </c>
      <c r="BN127" s="2" t="str">
        <f>APOQUINDO!BV18</f>
        <v/>
      </c>
      <c r="BO127" s="2" t="str">
        <f>APOQUINDO!BW18</f>
        <v/>
      </c>
      <c r="BP127" s="2" t="str">
        <f>APOQUINDO!BX18</f>
        <v/>
      </c>
      <c r="BQ127" s="2" t="str">
        <f>APOQUINDO!BY18</f>
        <v/>
      </c>
      <c r="BR127" s="2" t="str">
        <f>APOQUINDO!BZ18</f>
        <v/>
      </c>
      <c r="BS127" s="2" t="str">
        <f>APOQUINDO!CA18</f>
        <v/>
      </c>
      <c r="BT127" s="2" t="str">
        <f>APOQUINDO!CB18</f>
        <v/>
      </c>
      <c r="BU127" s="2"/>
      <c r="BV127" s="2"/>
      <c r="BW127" s="2"/>
      <c r="BX127" s="2"/>
      <c r="BY127" s="2"/>
      <c r="BZ127" s="2"/>
      <c r="CA127" s="2"/>
      <c r="CB127" s="2"/>
      <c r="CC127" s="2"/>
    </row>
    <row r="128">
      <c r="A128" s="2"/>
      <c r="B128" s="2" t="str">
        <f>APOQUINDO!A16</f>
        <v>Apoquindo</v>
      </c>
      <c r="C128" s="2" t="str">
        <f>APOQUINDO!B16</f>
        <v>Aseo</v>
      </c>
      <c r="D128" s="2" t="str">
        <f>APOQUINDO!C16</f>
        <v>Bolsas Basura 80x110</v>
      </c>
      <c r="E128" s="2" t="str">
        <f>APOQUINDO!D16</f>
        <v/>
      </c>
      <c r="F128" s="2" t="str">
        <f>APOQUINDO!E16</f>
        <v/>
      </c>
      <c r="G128" s="2" t="str">
        <f>APOQUINDO!F16</f>
        <v/>
      </c>
      <c r="H128" s="2" t="str">
        <f>APOQUINDO!G16</f>
        <v/>
      </c>
      <c r="I128" s="2" t="str">
        <f>APOQUINDO!H16</f>
        <v/>
      </c>
      <c r="J128" s="2" t="str">
        <f>APOQUINDO!I16</f>
        <v/>
      </c>
      <c r="K128" s="2" t="str">
        <f>APOQUINDO!J16</f>
        <v/>
      </c>
      <c r="L128" s="2" t="str">
        <f>APOQUINDO!K16</f>
        <v/>
      </c>
      <c r="M128" s="2" t="str">
        <f>APOQUINDO!L16</f>
        <v/>
      </c>
      <c r="N128" s="2" t="str">
        <f>APOQUINDO!M16</f>
        <v/>
      </c>
      <c r="O128" s="2" t="str">
        <f>APOQUINDO!N16</f>
        <v/>
      </c>
      <c r="P128" s="2" t="str">
        <f>APOQUINDO!O16</f>
        <v/>
      </c>
      <c r="Q128" s="2" t="str">
        <f>APOQUINDO!P16</f>
        <v/>
      </c>
      <c r="R128" s="2" t="str">
        <f>APOQUINDO!Q16</f>
        <v/>
      </c>
      <c r="S128" s="2" t="str">
        <f>APOQUINDO!R16</f>
        <v/>
      </c>
      <c r="T128" s="2" t="str">
        <f>APOQUINDO!S16</f>
        <v/>
      </c>
      <c r="U128" s="2" t="str">
        <f>APOQUINDO!T16</f>
        <v/>
      </c>
      <c r="V128" s="2" t="str">
        <f>APOQUINDO!U16</f>
        <v/>
      </c>
      <c r="W128" s="2" t="str">
        <f>APOQUINDO!V16</f>
        <v/>
      </c>
      <c r="X128" s="2" t="str">
        <f>APOQUINDO!W16</f>
        <v/>
      </c>
      <c r="Y128" s="2" t="str">
        <f>APOQUINDO!X16</f>
        <v/>
      </c>
      <c r="Z128" s="2" t="str">
        <f>APOQUINDO!Y16</f>
        <v/>
      </c>
      <c r="AA128" s="2" t="str">
        <f>APOQUINDO!Z16</f>
        <v/>
      </c>
      <c r="AB128" s="2" t="str">
        <f>APOQUINDO!AA16</f>
        <v/>
      </c>
      <c r="AC128" s="2" t="str">
        <f>APOQUINDO!AB16</f>
        <v/>
      </c>
      <c r="AD128" s="2" t="str">
        <f>APOQUINDO!AC16</f>
        <v/>
      </c>
      <c r="AE128" s="2" t="str">
        <f>APOQUINDO!AD16</f>
        <v/>
      </c>
      <c r="AF128" s="2" t="str">
        <f>APOQUINDO!AE16</f>
        <v/>
      </c>
      <c r="AG128" s="2" t="str">
        <f>APOQUINDO!AF16</f>
        <v/>
      </c>
      <c r="AH128" s="2" t="str">
        <f>APOQUINDO!AG16</f>
        <v/>
      </c>
      <c r="AI128" s="2" t="str">
        <f>APOQUINDO!AH16</f>
        <v/>
      </c>
      <c r="AJ128" s="2" t="str">
        <f>APOQUINDO!AI16</f>
        <v/>
      </c>
      <c r="AK128" s="2" t="str">
        <f>APOQUINDO!AJ16</f>
        <v/>
      </c>
      <c r="AL128" s="2" t="str">
        <f>APOQUINDO!AK16</f>
        <v/>
      </c>
      <c r="AM128" s="2" t="str">
        <f>APOQUINDO!AL16</f>
        <v/>
      </c>
      <c r="AN128" s="2" t="str">
        <f>APOQUINDO!AM16</f>
        <v/>
      </c>
      <c r="AO128" s="2" t="str">
        <f>APOQUINDO!AN16</f>
        <v/>
      </c>
      <c r="AP128" s="2" t="str">
        <f>APOQUINDO!AO16</f>
        <v/>
      </c>
      <c r="AQ128" s="2" t="str">
        <f>APOQUINDO!AP16</f>
        <v/>
      </c>
      <c r="AR128" s="2" t="str">
        <f>APOQUINDO!AQ16</f>
        <v/>
      </c>
      <c r="AS128" s="2" t="str">
        <f>APOQUINDO!AR16</f>
        <v/>
      </c>
      <c r="AT128" s="2" t="str">
        <f>APOQUINDO!AS16</f>
        <v/>
      </c>
      <c r="AU128" s="2" t="str">
        <f>APOQUINDO!AT16</f>
        <v>10 paquetes</v>
      </c>
      <c r="AV128" s="2" t="str">
        <f>APOQUINDO!AU16</f>
        <v>10 paquetes</v>
      </c>
      <c r="AW128" s="2" t="str">
        <f>APOQUINDO!AV16</f>
        <v>4 paquetes</v>
      </c>
      <c r="AX128" s="2" t="str">
        <f>APOQUINDO!AW16</f>
        <v>3 paquetes</v>
      </c>
      <c r="AY128" s="2" t="str">
        <f>APOQUINDO!AX16</f>
        <v>3 paquetes</v>
      </c>
      <c r="AZ128" s="2">
        <f>APOQUINDO!AY15</f>
        <v>0</v>
      </c>
      <c r="BA128" s="2">
        <f>APOQUINDO!AZ15</f>
        <v>0</v>
      </c>
      <c r="BB128" s="2">
        <f>APOQUINDO!BA15</f>
        <v>5</v>
      </c>
      <c r="BC128" s="2">
        <f>APOQUINDO!BB15</f>
        <v>4</v>
      </c>
      <c r="BD128" s="2">
        <f>APOQUINDO!BC15</f>
        <v>3</v>
      </c>
      <c r="BE128" s="2" t="str">
        <f>APOQUINDO!BD15</f>
        <v/>
      </c>
      <c r="BF128" s="2" t="str">
        <f>APOQUINDO!BE15</f>
        <v/>
      </c>
      <c r="BG128" s="2" t="str">
        <f>APOQUINDO!BF15</f>
        <v/>
      </c>
      <c r="BH128" s="2" t="str">
        <f>APOQUINDO!BG15</f>
        <v/>
      </c>
      <c r="BI128" s="2" t="str">
        <f>APOQUINDO!BQ19</f>
        <v/>
      </c>
      <c r="BJ128" s="2" t="str">
        <f>APOQUINDO!BR19</f>
        <v/>
      </c>
      <c r="BK128" s="2" t="str">
        <f>APOQUINDO!BS19</f>
        <v/>
      </c>
      <c r="BL128" s="2" t="str">
        <f>APOQUINDO!BT19</f>
        <v/>
      </c>
      <c r="BM128" s="2" t="str">
        <f>APOQUINDO!BU19</f>
        <v/>
      </c>
      <c r="BN128" s="2" t="str">
        <f>APOQUINDO!BV19</f>
        <v/>
      </c>
      <c r="BO128" s="2" t="str">
        <f>APOQUINDO!BW19</f>
        <v/>
      </c>
      <c r="BP128" s="2" t="str">
        <f>APOQUINDO!BX19</f>
        <v/>
      </c>
      <c r="BQ128" s="2" t="str">
        <f>APOQUINDO!BY19</f>
        <v/>
      </c>
      <c r="BR128" s="2" t="str">
        <f>APOQUINDO!BZ19</f>
        <v/>
      </c>
      <c r="BS128" s="2" t="str">
        <f>APOQUINDO!CA19</f>
        <v/>
      </c>
      <c r="BT128" s="2" t="str">
        <f>APOQUINDO!CB19</f>
        <v/>
      </c>
      <c r="BU128" s="2"/>
      <c r="BV128" s="2"/>
      <c r="BW128" s="2"/>
      <c r="BX128" s="2"/>
      <c r="BY128" s="2"/>
      <c r="BZ128" s="2"/>
      <c r="CA128" s="2"/>
      <c r="CB128" s="2"/>
      <c r="CC128" s="2"/>
    </row>
    <row r="129">
      <c r="A129" s="2"/>
      <c r="B129" s="2" t="str">
        <f>APOQUINDO!A17</f>
        <v>Apoquindo</v>
      </c>
      <c r="C129" s="2" t="str">
        <f>APOQUINDO!B17</f>
        <v>Aseo</v>
      </c>
      <c r="D129" s="2" t="str">
        <f>APOQUINDO!C17</f>
        <v>Esponja 4U</v>
      </c>
      <c r="E129" s="2" t="str">
        <f>APOQUINDO!D17</f>
        <v/>
      </c>
      <c r="F129" s="2" t="str">
        <f>APOQUINDO!E17</f>
        <v/>
      </c>
      <c r="G129" s="2" t="str">
        <f>APOQUINDO!F17</f>
        <v/>
      </c>
      <c r="H129" s="2" t="str">
        <f>APOQUINDO!G17</f>
        <v/>
      </c>
      <c r="I129" s="2" t="str">
        <f>APOQUINDO!H17</f>
        <v/>
      </c>
      <c r="J129" s="2" t="str">
        <f>APOQUINDO!I17</f>
        <v/>
      </c>
      <c r="K129" s="2" t="str">
        <f>APOQUINDO!J17</f>
        <v/>
      </c>
      <c r="L129" s="2" t="str">
        <f>APOQUINDO!K17</f>
        <v/>
      </c>
      <c r="M129" s="2" t="str">
        <f>APOQUINDO!L17</f>
        <v/>
      </c>
      <c r="N129" s="2" t="str">
        <f>APOQUINDO!M17</f>
        <v/>
      </c>
      <c r="O129" s="2" t="str">
        <f>APOQUINDO!N17</f>
        <v/>
      </c>
      <c r="P129" s="2" t="str">
        <f>APOQUINDO!O17</f>
        <v/>
      </c>
      <c r="Q129" s="2" t="str">
        <f>APOQUINDO!P17</f>
        <v/>
      </c>
      <c r="R129" s="2" t="str">
        <f>APOQUINDO!Q17</f>
        <v>-</v>
      </c>
      <c r="S129" s="2" t="str">
        <f>APOQUINDO!R17</f>
        <v>-</v>
      </c>
      <c r="T129" s="2" t="str">
        <f>APOQUINDO!S17</f>
        <v>-</v>
      </c>
      <c r="U129" s="2" t="str">
        <f>APOQUINDO!T17</f>
        <v>-</v>
      </c>
      <c r="V129" s="2" t="str">
        <f>APOQUINDO!U17</f>
        <v>-</v>
      </c>
      <c r="W129" s="2" t="str">
        <f>APOQUINDO!V17</f>
        <v>-</v>
      </c>
      <c r="X129" s="2" t="str">
        <f>APOQUINDO!W17</f>
        <v>-</v>
      </c>
      <c r="Y129" s="2" t="str">
        <f>APOQUINDO!X17</f>
        <v>-</v>
      </c>
      <c r="Z129" s="2" t="str">
        <f>APOQUINDO!Y17</f>
        <v>-</v>
      </c>
      <c r="AA129" s="2" t="str">
        <f>APOQUINDO!Z17</f>
        <v>-</v>
      </c>
      <c r="AB129" s="2" t="str">
        <f>APOQUINDO!AA17</f>
        <v>-</v>
      </c>
      <c r="AC129" s="2" t="str">
        <f>APOQUINDO!AB17</f>
        <v/>
      </c>
      <c r="AD129" s="2">
        <f>APOQUINDO!AC17</f>
        <v>4</v>
      </c>
      <c r="AE129" s="2" t="str">
        <f>APOQUINDO!AD17</f>
        <v>2 und</v>
      </c>
      <c r="AF129" s="2" t="str">
        <f>APOQUINDO!AE17</f>
        <v/>
      </c>
      <c r="AG129" s="2">
        <f>APOQUINDO!AF17</f>
        <v>0</v>
      </c>
      <c r="AH129" s="2">
        <f>APOQUINDO!AG17</f>
        <v>0</v>
      </c>
      <c r="AI129" s="2">
        <f>APOQUINDO!AH17</f>
        <v>0</v>
      </c>
      <c r="AJ129" s="2">
        <f>APOQUINDO!AI17</f>
        <v>0</v>
      </c>
      <c r="AK129" s="2">
        <f>APOQUINDO!AJ17</f>
        <v>3</v>
      </c>
      <c r="AL129" s="2" t="str">
        <f>APOQUINDO!AK17</f>
        <v>3 paquetes</v>
      </c>
      <c r="AM129" s="2" t="str">
        <f>APOQUINDO!AL17</f>
        <v>2 paquetes</v>
      </c>
      <c r="AN129" s="2" t="str">
        <f>APOQUINDO!AM17</f>
        <v>2 PAQ</v>
      </c>
      <c r="AO129" s="2" t="str">
        <f>APOQUINDO!AN17</f>
        <v>1 paq</v>
      </c>
      <c r="AP129" s="2" t="str">
        <f>APOQUINDO!AO17</f>
        <v>1 paq</v>
      </c>
      <c r="AQ129" s="2" t="str">
        <f>APOQUINDO!AP17</f>
        <v>6 und</v>
      </c>
      <c r="AR129" s="2" t="str">
        <f>APOQUINDO!AQ17</f>
        <v>4 und</v>
      </c>
      <c r="AS129" s="2" t="str">
        <f>APOQUINDO!AR17</f>
        <v>4 und</v>
      </c>
      <c r="AT129" s="2" t="str">
        <f>APOQUINDO!AS17</f>
        <v>2 und</v>
      </c>
      <c r="AU129" s="2" t="str">
        <f>APOQUINDO!AT17</f>
        <v>4 und</v>
      </c>
      <c r="AV129" s="2" t="str">
        <f>APOQUINDO!AU17</f>
        <v>3 und</v>
      </c>
      <c r="AW129" s="2" t="str">
        <f>APOQUINDO!AV17</f>
        <v>2 und</v>
      </c>
      <c r="AX129" s="2" t="str">
        <f>APOQUINDO!AW17</f>
        <v>1 und</v>
      </c>
      <c r="AY129" s="2">
        <f>APOQUINDO!AX17</f>
        <v>0</v>
      </c>
      <c r="AZ129" s="2">
        <f>APOQUINDO!AY16</f>
        <v>1</v>
      </c>
      <c r="BA129" s="2">
        <f>APOQUINDO!AZ16</f>
        <v>0</v>
      </c>
      <c r="BB129" s="2">
        <f>APOQUINDO!BA16</f>
        <v>5</v>
      </c>
      <c r="BC129" s="2">
        <f>APOQUINDO!BB16</f>
        <v>4</v>
      </c>
      <c r="BD129" s="2">
        <f>APOQUINDO!BC16</f>
        <v>2</v>
      </c>
      <c r="BE129" s="2" t="str">
        <f>APOQUINDO!BD16</f>
        <v/>
      </c>
      <c r="BF129" s="2" t="str">
        <f>APOQUINDO!BE16</f>
        <v/>
      </c>
      <c r="BG129" s="2" t="str">
        <f>APOQUINDO!BF16</f>
        <v/>
      </c>
      <c r="BH129" s="2" t="str">
        <f>APOQUINDO!BG16</f>
        <v/>
      </c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</row>
    <row r="130">
      <c r="A130" s="2"/>
      <c r="B130" s="2" t="str">
        <f>APOQUINDO!A18</f>
        <v>Apoquindo</v>
      </c>
      <c r="C130" s="2" t="str">
        <f>APOQUINDO!B18</f>
        <v>Aseo</v>
      </c>
      <c r="D130" s="2" t="str">
        <f>APOQUINDO!C18</f>
        <v>Mopa Redonda</v>
      </c>
      <c r="E130" s="2" t="str">
        <f>APOQUINDO!D18</f>
        <v/>
      </c>
      <c r="F130" s="2" t="str">
        <f>APOQUINDO!E18</f>
        <v/>
      </c>
      <c r="G130" s="2" t="str">
        <f>APOQUINDO!F18</f>
        <v/>
      </c>
      <c r="H130" s="2" t="str">
        <f>APOQUINDO!G18</f>
        <v/>
      </c>
      <c r="I130" s="2" t="str">
        <f>APOQUINDO!H18</f>
        <v/>
      </c>
      <c r="J130" s="2" t="str">
        <f>APOQUINDO!I18</f>
        <v/>
      </c>
      <c r="K130" s="2" t="str">
        <f>APOQUINDO!J18</f>
        <v/>
      </c>
      <c r="L130" s="2" t="str">
        <f>APOQUINDO!K18</f>
        <v/>
      </c>
      <c r="M130" s="2" t="str">
        <f>APOQUINDO!L18</f>
        <v/>
      </c>
      <c r="N130" s="2" t="str">
        <f>APOQUINDO!M18</f>
        <v/>
      </c>
      <c r="O130" s="2" t="str">
        <f>APOQUINDO!N18</f>
        <v/>
      </c>
      <c r="P130" s="2" t="str">
        <f>APOQUINDO!O18</f>
        <v/>
      </c>
      <c r="Q130" s="2" t="str">
        <f>APOQUINDO!P18</f>
        <v/>
      </c>
      <c r="R130" s="2" t="str">
        <f>APOQUINDO!Q18</f>
        <v>-</v>
      </c>
      <c r="S130" s="2" t="str">
        <f>APOQUINDO!R18</f>
        <v>-</v>
      </c>
      <c r="T130" s="2" t="str">
        <f>APOQUINDO!S18</f>
        <v>-</v>
      </c>
      <c r="U130" s="2" t="str">
        <f>APOQUINDO!T18</f>
        <v>-</v>
      </c>
      <c r="V130" s="2" t="str">
        <f>APOQUINDO!U18</f>
        <v>-</v>
      </c>
      <c r="W130" s="2" t="str">
        <f>APOQUINDO!V18</f>
        <v>-</v>
      </c>
      <c r="X130" s="2" t="str">
        <f>APOQUINDO!W18</f>
        <v>-</v>
      </c>
      <c r="Y130" s="2" t="str">
        <f>APOQUINDO!X18</f>
        <v>-</v>
      </c>
      <c r="Z130" s="2" t="str">
        <f>APOQUINDO!Y18</f>
        <v>-</v>
      </c>
      <c r="AA130" s="2" t="str">
        <f>APOQUINDO!Z18</f>
        <v>-</v>
      </c>
      <c r="AB130" s="2" t="str">
        <f>APOQUINDO!AA18</f>
        <v>-</v>
      </c>
      <c r="AC130" s="2" t="str">
        <f>APOQUINDO!AB18</f>
        <v/>
      </c>
      <c r="AD130" s="2">
        <f>APOQUINDO!AC18</f>
        <v>1</v>
      </c>
      <c r="AE130" s="2">
        <f>APOQUINDO!AD18</f>
        <v>2</v>
      </c>
      <c r="AF130" s="2" t="str">
        <f>APOQUINDO!AE18</f>
        <v/>
      </c>
      <c r="AG130" s="2">
        <f>APOQUINDO!AF18</f>
        <v>1</v>
      </c>
      <c r="AH130" s="2">
        <f>APOQUINDO!AG18</f>
        <v>3</v>
      </c>
      <c r="AI130" s="2">
        <f>APOQUINDO!AH18</f>
        <v>2</v>
      </c>
      <c r="AJ130" s="2">
        <f>APOQUINDO!AI18</f>
        <v>2</v>
      </c>
      <c r="AK130" s="2">
        <f>APOQUINDO!AJ18</f>
        <v>3</v>
      </c>
      <c r="AL130" s="2">
        <f>APOQUINDO!AK18</f>
        <v>3</v>
      </c>
      <c r="AM130" s="2">
        <f>APOQUINDO!AL18</f>
        <v>2</v>
      </c>
      <c r="AN130" s="2">
        <f>APOQUINDO!AM18</f>
        <v>2</v>
      </c>
      <c r="AO130" s="2">
        <f>APOQUINDO!AN18</f>
        <v>1</v>
      </c>
      <c r="AP130" s="2">
        <f>APOQUINDO!AO18</f>
        <v>1</v>
      </c>
      <c r="AQ130" s="2" t="str">
        <f>APOQUINDO!AP18</f>
        <v>6 und</v>
      </c>
      <c r="AR130" s="2" t="str">
        <f>APOQUINDO!AQ18</f>
        <v>5 und</v>
      </c>
      <c r="AS130" s="2" t="str">
        <f>APOQUINDO!AR18</f>
        <v>2 und</v>
      </c>
      <c r="AT130" s="2" t="str">
        <f>APOQUINDO!AS18</f>
        <v>1 und</v>
      </c>
      <c r="AU130" s="2">
        <f>APOQUINDO!AT18</f>
        <v>0</v>
      </c>
      <c r="AV130" s="2">
        <f>APOQUINDO!AU18</f>
        <v>2</v>
      </c>
      <c r="AW130" s="2" t="str">
        <f>APOQUINDO!AV18</f>
        <v>2 und</v>
      </c>
      <c r="AX130" s="2" t="str">
        <f>APOQUINDO!AW18</f>
        <v>2 und</v>
      </c>
      <c r="AY130" s="2" t="str">
        <f>APOQUINDO!AX18</f>
        <v>1 und</v>
      </c>
      <c r="AZ130" s="2">
        <f>APOQUINDO!AY17</f>
        <v>0</v>
      </c>
      <c r="BA130" s="2">
        <f>APOQUINDO!AZ17</f>
        <v>0</v>
      </c>
      <c r="BB130" s="2">
        <f>APOQUINDO!BA17</f>
        <v>2</v>
      </c>
      <c r="BC130" s="2">
        <f>APOQUINDO!BB17</f>
        <v>1</v>
      </c>
      <c r="BD130" s="2" t="str">
        <f>APOQUINDO!BC17</f>
        <v>4 und</v>
      </c>
      <c r="BE130" s="2" t="str">
        <f>APOQUINDO!BD17</f>
        <v/>
      </c>
      <c r="BF130" s="2" t="str">
        <f>APOQUINDO!BE17</f>
        <v/>
      </c>
      <c r="BG130" s="2" t="str">
        <f>APOQUINDO!BF17</f>
        <v/>
      </c>
      <c r="BH130" s="2" t="str">
        <f>APOQUINDO!BG17</f>
        <v/>
      </c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</row>
    <row r="132">
      <c r="A132" s="2"/>
      <c r="B132" s="2" t="str">
        <f>APOQUINDO!A19</f>
        <v/>
      </c>
      <c r="C132" s="2" t="str">
        <f>APOQUINDO!B19</f>
        <v/>
      </c>
      <c r="D132" s="14" t="str">
        <f>'LOS MILITARES-BCI'!C2</f>
        <v/>
      </c>
      <c r="E132" s="14">
        <f>'LOS MILITARES-BCI'!D2</f>
        <v>45811</v>
      </c>
      <c r="F132" s="14">
        <f>'LOS MILITARES-BCI'!E2</f>
        <v>45817</v>
      </c>
      <c r="G132" s="14">
        <f>'LOS MILITARES-BCI'!F2</f>
        <v>45819</v>
      </c>
      <c r="H132" s="14">
        <f>'LOS MILITARES-BCI'!G2</f>
        <v>45821</v>
      </c>
      <c r="I132" s="14">
        <f>'LOS MILITARES-BCI'!H2</f>
        <v>45824</v>
      </c>
      <c r="J132" s="14">
        <f>'LOS MILITARES-BCI'!I2</f>
        <v>45831</v>
      </c>
      <c r="K132" s="14">
        <f>'LOS MILITARES-BCI'!J2</f>
        <v>45838</v>
      </c>
      <c r="L132" s="14">
        <f>'LOS MILITARES-BCI'!K2</f>
        <v>45845</v>
      </c>
      <c r="M132" s="14">
        <f>'LOS MILITARES-BCI'!L2</f>
        <v>45852</v>
      </c>
      <c r="N132" s="14">
        <f>'LOS MILITARES-BCI'!M2</f>
        <v>45859</v>
      </c>
      <c r="O132" s="14">
        <f>'LOS MILITARES-BCI'!N2</f>
        <v>45866</v>
      </c>
      <c r="P132" s="14">
        <f>'LOS MILITARES-BCI'!O2</f>
        <v>45873</v>
      </c>
      <c r="Q132" s="14">
        <f>'LOS MILITARES-BCI'!P2</f>
        <v>45880</v>
      </c>
      <c r="R132" s="14">
        <f>'LOS MILITARES-BCI'!Q2</f>
        <v>45887</v>
      </c>
      <c r="S132" s="14">
        <f>'LOS MILITARES-BCI'!R2</f>
        <v>45894</v>
      </c>
      <c r="T132" s="14">
        <f>'LOS MILITARES-BCI'!S2</f>
        <v>45901</v>
      </c>
      <c r="U132" s="14">
        <f>'LOS MILITARES-BCI'!T2</f>
        <v>45908</v>
      </c>
      <c r="V132" s="14">
        <f>'LOS MILITARES-BCI'!U2</f>
        <v>45915</v>
      </c>
      <c r="W132" s="14">
        <f>'LOS MILITARES-BCI'!V2</f>
        <v>45922</v>
      </c>
      <c r="X132" s="14">
        <f>'LOS MILITARES-BCI'!W2</f>
        <v>45929</v>
      </c>
      <c r="Y132" s="14">
        <f>'LOS MILITARES-BCI'!X2</f>
        <v>45957</v>
      </c>
      <c r="Z132" s="14">
        <f>'LOS MILITARES-BCI'!Y2</f>
        <v>45964</v>
      </c>
      <c r="AA132" s="14">
        <f>'LOS MILITARES-BCI'!Z2</f>
        <v>45971</v>
      </c>
      <c r="AB132" s="14">
        <f>'LOS MILITARES-BCI'!AA2</f>
        <v>45978</v>
      </c>
      <c r="AC132" s="14">
        <f>'LOS MILITARES-BCI'!AB2</f>
        <v>45979</v>
      </c>
      <c r="AD132" s="14">
        <f>'LOS MILITARES-BCI'!AC2</f>
        <v>45980</v>
      </c>
      <c r="AE132" s="14">
        <f>'LOS MILITARES-BCI'!AD2</f>
        <v>45981</v>
      </c>
      <c r="AF132" s="14">
        <f>'LOS MILITARES-BCI'!AE2</f>
        <v>45982</v>
      </c>
      <c r="AG132" s="14">
        <f>'LOS MILITARES-BCI'!AF2</f>
        <v>45985</v>
      </c>
      <c r="AH132" s="14">
        <f>'LOS MILITARES-BCI'!AG2</f>
        <v>45988</v>
      </c>
      <c r="AI132" s="14">
        <f>'LOS MILITARES-BCI'!AH2</f>
        <v>45992</v>
      </c>
      <c r="AJ132" s="14">
        <f>'LOS MILITARES-BCI'!AI2</f>
        <v>45993</v>
      </c>
      <c r="AK132" s="14">
        <f>'LOS MILITARES-BCI'!AJ2</f>
        <v>45995</v>
      </c>
      <c r="AL132" s="14">
        <f>'LOS MILITARES-BCI'!AK2</f>
        <v>46000</v>
      </c>
      <c r="AM132" s="14">
        <f>'LOS MILITARES-BCI'!AL2</f>
        <v>46002</v>
      </c>
      <c r="AN132" s="14">
        <f>'LOS MILITARES-BCI'!AM2</f>
        <v>46006</v>
      </c>
      <c r="AO132" s="14">
        <f>'LOS MILITARES-BCI'!AN2</f>
        <v>46009</v>
      </c>
      <c r="AP132" s="14">
        <f>'LOS MILITARES-BCI'!AO2</f>
        <v>46013</v>
      </c>
      <c r="AQ132" s="14">
        <f>'LOS MILITARES-BCI'!AP2</f>
        <v>46020</v>
      </c>
      <c r="AR132" s="14">
        <f>'LOS MILITARES-BCI'!AQ2</f>
        <v>46024</v>
      </c>
      <c r="AS132" s="14">
        <f>'LOS MILITARES-BCI'!AR2</f>
        <v>46027</v>
      </c>
      <c r="AT132" s="14">
        <f>'LOS MILITARES-BCI'!AS2</f>
        <v>46030</v>
      </c>
      <c r="AU132" s="14">
        <f>'LOS MILITARES-BCI'!AT2</f>
        <v>46034</v>
      </c>
      <c r="AV132" s="14">
        <f>'LOS MILITARES-BCI'!AU2</f>
        <v>46037</v>
      </c>
      <c r="AW132" s="14">
        <f>'LOS MILITARES-BCI'!AV2</f>
        <v>46041</v>
      </c>
      <c r="AX132" s="14">
        <f>'LOS MILITARES-BCI'!AW2</f>
        <v>46044</v>
      </c>
      <c r="AY132" s="14">
        <f>'LOS MILITARES-BCI'!AX2</f>
        <v>46048</v>
      </c>
      <c r="AZ132" s="14">
        <f>'LOS MILITARES-BCI'!AY2</f>
        <v>46051</v>
      </c>
      <c r="BA132" s="14">
        <f>'LOS MILITARES-BCI'!AZ2</f>
        <v>46055</v>
      </c>
      <c r="BB132" s="14">
        <f>'LOS MILITARES-BCI'!BA2</f>
        <v>46058</v>
      </c>
      <c r="BC132" s="14">
        <f>'LOS MILITARES-BCI'!BB2</f>
        <v>46062</v>
      </c>
      <c r="BD132" s="14">
        <f>'LOS MILITARES-BCI'!BC2</f>
        <v>46065</v>
      </c>
      <c r="BE132" s="14">
        <f>'LOS MILITARES-BCI'!BD2</f>
        <v>46069</v>
      </c>
      <c r="BF132" s="14">
        <f>'LOS MILITARES-BCI'!BE2</f>
        <v>46072</v>
      </c>
      <c r="BG132" s="14">
        <f>'LOS MILITARES-BCI'!BF2</f>
        <v>46076</v>
      </c>
      <c r="BH132" s="14">
        <f>'LOS MILITARES-BCI'!BG2</f>
        <v>46079</v>
      </c>
      <c r="BI132" s="14">
        <f>'LOS MILITARES-BCI'!BH2</f>
        <v>46083</v>
      </c>
      <c r="BJ132" s="14">
        <f>'LOS MILITARES-BCI'!BI2</f>
        <v>46086</v>
      </c>
      <c r="BK132" s="14">
        <f>'LOS MILITARES-BCI'!BJ2</f>
        <v>46086</v>
      </c>
      <c r="BL132" s="14">
        <f>'LOS MILITARES-BCI'!BK2</f>
        <v>46094</v>
      </c>
      <c r="BM132" s="14">
        <f>'LOS MILITARES-BCI'!BL2</f>
        <v>46097</v>
      </c>
      <c r="BN132" s="14">
        <f>'LOS MILITARES-BCI'!BM2</f>
        <v>46100</v>
      </c>
      <c r="BO132" s="14">
        <f>'LOS MILITARES-BCI'!BN2</f>
        <v>46104</v>
      </c>
      <c r="BP132" s="14" t="str">
        <f>'LOS MILITARES-BCI'!BO2</f>
        <v/>
      </c>
      <c r="BQ132" s="14" t="str">
        <f>'LOS MILITARES-BCI'!BP2</f>
        <v/>
      </c>
      <c r="BR132" s="2" t="str">
        <f>'LOS MILITARES-BCI'!BQ2</f>
        <v/>
      </c>
      <c r="BS132" s="2" t="str">
        <f>'LOS MILITARES-BCI'!BR2</f>
        <v/>
      </c>
      <c r="BT132" s="2" t="str">
        <f>'LOS MILITARES-BCI'!BS2</f>
        <v/>
      </c>
      <c r="BU132" s="2"/>
      <c r="BV132" s="2" t="str">
        <f>'LOS MILITARES-BCI'!BR2</f>
        <v/>
      </c>
      <c r="BW132" s="2" t="str">
        <f>'LOS MILITARES-BCI'!BS2</f>
        <v/>
      </c>
      <c r="BX132" s="2" t="str">
        <f>'LOS MILITARES-BCI'!BT2</f>
        <v/>
      </c>
      <c r="BY132" s="2"/>
      <c r="BZ132" s="2"/>
      <c r="CA132" s="2"/>
      <c r="CB132" s="2"/>
      <c r="CC132" s="2"/>
    </row>
    <row r="133">
      <c r="A133" s="2"/>
      <c r="B133" s="2" t="str">
        <f>'LOS MILITARES-BCI'!A3</f>
        <v>Sede</v>
      </c>
      <c r="C133" s="2" t="str">
        <f>'LOS MILITARES-BCI'!B3</f>
        <v>Proveedor</v>
      </c>
      <c r="D133" s="2" t="str">
        <f>'LOS MILITARES-BCI'!C3</f>
        <v>Producto</v>
      </c>
      <c r="E133" s="2" t="str">
        <f>'LOS MILITARES-BCI'!D3</f>
        <v>Stock Actual</v>
      </c>
      <c r="F133" s="2" t="str">
        <f>'LOS MILITARES-BCI'!E3</f>
        <v>Stock Actual</v>
      </c>
      <c r="G133" s="2" t="str">
        <f>'LOS MILITARES-BCI'!F3</f>
        <v>Stock Actual</v>
      </c>
      <c r="H133" s="2" t="str">
        <f>'LOS MILITARES-BCI'!G3</f>
        <v>Stock Actual</v>
      </c>
      <c r="I133" s="2" t="str">
        <f>'LOS MILITARES-BCI'!H3</f>
        <v>Stock Actual</v>
      </c>
      <c r="J133" s="2" t="str">
        <f>'LOS MILITARES-BCI'!I3</f>
        <v>Stock Actual</v>
      </c>
      <c r="K133" s="2" t="str">
        <f>'LOS MILITARES-BCI'!J3</f>
        <v>Stock Actual</v>
      </c>
      <c r="L133" s="2" t="str">
        <f>'LOS MILITARES-BCI'!K3</f>
        <v>Stock Actual</v>
      </c>
      <c r="M133" s="2" t="str">
        <f>'LOS MILITARES-BCI'!L3</f>
        <v>Stock Actual</v>
      </c>
      <c r="N133" s="2" t="str">
        <f>'LOS MILITARES-BCI'!M3</f>
        <v>Stock Actual</v>
      </c>
      <c r="O133" s="2" t="str">
        <f>'LOS MILITARES-BCI'!N3</f>
        <v>Stock Actual</v>
      </c>
      <c r="P133" s="2" t="str">
        <f>'LOS MILITARES-BCI'!O3</f>
        <v>Stock Actual</v>
      </c>
      <c r="Q133" s="2" t="str">
        <f>'LOS MILITARES-BCI'!P3</f>
        <v>Stock Actual</v>
      </c>
      <c r="R133" s="2" t="str">
        <f>'LOS MILITARES-BCI'!Q3</f>
        <v>Stock Actual</v>
      </c>
      <c r="S133" s="2" t="str">
        <f>'LOS MILITARES-BCI'!R3</f>
        <v>Stock Actual</v>
      </c>
      <c r="T133" s="2" t="str">
        <f>'LOS MILITARES-BCI'!S3</f>
        <v>Stock Actual</v>
      </c>
      <c r="U133" s="2" t="str">
        <f>'LOS MILITARES-BCI'!T3</f>
        <v>Stock Actual</v>
      </c>
      <c r="V133" s="2" t="str">
        <f>'LOS MILITARES-BCI'!U3</f>
        <v>Stock Actual</v>
      </c>
      <c r="W133" s="2" t="str">
        <f>'LOS MILITARES-BCI'!V3</f>
        <v>Stock Actual</v>
      </c>
      <c r="X133" s="2" t="str">
        <f>'LOS MILITARES-BCI'!W3</f>
        <v>Stock Actual</v>
      </c>
      <c r="Y133" s="2" t="str">
        <f>'LOS MILITARES-BCI'!X3</f>
        <v>Stock Actual</v>
      </c>
      <c r="Z133" s="2" t="str">
        <f>'LOS MILITARES-BCI'!Y3</f>
        <v>Stock Actual</v>
      </c>
      <c r="AA133" s="2" t="str">
        <f>'LOS MILITARES-BCI'!Z3</f>
        <v>Stock Actual</v>
      </c>
      <c r="AB133" s="2" t="str">
        <f>'LOS MILITARES-BCI'!AA3</f>
        <v>Stock Actual</v>
      </c>
      <c r="AC133" s="2" t="str">
        <f>'LOS MILITARES-BCI'!AB3</f>
        <v>Stock Actual</v>
      </c>
      <c r="AD133" s="2" t="str">
        <f>'LOS MILITARES-BCI'!AC3</f>
        <v>Stock Actual</v>
      </c>
      <c r="AE133" s="2" t="str">
        <f>'LOS MILITARES-BCI'!AD3</f>
        <v>Stock Actual</v>
      </c>
      <c r="AF133" s="2" t="str">
        <f>'LOS MILITARES-BCI'!AE3</f>
        <v>Stock Actual</v>
      </c>
      <c r="AG133" s="2" t="str">
        <f>'LOS MILITARES-BCI'!AF3</f>
        <v>Stock Actual</v>
      </c>
      <c r="AH133" s="2" t="str">
        <f>'LOS MILITARES-BCI'!AG3</f>
        <v>Stock Actual</v>
      </c>
      <c r="AI133" s="2" t="str">
        <f>'LOS MILITARES-BCI'!AH3</f>
        <v>Stock Actual</v>
      </c>
      <c r="AJ133" s="2" t="str">
        <f>'LOS MILITARES-BCI'!AI3</f>
        <v>Stock Actual</v>
      </c>
      <c r="AK133" s="2" t="str">
        <f>'LOS MILITARES-BCI'!AJ3</f>
        <v>Stock Actual</v>
      </c>
      <c r="AL133" s="2" t="str">
        <f>'LOS MILITARES-BCI'!AK3</f>
        <v>Stock Actual</v>
      </c>
      <c r="AM133" s="2" t="str">
        <f>'LOS MILITARES-BCI'!AL3</f>
        <v>Stock Actual</v>
      </c>
      <c r="AN133" s="2" t="str">
        <f>'LOS MILITARES-BCI'!AM3</f>
        <v>Stock Actual</v>
      </c>
      <c r="AO133" s="2" t="str">
        <f>'LOS MILITARES-BCI'!AN3</f>
        <v>Stock Actual</v>
      </c>
      <c r="AP133" s="2" t="str">
        <f>'LOS MILITARES-BCI'!AO3</f>
        <v>Stock Actual</v>
      </c>
      <c r="AQ133" s="2" t="str">
        <f>'LOS MILITARES-BCI'!AP3</f>
        <v>Stock Actual</v>
      </c>
      <c r="AR133" s="2" t="str">
        <f>'LOS MILITARES-BCI'!AQ3</f>
        <v>Stock Actual</v>
      </c>
      <c r="AS133" s="2" t="str">
        <f>'LOS MILITARES-BCI'!AR3</f>
        <v>Stock Actual</v>
      </c>
      <c r="AT133" s="2" t="str">
        <f>'LOS MILITARES-BCI'!AS3</f>
        <v>Stock Actual</v>
      </c>
      <c r="AU133" s="2" t="str">
        <f>'LOS MILITARES-BCI'!AT3</f>
        <v>Stock Actual</v>
      </c>
      <c r="AV133" s="2" t="str">
        <f>'LOS MILITARES-BCI'!AU3</f>
        <v>Stock Actual</v>
      </c>
      <c r="AW133" s="2" t="str">
        <f>'LOS MILITARES-BCI'!AV3</f>
        <v>Stock Actual</v>
      </c>
      <c r="AX133" s="2" t="str">
        <f>'LOS MILITARES-BCI'!AW3</f>
        <v>Stock Actual</v>
      </c>
      <c r="AY133" s="2" t="str">
        <f>'LOS MILITARES-BCI'!AX3</f>
        <v>Stock Actual</v>
      </c>
      <c r="AZ133" s="2" t="str">
        <f>'LOS MILITARES-BCI'!AY3</f>
        <v>Stock Actual</v>
      </c>
      <c r="BA133" s="2" t="str">
        <f>'LOS MILITARES-BCI'!AZ3</f>
        <v>Stock Actual</v>
      </c>
      <c r="BB133" s="2" t="str">
        <f>'LOS MILITARES-BCI'!BA3</f>
        <v>Stock Actual</v>
      </c>
      <c r="BC133" s="2" t="str">
        <f>'LOS MILITARES-BCI'!BB3</f>
        <v>Stock Actual</v>
      </c>
      <c r="BD133" s="2" t="str">
        <f>'LOS MILITARES-BCI'!BC3</f>
        <v>Stock Actual</v>
      </c>
      <c r="BE133" s="2" t="str">
        <f>'LOS MILITARES-BCI'!BD3</f>
        <v>Stock Actual</v>
      </c>
      <c r="BF133" s="2" t="str">
        <f>'LOS MILITARES-BCI'!BE3</f>
        <v>Stock Actual</v>
      </c>
      <c r="BG133" s="2" t="str">
        <f>'LOS MILITARES-BCI'!BF3</f>
        <v>Stock Actual</v>
      </c>
      <c r="BH133" s="2" t="str">
        <f>'LOS MILITARES-BCI'!BG3</f>
        <v>Stock Actual</v>
      </c>
      <c r="BI133" s="2" t="str">
        <f>'LOS MILITARES-BCI'!BH3</f>
        <v>Stock Actual</v>
      </c>
      <c r="BJ133" s="2" t="str">
        <f>'LOS MILITARES-BCI'!BI3</f>
        <v>Stock Actual</v>
      </c>
      <c r="BK133" s="2" t="str">
        <f>'LOS MILITARES-BCI'!BJ3</f>
        <v>Stock Actual</v>
      </c>
      <c r="BL133" s="2" t="str">
        <f>'LOS MILITARES-BCI'!BK3</f>
        <v>Stock Actual</v>
      </c>
      <c r="BM133" s="2" t="str">
        <f>'LOS MILITARES-BCI'!BL3</f>
        <v>Stock Actual</v>
      </c>
      <c r="BN133" s="2" t="str">
        <f>'LOS MILITARES-BCI'!BM3</f>
        <v>Stock Actual</v>
      </c>
      <c r="BO133" s="2" t="str">
        <f>'LOS MILITARES-BCI'!BN3</f>
        <v>Stock Actual</v>
      </c>
      <c r="BP133" s="2" t="str">
        <f>'LOS MILITARES-BCI'!BO3</f>
        <v/>
      </c>
      <c r="BQ133" s="2" t="str">
        <f>'LOS MILITARES-BCI'!BP3</f>
        <v/>
      </c>
      <c r="BR133" s="2" t="str">
        <f>'LOS MILITARES-BCI'!BQ3</f>
        <v/>
      </c>
      <c r="BS133" s="2" t="str">
        <f>'LOS MILITARES-BCI'!BR3</f>
        <v/>
      </c>
      <c r="BT133" s="2" t="str">
        <f>'LOS MILITARES-BCI'!BS3</f>
        <v/>
      </c>
      <c r="BU133" s="2"/>
      <c r="BV133" s="2" t="str">
        <f>'LOS MILITARES-BCI'!BR3</f>
        <v/>
      </c>
      <c r="BW133" s="2" t="str">
        <f>'LOS MILITARES-BCI'!BS3</f>
        <v/>
      </c>
      <c r="BX133" s="2" t="str">
        <f>'LOS MILITARES-BCI'!BT3</f>
        <v/>
      </c>
      <c r="BY133" s="2"/>
      <c r="BZ133" s="2"/>
      <c r="CA133" s="2"/>
      <c r="CB133" s="2"/>
      <c r="CC133" s="2"/>
    </row>
    <row r="134">
      <c r="A134" s="2"/>
      <c r="B134" s="2" t="str">
        <f>'LOS MILITARES-BCI'!A4</f>
        <v>Los Militares</v>
      </c>
      <c r="C134" s="2" t="str">
        <f>'LOS MILITARES-BCI'!B4</f>
        <v>Coporate Coffe</v>
      </c>
      <c r="D134" s="2" t="str">
        <f>'LOS MILITARES-BCI'!C4</f>
        <v>Cafe Grano (KG)</v>
      </c>
      <c r="E134" s="2" t="str">
        <f>'LOS MILITARES-BCI'!D4</f>
        <v>4 kilos de Café</v>
      </c>
      <c r="F134" s="2" t="str">
        <f>'LOS MILITARES-BCI'!E4</f>
        <v>3 kilos de Café</v>
      </c>
      <c r="G134" s="2" t="str">
        <f>'LOS MILITARES-BCI'!F4</f>
        <v>6kilos de café</v>
      </c>
      <c r="H134" s="2" t="str">
        <f>'LOS MILITARES-BCI'!G4</f>
        <v>2 kilos de café</v>
      </c>
      <c r="I134" s="2" t="str">
        <f>'LOS MILITARES-BCI'!H4</f>
        <v/>
      </c>
      <c r="J134" s="2" t="str">
        <f>'LOS MILITARES-BCI'!I4</f>
        <v/>
      </c>
      <c r="K134" s="2" t="str">
        <f>'LOS MILITARES-BCI'!J4</f>
        <v/>
      </c>
      <c r="L134" s="2" t="str">
        <f>'LOS MILITARES-BCI'!K4</f>
        <v/>
      </c>
      <c r="M134" s="2" t="str">
        <f>'LOS MILITARES-BCI'!L4</f>
        <v/>
      </c>
      <c r="N134" s="2" t="str">
        <f>'LOS MILITARES-BCI'!M4</f>
        <v/>
      </c>
      <c r="O134" s="2" t="str">
        <f>'LOS MILITARES-BCI'!N4</f>
        <v/>
      </c>
      <c r="P134" s="2" t="str">
        <f>'LOS MILITARES-BCI'!O4</f>
        <v/>
      </c>
      <c r="Q134" s="2" t="str">
        <f>'LOS MILITARES-BCI'!P4</f>
        <v/>
      </c>
      <c r="R134" s="2" t="str">
        <f>'LOS MILITARES-BCI'!Q4</f>
        <v>1Kilo de Café</v>
      </c>
      <c r="S134" s="2" t="str">
        <f>'LOS MILITARES-BCI'!R4</f>
        <v>2kg de Café</v>
      </c>
      <c r="T134" s="2">
        <f>'LOS MILITARES-BCI'!S4</f>
        <v>0</v>
      </c>
      <c r="U134" s="2">
        <f>'LOS MILITARES-BCI'!T4</f>
        <v>0</v>
      </c>
      <c r="V134" s="2" t="str">
        <f>'LOS MILITARES-BCI'!U4</f>
        <v>3 Kg</v>
      </c>
      <c r="W134" s="2" t="str">
        <f>'LOS MILITARES-BCI'!V4</f>
        <v>1 Kg Café</v>
      </c>
      <c r="X134" s="2" t="str">
        <f>'LOS MILITARES-BCI'!W4</f>
        <v>2 Kg</v>
      </c>
      <c r="Y134" s="2" t="str">
        <f>'LOS MILITARES-BCI'!X4</f>
        <v/>
      </c>
      <c r="Z134" s="2" t="str">
        <f>'LOS MILITARES-BCI'!Y4</f>
        <v>8 kg</v>
      </c>
      <c r="AA134" s="2" t="str">
        <f>'LOS MILITARES-BCI'!Z4</f>
        <v>1 kg</v>
      </c>
      <c r="AB134" s="2" t="str">
        <f>'LOS MILITARES-BCI'!AA4</f>
        <v>4 Kg</v>
      </c>
      <c r="AC134" s="2" t="str">
        <f>'LOS MILITARES-BCI'!AB4</f>
        <v>3Kg</v>
      </c>
      <c r="AD134" s="2" t="str">
        <f>'LOS MILITARES-BCI'!AC4</f>
        <v>4Kg</v>
      </c>
      <c r="AE134" s="2" t="str">
        <f>'LOS MILITARES-BCI'!AD4</f>
        <v>3 Kg</v>
      </c>
      <c r="AF134" s="2" t="str">
        <f>'LOS MILITARES-BCI'!AE4</f>
        <v>2Kg</v>
      </c>
      <c r="AG134" s="2" t="str">
        <f>'LOS MILITARES-BCI'!AF4</f>
        <v>2kg</v>
      </c>
      <c r="AH134" s="2" t="str">
        <f>'LOS MILITARES-BCI'!AG4</f>
        <v>3kg</v>
      </c>
      <c r="AI134" s="2" t="str">
        <f>'LOS MILITARES-BCI'!AH4</f>
        <v>4kg</v>
      </c>
      <c r="AJ134" s="2" t="str">
        <f>'LOS MILITARES-BCI'!AI4</f>
        <v>13kg</v>
      </c>
      <c r="AK134" s="2" t="str">
        <f>'LOS MILITARES-BCI'!AJ4</f>
        <v>10Kg </v>
      </c>
      <c r="AL134" s="2" t="str">
        <f>'LOS MILITARES-BCI'!AK4</f>
        <v>6Kg</v>
      </c>
      <c r="AM134" s="2" t="str">
        <f>'LOS MILITARES-BCI'!AL4</f>
        <v>3Kg</v>
      </c>
      <c r="AN134" s="2" t="str">
        <f>'LOS MILITARES-BCI'!AM4</f>
        <v>2kg</v>
      </c>
      <c r="AO134" s="2" t="str">
        <f>'LOS MILITARES-BCI'!AN4</f>
        <v>1 Kg</v>
      </c>
      <c r="AP134" s="2" t="str">
        <f>'LOS MILITARES-BCI'!AO4</f>
        <v>3Kg</v>
      </c>
      <c r="AQ134" s="2" t="str">
        <f>'LOS MILITARES-BCI'!AP4</f>
        <v>0kg</v>
      </c>
      <c r="AR134" s="2" t="str">
        <f>'LOS MILITARES-BCI'!AQ4</f>
        <v>3Kg</v>
      </c>
      <c r="AS134" s="2" t="str">
        <f>'LOS MILITARES-BCI'!AR4</f>
        <v>8Kg</v>
      </c>
      <c r="AT134" s="2" t="str">
        <f>'LOS MILITARES-BCI'!AS4</f>
        <v>5Kg</v>
      </c>
      <c r="AU134" s="2" t="str">
        <f>'LOS MILITARES-BCI'!AT4</f>
        <v>3 Kg</v>
      </c>
      <c r="AV134" s="2" t="str">
        <f>'LOS MILITARES-BCI'!AU4</f>
        <v>2Kg</v>
      </c>
      <c r="AW134" s="2" t="str">
        <f>'LOS MILITARES-BCI'!AV4</f>
        <v>0 Kg</v>
      </c>
      <c r="AX134" s="2" t="str">
        <f>'LOS MILITARES-BCI'!AW4</f>
        <v>0Kg</v>
      </c>
      <c r="AY134" s="2" t="str">
        <f>'LOS MILITARES-BCI'!AX4</f>
        <v>2 Kg</v>
      </c>
      <c r="AZ134" s="2" t="str">
        <f>'LOS MILITARES-BCI'!AY4</f>
        <v>1 Kg</v>
      </c>
      <c r="BA134" s="2">
        <f>'LOS MILITARES-BCI'!AZ4</f>
        <v>0</v>
      </c>
      <c r="BB134" s="2" t="str">
        <f>'LOS MILITARES-BCI'!BA4</f>
        <v>2 Kg</v>
      </c>
      <c r="BC134" s="2" t="str">
        <f>'LOS MILITARES-BCI'!BB4</f>
        <v>4Kg</v>
      </c>
      <c r="BD134" s="2" t="str">
        <f>'LOS MILITARES-BCI'!BC4</f>
        <v>2 Kg</v>
      </c>
      <c r="BE134" s="2">
        <f>'LOS MILITARES-BCI'!BD4</f>
        <v>0</v>
      </c>
      <c r="BF134" s="2">
        <f>'LOS MILITARES-BCI'!BE4</f>
        <v>3</v>
      </c>
      <c r="BG134" s="2">
        <f>'LOS MILITARES-BCI'!BF4</f>
        <v>1</v>
      </c>
      <c r="BH134" s="2">
        <f>'LOS MILITARES-BCI'!BG4</f>
        <v>4</v>
      </c>
      <c r="BI134" s="2">
        <f>'LOS MILITARES-BCI'!BH4</f>
        <v>3</v>
      </c>
      <c r="BJ134" s="2">
        <f>'LOS MILITARES-BCI'!BI4</f>
        <v>6</v>
      </c>
      <c r="BK134" s="2">
        <f>'LOS MILITARES-BCI'!BJ4</f>
        <v>4</v>
      </c>
      <c r="BL134" s="2">
        <f>'LOS MILITARES-BCI'!BK4</f>
        <v>1</v>
      </c>
      <c r="BM134" s="2">
        <f>'LOS MILITARES-BCI'!BL4</f>
        <v>0</v>
      </c>
      <c r="BN134" s="2">
        <f>'LOS MILITARES-BCI'!BM4</f>
        <v>7</v>
      </c>
      <c r="BO134" s="2">
        <f>'LOS MILITARES-BCI'!BN4</f>
        <v>6</v>
      </c>
      <c r="BP134" s="2" t="str">
        <f>'LOS MILITARES-BCI'!BO4</f>
        <v/>
      </c>
      <c r="BQ134" s="2" t="str">
        <f>'LOS MILITARES-BCI'!BP4</f>
        <v/>
      </c>
      <c r="BR134" s="2" t="str">
        <f>'LOS MILITARES-BCI'!BQ4</f>
        <v/>
      </c>
      <c r="BS134" s="2" t="str">
        <f>'LOS MILITARES-BCI'!BR4</f>
        <v/>
      </c>
      <c r="BT134" s="2" t="str">
        <f>'LOS MILITARES-BCI'!BS4</f>
        <v/>
      </c>
      <c r="BU134" s="2"/>
      <c r="BV134" s="2" t="str">
        <f>'LOS MILITARES-BCI'!BR4</f>
        <v/>
      </c>
      <c r="BW134" s="2" t="str">
        <f>'LOS MILITARES-BCI'!BS4</f>
        <v/>
      </c>
      <c r="BX134" s="2" t="str">
        <f>'LOS MILITARES-BCI'!BT4</f>
        <v/>
      </c>
      <c r="BY134" s="2"/>
      <c r="BZ134" s="2"/>
      <c r="CA134" s="2"/>
      <c r="CB134" s="2"/>
      <c r="CC134" s="2"/>
    </row>
    <row r="135">
      <c r="A135" s="2"/>
      <c r="B135" s="2" t="str">
        <f>'LOS MILITARES-BCI'!A5</f>
        <v>Los Militares</v>
      </c>
      <c r="C135" s="2" t="str">
        <f>'LOS MILITARES-BCI'!B5</f>
        <v>Cafeteria</v>
      </c>
      <c r="D135" s="2" t="str">
        <f>'LOS MILITARES-BCI'!C5</f>
        <v>Toalla de Papel Jumbo (UN)</v>
      </c>
      <c r="E135" s="2" t="str">
        <f>'LOS MILITARES-BCI'!D5</f>
        <v/>
      </c>
      <c r="F135" s="2" t="str">
        <f>'LOS MILITARES-BCI'!E5</f>
        <v>3 und Toalla </v>
      </c>
      <c r="G135" s="2" t="str">
        <f>'LOS MILITARES-BCI'!F5</f>
        <v>1 und Toalla </v>
      </c>
      <c r="H135" s="2" t="str">
        <f>'LOS MILITARES-BCI'!G5</f>
        <v>1 und Toalla </v>
      </c>
      <c r="I135" s="2" t="str">
        <f>'LOS MILITARES-BCI'!H5</f>
        <v/>
      </c>
      <c r="J135" s="2" t="str">
        <f>'LOS MILITARES-BCI'!I5</f>
        <v/>
      </c>
      <c r="K135" s="2" t="str">
        <f>'LOS MILITARES-BCI'!J5</f>
        <v/>
      </c>
      <c r="L135" s="2" t="str">
        <f>'LOS MILITARES-BCI'!K5</f>
        <v/>
      </c>
      <c r="M135" s="2" t="str">
        <f>'LOS MILITARES-BCI'!L5</f>
        <v/>
      </c>
      <c r="N135" s="2" t="str">
        <f>'LOS MILITARES-BCI'!M5</f>
        <v/>
      </c>
      <c r="O135" s="2" t="str">
        <f>'LOS MILITARES-BCI'!N5</f>
        <v/>
      </c>
      <c r="P135" s="2" t="str">
        <f>'LOS MILITARES-BCI'!O5</f>
        <v/>
      </c>
      <c r="Q135" s="2" t="str">
        <f>'LOS MILITARES-BCI'!P5</f>
        <v/>
      </c>
      <c r="R135" s="2" t="str">
        <f>'LOS MILITARES-BCI'!Q5</f>
        <v>12 Paquetes</v>
      </c>
      <c r="S135" s="2" t="str">
        <f>'LOS MILITARES-BCI'!R5</f>
        <v>6 paquetes</v>
      </c>
      <c r="T135" s="2" t="str">
        <f>'LOS MILITARES-BCI'!S5</f>
        <v>3 paquetes </v>
      </c>
      <c r="U135" s="2" t="str">
        <f>'LOS MILITARES-BCI'!T5</f>
        <v>6 Paquetes </v>
      </c>
      <c r="V135" s="2" t="str">
        <f>'LOS MILITARES-BCI'!U5</f>
        <v>6 Paquetes </v>
      </c>
      <c r="W135" s="2" t="str">
        <f>'LOS MILITARES-BCI'!V5</f>
        <v>5 paquetes</v>
      </c>
      <c r="X135" s="2" t="str">
        <f>'LOS MILITARES-BCI'!W5</f>
        <v>11 Toalla Nova</v>
      </c>
      <c r="Y135" s="2" t="str">
        <f>'LOS MILITARES-BCI'!X5</f>
        <v/>
      </c>
      <c r="Z135" s="2" t="str">
        <f>'LOS MILITARES-BCI'!Y5</f>
        <v>6 paquetes</v>
      </c>
      <c r="AA135" s="2" t="str">
        <f>'LOS MILITARES-BCI'!Z5</f>
        <v>4 paquetes</v>
      </c>
      <c r="AB135" s="2" t="str">
        <f>'LOS MILITARES-BCI'!AA5</f>
        <v>3 paquetes</v>
      </c>
      <c r="AC135" s="2" t="str">
        <f>'LOS MILITARES-BCI'!AB5</f>
        <v/>
      </c>
      <c r="AD135" s="2" t="str">
        <f>'LOS MILITARES-BCI'!AC5</f>
        <v/>
      </c>
      <c r="AE135" s="2" t="str">
        <f>'LOS MILITARES-BCI'!AD5</f>
        <v>9 paquetes</v>
      </c>
      <c r="AF135" s="2" t="str">
        <f>'LOS MILITARES-BCI'!AE5</f>
        <v/>
      </c>
      <c r="AG135" s="2" t="str">
        <f>'LOS MILITARES-BCI'!AF5</f>
        <v>8 paquetes</v>
      </c>
      <c r="AH135" s="2" t="str">
        <f>'LOS MILITARES-BCI'!AG5</f>
        <v>7 paquetes</v>
      </c>
      <c r="AI135" s="2" t="str">
        <f>'LOS MILITARES-BCI'!AH5</f>
        <v>6 paquetes</v>
      </c>
      <c r="AJ135" s="2" t="str">
        <f>'LOS MILITARES-BCI'!AI5</f>
        <v>11 paquetes</v>
      </c>
      <c r="AK135" s="2" t="str">
        <f>'LOS MILITARES-BCI'!AJ5</f>
        <v>10 paquetes</v>
      </c>
      <c r="AL135" s="2" t="str">
        <f>'LOS MILITARES-BCI'!AK5</f>
        <v>8 paquetes</v>
      </c>
      <c r="AM135" s="2" t="str">
        <f>'LOS MILITARES-BCI'!AL5</f>
        <v>7 paquetes</v>
      </c>
      <c r="AN135" s="2" t="str">
        <f>'LOS MILITARES-BCI'!AM5</f>
        <v>7 paquetes </v>
      </c>
      <c r="AO135" s="2" t="str">
        <f>'LOS MILITARES-BCI'!AN5</f>
        <v>7 paquetes </v>
      </c>
      <c r="AP135" s="2" t="str">
        <f>'LOS MILITARES-BCI'!AO5</f>
        <v>11 paquetes</v>
      </c>
      <c r="AQ135" s="2" t="str">
        <f>'LOS MILITARES-BCI'!AP5</f>
        <v>10 paquetes</v>
      </c>
      <c r="AR135" s="2" t="str">
        <f>'LOS MILITARES-BCI'!AQ5</f>
        <v>8 paquetes</v>
      </c>
      <c r="AS135" s="2" t="str">
        <f>'LOS MILITARES-BCI'!AR5</f>
        <v>8 paquetes</v>
      </c>
      <c r="AT135" s="2" t="str">
        <f>'LOS MILITARES-BCI'!AS5</f>
        <v>8 paquetes</v>
      </c>
      <c r="AU135" s="2" t="str">
        <f>'LOS MILITARES-BCI'!AT5</f>
        <v>8 paquetes</v>
      </c>
      <c r="AV135" s="2" t="str">
        <f>'LOS MILITARES-BCI'!AU5</f>
        <v>7 paquetes</v>
      </c>
      <c r="AW135" s="2" t="str">
        <f>'LOS MILITARES-BCI'!AV5</f>
        <v>6 paquetes</v>
      </c>
      <c r="AX135" s="2" t="str">
        <f>'LOS MILITARES-BCI'!AW5</f>
        <v>7 paquetes</v>
      </c>
      <c r="AY135" s="2" t="str">
        <f>'LOS MILITARES-BCI'!AX5</f>
        <v>9 paquetes</v>
      </c>
      <c r="AZ135" s="2" t="str">
        <f>'LOS MILITARES-BCI'!AY5</f>
        <v>7 paquetes</v>
      </c>
      <c r="BA135" s="2" t="str">
        <f>'LOS MILITARES-BCI'!AZ5</f>
        <v>7 paquetes</v>
      </c>
      <c r="BB135" s="2" t="str">
        <f>'LOS MILITARES-BCI'!BA5</f>
        <v>6 1/2 paquetes</v>
      </c>
      <c r="BC135" s="2" t="str">
        <f>'LOS MILITARES-BCI'!BB5</f>
        <v>11 paquetes</v>
      </c>
      <c r="BD135" s="2" t="str">
        <f>'LOS MILITARES-BCI'!BC5</f>
        <v>10 paquetes</v>
      </c>
      <c r="BE135" s="2" t="str">
        <f>'LOS MILITARES-BCI'!BD5</f>
        <v>8 paquetes</v>
      </c>
      <c r="BF135" s="2" t="str">
        <f>'LOS MILITARES-BCI'!BE5</f>
        <v>8 paquetes</v>
      </c>
      <c r="BG135" s="2" t="str">
        <f>'LOS MILITARES-BCI'!BF5</f>
        <v>8 paquetes</v>
      </c>
      <c r="BH135" s="2" t="str">
        <f>'LOS MILITARES-BCI'!BG5</f>
        <v>8 paquetes</v>
      </c>
      <c r="BI135" s="2" t="str">
        <f>'LOS MILITARES-BCI'!BH5</f>
        <v>5 paquetes</v>
      </c>
      <c r="BJ135" s="2" t="str">
        <f>'LOS MILITARES-BCI'!BI5</f>
        <v>5 paquetes</v>
      </c>
      <c r="BK135" s="2" t="str">
        <f>'LOS MILITARES-BCI'!BJ5</f>
        <v>8 U</v>
      </c>
      <c r="BL135" s="2" t="str">
        <f>'LOS MILITARES-BCI'!BK5</f>
        <v>7 paquetes</v>
      </c>
      <c r="BM135" s="2" t="str">
        <f>'LOS MILITARES-BCI'!BL5</f>
        <v>7 paquetes</v>
      </c>
      <c r="BN135" s="2" t="str">
        <f>'LOS MILITARES-BCI'!BM5</f>
        <v>7 paquetes</v>
      </c>
      <c r="BO135" s="2" t="str">
        <f>'LOS MILITARES-BCI'!BN5</f>
        <v>4 paquetes</v>
      </c>
      <c r="BP135" s="2" t="str">
        <f>'LOS MILITARES-BCI'!BO5</f>
        <v/>
      </c>
      <c r="BQ135" s="2" t="str">
        <f>'LOS MILITARES-BCI'!BP5</f>
        <v/>
      </c>
      <c r="BR135" s="2" t="str">
        <f>'LOS MILITARES-BCI'!BQ5</f>
        <v/>
      </c>
      <c r="BS135" s="2" t="str">
        <f>'LOS MILITARES-BCI'!BR5</f>
        <v/>
      </c>
      <c r="BT135" s="2" t="str">
        <f>'LOS MILITARES-BCI'!BS5</f>
        <v/>
      </c>
      <c r="BU135" s="2"/>
      <c r="BV135" s="2" t="str">
        <f>'LOS MILITARES-BCI'!BR5</f>
        <v/>
      </c>
      <c r="BW135" s="2" t="str">
        <f>'LOS MILITARES-BCI'!BS5</f>
        <v/>
      </c>
      <c r="BX135" s="2" t="str">
        <f>'LOS MILITARES-BCI'!BT5</f>
        <v/>
      </c>
      <c r="BY135" s="2"/>
      <c r="BZ135" s="2"/>
      <c r="CA135" s="2"/>
      <c r="CB135" s="2"/>
      <c r="CC135" s="2"/>
    </row>
    <row r="136">
      <c r="A136" s="2"/>
      <c r="B136" s="2" t="str">
        <f>'LOS MILITARES-BCI'!A6</f>
        <v>Los Militares</v>
      </c>
      <c r="C136" s="2" t="str">
        <f>'LOS MILITARES-BCI'!B6</f>
        <v>Cafeteria</v>
      </c>
      <c r="D136" s="2" t="str">
        <f>'LOS MILITARES-BCI'!C6</f>
        <v>Papel Higienico (UN)</v>
      </c>
      <c r="E136" s="2" t="str">
        <f>'LOS MILITARES-BCI'!D6</f>
        <v/>
      </c>
      <c r="F136" s="2" t="str">
        <f>'LOS MILITARES-BCI'!E6</f>
        <v>6 UN Papel H</v>
      </c>
      <c r="G136" s="2" t="str">
        <f>'LOS MILITARES-BCI'!F6</f>
        <v>4 UN Papel H</v>
      </c>
      <c r="H136" s="2" t="str">
        <f>'LOS MILITARES-BCI'!G6</f>
        <v>3 UN Papel H</v>
      </c>
      <c r="I136" s="2" t="str">
        <f>'LOS MILITARES-BCI'!H6</f>
        <v/>
      </c>
      <c r="J136" s="2" t="str">
        <f>'LOS MILITARES-BCI'!I6</f>
        <v/>
      </c>
      <c r="K136" s="2" t="str">
        <f>'LOS MILITARES-BCI'!J6</f>
        <v/>
      </c>
      <c r="L136" s="2" t="str">
        <f>'LOS MILITARES-BCI'!K6</f>
        <v/>
      </c>
      <c r="M136" s="2" t="str">
        <f>'LOS MILITARES-BCI'!L6</f>
        <v/>
      </c>
      <c r="N136" s="2" t="str">
        <f>'LOS MILITARES-BCI'!M6</f>
        <v/>
      </c>
      <c r="O136" s="2" t="str">
        <f>'LOS MILITARES-BCI'!N6</f>
        <v/>
      </c>
      <c r="P136" s="2" t="str">
        <f>'LOS MILITARES-BCI'!O6</f>
        <v/>
      </c>
      <c r="Q136" s="2" t="str">
        <f>'LOS MILITARES-BCI'!P6</f>
        <v/>
      </c>
      <c r="R136" s="2" t="str">
        <f>'LOS MILITARES-BCI'!Q6</f>
        <v>9 Papel H</v>
      </c>
      <c r="S136" s="2" t="str">
        <f>'LOS MILITARES-BCI'!R6</f>
        <v>10 paquetes</v>
      </c>
      <c r="T136" s="2" t="str">
        <f>'LOS MILITARES-BCI'!S6</f>
        <v>8 Paquetes </v>
      </c>
      <c r="U136" s="2" t="str">
        <f>'LOS MILITARES-BCI'!T6</f>
        <v>6 Paquetes </v>
      </c>
      <c r="V136" s="2" t="str">
        <f>'LOS MILITARES-BCI'!U6</f>
        <v>6 Paquetes </v>
      </c>
      <c r="W136" s="2" t="str">
        <f>'LOS MILITARES-BCI'!V6</f>
        <v>5 paquetes</v>
      </c>
      <c r="X136" s="2" t="str">
        <f>'LOS MILITARES-BCI'!W6</f>
        <v>5 paquetes</v>
      </c>
      <c r="Y136" s="2" t="str">
        <f>'LOS MILITARES-BCI'!X6</f>
        <v/>
      </c>
      <c r="Z136" s="2" t="str">
        <f>'LOS MILITARES-BCI'!Y6</f>
        <v>4 paquetes</v>
      </c>
      <c r="AA136" s="2" t="str">
        <f>'LOS MILITARES-BCI'!Z6</f>
        <v>3 paquetes</v>
      </c>
      <c r="AB136" s="2" t="str">
        <f>'LOS MILITARES-BCI'!AA6</f>
        <v>3 paquetes</v>
      </c>
      <c r="AC136" s="2" t="str">
        <f>'LOS MILITARES-BCI'!AB6</f>
        <v/>
      </c>
      <c r="AD136" s="2" t="str">
        <f>'LOS MILITARES-BCI'!AC6</f>
        <v/>
      </c>
      <c r="AE136" s="2" t="str">
        <f>'LOS MILITARES-BCI'!AD6</f>
        <v>8 paquetes</v>
      </c>
      <c r="AF136" s="2" t="str">
        <f>'LOS MILITARES-BCI'!AE6</f>
        <v/>
      </c>
      <c r="AG136" s="2" t="str">
        <f>'LOS MILITARES-BCI'!AF6</f>
        <v>8 paquetes</v>
      </c>
      <c r="AH136" s="2" t="str">
        <f>'LOS MILITARES-BCI'!AG6</f>
        <v>7 paquetes</v>
      </c>
      <c r="AI136" s="2" t="str">
        <f>'LOS MILITARES-BCI'!AH6</f>
        <v>5 paquetes</v>
      </c>
      <c r="AJ136" s="2" t="str">
        <f>'LOS MILITARES-BCI'!AI6</f>
        <v>10 paquetes</v>
      </c>
      <c r="AK136" s="2" t="str">
        <f>'LOS MILITARES-BCI'!AJ6</f>
        <v>09 paquetes</v>
      </c>
      <c r="AL136" s="2" t="str">
        <f>'LOS MILITARES-BCI'!AK6</f>
        <v>4 paquetes</v>
      </c>
      <c r="AM136" s="2" t="str">
        <f>'LOS MILITARES-BCI'!AL6</f>
        <v>4 paquetes</v>
      </c>
      <c r="AN136" s="2" t="str">
        <f>'LOS MILITARES-BCI'!AM6</f>
        <v>3 paquetes</v>
      </c>
      <c r="AO136" s="2" t="str">
        <f>'LOS MILITARES-BCI'!AN6</f>
        <v>2 paquetes</v>
      </c>
      <c r="AP136" s="2" t="str">
        <f>'LOS MILITARES-BCI'!AO6</f>
        <v>10 paquetes</v>
      </c>
      <c r="AQ136" s="2" t="str">
        <f>'LOS MILITARES-BCI'!AP6</f>
        <v>8 paquetes</v>
      </c>
      <c r="AR136" s="2" t="str">
        <f>'LOS MILITARES-BCI'!AQ6</f>
        <v>7 1/2 paquetes</v>
      </c>
      <c r="AS136" s="2" t="str">
        <f>'LOS MILITARES-BCI'!AR6</f>
        <v>7 1/2 paquetes</v>
      </c>
      <c r="AT136" s="2" t="str">
        <f>'LOS MILITARES-BCI'!AS6</f>
        <v>7 paquetes</v>
      </c>
      <c r="AU136" s="2" t="str">
        <f>'LOS MILITARES-BCI'!AT6</f>
        <v>7 paquetes</v>
      </c>
      <c r="AV136" s="2" t="str">
        <f>'LOS MILITARES-BCI'!AU6</f>
        <v>7 paquetes</v>
      </c>
      <c r="AW136" s="2" t="str">
        <f>'LOS MILITARES-BCI'!AV6</f>
        <v>7 paquetes</v>
      </c>
      <c r="AX136" s="2" t="str">
        <f>'LOS MILITARES-BCI'!AW6</f>
        <v>12 paquetes</v>
      </c>
      <c r="AY136" s="2" t="str">
        <f>'LOS MILITARES-BCI'!AX6</f>
        <v>10 paquetes</v>
      </c>
      <c r="AZ136" s="2" t="str">
        <f>'LOS MILITARES-BCI'!AY6</f>
        <v>10 paquetes</v>
      </c>
      <c r="BA136" s="2" t="str">
        <f>'LOS MILITARES-BCI'!AZ6</f>
        <v>9 paquetes</v>
      </c>
      <c r="BB136" s="2" t="str">
        <f>'LOS MILITARES-BCI'!BA6</f>
        <v>8 1/2 paquetes</v>
      </c>
      <c r="BC136" s="2" t="str">
        <f>'LOS MILITARES-BCI'!BB6</f>
        <v>10 paquetes</v>
      </c>
      <c r="BD136" s="2" t="str">
        <f>'LOS MILITARES-BCI'!BC6</f>
        <v>10 paquetes</v>
      </c>
      <c r="BE136" s="2" t="str">
        <f>'LOS MILITARES-BCI'!BD6</f>
        <v>8 1/2 paquetes</v>
      </c>
      <c r="BF136" s="2" t="str">
        <f>'LOS MILITARES-BCI'!BE6</f>
        <v>11 paquetes</v>
      </c>
      <c r="BG136" s="2" t="str">
        <f>'LOS MILITARES-BCI'!BF6</f>
        <v>10 paquetes</v>
      </c>
      <c r="BH136" s="2" t="str">
        <f>'LOS MILITARES-BCI'!BG6</f>
        <v>9 paquetes</v>
      </c>
      <c r="BI136" s="2" t="str">
        <f>'LOS MILITARES-BCI'!BH6</f>
        <v>7 paquetes</v>
      </c>
      <c r="BJ136" s="2" t="str">
        <f>'LOS MILITARES-BCI'!BI6</f>
        <v>5 paquetes</v>
      </c>
      <c r="BK136" s="2" t="str">
        <f>'LOS MILITARES-BCI'!BJ6</f>
        <v>20 U</v>
      </c>
      <c r="BL136" s="2" t="str">
        <f>'LOS MILITARES-BCI'!BK6</f>
        <v>7 paquetes</v>
      </c>
      <c r="BM136" s="2" t="str">
        <f>'LOS MILITARES-BCI'!BL6</f>
        <v>7 paquetes</v>
      </c>
      <c r="BN136" s="2" t="str">
        <f>'LOS MILITARES-BCI'!BM6</f>
        <v>7 paquetes</v>
      </c>
      <c r="BO136" s="2" t="str">
        <f>'LOS MILITARES-BCI'!BN6</f>
        <v>4 paquetes</v>
      </c>
      <c r="BP136" s="2" t="str">
        <f>'LOS MILITARES-BCI'!BO6</f>
        <v/>
      </c>
      <c r="BQ136" s="2" t="str">
        <f>'LOS MILITARES-BCI'!BP6</f>
        <v/>
      </c>
      <c r="BR136" s="2" t="str">
        <f>'LOS MILITARES-BCI'!BQ6</f>
        <v/>
      </c>
      <c r="BS136" s="2" t="str">
        <f>'LOS MILITARES-BCI'!BR6</f>
        <v/>
      </c>
      <c r="BT136" s="2" t="str">
        <f>'LOS MILITARES-BCI'!BS6</f>
        <v/>
      </c>
      <c r="BU136" s="2"/>
      <c r="BV136" s="2" t="str">
        <f>'LOS MILITARES-BCI'!BR6</f>
        <v/>
      </c>
      <c r="BW136" s="2" t="str">
        <f>'LOS MILITARES-BCI'!BS6</f>
        <v/>
      </c>
      <c r="BX136" s="2" t="str">
        <f>'LOS MILITARES-BCI'!BT6</f>
        <v/>
      </c>
      <c r="BY136" s="2"/>
      <c r="BZ136" s="2"/>
      <c r="CA136" s="2"/>
      <c r="CB136" s="2"/>
      <c r="CC136" s="2"/>
    </row>
    <row r="137">
      <c r="A137" s="2"/>
      <c r="B137" s="2" t="str">
        <f>'LOS MILITARES-BCI'!A7</f>
        <v>Los Militares</v>
      </c>
      <c r="C137" s="2" t="str">
        <f>'LOS MILITARES-BCI'!B7</f>
        <v>Cafeteria</v>
      </c>
      <c r="D137" s="2" t="str">
        <f>'LOS MILITARES-BCI'!C7</f>
        <v>Resma Papel Fotocopia (UN)</v>
      </c>
      <c r="E137" s="2" t="str">
        <f>'LOS MILITARES-BCI'!D7</f>
        <v>3 Resmas tamaño carta</v>
      </c>
      <c r="F137" s="2" t="str">
        <f>'LOS MILITARES-BCI'!E7</f>
        <v>3 Resmas tamaño carta</v>
      </c>
      <c r="G137" s="2" t="str">
        <f>'LOS MILITARES-BCI'!F7</f>
        <v>3 Resmas tamaño carta</v>
      </c>
      <c r="H137" s="2" t="str">
        <f>'LOS MILITARES-BCI'!G7</f>
        <v>3 Resmas tamaño carta</v>
      </c>
      <c r="I137" s="2" t="str">
        <f>'LOS MILITARES-BCI'!H7</f>
        <v/>
      </c>
      <c r="J137" s="2" t="str">
        <f>'LOS MILITARES-BCI'!I7</f>
        <v/>
      </c>
      <c r="K137" s="2" t="str">
        <f>'LOS MILITARES-BCI'!J7</f>
        <v/>
      </c>
      <c r="L137" s="2" t="str">
        <f>'LOS MILITARES-BCI'!K7</f>
        <v/>
      </c>
      <c r="M137" s="2" t="str">
        <f>'LOS MILITARES-BCI'!L7</f>
        <v/>
      </c>
      <c r="N137" s="2" t="str">
        <f>'LOS MILITARES-BCI'!M7</f>
        <v/>
      </c>
      <c r="O137" s="2" t="str">
        <f>'LOS MILITARES-BCI'!N7</f>
        <v/>
      </c>
      <c r="P137" s="2" t="str">
        <f>'LOS MILITARES-BCI'!O7</f>
        <v/>
      </c>
      <c r="Q137" s="2" t="str">
        <f>'LOS MILITARES-BCI'!P7</f>
        <v/>
      </c>
      <c r="R137" s="2" t="str">
        <f>'LOS MILITARES-BCI'!Q7</f>
        <v>6 Resmas</v>
      </c>
      <c r="S137" s="2" t="str">
        <f>'LOS MILITARES-BCI'!R7</f>
        <v>5 Resmas</v>
      </c>
      <c r="T137" s="2" t="str">
        <f>'LOS MILITARES-BCI'!S7</f>
        <v>5 Resmas</v>
      </c>
      <c r="U137" s="2" t="str">
        <f>'LOS MILITARES-BCI'!T7</f>
        <v>5 Resmas</v>
      </c>
      <c r="V137" s="2" t="str">
        <f>'LOS MILITARES-BCI'!U7</f>
        <v>5 Resmas</v>
      </c>
      <c r="W137" s="2" t="str">
        <f>'LOS MILITARES-BCI'!V7</f>
        <v>5 Resmas</v>
      </c>
      <c r="X137" s="2" t="str">
        <f>'LOS MILITARES-BCI'!W7</f>
        <v>5 Resmas</v>
      </c>
      <c r="Y137" s="2" t="str">
        <f>'LOS MILITARES-BCI'!X7</f>
        <v/>
      </c>
      <c r="Z137" s="2" t="str">
        <f>'LOS MILITARES-BCI'!Y7</f>
        <v>8 resmas</v>
      </c>
      <c r="AA137" s="2" t="str">
        <f>'LOS MILITARES-BCI'!Z7</f>
        <v>7 resmas</v>
      </c>
      <c r="AB137" s="2" t="str">
        <f>'LOS MILITARES-BCI'!AA7</f>
        <v>7 resmas</v>
      </c>
      <c r="AC137" s="2" t="str">
        <f>'LOS MILITARES-BCI'!AB7</f>
        <v/>
      </c>
      <c r="AD137" s="2" t="str">
        <f>'LOS MILITARES-BCI'!AC7</f>
        <v/>
      </c>
      <c r="AE137" s="2" t="str">
        <f>'LOS MILITARES-BCI'!AD7</f>
        <v>6 resmas</v>
      </c>
      <c r="AF137" s="2" t="str">
        <f>'LOS MILITARES-BCI'!AE7</f>
        <v/>
      </c>
      <c r="AG137" s="2" t="str">
        <f>'LOS MILITARES-BCI'!AF7</f>
        <v>8 resmas</v>
      </c>
      <c r="AH137" s="2" t="str">
        <f>'LOS MILITARES-BCI'!AG7</f>
        <v>7 resmas</v>
      </c>
      <c r="AI137" s="2" t="str">
        <f>'LOS MILITARES-BCI'!AH7</f>
        <v>7 resmas</v>
      </c>
      <c r="AJ137" s="2" t="str">
        <f>'LOS MILITARES-BCI'!AI7</f>
        <v>7 resmas</v>
      </c>
      <c r="AK137" s="2" t="str">
        <f>'LOS MILITARES-BCI'!AJ7</f>
        <v>14 resmas</v>
      </c>
      <c r="AL137" s="2" t="str">
        <f>'LOS MILITARES-BCI'!AK7</f>
        <v>14 resmas</v>
      </c>
      <c r="AM137" s="2" t="str">
        <f>'LOS MILITARES-BCI'!AL7</f>
        <v>14 resmas</v>
      </c>
      <c r="AN137" s="2" t="str">
        <f>'LOS MILITARES-BCI'!AM7</f>
        <v>13 resmas</v>
      </c>
      <c r="AO137" s="2" t="str">
        <f>'LOS MILITARES-BCI'!AN7</f>
        <v>13 resmas</v>
      </c>
      <c r="AP137" s="2" t="str">
        <f>'LOS MILITARES-BCI'!AO7</f>
        <v>15 resmas</v>
      </c>
      <c r="AQ137" s="2" t="str">
        <f>'LOS MILITARES-BCI'!AP7</f>
        <v>13 resmas</v>
      </c>
      <c r="AR137" s="2" t="str">
        <f>'LOS MILITARES-BCI'!AQ7</f>
        <v>13 resmas</v>
      </c>
      <c r="AS137" s="2" t="str">
        <f>'LOS MILITARES-BCI'!AR7</f>
        <v>13 resmas</v>
      </c>
      <c r="AT137" s="2" t="str">
        <f>'LOS MILITARES-BCI'!AS7</f>
        <v>13 resmas</v>
      </c>
      <c r="AU137" s="2" t="str">
        <f>'LOS MILITARES-BCI'!AT7</f>
        <v>13 resmas</v>
      </c>
      <c r="AV137" s="2" t="str">
        <f>'LOS MILITARES-BCI'!AU7</f>
        <v>13 resmas</v>
      </c>
      <c r="AW137" s="2" t="str">
        <f>'LOS MILITARES-BCI'!AV7</f>
        <v>13 resmas</v>
      </c>
      <c r="AX137" s="2" t="str">
        <f>'LOS MILITARES-BCI'!AW7</f>
        <v>13 resmas</v>
      </c>
      <c r="AY137" s="2" t="str">
        <f>'LOS MILITARES-BCI'!AX7</f>
        <v>12 resmas</v>
      </c>
      <c r="AZ137" s="2" t="str">
        <f>'LOS MILITARES-BCI'!AY7</f>
        <v>12 resmas</v>
      </c>
      <c r="BA137" s="2" t="str">
        <f>'LOS MILITARES-BCI'!AZ7</f>
        <v>12 resmas</v>
      </c>
      <c r="BB137" s="2" t="str">
        <f>'LOS MILITARES-BCI'!BA7</f>
        <v>12 resmas</v>
      </c>
      <c r="BC137" s="2" t="str">
        <f>'LOS MILITARES-BCI'!BB7</f>
        <v>10 resmas (se le pasaron 4 a Albert)</v>
      </c>
      <c r="BD137" s="2" t="str">
        <f>'LOS MILITARES-BCI'!BC7</f>
        <v>10 resmas</v>
      </c>
      <c r="BE137" s="2" t="str">
        <f>'LOS MILITARES-BCI'!BD7</f>
        <v>10 resmas</v>
      </c>
      <c r="BF137" s="2" t="str">
        <f>'LOS MILITARES-BCI'!BE7</f>
        <v>10 resmas</v>
      </c>
      <c r="BG137" s="2" t="str">
        <f>'LOS MILITARES-BCI'!BF7</f>
        <v>10 resmas</v>
      </c>
      <c r="BH137" s="2" t="str">
        <f>'LOS MILITARES-BCI'!BG7</f>
        <v>10 resmas</v>
      </c>
      <c r="BI137" s="2" t="str">
        <f>'LOS MILITARES-BCI'!BH7</f>
        <v>9 resmas</v>
      </c>
      <c r="BJ137" s="2" t="str">
        <f>'LOS MILITARES-BCI'!BI7</f>
        <v>9 resmas</v>
      </c>
      <c r="BK137" s="2" t="str">
        <f>'LOS MILITARES-BCI'!BJ7</f>
        <v>8 U</v>
      </c>
      <c r="BL137" s="2" t="str">
        <f>'LOS MILITARES-BCI'!BK7</f>
        <v>7 paquetes</v>
      </c>
      <c r="BM137" s="2" t="str">
        <f>'LOS MILITARES-BCI'!BL7</f>
        <v>10 resmas </v>
      </c>
      <c r="BN137" s="2" t="str">
        <f>'LOS MILITARES-BCI'!BM7</f>
        <v>10 resmas </v>
      </c>
      <c r="BO137" s="2" t="str">
        <f>'LOS MILITARES-BCI'!BN7</f>
        <v>10 resmas</v>
      </c>
      <c r="BP137" s="2" t="str">
        <f>'LOS MILITARES-BCI'!BO7</f>
        <v/>
      </c>
      <c r="BQ137" s="2" t="str">
        <f>'LOS MILITARES-BCI'!BP7</f>
        <v/>
      </c>
      <c r="BR137" s="2" t="str">
        <f>'LOS MILITARES-BCI'!BQ7</f>
        <v/>
      </c>
      <c r="BS137" s="2" t="str">
        <f>'LOS MILITARES-BCI'!BR7</f>
        <v/>
      </c>
      <c r="BT137" s="2" t="str">
        <f>'LOS MILITARES-BCI'!BS7</f>
        <v/>
      </c>
      <c r="BU137" s="2"/>
      <c r="BV137" s="2" t="str">
        <f>'LOS MILITARES-BCI'!BR7</f>
        <v/>
      </c>
      <c r="BW137" s="2" t="str">
        <f>'LOS MILITARES-BCI'!BS7</f>
        <v/>
      </c>
      <c r="BX137" s="2" t="str">
        <f>'LOS MILITARES-BCI'!BT7</f>
        <v/>
      </c>
      <c r="BY137" s="2"/>
      <c r="BZ137" s="2"/>
      <c r="CA137" s="2"/>
      <c r="CB137" s="2"/>
      <c r="CC137" s="2"/>
    </row>
    <row r="138">
      <c r="A138" s="2"/>
      <c r="B138" s="2" t="str">
        <f>'LOS MILITARES-BCI'!A8</f>
        <v>Los Militares</v>
      </c>
      <c r="C138" s="2" t="str">
        <f>'LOS MILITARES-BCI'!B8</f>
        <v>Cafeteria</v>
      </c>
      <c r="D138" s="2" t="str">
        <f>'LOS MILITARES-BCI'!C8</f>
        <v>Leche liquida</v>
      </c>
      <c r="E138" s="2" t="str">
        <f>'LOS MILITARES-BCI'!D8</f>
        <v/>
      </c>
      <c r="F138" s="2" t="str">
        <f>'LOS MILITARES-BCI'!E8</f>
        <v/>
      </c>
      <c r="G138" s="2" t="str">
        <f>'LOS MILITARES-BCI'!F8</f>
        <v/>
      </c>
      <c r="H138" s="2" t="str">
        <f>'LOS MILITARES-BCI'!G8</f>
        <v/>
      </c>
      <c r="I138" s="2" t="str">
        <f>'LOS MILITARES-BCI'!H8</f>
        <v/>
      </c>
      <c r="J138" s="2" t="str">
        <f>'LOS MILITARES-BCI'!I8</f>
        <v/>
      </c>
      <c r="K138" s="2" t="str">
        <f>'LOS MILITARES-BCI'!J8</f>
        <v/>
      </c>
      <c r="L138" s="2" t="str">
        <f>'LOS MILITARES-BCI'!K8</f>
        <v/>
      </c>
      <c r="M138" s="2" t="str">
        <f>'LOS MILITARES-BCI'!L8</f>
        <v/>
      </c>
      <c r="N138" s="2" t="str">
        <f>'LOS MILITARES-BCI'!M8</f>
        <v/>
      </c>
      <c r="O138" s="2" t="str">
        <f>'LOS MILITARES-BCI'!N8</f>
        <v/>
      </c>
      <c r="P138" s="2" t="str">
        <f>'LOS MILITARES-BCI'!O8</f>
        <v/>
      </c>
      <c r="Q138" s="2" t="str">
        <f>'LOS MILITARES-BCI'!P8</f>
        <v/>
      </c>
      <c r="R138" s="2" t="str">
        <f>'LOS MILITARES-BCI'!Q8</f>
        <v/>
      </c>
      <c r="S138" s="2" t="str">
        <f>'LOS MILITARES-BCI'!R8</f>
        <v/>
      </c>
      <c r="T138" s="2" t="str">
        <f>'LOS MILITARES-BCI'!S8</f>
        <v/>
      </c>
      <c r="U138" s="2" t="str">
        <f>'LOS MILITARES-BCI'!T8</f>
        <v/>
      </c>
      <c r="V138" s="2" t="str">
        <f>'LOS MILITARES-BCI'!U8</f>
        <v/>
      </c>
      <c r="W138" s="2" t="str">
        <f>'LOS MILITARES-BCI'!V8</f>
        <v/>
      </c>
      <c r="X138" s="2" t="str">
        <f>'LOS MILITARES-BCI'!W8</f>
        <v/>
      </c>
      <c r="Y138" s="2" t="str">
        <f>'LOS MILITARES-BCI'!X8</f>
        <v/>
      </c>
      <c r="Z138" s="2" t="str">
        <f>'LOS MILITARES-BCI'!Y8</f>
        <v/>
      </c>
      <c r="AA138" s="2" t="str">
        <f>'LOS MILITARES-BCI'!Z8</f>
        <v/>
      </c>
      <c r="AB138" s="2">
        <f>'LOS MILITARES-BCI'!AA8</f>
        <v>0</v>
      </c>
      <c r="AC138" s="2" t="str">
        <f>'LOS MILITARES-BCI'!AB8</f>
        <v/>
      </c>
      <c r="AD138" s="2" t="str">
        <f>'LOS MILITARES-BCI'!AC8</f>
        <v/>
      </c>
      <c r="AE138" s="2">
        <f>'LOS MILITARES-BCI'!AD8</f>
        <v>0</v>
      </c>
      <c r="AF138" s="2" t="str">
        <f>'LOS MILITARES-BCI'!AE8</f>
        <v/>
      </c>
      <c r="AG138" s="2">
        <f>'LOS MILITARES-BCI'!AF8</f>
        <v>0</v>
      </c>
      <c r="AH138" s="2">
        <f>'LOS MILITARES-BCI'!AG8</f>
        <v>0</v>
      </c>
      <c r="AI138" s="2">
        <f>'LOS MILITARES-BCI'!AH8</f>
        <v>0</v>
      </c>
      <c r="AJ138" s="2">
        <f>'LOS MILITARES-BCI'!AI8</f>
        <v>0</v>
      </c>
      <c r="AK138" s="2">
        <f>'LOS MILITARES-BCI'!AJ8</f>
        <v>0</v>
      </c>
      <c r="AL138" s="2">
        <f>'LOS MILITARES-BCI'!AK8</f>
        <v>0</v>
      </c>
      <c r="AM138" s="2">
        <f>'LOS MILITARES-BCI'!AL8</f>
        <v>0</v>
      </c>
      <c r="AN138" s="2">
        <f>'LOS MILITARES-BCI'!AM8</f>
        <v>0</v>
      </c>
      <c r="AO138" s="2">
        <f>'LOS MILITARES-BCI'!AN8</f>
        <v>0</v>
      </c>
      <c r="AP138" s="2" t="str">
        <f>'LOS MILITARES-BCI'!AO8</f>
        <v>24 unidades</v>
      </c>
      <c r="AQ138" s="2" t="str">
        <f>'LOS MILITARES-BCI'!AP8</f>
        <v>22 unidades</v>
      </c>
      <c r="AR138" s="2" t="str">
        <f>'LOS MILITARES-BCI'!AQ8</f>
        <v>21 unidades</v>
      </c>
      <c r="AS138" s="2" t="str">
        <f>'LOS MILITARES-BCI'!AR8</f>
        <v>21 unidades</v>
      </c>
      <c r="AT138" s="2" t="str">
        <f>'LOS MILITARES-BCI'!AS8</f>
        <v>18 unidades</v>
      </c>
      <c r="AU138" s="2" t="str">
        <f>'LOS MILITARES-BCI'!AT8</f>
        <v>18 unidades</v>
      </c>
      <c r="AV138" s="2" t="str">
        <f>'LOS MILITARES-BCI'!AU8</f>
        <v>17 unidades</v>
      </c>
      <c r="AW138" s="2" t="str">
        <f>'LOS MILITARES-BCI'!AV8</f>
        <v>16 unidades</v>
      </c>
      <c r="AX138" s="2" t="str">
        <f>'LOS MILITARES-BCI'!AW8</f>
        <v>16 unidades</v>
      </c>
      <c r="AY138" s="2" t="str">
        <f>'LOS MILITARES-BCI'!AX8</f>
        <v>15 unidades</v>
      </c>
      <c r="AZ138" s="2" t="str">
        <f>'LOS MILITARES-BCI'!AY8</f>
        <v>13 unidades</v>
      </c>
      <c r="BA138" s="2" t="str">
        <f>'LOS MILITARES-BCI'!AZ8</f>
        <v>13 unidades</v>
      </c>
      <c r="BB138" s="2" t="str">
        <f>'LOS MILITARES-BCI'!BA8</f>
        <v>13 unidades</v>
      </c>
      <c r="BC138" s="2" t="str">
        <f>'LOS MILITARES-BCI'!BB8</f>
        <v>8 unidades</v>
      </c>
      <c r="BD138" s="2" t="str">
        <f>'LOS MILITARES-BCI'!BC8</f>
        <v>8 unidades</v>
      </c>
      <c r="BE138" s="2" t="str">
        <f>'LOS MILITARES-BCI'!BD8</f>
        <v>7 unidades</v>
      </c>
      <c r="BF138" s="2" t="str">
        <f>'LOS MILITARES-BCI'!BE8</f>
        <v>7 unidades</v>
      </c>
      <c r="BG138" s="2" t="str">
        <f>'LOS MILITARES-BCI'!BF8</f>
        <v>6 unidades</v>
      </c>
      <c r="BH138" s="2" t="str">
        <f>'LOS MILITARES-BCI'!BG8</f>
        <v>6 unidades</v>
      </c>
      <c r="BI138" s="2" t="str">
        <f>'LOS MILITARES-BCI'!BH8</f>
        <v>5 unidades</v>
      </c>
      <c r="BJ138" s="2" t="str">
        <f>'LOS MILITARES-BCI'!BI8</f>
        <v>5 unidades</v>
      </c>
      <c r="BK138" s="2" t="str">
        <f>'LOS MILITARES-BCI'!BJ8</f>
        <v>4 U</v>
      </c>
      <c r="BL138" s="2" t="str">
        <f>'LOS MILITARES-BCI'!BK8</f>
        <v>13 unidades</v>
      </c>
      <c r="BM138" s="2" t="str">
        <f>'LOS MILITARES-BCI'!BL8</f>
        <v>12 unidades</v>
      </c>
      <c r="BN138" s="2" t="str">
        <f>'LOS MILITARES-BCI'!BM8</f>
        <v>11 unidades</v>
      </c>
      <c r="BO138" s="2" t="str">
        <f>'LOS MILITARES-BCI'!BN8</f>
        <v>11 unidades</v>
      </c>
      <c r="BP138" s="2" t="str">
        <f>'LOS MILITARES-BCI'!BO8</f>
        <v/>
      </c>
      <c r="BQ138" s="2" t="str">
        <f>'LOS MILITARES-BCI'!BP8</f>
        <v/>
      </c>
      <c r="BR138" s="2" t="str">
        <f>'LOS MILITARES-BCI'!BQ8</f>
        <v/>
      </c>
      <c r="BS138" s="2" t="str">
        <f>'LOS MILITARES-BCI'!BR8</f>
        <v/>
      </c>
      <c r="BT138" s="2" t="str">
        <f>'LOS MILITARES-BCI'!BS8</f>
        <v/>
      </c>
      <c r="BU138" s="2"/>
      <c r="BV138" s="2" t="str">
        <f>'LOS MILITARES-BCI'!BR8</f>
        <v/>
      </c>
      <c r="BW138" s="2" t="str">
        <f>'LOS MILITARES-BCI'!BS8</f>
        <v/>
      </c>
      <c r="BX138" s="2" t="str">
        <f>'LOS MILITARES-BCI'!BT8</f>
        <v/>
      </c>
      <c r="BY138" s="2"/>
      <c r="BZ138" s="2"/>
      <c r="CA138" s="2"/>
      <c r="CB138" s="2"/>
      <c r="CC138" s="2"/>
    </row>
    <row r="139">
      <c r="A139" s="2"/>
      <c r="B139" s="2" t="str">
        <f>'LOS MILITARES-BCI'!A10</f>
        <v>Los Militares</v>
      </c>
      <c r="C139" s="2" t="str">
        <f>'LOS MILITARES-BCI'!B10</f>
        <v>Cafeteria</v>
      </c>
      <c r="D139" s="2" t="str">
        <f>'LOS MILITARES-BCI'!C10</f>
        <v>Endulzante</v>
      </c>
      <c r="E139" s="2" t="str">
        <f>'LOS MILITARES-BCI'!D10</f>
        <v/>
      </c>
      <c r="F139" s="2" t="str">
        <f>'LOS MILITARES-BCI'!E10</f>
        <v/>
      </c>
      <c r="G139" s="2" t="str">
        <f>'LOS MILITARES-BCI'!F10</f>
        <v/>
      </c>
      <c r="H139" s="2" t="str">
        <f>'LOS MILITARES-BCI'!G10</f>
        <v/>
      </c>
      <c r="I139" s="2" t="str">
        <f>'LOS MILITARES-BCI'!H10</f>
        <v/>
      </c>
      <c r="J139" s="2" t="str">
        <f>'LOS MILITARES-BCI'!I10</f>
        <v/>
      </c>
      <c r="K139" s="2" t="str">
        <f>'LOS MILITARES-BCI'!J10</f>
        <v/>
      </c>
      <c r="L139" s="2" t="str">
        <f>'LOS MILITARES-BCI'!K10</f>
        <v/>
      </c>
      <c r="M139" s="2" t="str">
        <f>'LOS MILITARES-BCI'!L10</f>
        <v/>
      </c>
      <c r="N139" s="2" t="str">
        <f>'LOS MILITARES-BCI'!M10</f>
        <v/>
      </c>
      <c r="O139" s="2" t="str">
        <f>'LOS MILITARES-BCI'!N10</f>
        <v/>
      </c>
      <c r="P139" s="2" t="str">
        <f>'LOS MILITARES-BCI'!O10</f>
        <v/>
      </c>
      <c r="Q139" s="2" t="str">
        <f>'LOS MILITARES-BCI'!P10</f>
        <v/>
      </c>
      <c r="R139" s="2" t="str">
        <f>'LOS MILITARES-BCI'!Q10</f>
        <v/>
      </c>
      <c r="S139" s="2" t="str">
        <f>'LOS MILITARES-BCI'!R10</f>
        <v/>
      </c>
      <c r="T139" s="2" t="str">
        <f>'LOS MILITARES-BCI'!S10</f>
        <v>-</v>
      </c>
      <c r="U139" s="2" t="str">
        <f>'LOS MILITARES-BCI'!T10</f>
        <v>-</v>
      </c>
      <c r="V139" s="2" t="str">
        <f>'LOS MILITARES-BCI'!U10</f>
        <v>-</v>
      </c>
      <c r="W139" s="2" t="str">
        <f>'LOS MILITARES-BCI'!V10</f>
        <v>-</v>
      </c>
      <c r="X139" s="2" t="str">
        <f>'LOS MILITARES-BCI'!W10</f>
        <v>-</v>
      </c>
      <c r="Y139" s="2" t="str">
        <f>'LOS MILITARES-BCI'!X10</f>
        <v>-</v>
      </c>
      <c r="Z139" s="2" t="str">
        <f>'LOS MILITARES-BCI'!Y10</f>
        <v>- </v>
      </c>
      <c r="AA139" s="2" t="str">
        <f>'LOS MILITARES-BCI'!Z10</f>
        <v>-</v>
      </c>
      <c r="AB139" s="2" t="str">
        <f>'LOS MILITARES-BCI'!AA10</f>
        <v>-</v>
      </c>
      <c r="AC139" s="2" t="str">
        <f>'LOS MILITARES-BCI'!AB10</f>
        <v/>
      </c>
      <c r="AD139" s="2" t="str">
        <f>'LOS MILITARES-BCI'!AC10</f>
        <v/>
      </c>
      <c r="AE139" s="2" t="str">
        <f>'LOS MILITARES-BCI'!AD10</f>
        <v>2 endulzantes</v>
      </c>
      <c r="AF139" s="2" t="str">
        <f>'LOS MILITARES-BCI'!AE10</f>
        <v/>
      </c>
      <c r="AG139" s="2" t="str">
        <f>'LOS MILITARES-BCI'!AF10</f>
        <v>2 botellas</v>
      </c>
      <c r="AH139" s="2" t="str">
        <f>'LOS MILITARES-BCI'!AG10</f>
        <v>2 botellas</v>
      </c>
      <c r="AI139" s="2" t="str">
        <f>'LOS MILITARES-BCI'!AH10</f>
        <v>2 botellas</v>
      </c>
      <c r="AJ139" s="2" t="str">
        <f>'LOS MILITARES-BCI'!AI10</f>
        <v>3 botellas</v>
      </c>
      <c r="AK139" s="2" t="str">
        <f>'LOS MILITARES-BCI'!AJ10</f>
        <v>3 botellas</v>
      </c>
      <c r="AL139" s="2" t="str">
        <f>'LOS MILITARES-BCI'!AK10</f>
        <v>2 botellas</v>
      </c>
      <c r="AM139" s="2" t="str">
        <f>'LOS MILITARES-BCI'!AL10</f>
        <v>2 botellas</v>
      </c>
      <c r="AN139" s="2" t="str">
        <f>'LOS MILITARES-BCI'!AM10</f>
        <v>2 botellas</v>
      </c>
      <c r="AO139" s="2" t="str">
        <f>'LOS MILITARES-BCI'!AN10</f>
        <v>2 botellas</v>
      </c>
      <c r="AP139" s="2" t="str">
        <f>'LOS MILITARES-BCI'!AO10</f>
        <v>2 botellas</v>
      </c>
      <c r="AQ139" s="2" t="str">
        <f>'LOS MILITARES-BCI'!AP10</f>
        <v>2 botellas</v>
      </c>
      <c r="AR139" s="2" t="str">
        <f>'LOS MILITARES-BCI'!AQ10</f>
        <v>2 botellas</v>
      </c>
      <c r="AS139" s="2" t="str">
        <f>'LOS MILITARES-BCI'!AR10</f>
        <v>2 botellas</v>
      </c>
      <c r="AT139" s="2" t="str">
        <f>'LOS MILITARES-BCI'!AS10</f>
        <v>2 botellas</v>
      </c>
      <c r="AU139" s="2" t="str">
        <f>'LOS MILITARES-BCI'!AT10</f>
        <v>2 botellas</v>
      </c>
      <c r="AV139" s="2" t="str">
        <f>'LOS MILITARES-BCI'!AU10</f>
        <v>1 botella</v>
      </c>
      <c r="AW139" s="2" t="str">
        <f>'LOS MILITARES-BCI'!AV10</f>
        <v>1 botella</v>
      </c>
      <c r="AX139" s="2" t="str">
        <f>'LOS MILITARES-BCI'!AW10</f>
        <v>1 botella</v>
      </c>
      <c r="AY139" s="2" t="str">
        <f>'LOS MILITARES-BCI'!AX10</f>
        <v>1 botella</v>
      </c>
      <c r="AZ139" s="2" t="str">
        <f>'LOS MILITARES-BCI'!AY10</f>
        <v>1 botella</v>
      </c>
      <c r="BA139" s="2" t="str">
        <f>'LOS MILITARES-BCI'!AZ10</f>
        <v>1 botella</v>
      </c>
      <c r="BB139" s="2" t="str">
        <f>'LOS MILITARES-BCI'!BA10</f>
        <v>1 botella</v>
      </c>
      <c r="BC139" s="2">
        <f>'LOS MILITARES-BCI'!BB10</f>
        <v>0</v>
      </c>
      <c r="BD139" s="2" t="str">
        <f>'LOS MILITARES-BCI'!BC10</f>
        <v/>
      </c>
      <c r="BE139" s="2" t="str">
        <f>'LOS MILITARES-BCI'!BD10</f>
        <v>3 botellas</v>
      </c>
      <c r="BF139" s="2" t="str">
        <f>'LOS MILITARES-BCI'!BE10</f>
        <v>3 botellas</v>
      </c>
      <c r="BG139" s="2" t="str">
        <f>'LOS MILITARES-BCI'!BF10</f>
        <v>2 botellas</v>
      </c>
      <c r="BH139" s="2" t="str">
        <f>'LOS MILITARES-BCI'!BG10</f>
        <v>2 botellas</v>
      </c>
      <c r="BI139" s="2" t="str">
        <f>'LOS MILITARES-BCI'!BH10</f>
        <v>2 botellas</v>
      </c>
      <c r="BJ139" s="2" t="str">
        <f>'LOS MILITARES-BCI'!BI10</f>
        <v>2 botellas</v>
      </c>
      <c r="BK139" s="2" t="str">
        <f>'LOS MILITARES-BCI'!BJ10</f>
        <v>2 U</v>
      </c>
      <c r="BL139" s="2" t="str">
        <f>'LOS MILITARES-BCI'!BK10</f>
        <v>2 unidades</v>
      </c>
      <c r="BM139" s="2" t="str">
        <f>'LOS MILITARES-BCI'!BL10</f>
        <v>2 unidades</v>
      </c>
      <c r="BN139" s="2" t="str">
        <f>'LOS MILITARES-BCI'!BM10</f>
        <v>2 unidades</v>
      </c>
      <c r="BO139" s="2" t="str">
        <f>'LOS MILITARES-BCI'!BN10</f>
        <v>1 unidad</v>
      </c>
      <c r="BP139" s="2" t="str">
        <f>'LOS MILITARES-BCI'!BO10</f>
        <v/>
      </c>
      <c r="BQ139" s="2" t="str">
        <f>'LOS MILITARES-BCI'!BP10</f>
        <v/>
      </c>
      <c r="BR139" s="2" t="str">
        <f>'LOS MILITARES-BCI'!BQ10</f>
        <v/>
      </c>
      <c r="BS139" s="2" t="str">
        <f>'LOS MILITARES-BCI'!BR10</f>
        <v/>
      </c>
      <c r="BT139" s="2" t="str">
        <f>'LOS MILITARES-BCI'!BS10</f>
        <v/>
      </c>
      <c r="BU139" s="2"/>
      <c r="BV139" s="2" t="str">
        <f>'LOS MILITARES-BCI'!BR10</f>
        <v/>
      </c>
      <c r="BW139" s="2" t="str">
        <f>'LOS MILITARES-BCI'!BS10</f>
        <v/>
      </c>
      <c r="BX139" s="2" t="str">
        <f>'LOS MILITARES-BCI'!BT10</f>
        <v/>
      </c>
      <c r="BY139" s="2"/>
      <c r="BZ139" s="2"/>
      <c r="CA139" s="2"/>
      <c r="CB139" s="2"/>
      <c r="CC139" s="2"/>
    </row>
    <row r="140">
      <c r="A140" s="2"/>
      <c r="B140" s="2" t="str">
        <f>'LOS MILITARES-BCI'!A11</f>
        <v>Los Militares</v>
      </c>
      <c r="C140" s="2" t="str">
        <f>'LOS MILITARES-BCI'!B11</f>
        <v>Cafeteria</v>
      </c>
      <c r="D140" s="2" t="str">
        <f>'LOS MILITARES-BCI'!C11</f>
        <v>Servilletas</v>
      </c>
      <c r="E140" s="2" t="str">
        <f>'LOS MILITARES-BCI'!D11</f>
        <v/>
      </c>
      <c r="F140" s="2" t="str">
        <f>'LOS MILITARES-BCI'!E11</f>
        <v/>
      </c>
      <c r="G140" s="2" t="str">
        <f>'LOS MILITARES-BCI'!F11</f>
        <v/>
      </c>
      <c r="H140" s="2" t="str">
        <f>'LOS MILITARES-BCI'!G11</f>
        <v/>
      </c>
      <c r="I140" s="2" t="str">
        <f>'LOS MILITARES-BCI'!H11</f>
        <v/>
      </c>
      <c r="J140" s="2" t="str">
        <f>'LOS MILITARES-BCI'!I11</f>
        <v/>
      </c>
      <c r="K140" s="2" t="str">
        <f>'LOS MILITARES-BCI'!J11</f>
        <v/>
      </c>
      <c r="L140" s="2" t="str">
        <f>'LOS MILITARES-BCI'!K11</f>
        <v/>
      </c>
      <c r="M140" s="2" t="str">
        <f>'LOS MILITARES-BCI'!L11</f>
        <v/>
      </c>
      <c r="N140" s="2" t="str">
        <f>'LOS MILITARES-BCI'!M11</f>
        <v/>
      </c>
      <c r="O140" s="2" t="str">
        <f>'LOS MILITARES-BCI'!N11</f>
        <v/>
      </c>
      <c r="P140" s="2" t="str">
        <f>'LOS MILITARES-BCI'!O11</f>
        <v/>
      </c>
      <c r="Q140" s="2" t="str">
        <f>'LOS MILITARES-BCI'!P11</f>
        <v/>
      </c>
      <c r="R140" s="2" t="str">
        <f>'LOS MILITARES-BCI'!Q11</f>
        <v/>
      </c>
      <c r="S140" s="2" t="str">
        <f>'LOS MILITARES-BCI'!R11</f>
        <v/>
      </c>
      <c r="T140" s="2" t="str">
        <f>'LOS MILITARES-BCI'!S11</f>
        <v/>
      </c>
      <c r="U140" s="2" t="str">
        <f>'LOS MILITARES-BCI'!T11</f>
        <v/>
      </c>
      <c r="V140" s="2" t="str">
        <f>'LOS MILITARES-BCI'!U11</f>
        <v/>
      </c>
      <c r="W140" s="2" t="str">
        <f>'LOS MILITARES-BCI'!V11</f>
        <v/>
      </c>
      <c r="X140" s="2" t="str">
        <f>'LOS MILITARES-BCI'!W11</f>
        <v/>
      </c>
      <c r="Y140" s="2" t="str">
        <f>'LOS MILITARES-BCI'!X11</f>
        <v/>
      </c>
      <c r="Z140" s="2" t="str">
        <f>'LOS MILITARES-BCI'!Y11</f>
        <v/>
      </c>
      <c r="AA140" s="2" t="str">
        <f>'LOS MILITARES-BCI'!Z11</f>
        <v/>
      </c>
      <c r="AB140" s="2" t="str">
        <f>'LOS MILITARES-BCI'!AA11</f>
        <v/>
      </c>
      <c r="AC140" s="2" t="str">
        <f>'LOS MILITARES-BCI'!AB11</f>
        <v/>
      </c>
      <c r="AD140" s="2" t="str">
        <f>'LOS MILITARES-BCI'!AC11</f>
        <v/>
      </c>
      <c r="AE140" s="2" t="str">
        <f>'LOS MILITARES-BCI'!AD11</f>
        <v/>
      </c>
      <c r="AF140" s="2" t="str">
        <f>'LOS MILITARES-BCI'!AE11</f>
        <v/>
      </c>
      <c r="AG140" s="2" t="str">
        <f>'LOS MILITARES-BCI'!AF11</f>
        <v/>
      </c>
      <c r="AH140" s="2" t="str">
        <f>'LOS MILITARES-BCI'!AG11</f>
        <v/>
      </c>
      <c r="AI140" s="2" t="str">
        <f>'LOS MILITARES-BCI'!AH11</f>
        <v/>
      </c>
      <c r="AJ140" s="2" t="str">
        <f>'LOS MILITARES-BCI'!AI11</f>
        <v/>
      </c>
      <c r="AK140" s="2" t="str">
        <f>'LOS MILITARES-BCI'!AJ11</f>
        <v/>
      </c>
      <c r="AL140" s="2" t="str">
        <f>'LOS MILITARES-BCI'!AK11</f>
        <v/>
      </c>
      <c r="AM140" s="2" t="str">
        <f>'LOS MILITARES-BCI'!AL11</f>
        <v/>
      </c>
      <c r="AN140" s="2" t="str">
        <f>'LOS MILITARES-BCI'!AM11</f>
        <v/>
      </c>
      <c r="AO140" s="2" t="str">
        <f>'LOS MILITARES-BCI'!AN11</f>
        <v/>
      </c>
      <c r="AP140" s="2" t="str">
        <f>'LOS MILITARES-BCI'!AO11</f>
        <v/>
      </c>
      <c r="AQ140" s="2" t="str">
        <f>'LOS MILITARES-BCI'!AP11</f>
        <v/>
      </c>
      <c r="AR140" s="2" t="str">
        <f>'LOS MILITARES-BCI'!AQ11</f>
        <v/>
      </c>
      <c r="AS140" s="2" t="str">
        <f>'LOS MILITARES-BCI'!AR11</f>
        <v/>
      </c>
      <c r="AT140" s="2" t="str">
        <f>'LOS MILITARES-BCI'!AS11</f>
        <v/>
      </c>
      <c r="AU140" s="2" t="str">
        <f>'LOS MILITARES-BCI'!AT11</f>
        <v/>
      </c>
      <c r="AV140" s="2" t="str">
        <f>'LOS MILITARES-BCI'!AU11</f>
        <v/>
      </c>
      <c r="AW140" s="2" t="str">
        <f>'LOS MILITARES-BCI'!AV11</f>
        <v/>
      </c>
      <c r="AX140" s="2" t="str">
        <f>'LOS MILITARES-BCI'!AW11</f>
        <v/>
      </c>
      <c r="AY140" s="2">
        <f>'LOS MILITARES-BCI'!AX11</f>
        <v>0</v>
      </c>
      <c r="AZ140" s="2">
        <f>'LOS MILITARES-BCI'!AY11</f>
        <v>0</v>
      </c>
      <c r="BA140" s="2">
        <f>'LOS MILITARES-BCI'!AZ11</f>
        <v>0</v>
      </c>
      <c r="BB140" s="2">
        <f>'LOS MILITARES-BCI'!BA11</f>
        <v>0</v>
      </c>
      <c r="BC140" s="2">
        <f>'LOS MILITARES-BCI'!BB11</f>
        <v>10</v>
      </c>
      <c r="BD140" s="2">
        <f>'LOS MILITARES-BCI'!BC11</f>
        <v>9</v>
      </c>
      <c r="BE140" s="2">
        <f>'LOS MILITARES-BCI'!BD11</f>
        <v>7</v>
      </c>
      <c r="BF140" s="2">
        <f>'LOS MILITARES-BCI'!BE11</f>
        <v>5</v>
      </c>
      <c r="BG140" s="2" t="str">
        <f>'LOS MILITARES-BCI'!BF11</f>
        <v>9 paquetes</v>
      </c>
      <c r="BH140" s="2" t="str">
        <f>'LOS MILITARES-BCI'!BG11</f>
        <v>9 paquetes</v>
      </c>
      <c r="BI140" s="2" t="str">
        <f>'LOS MILITARES-BCI'!BH11</f>
        <v>9 paquetes</v>
      </c>
      <c r="BJ140" s="2" t="str">
        <f>'LOS MILITARES-BCI'!BI11</f>
        <v>8 paquetes</v>
      </c>
      <c r="BK140" s="2" t="str">
        <f>'LOS MILITARES-BCI'!BJ11</f>
        <v>8 U</v>
      </c>
      <c r="BL140" s="2" t="str">
        <f>'LOS MILITARES-BCI'!BK11</f>
        <v>10 paquetes</v>
      </c>
      <c r="BM140" s="2" t="str">
        <f>'LOS MILITARES-BCI'!BL11</f>
        <v>10 paquetes</v>
      </c>
      <c r="BN140" s="2" t="str">
        <f>'LOS MILITARES-BCI'!BM11</f>
        <v>10 paquetes</v>
      </c>
      <c r="BO140" s="2" t="str">
        <f>'LOS MILITARES-BCI'!BN11</f>
        <v>12 paquetes</v>
      </c>
      <c r="BP140" s="2" t="str">
        <f>'LOS MILITARES-BCI'!BO11</f>
        <v/>
      </c>
      <c r="BQ140" s="2" t="str">
        <f>'LOS MILITARES-BCI'!BP11</f>
        <v/>
      </c>
      <c r="BR140" s="2" t="str">
        <f>'LOS MILITARES-BCI'!BQ11</f>
        <v/>
      </c>
      <c r="BS140" s="2" t="str">
        <f>'LOS MILITARES-BCI'!BR11</f>
        <v/>
      </c>
      <c r="BT140" s="2" t="str">
        <f>'LOS MILITARES-BCI'!BS11</f>
        <v/>
      </c>
      <c r="BU140" s="2"/>
      <c r="BV140" s="2" t="str">
        <f>'LOS MILITARES-BCI'!BR12</f>
        <v/>
      </c>
      <c r="BW140" s="2" t="str">
        <f>'LOS MILITARES-BCI'!BS12</f>
        <v/>
      </c>
      <c r="BX140" s="2" t="str">
        <f>'LOS MILITARES-BCI'!BT12</f>
        <v/>
      </c>
      <c r="BY140" s="2"/>
      <c r="BZ140" s="2"/>
      <c r="CA140" s="2"/>
      <c r="CB140" s="2"/>
      <c r="CC140" s="2"/>
    </row>
    <row r="141">
      <c r="A141" s="2"/>
      <c r="B141" s="2" t="str">
        <f>'LOS MILITARES-BCI'!A12</f>
        <v>Los Militares</v>
      </c>
      <c r="C141" s="2" t="str">
        <f>'LOS MILITARES-BCI'!B12</f>
        <v>Aseo</v>
      </c>
      <c r="D141" s="2" t="str">
        <f>'LOS MILITARES-BCI'!C12</f>
        <v>Cloro Gel</v>
      </c>
      <c r="E141" s="2" t="str">
        <f>'LOS MILITARES-BCI'!D12</f>
        <v/>
      </c>
      <c r="F141" s="2" t="str">
        <f>'LOS MILITARES-BCI'!E12</f>
        <v/>
      </c>
      <c r="G141" s="2" t="str">
        <f>'LOS MILITARES-BCI'!F12</f>
        <v/>
      </c>
      <c r="H141" s="2" t="str">
        <f>'LOS MILITARES-BCI'!G12</f>
        <v/>
      </c>
      <c r="I141" s="2" t="str">
        <f>'LOS MILITARES-BCI'!H12</f>
        <v/>
      </c>
      <c r="J141" s="2" t="str">
        <f>'LOS MILITARES-BCI'!I12</f>
        <v/>
      </c>
      <c r="K141" s="2" t="str">
        <f>'LOS MILITARES-BCI'!J12</f>
        <v/>
      </c>
      <c r="L141" s="2" t="str">
        <f>'LOS MILITARES-BCI'!K12</f>
        <v/>
      </c>
      <c r="M141" s="2" t="str">
        <f>'LOS MILITARES-BCI'!L12</f>
        <v/>
      </c>
      <c r="N141" s="2" t="str">
        <f>'LOS MILITARES-BCI'!M12</f>
        <v/>
      </c>
      <c r="O141" s="2" t="str">
        <f>'LOS MILITARES-BCI'!N12</f>
        <v/>
      </c>
      <c r="P141" s="2" t="str">
        <f>'LOS MILITARES-BCI'!O12</f>
        <v/>
      </c>
      <c r="Q141" s="2" t="str">
        <f>'LOS MILITARES-BCI'!P12</f>
        <v/>
      </c>
      <c r="R141" s="2" t="str">
        <f>'LOS MILITARES-BCI'!Q12</f>
        <v/>
      </c>
      <c r="S141" s="2" t="str">
        <f>'LOS MILITARES-BCI'!R12</f>
        <v/>
      </c>
      <c r="T141" s="2" t="str">
        <f>'LOS MILITARES-BCI'!S12</f>
        <v>-</v>
      </c>
      <c r="U141" s="2" t="str">
        <f>'LOS MILITARES-BCI'!T12</f>
        <v>-</v>
      </c>
      <c r="V141" s="2" t="str">
        <f>'LOS MILITARES-BCI'!U12</f>
        <v>-</v>
      </c>
      <c r="W141" s="2" t="str">
        <f>'LOS MILITARES-BCI'!V12</f>
        <v>-</v>
      </c>
      <c r="X141" s="2" t="str">
        <f>'LOS MILITARES-BCI'!W12</f>
        <v>-</v>
      </c>
      <c r="Y141" s="2" t="str">
        <f>'LOS MILITARES-BCI'!X12</f>
        <v>-</v>
      </c>
      <c r="Z141" s="2" t="str">
        <f>'LOS MILITARES-BCI'!Y12</f>
        <v>-</v>
      </c>
      <c r="AA141" s="2" t="str">
        <f>'LOS MILITARES-BCI'!Z12</f>
        <v>-</v>
      </c>
      <c r="AB141" s="2">
        <f>'LOS MILITARES-BCI'!AA12</f>
        <v>1</v>
      </c>
      <c r="AC141" s="2" t="str">
        <f>'LOS MILITARES-BCI'!AB12</f>
        <v/>
      </c>
      <c r="AD141" s="2" t="str">
        <f>'LOS MILITARES-BCI'!AC12</f>
        <v/>
      </c>
      <c r="AE141" s="2">
        <f>'LOS MILITARES-BCI'!AD12</f>
        <v>1</v>
      </c>
      <c r="AF141" s="2" t="str">
        <f>'LOS MILITARES-BCI'!AE12</f>
        <v/>
      </c>
      <c r="AG141" s="2">
        <f>'LOS MILITARES-BCI'!AF12</f>
        <v>1</v>
      </c>
      <c r="AH141" s="2">
        <f>'LOS MILITARES-BCI'!AG12</f>
        <v>1</v>
      </c>
      <c r="AI141" s="2">
        <f>'LOS MILITARES-BCI'!AH12</f>
        <v>0</v>
      </c>
      <c r="AJ141" s="2">
        <f>'LOS MILITARES-BCI'!AI12</f>
        <v>4</v>
      </c>
      <c r="AK141" s="2">
        <f>'LOS MILITARES-BCI'!AJ12</f>
        <v>4</v>
      </c>
      <c r="AL141" s="2">
        <f>'LOS MILITARES-BCI'!AK12</f>
        <v>2</v>
      </c>
      <c r="AM141" s="2">
        <f>'LOS MILITARES-BCI'!AL12</f>
        <v>1</v>
      </c>
      <c r="AN141" s="2">
        <f>'LOS MILITARES-BCI'!AM12</f>
        <v>0</v>
      </c>
      <c r="AO141" s="2">
        <f>'LOS MILITARES-BCI'!AN12</f>
        <v>1</v>
      </c>
      <c r="AP141" s="2">
        <f>'LOS MILITARES-BCI'!AO12</f>
        <v>2</v>
      </c>
      <c r="AQ141" s="2">
        <f>'LOS MILITARES-BCI'!AP12</f>
        <v>2</v>
      </c>
      <c r="AR141" s="2">
        <f>'LOS MILITARES-BCI'!AQ12</f>
        <v>2</v>
      </c>
      <c r="AS141" s="2">
        <f>'LOS MILITARES-BCI'!AR12</f>
        <v>2</v>
      </c>
      <c r="AT141" s="2">
        <f>'LOS MILITARES-BCI'!AS12</f>
        <v>2</v>
      </c>
      <c r="AU141" s="2">
        <f>'LOS MILITARES-BCI'!AT12</f>
        <v>2</v>
      </c>
      <c r="AV141" s="2">
        <f>'LOS MILITARES-BCI'!AU12</f>
        <v>1</v>
      </c>
      <c r="AW141" s="2">
        <f>'LOS MILITARES-BCI'!AV12</f>
        <v>1</v>
      </c>
      <c r="AX141" s="2">
        <f>'LOS MILITARES-BCI'!AW12</f>
        <v>2</v>
      </c>
      <c r="AY141" s="2">
        <f>'LOS MILITARES-BCI'!AX12</f>
        <v>2</v>
      </c>
      <c r="AZ141" s="2">
        <f>'LOS MILITARES-BCI'!AY12</f>
        <v>1</v>
      </c>
      <c r="BA141" s="2">
        <f>'LOS MILITARES-BCI'!AZ12</f>
        <v>1</v>
      </c>
      <c r="BB141" s="2">
        <f>'LOS MILITARES-BCI'!BA12</f>
        <v>1</v>
      </c>
      <c r="BC141" s="2">
        <f>'LOS MILITARES-BCI'!BB12</f>
        <v>1</v>
      </c>
      <c r="BD141" s="2">
        <f>'LOS MILITARES-BCI'!BC12</f>
        <v>1</v>
      </c>
      <c r="BE141" s="2">
        <f>'LOS MILITARES-BCI'!BD12</f>
        <v>0</v>
      </c>
      <c r="BF141" s="2">
        <f>'LOS MILITARES-BCI'!BE12</f>
        <v>1</v>
      </c>
      <c r="BG141" s="2">
        <f>'LOS MILITARES-BCI'!BF12</f>
        <v>1</v>
      </c>
      <c r="BH141" s="2">
        <f>'LOS MILITARES-BCI'!BG12</f>
        <v>0</v>
      </c>
      <c r="BI141" s="2">
        <f>'LOS MILITARES-BCI'!BH12</f>
        <v>0</v>
      </c>
      <c r="BJ141" s="2">
        <f>'LOS MILITARES-BCI'!BI12</f>
        <v>0</v>
      </c>
      <c r="BK141" s="2">
        <f>'LOS MILITARES-BCI'!BJ12</f>
        <v>0</v>
      </c>
      <c r="BL141" s="2">
        <f>'LOS MILITARES-BCI'!BK12</f>
        <v>0</v>
      </c>
      <c r="BM141" s="2">
        <f>'LOS MILITARES-BCI'!BL12</f>
        <v>1</v>
      </c>
      <c r="BN141" s="2">
        <f>'LOS MILITARES-BCI'!BM12</f>
        <v>1</v>
      </c>
      <c r="BO141" s="2">
        <f>'LOS MILITARES-BCI'!BN12</f>
        <v>0</v>
      </c>
      <c r="BP141" s="2" t="str">
        <f>'LOS MILITARES-BCI'!BO12</f>
        <v/>
      </c>
      <c r="BQ141" s="2" t="str">
        <f>'LOS MILITARES-BCI'!BP12</f>
        <v/>
      </c>
      <c r="BR141" s="2" t="str">
        <f>'LOS MILITARES-BCI'!BQ12</f>
        <v/>
      </c>
      <c r="BS141" s="2" t="str">
        <f>'LOS MILITARES-BCI'!BR12</f>
        <v/>
      </c>
      <c r="BT141" s="2" t="str">
        <f>'LOS MILITARES-BCI'!BS12</f>
        <v/>
      </c>
      <c r="BU141" s="2"/>
      <c r="BV141" s="2" t="str">
        <f>'LOS MILITARES-BCI'!BR13</f>
        <v/>
      </c>
      <c r="BW141" s="2" t="str">
        <f>'LOS MILITARES-BCI'!BS13</f>
        <v/>
      </c>
      <c r="BX141" s="2" t="str">
        <f>'LOS MILITARES-BCI'!BT13</f>
        <v/>
      </c>
      <c r="BY141" s="2"/>
      <c r="BZ141" s="2"/>
      <c r="CA141" s="2"/>
      <c r="CB141" s="2"/>
      <c r="CC141" s="2"/>
    </row>
    <row r="142">
      <c r="A142" s="2"/>
      <c r="B142" s="2" t="str">
        <f>'LOS MILITARES-BCI'!A13</f>
        <v>Los Militares</v>
      </c>
      <c r="C142" s="2" t="str">
        <f>'LOS MILITARES-BCI'!B13</f>
        <v>Aseo</v>
      </c>
      <c r="D142" s="2" t="str">
        <f>'LOS MILITARES-BCI'!C13</f>
        <v>Limpia Piso</v>
      </c>
      <c r="E142" s="2" t="str">
        <f>'LOS MILITARES-BCI'!D13</f>
        <v/>
      </c>
      <c r="F142" s="2" t="str">
        <f>'LOS MILITARES-BCI'!E13</f>
        <v/>
      </c>
      <c r="G142" s="2" t="str">
        <f>'LOS MILITARES-BCI'!F13</f>
        <v/>
      </c>
      <c r="H142" s="2" t="str">
        <f>'LOS MILITARES-BCI'!G13</f>
        <v/>
      </c>
      <c r="I142" s="2" t="str">
        <f>'LOS MILITARES-BCI'!H13</f>
        <v/>
      </c>
      <c r="J142" s="2" t="str">
        <f>'LOS MILITARES-BCI'!I13</f>
        <v/>
      </c>
      <c r="K142" s="2" t="str">
        <f>'LOS MILITARES-BCI'!J13</f>
        <v/>
      </c>
      <c r="L142" s="2" t="str">
        <f>'LOS MILITARES-BCI'!K13</f>
        <v/>
      </c>
      <c r="M142" s="2" t="str">
        <f>'LOS MILITARES-BCI'!L13</f>
        <v/>
      </c>
      <c r="N142" s="2" t="str">
        <f>'LOS MILITARES-BCI'!M13</f>
        <v/>
      </c>
      <c r="O142" s="2" t="str">
        <f>'LOS MILITARES-BCI'!N13</f>
        <v/>
      </c>
      <c r="P142" s="2" t="str">
        <f>'LOS MILITARES-BCI'!O13</f>
        <v/>
      </c>
      <c r="Q142" s="2" t="str">
        <f>'LOS MILITARES-BCI'!P13</f>
        <v/>
      </c>
      <c r="R142" s="2" t="str">
        <f>'LOS MILITARES-BCI'!Q13</f>
        <v/>
      </c>
      <c r="S142" s="2" t="str">
        <f>'LOS MILITARES-BCI'!R13</f>
        <v/>
      </c>
      <c r="T142" s="2" t="str">
        <f>'LOS MILITARES-BCI'!S13</f>
        <v>-</v>
      </c>
      <c r="U142" s="2" t="str">
        <f>'LOS MILITARES-BCI'!T13</f>
        <v>-</v>
      </c>
      <c r="V142" s="2" t="str">
        <f>'LOS MILITARES-BCI'!U13</f>
        <v>-</v>
      </c>
      <c r="W142" s="2" t="str">
        <f>'LOS MILITARES-BCI'!V13</f>
        <v>-</v>
      </c>
      <c r="X142" s="2" t="str">
        <f>'LOS MILITARES-BCI'!W13</f>
        <v>-</v>
      </c>
      <c r="Y142" s="2" t="str">
        <f>'LOS MILITARES-BCI'!X13</f>
        <v>-</v>
      </c>
      <c r="Z142" s="2" t="str">
        <f>'LOS MILITARES-BCI'!Y13</f>
        <v>-</v>
      </c>
      <c r="AA142" s="2" t="str">
        <f>'LOS MILITARES-BCI'!Z13</f>
        <v>-</v>
      </c>
      <c r="AB142" s="2" t="str">
        <f>'LOS MILITARES-BCI'!AA13</f>
        <v>-</v>
      </c>
      <c r="AC142" s="2" t="str">
        <f>'LOS MILITARES-BCI'!AB13</f>
        <v/>
      </c>
      <c r="AD142" s="2" t="str">
        <f>'LOS MILITARES-BCI'!AC13</f>
        <v/>
      </c>
      <c r="AE142" s="2" t="str">
        <f>'LOS MILITARES-BCI'!AD13</f>
        <v>1 Poet 4 lts</v>
      </c>
      <c r="AF142" s="2" t="str">
        <f>'LOS MILITARES-BCI'!AE13</f>
        <v/>
      </c>
      <c r="AG142" s="2">
        <f>'LOS MILITARES-BCI'!AF13</f>
        <v>1</v>
      </c>
      <c r="AH142" s="2">
        <f>'LOS MILITARES-BCI'!AG13</f>
        <v>1</v>
      </c>
      <c r="AI142" s="2">
        <f>'LOS MILITARES-BCI'!AH13</f>
        <v>1</v>
      </c>
      <c r="AJ142" s="2">
        <f>'LOS MILITARES-BCI'!AI13</f>
        <v>2</v>
      </c>
      <c r="AK142" s="2">
        <f>'LOS MILITARES-BCI'!AJ13</f>
        <v>2</v>
      </c>
      <c r="AL142" s="2">
        <f>'LOS MILITARES-BCI'!AK13</f>
        <v>2</v>
      </c>
      <c r="AM142" s="2">
        <f>'LOS MILITARES-BCI'!AL13</f>
        <v>1</v>
      </c>
      <c r="AN142" s="2">
        <f>'LOS MILITARES-BCI'!AM13</f>
        <v>0</v>
      </c>
      <c r="AO142" s="2">
        <f>'LOS MILITARES-BCI'!AN13</f>
        <v>1</v>
      </c>
      <c r="AP142" s="2">
        <f>'LOS MILITARES-BCI'!AO13</f>
        <v>3</v>
      </c>
      <c r="AQ142" s="2">
        <f>'LOS MILITARES-BCI'!AP13</f>
        <v>3</v>
      </c>
      <c r="AR142" s="2">
        <f>'LOS MILITARES-BCI'!AQ13</f>
        <v>3</v>
      </c>
      <c r="AS142" s="2">
        <f>'LOS MILITARES-BCI'!AR13</f>
        <v>3</v>
      </c>
      <c r="AT142" s="2">
        <f>'LOS MILITARES-BCI'!AS13</f>
        <v>3</v>
      </c>
      <c r="AU142" s="2">
        <f>'LOS MILITARES-BCI'!AT13</f>
        <v>2</v>
      </c>
      <c r="AV142" s="2">
        <f>'LOS MILITARES-BCI'!AU13</f>
        <v>2</v>
      </c>
      <c r="AW142" s="2">
        <f>'LOS MILITARES-BCI'!AV13</f>
        <v>2</v>
      </c>
      <c r="AX142" s="2" t="str">
        <f>'LOS MILITARES-BCI'!AW13</f>
        <v>2 1/2</v>
      </c>
      <c r="AY142" s="2">
        <f>'LOS MILITARES-BCI'!AX13</f>
        <v>2</v>
      </c>
      <c r="AZ142" s="2">
        <f>'LOS MILITARES-BCI'!AY13</f>
        <v>2</v>
      </c>
      <c r="BA142" s="2">
        <f>'LOS MILITARES-BCI'!AZ13</f>
        <v>2</v>
      </c>
      <c r="BB142" s="2">
        <f>'LOS MILITARES-BCI'!BA13</f>
        <v>2</v>
      </c>
      <c r="BC142" s="2">
        <f>'LOS MILITARES-BCI'!BB13</f>
        <v>3</v>
      </c>
      <c r="BD142" s="2">
        <f>'LOS MILITARES-BCI'!BC13</f>
        <v>2</v>
      </c>
      <c r="BE142" s="2">
        <f>'LOS MILITARES-BCI'!BD13</f>
        <v>2</v>
      </c>
      <c r="BF142" s="2">
        <f>'LOS MILITARES-BCI'!BE13</f>
        <v>2</v>
      </c>
      <c r="BG142" s="2">
        <f>'LOS MILITARES-BCI'!BF13</f>
        <v>2</v>
      </c>
      <c r="BH142" s="2">
        <f>'LOS MILITARES-BCI'!BG13</f>
        <v>2</v>
      </c>
      <c r="BI142" s="2">
        <f>'LOS MILITARES-BCI'!BH13</f>
        <v>2</v>
      </c>
      <c r="BJ142" s="2">
        <f>'LOS MILITARES-BCI'!BI13</f>
        <v>1</v>
      </c>
      <c r="BK142" s="2">
        <f>'LOS MILITARES-BCI'!BJ13</f>
        <v>0</v>
      </c>
      <c r="BL142" s="2">
        <f>'LOS MILITARES-BCI'!BK13</f>
        <v>0</v>
      </c>
      <c r="BM142" s="2">
        <f>'LOS MILITARES-BCI'!BL13</f>
        <v>0</v>
      </c>
      <c r="BN142" s="2">
        <f>'LOS MILITARES-BCI'!BM13</f>
        <v>0</v>
      </c>
      <c r="BO142" s="2">
        <f>'LOS MILITARES-BCI'!BN13</f>
        <v>0</v>
      </c>
      <c r="BP142" s="2" t="str">
        <f>'LOS MILITARES-BCI'!BO13</f>
        <v/>
      </c>
      <c r="BQ142" s="2" t="str">
        <f>'LOS MILITARES-BCI'!BP13</f>
        <v/>
      </c>
      <c r="BR142" s="2" t="str">
        <f>'LOS MILITARES-BCI'!BQ13</f>
        <v/>
      </c>
      <c r="BS142" s="2" t="str">
        <f>'LOS MILITARES-BCI'!BR13</f>
        <v/>
      </c>
      <c r="BT142" s="2" t="str">
        <f>'LOS MILITARES-BCI'!BS13</f>
        <v/>
      </c>
      <c r="BU142" s="2"/>
      <c r="BV142" s="2" t="str">
        <f>'LOS MILITARES-BCI'!BR14</f>
        <v/>
      </c>
      <c r="BW142" s="2" t="str">
        <f>'LOS MILITARES-BCI'!BS14</f>
        <v/>
      </c>
      <c r="BX142" s="2" t="str">
        <f>'LOS MILITARES-BCI'!BT14</f>
        <v/>
      </c>
      <c r="BY142" s="2"/>
      <c r="BZ142" s="2"/>
      <c r="CA142" s="2"/>
      <c r="CB142" s="2"/>
      <c r="CC142" s="2"/>
    </row>
    <row r="143">
      <c r="A143" s="2"/>
      <c r="B143" s="2" t="str">
        <f>'LOS MILITARES-BCI'!A14</f>
        <v>Los Militares</v>
      </c>
      <c r="C143" s="2" t="str">
        <f>'LOS MILITARES-BCI'!B14</f>
        <v>Aseo</v>
      </c>
      <c r="D143" s="2" t="str">
        <f>'LOS MILITARES-BCI'!C14</f>
        <v>Bolsas Basura 50x70</v>
      </c>
      <c r="E143" s="2" t="str">
        <f>'LOS MILITARES-BCI'!D14</f>
        <v/>
      </c>
      <c r="F143" s="2" t="str">
        <f>'LOS MILITARES-BCI'!E14</f>
        <v/>
      </c>
      <c r="G143" s="2" t="str">
        <f>'LOS MILITARES-BCI'!F14</f>
        <v/>
      </c>
      <c r="H143" s="2" t="str">
        <f>'LOS MILITARES-BCI'!G14</f>
        <v/>
      </c>
      <c r="I143" s="2" t="str">
        <f>'LOS MILITARES-BCI'!H14</f>
        <v/>
      </c>
      <c r="J143" s="2" t="str">
        <f>'LOS MILITARES-BCI'!I14</f>
        <v/>
      </c>
      <c r="K143" s="2" t="str">
        <f>'LOS MILITARES-BCI'!J14</f>
        <v/>
      </c>
      <c r="L143" s="2" t="str">
        <f>'LOS MILITARES-BCI'!K14</f>
        <v/>
      </c>
      <c r="M143" s="2" t="str">
        <f>'LOS MILITARES-BCI'!L14</f>
        <v/>
      </c>
      <c r="N143" s="2" t="str">
        <f>'LOS MILITARES-BCI'!M14</f>
        <v/>
      </c>
      <c r="O143" s="2" t="str">
        <f>'LOS MILITARES-BCI'!N14</f>
        <v/>
      </c>
      <c r="P143" s="2" t="str">
        <f>'LOS MILITARES-BCI'!O14</f>
        <v/>
      </c>
      <c r="Q143" s="2" t="str">
        <f>'LOS MILITARES-BCI'!P14</f>
        <v/>
      </c>
      <c r="R143" s="2" t="str">
        <f>'LOS MILITARES-BCI'!Q14</f>
        <v/>
      </c>
      <c r="S143" s="2" t="str">
        <f>'LOS MILITARES-BCI'!R14</f>
        <v/>
      </c>
      <c r="T143" s="2" t="str">
        <f>'LOS MILITARES-BCI'!S14</f>
        <v>-</v>
      </c>
      <c r="U143" s="2" t="str">
        <f>'LOS MILITARES-BCI'!T14</f>
        <v>-</v>
      </c>
      <c r="V143" s="2" t="str">
        <f>'LOS MILITARES-BCI'!U14</f>
        <v>-</v>
      </c>
      <c r="W143" s="2" t="str">
        <f>'LOS MILITARES-BCI'!V14</f>
        <v>-</v>
      </c>
      <c r="X143" s="2" t="str">
        <f>'LOS MILITARES-BCI'!W14</f>
        <v>-</v>
      </c>
      <c r="Y143" s="2" t="str">
        <f>'LOS MILITARES-BCI'!X14</f>
        <v>-</v>
      </c>
      <c r="Z143" s="2" t="str">
        <f>'LOS MILITARES-BCI'!Y14</f>
        <v>-</v>
      </c>
      <c r="AA143" s="2" t="str">
        <f>'LOS MILITARES-BCI'!Z14</f>
        <v>-</v>
      </c>
      <c r="AB143" s="2" t="str">
        <f>'LOS MILITARES-BCI'!AA14</f>
        <v>1 paquete (bolsa chica)</v>
      </c>
      <c r="AC143" s="2" t="str">
        <f>'LOS MILITARES-BCI'!AB14</f>
        <v/>
      </c>
      <c r="AD143" s="2" t="str">
        <f>'LOS MILITARES-BCI'!AC14</f>
        <v/>
      </c>
      <c r="AE143" s="2" t="str">
        <f>'LOS MILITARES-BCI'!AD14</f>
        <v>4 paquete (bolsa chica), 2 medianas y 2 grandes</v>
      </c>
      <c r="AF143" s="2" t="str">
        <f>'LOS MILITARES-BCI'!AE14</f>
        <v>-</v>
      </c>
      <c r="AG143" s="2" t="str">
        <f>'LOS MILITARES-BCI'!AF14</f>
        <v>3 chicas, 2 medianas, 2 grandes</v>
      </c>
      <c r="AH143" s="2" t="str">
        <f>'LOS MILITARES-BCI'!AG14</f>
        <v>1 grande - 1 mediana - 3 chicas</v>
      </c>
      <c r="AI143" s="2" t="str">
        <f>'LOS MILITARES-BCI'!AH14</f>
        <v>1 grande - 0 mediana - 2 chicas</v>
      </c>
      <c r="AJ143" s="2" t="str">
        <f>'LOS MILITARES-BCI'!AI14</f>
        <v>2 grande - 10 medianas - 10 chicas</v>
      </c>
      <c r="AK143" s="2" t="str">
        <f>'LOS MILITARES-BCI'!AJ14</f>
        <v>5 grandes- 7 medianas y 6 chicas</v>
      </c>
      <c r="AL143" s="2" t="str">
        <f>'LOS MILITARES-BCI'!AK14</f>
        <v>1 grande - 1 mediana - 3 chicas</v>
      </c>
      <c r="AM143" s="2" t="str">
        <f>'LOS MILITARES-BCI'!AL14</f>
        <v>2 grande - 0 mediana - 3 chicas</v>
      </c>
      <c r="AN143" s="2" t="str">
        <f>'LOS MILITARES-BCI'!AM14</f>
        <v>grandes 0 - mediana 0 - chica 1</v>
      </c>
      <c r="AO143" s="2" t="str">
        <f>'LOS MILITARES-BCI'!AN14</f>
        <v/>
      </c>
      <c r="AP143" s="2" t="str">
        <f>'LOS MILITARES-BCI'!AO14</f>
        <v/>
      </c>
      <c r="AQ143" s="2">
        <f>'LOS MILITARES-BCI'!AP14</f>
        <v>4</v>
      </c>
      <c r="AR143" s="2">
        <f>'LOS MILITARES-BCI'!AQ14</f>
        <v>1</v>
      </c>
      <c r="AS143" s="2">
        <f>'LOS MILITARES-BCI'!AR14</f>
        <v>1</v>
      </c>
      <c r="AT143" s="2">
        <f>'LOS MILITARES-BCI'!AS14</f>
        <v>0</v>
      </c>
      <c r="AU143" s="2">
        <f>'LOS MILITARES-BCI'!AT14</f>
        <v>0</v>
      </c>
      <c r="AV143" s="2">
        <f>'LOS MILITARES-BCI'!AU14</f>
        <v>6</v>
      </c>
      <c r="AW143" s="2">
        <f>'LOS MILITARES-BCI'!AV14</f>
        <v>4</v>
      </c>
      <c r="AX143" s="2">
        <f>'LOS MILITARES-BCI'!AW14</f>
        <v>8</v>
      </c>
      <c r="AY143" s="2" t="str">
        <f>'LOS MILITARES-BCI'!AX14</f>
        <v>20 unidades</v>
      </c>
      <c r="AZ143" s="2" t="str">
        <f>'LOS MILITARES-BCI'!AY14</f>
        <v>20 unidades</v>
      </c>
      <c r="BA143" s="2" t="str">
        <f>'LOS MILITARES-BCI'!AZ14</f>
        <v>15 unidades</v>
      </c>
      <c r="BB143" s="2" t="str">
        <f>'LOS MILITARES-BCI'!BA14</f>
        <v>10 unidades</v>
      </c>
      <c r="BC143" s="2" t="str">
        <f>'LOS MILITARES-BCI'!BB14</f>
        <v>10 paquetes</v>
      </c>
      <c r="BD143" s="2" t="str">
        <f>'LOS MILITARES-BCI'!BC14</f>
        <v>10 paquetes</v>
      </c>
      <c r="BE143" s="2" t="str">
        <f>'LOS MILITARES-BCI'!BD14</f>
        <v>5 paquetes</v>
      </c>
      <c r="BF143" s="2" t="str">
        <f>'LOS MILITARES-BCI'!BE14</f>
        <v>10 paquetes</v>
      </c>
      <c r="BG143" s="2" t="str">
        <f>'LOS MILITARES-BCI'!BF14</f>
        <v>10 paquetes</v>
      </c>
      <c r="BH143" s="2" t="str">
        <f>'LOS MILITARES-BCI'!BG14</f>
        <v>6 paquetes</v>
      </c>
      <c r="BI143" s="2">
        <f>'LOS MILITARES-BCI'!BH14</f>
        <v>0</v>
      </c>
      <c r="BJ143" s="2" t="str">
        <f>'LOS MILITARES-BCI'!BI14</f>
        <v>1 paquete</v>
      </c>
      <c r="BK143" s="2">
        <f>'LOS MILITARES-BCI'!BJ14</f>
        <v>0</v>
      </c>
      <c r="BL143" s="2" t="str">
        <f>'LOS MILITARES-BCI'!BK14</f>
        <v>09 paquetes</v>
      </c>
      <c r="BM143" s="2">
        <f>'LOS MILITARES-BCI'!BL14</f>
        <v>0</v>
      </c>
      <c r="BN143" s="2">
        <f>'LOS MILITARES-BCI'!BM14</f>
        <v>0</v>
      </c>
      <c r="BO143" s="2">
        <f>'LOS MILITARES-BCI'!BN14</f>
        <v>0</v>
      </c>
      <c r="BP143" s="2" t="str">
        <f>'LOS MILITARES-BCI'!BO14</f>
        <v/>
      </c>
      <c r="BQ143" s="2" t="str">
        <f>'LOS MILITARES-BCI'!BP14</f>
        <v/>
      </c>
      <c r="BR143" s="2" t="str">
        <f>'LOS MILITARES-BCI'!BQ14</f>
        <v/>
      </c>
      <c r="BS143" s="2" t="str">
        <f>'LOS MILITARES-BCI'!BR14</f>
        <v/>
      </c>
      <c r="BT143" s="2" t="str">
        <f>'LOS MILITARES-BCI'!BS14</f>
        <v/>
      </c>
      <c r="BU143" s="2"/>
      <c r="BV143" s="2" t="str">
        <f>'LOS MILITARES-BCI'!BR17</f>
        <v/>
      </c>
      <c r="BW143" s="2" t="str">
        <f>'LOS MILITARES-BCI'!BS17</f>
        <v/>
      </c>
      <c r="BX143" s="2" t="str">
        <f>'LOS MILITARES-BCI'!BT17</f>
        <v/>
      </c>
      <c r="BY143" s="2"/>
      <c r="BZ143" s="2"/>
      <c r="CA143" s="2"/>
      <c r="CB143" s="2"/>
      <c r="CC143" s="2"/>
    </row>
    <row r="144">
      <c r="A144" s="2"/>
      <c r="B144" s="2" t="str">
        <f>'LOS MILITARES-BCI'!A15</f>
        <v>Los Militares</v>
      </c>
      <c r="C144" s="2" t="str">
        <f>'LOS MILITARES-BCI'!B15</f>
        <v>Aseo</v>
      </c>
      <c r="D144" s="2" t="str">
        <f>'LOS MILITARES-BCI'!C15</f>
        <v>Bolsas Basura 70x90</v>
      </c>
      <c r="E144" s="2" t="str">
        <f>'LOS MILITARES-BCI'!D15</f>
        <v/>
      </c>
      <c r="F144" s="2" t="str">
        <f>'LOS MILITARES-BCI'!E15</f>
        <v/>
      </c>
      <c r="G144" s="2" t="str">
        <f>'LOS MILITARES-BCI'!F15</f>
        <v/>
      </c>
      <c r="H144" s="2" t="str">
        <f>'LOS MILITARES-BCI'!G15</f>
        <v/>
      </c>
      <c r="I144" s="2" t="str">
        <f>'LOS MILITARES-BCI'!H15</f>
        <v/>
      </c>
      <c r="J144" s="2" t="str">
        <f>'LOS MILITARES-BCI'!I15</f>
        <v/>
      </c>
      <c r="K144" s="2" t="str">
        <f>'LOS MILITARES-BCI'!J15</f>
        <v/>
      </c>
      <c r="L144" s="2" t="str">
        <f>'LOS MILITARES-BCI'!K15</f>
        <v/>
      </c>
      <c r="M144" s="2" t="str">
        <f>'LOS MILITARES-BCI'!L15</f>
        <v/>
      </c>
      <c r="N144" s="2" t="str">
        <f>'LOS MILITARES-BCI'!M15</f>
        <v/>
      </c>
      <c r="O144" s="2" t="str">
        <f>'LOS MILITARES-BCI'!N15</f>
        <v/>
      </c>
      <c r="P144" s="2" t="str">
        <f>'LOS MILITARES-BCI'!O15</f>
        <v/>
      </c>
      <c r="Q144" s="2" t="str">
        <f>'LOS MILITARES-BCI'!P15</f>
        <v/>
      </c>
      <c r="R144" s="2" t="str">
        <f>'LOS MILITARES-BCI'!Q15</f>
        <v/>
      </c>
      <c r="S144" s="2" t="str">
        <f>'LOS MILITARES-BCI'!R15</f>
        <v/>
      </c>
      <c r="T144" s="2" t="str">
        <f>'LOS MILITARES-BCI'!S15</f>
        <v/>
      </c>
      <c r="U144" s="2" t="str">
        <f>'LOS MILITARES-BCI'!T15</f>
        <v/>
      </c>
      <c r="V144" s="2" t="str">
        <f>'LOS MILITARES-BCI'!U15</f>
        <v/>
      </c>
      <c r="W144" s="2" t="str">
        <f>'LOS MILITARES-BCI'!V15</f>
        <v/>
      </c>
      <c r="X144" s="2" t="str">
        <f>'LOS MILITARES-BCI'!W15</f>
        <v/>
      </c>
      <c r="Y144" s="2" t="str">
        <f>'LOS MILITARES-BCI'!X15</f>
        <v/>
      </c>
      <c r="Z144" s="2" t="str">
        <f>'LOS MILITARES-BCI'!Y15</f>
        <v/>
      </c>
      <c r="AA144" s="2" t="str">
        <f>'LOS MILITARES-BCI'!Z15</f>
        <v/>
      </c>
      <c r="AB144" s="2" t="str">
        <f>'LOS MILITARES-BCI'!AA15</f>
        <v/>
      </c>
      <c r="AC144" s="2" t="str">
        <f>'LOS MILITARES-BCI'!AB15</f>
        <v/>
      </c>
      <c r="AD144" s="2" t="str">
        <f>'LOS MILITARES-BCI'!AC15</f>
        <v/>
      </c>
      <c r="AE144" s="2" t="str">
        <f>'LOS MILITARES-BCI'!AD15</f>
        <v/>
      </c>
      <c r="AF144" s="2" t="str">
        <f>'LOS MILITARES-BCI'!AE15</f>
        <v/>
      </c>
      <c r="AG144" s="2" t="str">
        <f>'LOS MILITARES-BCI'!AF15</f>
        <v/>
      </c>
      <c r="AH144" s="2" t="str">
        <f>'LOS MILITARES-BCI'!AG15</f>
        <v/>
      </c>
      <c r="AI144" s="2" t="str">
        <f>'LOS MILITARES-BCI'!AH15</f>
        <v/>
      </c>
      <c r="AJ144" s="2" t="str">
        <f>'LOS MILITARES-BCI'!AI15</f>
        <v/>
      </c>
      <c r="AK144" s="2" t="str">
        <f>'LOS MILITARES-BCI'!AJ15</f>
        <v/>
      </c>
      <c r="AL144" s="2" t="str">
        <f>'LOS MILITARES-BCI'!AK15</f>
        <v/>
      </c>
      <c r="AM144" s="2" t="str">
        <f>'LOS MILITARES-BCI'!AL15</f>
        <v/>
      </c>
      <c r="AN144" s="2" t="str">
        <f>'LOS MILITARES-BCI'!AM15</f>
        <v/>
      </c>
      <c r="AO144" s="2" t="str">
        <f>'LOS MILITARES-BCI'!AN15</f>
        <v/>
      </c>
      <c r="AP144" s="2" t="str">
        <f>'LOS MILITARES-BCI'!AO15</f>
        <v/>
      </c>
      <c r="AQ144" s="2">
        <f>'LOS MILITARES-BCI'!AP15</f>
        <v>4</v>
      </c>
      <c r="AR144" s="2">
        <f>'LOS MILITARES-BCI'!AQ15</f>
        <v>0</v>
      </c>
      <c r="AS144" s="2">
        <f>'LOS MILITARES-BCI'!AR15</f>
        <v>0</v>
      </c>
      <c r="AT144" s="2">
        <f>'LOS MILITARES-BCI'!AS15</f>
        <v>4</v>
      </c>
      <c r="AU144" s="2">
        <f>'LOS MILITARES-BCI'!AT15</f>
        <v>0</v>
      </c>
      <c r="AV144" s="2">
        <f>'LOS MILITARES-BCI'!AU15</f>
        <v>6</v>
      </c>
      <c r="AW144" s="2">
        <f>'LOS MILITARES-BCI'!AV15</f>
        <v>5</v>
      </c>
      <c r="AX144" s="2">
        <f>'LOS MILITARES-BCI'!AW15</f>
        <v>5</v>
      </c>
      <c r="AY144" s="2" t="str">
        <f>'LOS MILITARES-BCI'!AX15</f>
        <v>30unidades</v>
      </c>
      <c r="AZ144" s="2" t="str">
        <f>'LOS MILITARES-BCI'!AY15</f>
        <v>30unidades</v>
      </c>
      <c r="BA144" s="2" t="str">
        <f>'LOS MILITARES-BCI'!AZ15</f>
        <v>20 unidades</v>
      </c>
      <c r="BB144" s="2" t="str">
        <f>'LOS MILITARES-BCI'!BA15</f>
        <v>15 unidades</v>
      </c>
      <c r="BC144" s="2" t="str">
        <f>'LOS MILITARES-BCI'!BB15</f>
        <v>10 paquetes</v>
      </c>
      <c r="BD144" s="2" t="str">
        <f>'LOS MILITARES-BCI'!BC15</f>
        <v>10 paquetes</v>
      </c>
      <c r="BE144" s="2" t="str">
        <f>'LOS MILITARES-BCI'!BD15</f>
        <v>6 paquetes</v>
      </c>
      <c r="BF144" s="2" t="str">
        <f>'LOS MILITARES-BCI'!BE15</f>
        <v>10 paquetes</v>
      </c>
      <c r="BG144" s="2" t="str">
        <f>'LOS MILITARES-BCI'!BF15</f>
        <v>10 paquetes</v>
      </c>
      <c r="BH144" s="2" t="str">
        <f>'LOS MILITARES-BCI'!BG15</f>
        <v>3 paquetes</v>
      </c>
      <c r="BI144" s="2" t="str">
        <f>'LOS MILITARES-BCI'!BH15</f>
        <v>2 paquetes</v>
      </c>
      <c r="BJ144" s="2">
        <f>'LOS MILITARES-BCI'!BI15</f>
        <v>0</v>
      </c>
      <c r="BK144" s="2">
        <f>'LOS MILITARES-BCI'!BJ15</f>
        <v>0</v>
      </c>
      <c r="BL144" s="2" t="str">
        <f>'LOS MILITARES-BCI'!BK15</f>
        <v>08 paquetes</v>
      </c>
      <c r="BM144" s="2" t="str">
        <f>'LOS MILITARES-BCI'!BL15</f>
        <v>4 paquetes</v>
      </c>
      <c r="BN144" s="2" t="str">
        <f>'LOS MILITARES-BCI'!BM15</f>
        <v>4 paquetes</v>
      </c>
      <c r="BO144" s="2" t="str">
        <f>'LOS MILITARES-BCI'!BN15</f>
        <v>2 paquetes</v>
      </c>
      <c r="BP144" s="2" t="str">
        <f>'LOS MILITARES-BCI'!BO15</f>
        <v/>
      </c>
      <c r="BQ144" s="2" t="str">
        <f>'LOS MILITARES-BCI'!BP15</f>
        <v/>
      </c>
      <c r="BR144" s="2" t="str">
        <f>'LOS MILITARES-BCI'!BQ15</f>
        <v/>
      </c>
      <c r="BS144" s="2" t="str">
        <f>'LOS MILITARES-BCI'!BR15</f>
        <v/>
      </c>
      <c r="BT144" s="2" t="str">
        <f>'LOS MILITARES-BCI'!BS15</f>
        <v/>
      </c>
      <c r="BU144" s="2"/>
      <c r="BV144" s="2" t="str">
        <f>'LOS MILITARES-BCI'!BR18</f>
        <v/>
      </c>
      <c r="BW144" s="2" t="str">
        <f>'LOS MILITARES-BCI'!BS18</f>
        <v/>
      </c>
      <c r="BX144" s="2" t="str">
        <f>'LOS MILITARES-BCI'!BT18</f>
        <v/>
      </c>
      <c r="BY144" s="2"/>
      <c r="BZ144" s="2"/>
      <c r="CA144" s="2"/>
      <c r="CB144" s="2"/>
      <c r="CC144" s="2"/>
    </row>
    <row r="145">
      <c r="A145" s="2"/>
      <c r="B145" s="2" t="str">
        <f>'LOS MILITARES-BCI'!A16</f>
        <v>Los Militares</v>
      </c>
      <c r="C145" s="2" t="str">
        <f>'LOS MILITARES-BCI'!B16</f>
        <v>Aseo</v>
      </c>
      <c r="D145" s="2" t="str">
        <f>'LOS MILITARES-BCI'!C16</f>
        <v>Bolsas Basura 80x110</v>
      </c>
      <c r="E145" s="2" t="str">
        <f>'LOS MILITARES-BCI'!D16</f>
        <v/>
      </c>
      <c r="F145" s="2" t="str">
        <f>'LOS MILITARES-BCI'!E16</f>
        <v/>
      </c>
      <c r="G145" s="2" t="str">
        <f>'LOS MILITARES-BCI'!F16</f>
        <v/>
      </c>
      <c r="H145" s="2" t="str">
        <f>'LOS MILITARES-BCI'!G16</f>
        <v/>
      </c>
      <c r="I145" s="2" t="str">
        <f>'LOS MILITARES-BCI'!H16</f>
        <v/>
      </c>
      <c r="J145" s="2" t="str">
        <f>'LOS MILITARES-BCI'!I16</f>
        <v/>
      </c>
      <c r="K145" s="2" t="str">
        <f>'LOS MILITARES-BCI'!J16</f>
        <v/>
      </c>
      <c r="L145" s="2" t="str">
        <f>'LOS MILITARES-BCI'!K16</f>
        <v/>
      </c>
      <c r="M145" s="2" t="str">
        <f>'LOS MILITARES-BCI'!L16</f>
        <v/>
      </c>
      <c r="N145" s="2" t="str">
        <f>'LOS MILITARES-BCI'!M16</f>
        <v/>
      </c>
      <c r="O145" s="2" t="str">
        <f>'LOS MILITARES-BCI'!N16</f>
        <v/>
      </c>
      <c r="P145" s="2" t="str">
        <f>'LOS MILITARES-BCI'!O16</f>
        <v/>
      </c>
      <c r="Q145" s="2" t="str">
        <f>'LOS MILITARES-BCI'!P16</f>
        <v/>
      </c>
      <c r="R145" s="2" t="str">
        <f>'LOS MILITARES-BCI'!Q16</f>
        <v/>
      </c>
      <c r="S145" s="2" t="str">
        <f>'LOS MILITARES-BCI'!R16</f>
        <v/>
      </c>
      <c r="T145" s="2" t="str">
        <f>'LOS MILITARES-BCI'!S16</f>
        <v/>
      </c>
      <c r="U145" s="2" t="str">
        <f>'LOS MILITARES-BCI'!T16</f>
        <v/>
      </c>
      <c r="V145" s="2" t="str">
        <f>'LOS MILITARES-BCI'!U16</f>
        <v/>
      </c>
      <c r="W145" s="2" t="str">
        <f>'LOS MILITARES-BCI'!V16</f>
        <v/>
      </c>
      <c r="X145" s="2" t="str">
        <f>'LOS MILITARES-BCI'!W16</f>
        <v/>
      </c>
      <c r="Y145" s="2" t="str">
        <f>'LOS MILITARES-BCI'!X16</f>
        <v/>
      </c>
      <c r="Z145" s="2" t="str">
        <f>'LOS MILITARES-BCI'!Y16</f>
        <v/>
      </c>
      <c r="AA145" s="2" t="str">
        <f>'LOS MILITARES-BCI'!Z16</f>
        <v/>
      </c>
      <c r="AB145" s="2" t="str">
        <f>'LOS MILITARES-BCI'!AA16</f>
        <v/>
      </c>
      <c r="AC145" s="2" t="str">
        <f>'LOS MILITARES-BCI'!AB16</f>
        <v/>
      </c>
      <c r="AD145" s="2" t="str">
        <f>'LOS MILITARES-BCI'!AC16</f>
        <v/>
      </c>
      <c r="AE145" s="2" t="str">
        <f>'LOS MILITARES-BCI'!AD16</f>
        <v/>
      </c>
      <c r="AF145" s="2" t="str">
        <f>'LOS MILITARES-BCI'!AE16</f>
        <v/>
      </c>
      <c r="AG145" s="2" t="str">
        <f>'LOS MILITARES-BCI'!AF16</f>
        <v/>
      </c>
      <c r="AH145" s="2" t="str">
        <f>'LOS MILITARES-BCI'!AG16</f>
        <v/>
      </c>
      <c r="AI145" s="2" t="str">
        <f>'LOS MILITARES-BCI'!AH16</f>
        <v/>
      </c>
      <c r="AJ145" s="2" t="str">
        <f>'LOS MILITARES-BCI'!AI16</f>
        <v/>
      </c>
      <c r="AK145" s="2" t="str">
        <f>'LOS MILITARES-BCI'!AJ16</f>
        <v/>
      </c>
      <c r="AL145" s="2" t="str">
        <f>'LOS MILITARES-BCI'!AK16</f>
        <v/>
      </c>
      <c r="AM145" s="2" t="str">
        <f>'LOS MILITARES-BCI'!AL16</f>
        <v/>
      </c>
      <c r="AN145" s="2" t="str">
        <f>'LOS MILITARES-BCI'!AM16</f>
        <v/>
      </c>
      <c r="AO145" s="2" t="str">
        <f>'LOS MILITARES-BCI'!AN16</f>
        <v/>
      </c>
      <c r="AP145" s="2" t="str">
        <f>'LOS MILITARES-BCI'!AO16</f>
        <v/>
      </c>
      <c r="AQ145" s="2">
        <f>'LOS MILITARES-BCI'!AP16</f>
        <v>4</v>
      </c>
      <c r="AR145" s="2">
        <f>'LOS MILITARES-BCI'!AQ16</f>
        <v>4</v>
      </c>
      <c r="AS145" s="2">
        <f>'LOS MILITARES-BCI'!AR16</f>
        <v>4</v>
      </c>
      <c r="AT145" s="2">
        <f>'LOS MILITARES-BCI'!AS16</f>
        <v>2</v>
      </c>
      <c r="AU145" s="2">
        <f>'LOS MILITARES-BCI'!AT16</f>
        <v>2</v>
      </c>
      <c r="AV145" s="2">
        <f>'LOS MILITARES-BCI'!AU16</f>
        <v>6</v>
      </c>
      <c r="AW145" s="2">
        <f>'LOS MILITARES-BCI'!AV16</f>
        <v>5</v>
      </c>
      <c r="AX145" s="2">
        <f>'LOS MILITARES-BCI'!AW16</f>
        <v>3</v>
      </c>
      <c r="AY145" s="2" t="str">
        <f>'LOS MILITARES-BCI'!AX16</f>
        <v>30 unidades</v>
      </c>
      <c r="AZ145" s="2" t="str">
        <f>'LOS MILITARES-BCI'!AY16</f>
        <v>30 unidades</v>
      </c>
      <c r="BA145" s="2" t="str">
        <f>'LOS MILITARES-BCI'!AZ16</f>
        <v>10 unidades</v>
      </c>
      <c r="BB145" s="2" t="str">
        <f>'LOS MILITARES-BCI'!BA16</f>
        <v>5 unidades</v>
      </c>
      <c r="BC145" s="2" t="str">
        <f>'LOS MILITARES-BCI'!BB16</f>
        <v>10 paquetes</v>
      </c>
      <c r="BD145" s="2" t="str">
        <f>'LOS MILITARES-BCI'!BC16</f>
        <v>10 paquetes</v>
      </c>
      <c r="BE145" s="2" t="str">
        <f>'LOS MILITARES-BCI'!BD16</f>
        <v>8 paquetes</v>
      </c>
      <c r="BF145" s="2" t="str">
        <f>'LOS MILITARES-BCI'!BE16</f>
        <v>7 paquetes</v>
      </c>
      <c r="BG145" s="2" t="str">
        <f>'LOS MILITARES-BCI'!BF16</f>
        <v>7 paquetes</v>
      </c>
      <c r="BH145" s="2" t="str">
        <f>'LOS MILITARES-BCI'!BG16</f>
        <v>4 paquetes</v>
      </c>
      <c r="BI145" s="2" t="str">
        <f>'LOS MILITARES-BCI'!BH16</f>
        <v>4 paquetes</v>
      </c>
      <c r="BJ145" s="2" t="str">
        <f>'LOS MILITARES-BCI'!BI16</f>
        <v>2 paquetes</v>
      </c>
      <c r="BK145" s="2" t="str">
        <f>'LOS MILITARES-BCI'!BJ16</f>
        <v> 20 U</v>
      </c>
      <c r="BL145" s="2" t="str">
        <f>'LOS MILITARES-BCI'!BK16</f>
        <v>3 paquetes</v>
      </c>
      <c r="BM145" s="2" t="str">
        <f>'LOS MILITARES-BCI'!BL16</f>
        <v>5 paquetes</v>
      </c>
      <c r="BN145" s="2" t="str">
        <f>'LOS MILITARES-BCI'!BM16</f>
        <v>5 paquetes</v>
      </c>
      <c r="BO145" s="2" t="str">
        <f>'LOS MILITARES-BCI'!BN16</f>
        <v>1 paquete</v>
      </c>
      <c r="BP145" s="2" t="str">
        <f>'LOS MILITARES-BCI'!BO16</f>
        <v/>
      </c>
      <c r="BQ145" s="2" t="str">
        <f>'LOS MILITARES-BCI'!BP16</f>
        <v/>
      </c>
      <c r="BR145" s="2" t="str">
        <f>'LOS MILITARES-BCI'!BQ16</f>
        <v/>
      </c>
      <c r="BS145" s="2" t="str">
        <f>'LOS MILITARES-BCI'!BR16</f>
        <v/>
      </c>
      <c r="BT145" s="2" t="str">
        <f>'LOS MILITARES-BCI'!BS16</f>
        <v/>
      </c>
      <c r="BU145" s="2"/>
      <c r="BV145" s="2"/>
      <c r="BW145" s="2"/>
      <c r="BX145" s="2"/>
      <c r="BY145" s="2"/>
      <c r="BZ145" s="2"/>
      <c r="CA145" s="2"/>
      <c r="CB145" s="2"/>
      <c r="CC145" s="2"/>
    </row>
    <row r="146">
      <c r="A146" s="2"/>
      <c r="B146" s="2" t="str">
        <f>'LOS MILITARES-BCI'!A17</f>
        <v>Los Militares</v>
      </c>
      <c r="C146" s="2" t="str">
        <f>'LOS MILITARES-BCI'!B17</f>
        <v>Aseo</v>
      </c>
      <c r="D146" s="2" t="str">
        <f>'LOS MILITARES-BCI'!C17</f>
        <v>Esponja 4U</v>
      </c>
      <c r="E146" s="2" t="str">
        <f>'LOS MILITARES-BCI'!D17</f>
        <v/>
      </c>
      <c r="F146" s="2" t="str">
        <f>'LOS MILITARES-BCI'!E17</f>
        <v/>
      </c>
      <c r="G146" s="2" t="str">
        <f>'LOS MILITARES-BCI'!F17</f>
        <v/>
      </c>
      <c r="H146" s="2" t="str">
        <f>'LOS MILITARES-BCI'!G17</f>
        <v/>
      </c>
      <c r="I146" s="2" t="str">
        <f>'LOS MILITARES-BCI'!H17</f>
        <v/>
      </c>
      <c r="J146" s="2" t="str">
        <f>'LOS MILITARES-BCI'!I17</f>
        <v/>
      </c>
      <c r="K146" s="2" t="str">
        <f>'LOS MILITARES-BCI'!J17</f>
        <v/>
      </c>
      <c r="L146" s="2" t="str">
        <f>'LOS MILITARES-BCI'!K17</f>
        <v/>
      </c>
      <c r="M146" s="2" t="str">
        <f>'LOS MILITARES-BCI'!L17</f>
        <v/>
      </c>
      <c r="N146" s="2" t="str">
        <f>'LOS MILITARES-BCI'!M17</f>
        <v/>
      </c>
      <c r="O146" s="2" t="str">
        <f>'LOS MILITARES-BCI'!N17</f>
        <v/>
      </c>
      <c r="P146" s="2" t="str">
        <f>'LOS MILITARES-BCI'!O17</f>
        <v/>
      </c>
      <c r="Q146" s="2" t="str">
        <f>'LOS MILITARES-BCI'!P17</f>
        <v/>
      </c>
      <c r="R146" s="2" t="str">
        <f>'LOS MILITARES-BCI'!Q17</f>
        <v/>
      </c>
      <c r="S146" s="2" t="str">
        <f>'LOS MILITARES-BCI'!R17</f>
        <v/>
      </c>
      <c r="T146" s="2" t="str">
        <f>'LOS MILITARES-BCI'!S17</f>
        <v>-</v>
      </c>
      <c r="U146" s="2" t="str">
        <f>'LOS MILITARES-BCI'!T17</f>
        <v>-</v>
      </c>
      <c r="V146" s="2" t="str">
        <f>'LOS MILITARES-BCI'!U17</f>
        <v>-</v>
      </c>
      <c r="W146" s="2" t="str">
        <f>'LOS MILITARES-BCI'!V17</f>
        <v>-</v>
      </c>
      <c r="X146" s="2" t="str">
        <f>'LOS MILITARES-BCI'!W17</f>
        <v>-</v>
      </c>
      <c r="Y146" s="2" t="str">
        <f>'LOS MILITARES-BCI'!X17</f>
        <v>-</v>
      </c>
      <c r="Z146" s="2" t="str">
        <f>'LOS MILITARES-BCI'!Y17</f>
        <v>-</v>
      </c>
      <c r="AA146" s="2" t="str">
        <f>'LOS MILITARES-BCI'!Z17</f>
        <v>-</v>
      </c>
      <c r="AB146" s="2" t="str">
        <f>'LOS MILITARES-BCI'!AA17</f>
        <v>6 paquetes </v>
      </c>
      <c r="AC146" s="2" t="str">
        <f>'LOS MILITARES-BCI'!AB17</f>
        <v/>
      </c>
      <c r="AD146" s="2" t="str">
        <f>'LOS MILITARES-BCI'!AC17</f>
        <v/>
      </c>
      <c r="AE146" s="2" t="str">
        <f>'LOS MILITARES-BCI'!AD17</f>
        <v>7 paquetes</v>
      </c>
      <c r="AF146" s="2" t="str">
        <f>'LOS MILITARES-BCI'!AE17</f>
        <v/>
      </c>
      <c r="AG146" s="2" t="str">
        <f>'LOS MILITARES-BCI'!AF17</f>
        <v>7 paquetes</v>
      </c>
      <c r="AH146" s="2" t="str">
        <f>'LOS MILITARES-BCI'!AG17</f>
        <v>7 paquetes</v>
      </c>
      <c r="AI146" s="2" t="str">
        <f>'LOS MILITARES-BCI'!AH17</f>
        <v>7 paquetes</v>
      </c>
      <c r="AJ146" s="2" t="str">
        <f>'LOS MILITARES-BCI'!AI17</f>
        <v>7 paquetes</v>
      </c>
      <c r="AK146" s="2" t="str">
        <f>'LOS MILITARES-BCI'!AJ17</f>
        <v>7 paquetes</v>
      </c>
      <c r="AL146" s="2" t="str">
        <f>'LOS MILITARES-BCI'!AK17</f>
        <v>6 paquetes</v>
      </c>
      <c r="AM146" s="2" t="str">
        <f>'LOS MILITARES-BCI'!AL17</f>
        <v>5 paquetes</v>
      </c>
      <c r="AN146" s="2" t="str">
        <f>'LOS MILITARES-BCI'!AM17</f>
        <v>5 paquete</v>
      </c>
      <c r="AO146" s="2" t="str">
        <f>'LOS MILITARES-BCI'!AN17</f>
        <v>5 paquete</v>
      </c>
      <c r="AP146" s="2" t="str">
        <f>'LOS MILITARES-BCI'!AO17</f>
        <v>10 paquetes </v>
      </c>
      <c r="AQ146" s="2" t="str">
        <f>'LOS MILITARES-BCI'!AP17</f>
        <v>7 paquetes</v>
      </c>
      <c r="AR146" s="2" t="str">
        <f>'LOS MILITARES-BCI'!AQ17</f>
        <v>7 paquetes</v>
      </c>
      <c r="AS146" s="2" t="str">
        <f>'LOS MILITARES-BCI'!AR17</f>
        <v>7 paquetes</v>
      </c>
      <c r="AT146" s="2" t="str">
        <f>'LOS MILITARES-BCI'!AS17</f>
        <v>6 paquetes</v>
      </c>
      <c r="AU146" s="2" t="str">
        <f>'LOS MILITARES-BCI'!AT17</f>
        <v>6 paquetes</v>
      </c>
      <c r="AV146" s="2" t="str">
        <f>'LOS MILITARES-BCI'!AU17</f>
        <v>5 paquetes</v>
      </c>
      <c r="AW146" s="2" t="str">
        <f>'LOS MILITARES-BCI'!AV17</f>
        <v>5 paquetes</v>
      </c>
      <c r="AX146" s="2" t="str">
        <f>'LOS MILITARES-BCI'!AW17</f>
        <v>4 paquetes</v>
      </c>
      <c r="AY146" s="2" t="str">
        <f>'LOS MILITARES-BCI'!AX17</f>
        <v>4 paquetes</v>
      </c>
      <c r="AZ146" s="2" t="str">
        <f>'LOS MILITARES-BCI'!AY17</f>
        <v>4 paquetes</v>
      </c>
      <c r="BA146" s="2" t="str">
        <f>'LOS MILITARES-BCI'!AZ17</f>
        <v>4 paquetes</v>
      </c>
      <c r="BB146" s="2" t="str">
        <f>'LOS MILITARES-BCI'!BA17</f>
        <v>4 paquetes</v>
      </c>
      <c r="BC146" s="2">
        <f>'LOS MILITARES-BCI'!BB17</f>
        <v>4</v>
      </c>
      <c r="BD146" s="2" t="str">
        <f>'LOS MILITARES-BCI'!BC17</f>
        <v>4 paquetes</v>
      </c>
      <c r="BE146" s="2" t="str">
        <f>'LOS MILITARES-BCI'!BD17</f>
        <v>4 paquetes</v>
      </c>
      <c r="BF146" s="2" t="str">
        <f>'LOS MILITARES-BCI'!BE17</f>
        <v>4 paquetes</v>
      </c>
      <c r="BG146" s="2" t="str">
        <f>'LOS MILITARES-BCI'!BF17</f>
        <v>4 paquetes</v>
      </c>
      <c r="BH146" s="2" t="str">
        <f>'LOS MILITARES-BCI'!BG17</f>
        <v>3 paquetes</v>
      </c>
      <c r="BI146" s="2" t="str">
        <f>'LOS MILITARES-BCI'!BH17</f>
        <v>3 paquetes</v>
      </c>
      <c r="BJ146" s="2" t="str">
        <f>'LOS MILITARES-BCI'!BI17</f>
        <v>3 paquetes</v>
      </c>
      <c r="BK146" s="2" t="str">
        <f>'LOS MILITARES-BCI'!BJ17</f>
        <v>7U</v>
      </c>
      <c r="BL146" s="2" t="str">
        <f>'LOS MILITARES-BCI'!BK17</f>
        <v>3 paquetes</v>
      </c>
      <c r="BM146" s="2" t="str">
        <f>'LOS MILITARES-BCI'!BL17</f>
        <v>3 paquetes</v>
      </c>
      <c r="BN146" s="2" t="str">
        <f>'LOS MILITARES-BCI'!BM17</f>
        <v>3 paquetes</v>
      </c>
      <c r="BO146" s="2" t="str">
        <f>'LOS MILITARES-BCI'!BN17</f>
        <v>3 paquetes</v>
      </c>
      <c r="BP146" s="2" t="str">
        <f>'LOS MILITARES-BCI'!BO17</f>
        <v/>
      </c>
      <c r="BQ146" s="2" t="str">
        <f>'LOS MILITARES-BCI'!BP17</f>
        <v/>
      </c>
      <c r="BR146" s="2" t="str">
        <f>'LOS MILITARES-BCI'!BQ17</f>
        <v/>
      </c>
      <c r="BS146" s="2" t="str">
        <f>'LOS MILITARES-BCI'!BR17</f>
        <v/>
      </c>
      <c r="BT146" s="2" t="str">
        <f>'LOS MILITARES-BCI'!BS17</f>
        <v/>
      </c>
      <c r="BU146" s="2"/>
      <c r="BV146" s="2"/>
      <c r="BW146" s="2"/>
      <c r="BX146" s="2"/>
      <c r="BY146" s="2"/>
      <c r="BZ146" s="2"/>
      <c r="CA146" s="2"/>
      <c r="CB146" s="2"/>
      <c r="CC146" s="2"/>
    </row>
    <row r="147">
      <c r="A147" s="2"/>
      <c r="B147" s="2" t="str">
        <f>'LOS MILITARES-BCI'!A18</f>
        <v>Los Militares</v>
      </c>
      <c r="C147" s="2" t="str">
        <f>'LOS MILITARES-BCI'!B18</f>
        <v>Aseo</v>
      </c>
      <c r="D147" s="2" t="str">
        <f>'LOS MILITARES-BCI'!C18</f>
        <v>Mopa Redonda</v>
      </c>
      <c r="E147" s="2" t="str">
        <f>'LOS MILITARES-BCI'!D18</f>
        <v/>
      </c>
      <c r="F147" s="2" t="str">
        <f>'LOS MILITARES-BCI'!E18</f>
        <v/>
      </c>
      <c r="G147" s="2" t="str">
        <f>'LOS MILITARES-BCI'!F18</f>
        <v/>
      </c>
      <c r="H147" s="2" t="str">
        <f>'LOS MILITARES-BCI'!G18</f>
        <v/>
      </c>
      <c r="I147" s="2" t="str">
        <f>'LOS MILITARES-BCI'!H18</f>
        <v/>
      </c>
      <c r="J147" s="2" t="str">
        <f>'LOS MILITARES-BCI'!I18</f>
        <v/>
      </c>
      <c r="K147" s="2" t="str">
        <f>'LOS MILITARES-BCI'!J18</f>
        <v/>
      </c>
      <c r="L147" s="2" t="str">
        <f>'LOS MILITARES-BCI'!K18</f>
        <v/>
      </c>
      <c r="M147" s="2" t="str">
        <f>'LOS MILITARES-BCI'!L18</f>
        <v/>
      </c>
      <c r="N147" s="2" t="str">
        <f>'LOS MILITARES-BCI'!M18</f>
        <v/>
      </c>
      <c r="O147" s="2" t="str">
        <f>'LOS MILITARES-BCI'!N18</f>
        <v/>
      </c>
      <c r="P147" s="2" t="str">
        <f>'LOS MILITARES-BCI'!O18</f>
        <v/>
      </c>
      <c r="Q147" s="2" t="str">
        <f>'LOS MILITARES-BCI'!P18</f>
        <v/>
      </c>
      <c r="R147" s="2" t="str">
        <f>'LOS MILITARES-BCI'!Q18</f>
        <v/>
      </c>
      <c r="S147" s="2" t="str">
        <f>'LOS MILITARES-BCI'!R18</f>
        <v/>
      </c>
      <c r="T147" s="2" t="str">
        <f>'LOS MILITARES-BCI'!S18</f>
        <v>-</v>
      </c>
      <c r="U147" s="2" t="str">
        <f>'LOS MILITARES-BCI'!T18</f>
        <v>-</v>
      </c>
      <c r="V147" s="2" t="str">
        <f>'LOS MILITARES-BCI'!U18</f>
        <v>-</v>
      </c>
      <c r="W147" s="2" t="str">
        <f>'LOS MILITARES-BCI'!V18</f>
        <v>-</v>
      </c>
      <c r="X147" s="2" t="str">
        <f>'LOS MILITARES-BCI'!W18</f>
        <v>-</v>
      </c>
      <c r="Y147" s="2" t="str">
        <f>'LOS MILITARES-BCI'!X18</f>
        <v>-</v>
      </c>
      <c r="Z147" s="2" t="str">
        <f>'LOS MILITARES-BCI'!Y18</f>
        <v>-</v>
      </c>
      <c r="AA147" s="2" t="str">
        <f>'LOS MILITARES-BCI'!Z18</f>
        <v>-</v>
      </c>
      <c r="AB147" s="2">
        <f>'LOS MILITARES-BCI'!AA18</f>
        <v>3</v>
      </c>
      <c r="AC147" s="2" t="str">
        <f>'LOS MILITARES-BCI'!AB18</f>
        <v/>
      </c>
      <c r="AD147" s="2" t="str">
        <f>'LOS MILITARES-BCI'!AC18</f>
        <v/>
      </c>
      <c r="AE147" s="2">
        <f>'LOS MILITARES-BCI'!AD18</f>
        <v>5</v>
      </c>
      <c r="AF147" s="2" t="str">
        <f>'LOS MILITARES-BCI'!AE18</f>
        <v/>
      </c>
      <c r="AG147" s="2">
        <f>'LOS MILITARES-BCI'!AF18</f>
        <v>4</v>
      </c>
      <c r="AH147" s="2">
        <f>'LOS MILITARES-BCI'!AG18</f>
        <v>4</v>
      </c>
      <c r="AI147" s="2">
        <f>'LOS MILITARES-BCI'!AH18</f>
        <v>4</v>
      </c>
      <c r="AJ147" s="2">
        <f>'LOS MILITARES-BCI'!AI18</f>
        <v>7</v>
      </c>
      <c r="AK147" s="2">
        <f>'LOS MILITARES-BCI'!AJ18</f>
        <v>7</v>
      </c>
      <c r="AL147" s="2">
        <f>'LOS MILITARES-BCI'!AK18</f>
        <v>6</v>
      </c>
      <c r="AM147" s="2">
        <f>'LOS MILITARES-BCI'!AL18</f>
        <v>6</v>
      </c>
      <c r="AN147" s="2">
        <f>'LOS MILITARES-BCI'!AM18</f>
        <v>6</v>
      </c>
      <c r="AO147" s="2">
        <f>'LOS MILITARES-BCI'!AN18</f>
        <v>5</v>
      </c>
      <c r="AP147" s="2">
        <f>'LOS MILITARES-BCI'!AO18</f>
        <v>8</v>
      </c>
      <c r="AQ147" s="2">
        <f>'LOS MILITARES-BCI'!AP18</f>
        <v>7</v>
      </c>
      <c r="AR147" s="2">
        <f>'LOS MILITARES-BCI'!AQ18</f>
        <v>7</v>
      </c>
      <c r="AS147" s="2">
        <f>'LOS MILITARES-BCI'!AR18</f>
        <v>7</v>
      </c>
      <c r="AT147" s="2">
        <f>'LOS MILITARES-BCI'!AS18</f>
        <v>7</v>
      </c>
      <c r="AU147" s="2">
        <f>'LOS MILITARES-BCI'!AT18</f>
        <v>7</v>
      </c>
      <c r="AV147" s="2">
        <f>'LOS MILITARES-BCI'!AU18</f>
        <v>10</v>
      </c>
      <c r="AW147" s="2">
        <f>'LOS MILITARES-BCI'!AV18</f>
        <v>9</v>
      </c>
      <c r="AX147" s="2">
        <f>'LOS MILITARES-BCI'!AW18</f>
        <v>9</v>
      </c>
      <c r="AY147" s="2">
        <f>'LOS MILITARES-BCI'!AX18</f>
        <v>9</v>
      </c>
      <c r="AZ147" s="2">
        <f>'LOS MILITARES-BCI'!AY18</f>
        <v>9</v>
      </c>
      <c r="BA147" s="2">
        <f>'LOS MILITARES-BCI'!AZ18</f>
        <v>8</v>
      </c>
      <c r="BB147" s="2">
        <f>'LOS MILITARES-BCI'!BA18</f>
        <v>7</v>
      </c>
      <c r="BC147" s="2">
        <f>'LOS MILITARES-BCI'!BB18</f>
        <v>11</v>
      </c>
      <c r="BD147" s="2">
        <f>'LOS MILITARES-BCI'!BC18</f>
        <v>9</v>
      </c>
      <c r="BE147" s="2">
        <f>'LOS MILITARES-BCI'!BD18</f>
        <v>9</v>
      </c>
      <c r="BF147" s="2">
        <f>'LOS MILITARES-BCI'!BE18</f>
        <v>9</v>
      </c>
      <c r="BG147" s="2">
        <f>'LOS MILITARES-BCI'!BF18</f>
        <v>9</v>
      </c>
      <c r="BH147" s="2">
        <f>'LOS MILITARES-BCI'!BG18</f>
        <v>7</v>
      </c>
      <c r="BI147" s="2">
        <f>'LOS MILITARES-BCI'!BH18</f>
        <v>7</v>
      </c>
      <c r="BJ147" s="2">
        <f>'LOS MILITARES-BCI'!BI18</f>
        <v>6</v>
      </c>
      <c r="BK147" s="2" t="str">
        <f>'LOS MILITARES-BCI'!BJ18</f>
        <v>5 U</v>
      </c>
      <c r="BL147" s="2" t="str">
        <f>'LOS MILITARES-BCI'!BK18</f>
        <v>5 paquetes</v>
      </c>
      <c r="BM147" s="2" t="str">
        <f>'LOS MILITARES-BCI'!BL18</f>
        <v>5 unidades</v>
      </c>
      <c r="BN147" s="2" t="str">
        <f>'LOS MILITARES-BCI'!BM18</f>
        <v>5 unidades</v>
      </c>
      <c r="BO147" s="2" t="str">
        <f>'LOS MILITARES-BCI'!BN18</f>
        <v>3 unidades</v>
      </c>
      <c r="BP147" s="2" t="str">
        <f>'LOS MILITARES-BCI'!BO18</f>
        <v/>
      </c>
      <c r="BQ147" s="2" t="str">
        <f>'LOS MILITARES-BCI'!BP18</f>
        <v/>
      </c>
      <c r="BR147" s="2" t="str">
        <f>'LOS MILITARES-BCI'!BQ18</f>
        <v/>
      </c>
      <c r="BS147" s="2" t="str">
        <f>'LOS MILITARES-BCI'!BR18</f>
        <v/>
      </c>
      <c r="BT147" s="2" t="str">
        <f>'LOS MILITARES-BCI'!BS18</f>
        <v/>
      </c>
      <c r="BU147" s="2"/>
      <c r="BV147" s="2"/>
      <c r="BW147" s="2"/>
      <c r="BX147" s="2"/>
      <c r="BY147" s="2"/>
      <c r="BZ147" s="2"/>
      <c r="CA147" s="2"/>
      <c r="CB147" s="2"/>
      <c r="C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</row>
    <row r="149">
      <c r="A149" s="2"/>
      <c r="B149" s="2" t="str">
        <f>MONJITAS!A2</f>
        <v/>
      </c>
      <c r="C149" s="2" t="str">
        <f>MONJITAS!B2</f>
        <v/>
      </c>
      <c r="D149" s="14" t="str">
        <f>MONJITAS!C2</f>
        <v/>
      </c>
      <c r="E149" s="14">
        <f>MONJITAS!D2</f>
        <v>45811</v>
      </c>
      <c r="F149" s="14">
        <f>MONJITAS!E2</f>
        <v>45817</v>
      </c>
      <c r="G149" s="14">
        <f>MONJITAS!F2</f>
        <v>45824</v>
      </c>
      <c r="H149" s="14">
        <f>MONJITAS!G2</f>
        <v>45831</v>
      </c>
      <c r="I149" s="14">
        <f>MONJITAS!H2</f>
        <v>45838</v>
      </c>
      <c r="J149" s="14">
        <f>MONJITAS!I2</f>
        <v>45845</v>
      </c>
      <c r="K149" s="14">
        <f>MONJITAS!J2</f>
        <v>45852</v>
      </c>
      <c r="L149" s="14">
        <f>MONJITAS!K2</f>
        <v>45859</v>
      </c>
      <c r="M149" s="14">
        <f>MONJITAS!L2</f>
        <v>45866</v>
      </c>
      <c r="N149" s="14">
        <f>MONJITAS!M2</f>
        <v>45873</v>
      </c>
      <c r="O149" s="14">
        <f>MONJITAS!N2</f>
        <v>45880</v>
      </c>
      <c r="P149" s="14">
        <f>MONJITAS!O2</f>
        <v>45887</v>
      </c>
      <c r="Q149" s="14">
        <f>MONJITAS!P2</f>
        <v>45894</v>
      </c>
      <c r="R149" s="14">
        <f>MONJITAS!Q2</f>
        <v>45901</v>
      </c>
      <c r="S149" s="14">
        <f>MONJITAS!R2</f>
        <v>45908</v>
      </c>
      <c r="T149" s="14">
        <f>MONJITAS!S2</f>
        <v>45915</v>
      </c>
      <c r="U149" s="14">
        <f>MONJITAS!T2</f>
        <v>45922</v>
      </c>
      <c r="V149" s="14">
        <f>MONJITAS!U2</f>
        <v>45929</v>
      </c>
      <c r="W149" s="14">
        <f>MONJITAS!V2</f>
        <v>45936</v>
      </c>
      <c r="X149" s="14">
        <f>MONJITAS!W2</f>
        <v>45943</v>
      </c>
      <c r="Y149" s="14">
        <f>MONJITAS!X2</f>
        <v>45950</v>
      </c>
      <c r="Z149" s="14">
        <f>MONJITAS!Y2</f>
        <v>45957</v>
      </c>
      <c r="AA149" s="14">
        <f>MONJITAS!Z2</f>
        <v>45964</v>
      </c>
      <c r="AB149" s="14">
        <f>MONJITAS!AA2</f>
        <v>45971</v>
      </c>
      <c r="AC149" s="14">
        <f>MONJITAS!AB2</f>
        <v>45978</v>
      </c>
      <c r="AD149" s="14">
        <f>MONJITAS!AC2</f>
        <v>45979</v>
      </c>
      <c r="AE149" s="14">
        <f>MONJITAS!AD2</f>
        <v>45981</v>
      </c>
      <c r="AF149" s="14">
        <f>MONJITAS!AE2</f>
        <v>45985</v>
      </c>
      <c r="AG149" s="14">
        <f>MONJITAS!AF2</f>
        <v>45988</v>
      </c>
      <c r="AH149" s="14">
        <f>MONJITAS!AG2</f>
        <v>45992</v>
      </c>
      <c r="AI149" s="14">
        <f>MONJITAS!AH2</f>
        <v>45993</v>
      </c>
      <c r="AJ149" s="14">
        <f>MONJITAS!AI2</f>
        <v>45995</v>
      </c>
      <c r="AK149" s="14">
        <f>MONJITAS!AJ2</f>
        <v>46000</v>
      </c>
      <c r="AL149" s="14">
        <f>MONJITAS!AK2</f>
        <v>46002</v>
      </c>
      <c r="AM149" s="14">
        <f>MONJITAS!AL2</f>
        <v>46006</v>
      </c>
      <c r="AN149" s="14">
        <f>MONJITAS!AM2</f>
        <v>46007</v>
      </c>
      <c r="AO149" s="14">
        <f>MONJITAS!AN2</f>
        <v>46008</v>
      </c>
      <c r="AP149" s="14">
        <f>MONJITAS!AO2</f>
        <v>46010</v>
      </c>
      <c r="AQ149" s="14">
        <f>MONJITAS!AP2</f>
        <v>46013</v>
      </c>
      <c r="AR149" s="14">
        <f>MONJITAS!AQ2</f>
        <v>46014</v>
      </c>
      <c r="AS149" s="14">
        <f>MONJITAS!AR2</f>
        <v>46020</v>
      </c>
      <c r="AT149" s="14">
        <f>MONJITAS!AS2</f>
        <v>46027</v>
      </c>
      <c r="AU149" s="14">
        <f>MONJITAS!AT2</f>
        <v>46030</v>
      </c>
      <c r="AV149" s="14">
        <f>MONJITAS!AU2</f>
        <v>46034</v>
      </c>
      <c r="AW149" s="14">
        <f>MONJITAS!AV2</f>
        <v>46035</v>
      </c>
      <c r="AX149" s="14">
        <f>MONJITAS!AW2</f>
        <v>46037</v>
      </c>
      <c r="AY149" s="14">
        <f>MONJITAS!AX2</f>
        <v>46041</v>
      </c>
      <c r="AZ149" s="14">
        <f>MONJITAS!AY2</f>
        <v>46044</v>
      </c>
      <c r="BA149" s="14">
        <f>MONJITAS!AZ2</f>
        <v>46045</v>
      </c>
      <c r="BB149" s="14">
        <f>MONJITAS!BA2</f>
        <v>46048</v>
      </c>
      <c r="BC149" s="14">
        <f>MONJITAS!BB2</f>
        <v>46051</v>
      </c>
      <c r="BD149" s="14">
        <f>MONJITAS!BC2</f>
        <v>46055</v>
      </c>
      <c r="BE149" s="14">
        <f>MONJITAS!BD2</f>
        <v>46058</v>
      </c>
      <c r="BF149" s="14">
        <f>MONJITAS!BE2</f>
        <v>46059</v>
      </c>
      <c r="BG149" s="14">
        <f>MONJITAS!BF2</f>
        <v>46062</v>
      </c>
      <c r="BH149" s="14">
        <f>MONJITAS!BG2</f>
        <v>46065</v>
      </c>
      <c r="BI149" s="14">
        <f>MONJITAS!BH2</f>
        <v>46069</v>
      </c>
      <c r="BJ149" s="14">
        <f>MONJITAS!BI2</f>
        <v>46072</v>
      </c>
      <c r="BK149" s="14">
        <f>MONJITAS!BJ2</f>
        <v>46076</v>
      </c>
      <c r="BL149" s="14">
        <f>MONJITAS!BK2</f>
        <v>46079</v>
      </c>
      <c r="BM149" s="14">
        <f>MONJITAS!BL2</f>
        <v>46083</v>
      </c>
      <c r="BN149" s="14">
        <f>MONJITAS!BM2</f>
        <v>46086</v>
      </c>
      <c r="BO149" s="14">
        <f>MONJITAS!BN2</f>
        <v>46090</v>
      </c>
      <c r="BP149" s="14">
        <f>MONJITAS!BO2</f>
        <v>46093</v>
      </c>
      <c r="BQ149" s="14">
        <f>MONJITAS!BP2</f>
        <v>46097</v>
      </c>
      <c r="BR149" s="14">
        <f>MONJITAS!BQ2</f>
        <v>46100</v>
      </c>
      <c r="BS149" s="14">
        <f>MONJITAS!BR2</f>
        <v>46104</v>
      </c>
      <c r="BT149" s="14" t="str">
        <f>MONJITAS!BS2</f>
        <v/>
      </c>
      <c r="BU149" s="14" t="str">
        <f>MONJITAS!BT2</f>
        <v/>
      </c>
      <c r="BV149" s="14" t="str">
        <f>MONJITAS!BU2</f>
        <v/>
      </c>
      <c r="BW149" s="2" t="str">
        <f>MONJITAS!BV2</f>
        <v/>
      </c>
      <c r="BX149" s="2" t="str">
        <f>MONJITAS!BW2</f>
        <v/>
      </c>
      <c r="BY149" s="2" t="str">
        <f>MONJITAS!BX2</f>
        <v/>
      </c>
      <c r="BZ149" s="2" t="str">
        <f>MONJITAS!BY2</f>
        <v/>
      </c>
      <c r="CA149" s="2"/>
      <c r="CB149" s="2"/>
      <c r="CC149" s="2"/>
    </row>
    <row r="150">
      <c r="A150" s="2"/>
      <c r="B150" s="2" t="str">
        <f>MONJITAS!A3</f>
        <v>Sede</v>
      </c>
      <c r="C150" s="2" t="str">
        <f>MONJITAS!B3</f>
        <v>Proveedor</v>
      </c>
      <c r="D150" s="2" t="str">
        <f>MONJITAS!C3</f>
        <v>Producto</v>
      </c>
      <c r="E150" s="2" t="str">
        <f>MONJITAS!D3</f>
        <v>Stock Actual</v>
      </c>
      <c r="F150" s="2" t="str">
        <f>MONJITAS!E3</f>
        <v>Stock Actual</v>
      </c>
      <c r="G150" s="2" t="str">
        <f>MONJITAS!F3</f>
        <v>Stock Actual</v>
      </c>
      <c r="H150" s="2" t="str">
        <f>MONJITAS!G3</f>
        <v>Stock Actual</v>
      </c>
      <c r="I150" s="2" t="str">
        <f>MONJITAS!H3</f>
        <v>Stock Actual</v>
      </c>
      <c r="J150" s="2" t="str">
        <f>MONJITAS!I3</f>
        <v>Stock Actual</v>
      </c>
      <c r="K150" s="2" t="str">
        <f>MONJITAS!J3</f>
        <v>Stock Actual</v>
      </c>
      <c r="L150" s="2" t="str">
        <f>MONJITAS!K3</f>
        <v>Stock Actual</v>
      </c>
      <c r="M150" s="2" t="str">
        <f>MONJITAS!L3</f>
        <v>Stock Actual</v>
      </c>
      <c r="N150" s="2" t="str">
        <f>MONJITAS!M3</f>
        <v>Stock Actual</v>
      </c>
      <c r="O150" s="2" t="str">
        <f>MONJITAS!N3</f>
        <v>Stock Actual</v>
      </c>
      <c r="P150" s="2" t="str">
        <f>MONJITAS!O3</f>
        <v>Stock Actual</v>
      </c>
      <c r="Q150" s="2" t="str">
        <f>MONJITAS!P3</f>
        <v>Stock Actual</v>
      </c>
      <c r="R150" s="2" t="str">
        <f>MONJITAS!Q3</f>
        <v>Stock Actual</v>
      </c>
      <c r="S150" s="2" t="str">
        <f>MONJITAS!R3</f>
        <v>Stock Actual</v>
      </c>
      <c r="T150" s="2" t="str">
        <f>MONJITAS!S3</f>
        <v>Stock Actual</v>
      </c>
      <c r="U150" s="2" t="str">
        <f>MONJITAS!T3</f>
        <v>Stock Actual</v>
      </c>
      <c r="V150" s="2" t="str">
        <f>MONJITAS!U3</f>
        <v>Stock Actual</v>
      </c>
      <c r="W150" s="2" t="str">
        <f>MONJITAS!V3</f>
        <v>Stock Actual</v>
      </c>
      <c r="X150" s="2" t="str">
        <f>MONJITAS!W3</f>
        <v>Stock Actual</v>
      </c>
      <c r="Y150" s="2" t="str">
        <f>MONJITAS!X3</f>
        <v>Stock Actual</v>
      </c>
      <c r="Z150" s="2" t="str">
        <f>MONJITAS!Y3</f>
        <v>Stock Actual</v>
      </c>
      <c r="AA150" s="2" t="str">
        <f>MONJITAS!Z3</f>
        <v>Stock Actual</v>
      </c>
      <c r="AB150" s="2" t="str">
        <f>MONJITAS!AA3</f>
        <v>Stock Actual</v>
      </c>
      <c r="AC150" s="2" t="str">
        <f>MONJITAS!AB3</f>
        <v>Stock Actual</v>
      </c>
      <c r="AD150" s="2" t="str">
        <f>MONJITAS!AC3</f>
        <v>Stock Actual</v>
      </c>
      <c r="AE150" s="2" t="str">
        <f>MONJITAS!AD3</f>
        <v>Stock Actual</v>
      </c>
      <c r="AF150" s="2" t="str">
        <f>MONJITAS!AE3</f>
        <v>Stock Actual</v>
      </c>
      <c r="AG150" s="2" t="str">
        <f>MONJITAS!AF3</f>
        <v>Stock Actual</v>
      </c>
      <c r="AH150" s="2" t="str">
        <f>MONJITAS!AG3</f>
        <v>Stock Actual</v>
      </c>
      <c r="AI150" s="2" t="str">
        <f>MONJITAS!AH3</f>
        <v>Stock Actual</v>
      </c>
      <c r="AJ150" s="2" t="str">
        <f>MONJITAS!AI3</f>
        <v>Stock Actual</v>
      </c>
      <c r="AK150" s="2" t="str">
        <f>MONJITAS!AJ3</f>
        <v>Stock Actual</v>
      </c>
      <c r="AL150" s="2" t="str">
        <f>MONJITAS!AK3</f>
        <v>Stock Actual</v>
      </c>
      <c r="AM150" s="2" t="str">
        <f>MONJITAS!AL3</f>
        <v>Stock Actual</v>
      </c>
      <c r="AN150" s="2" t="str">
        <f>MONJITAS!AM3</f>
        <v>Stock Actual</v>
      </c>
      <c r="AO150" s="2" t="str">
        <f>MONJITAS!AN3</f>
        <v>Stock Actual</v>
      </c>
      <c r="AP150" s="2" t="str">
        <f>MONJITAS!AO3</f>
        <v>Stock Actual</v>
      </c>
      <c r="AQ150" s="2" t="str">
        <f>MONJITAS!AP3</f>
        <v>Stock Actual</v>
      </c>
      <c r="AR150" s="2" t="str">
        <f>MONJITAS!AQ3</f>
        <v>Stock Actual</v>
      </c>
      <c r="AS150" s="2" t="str">
        <f>MONJITAS!AR3</f>
        <v>Stock Actual</v>
      </c>
      <c r="AT150" s="2" t="str">
        <f>MONJITAS!AS3</f>
        <v>Stock Actual</v>
      </c>
      <c r="AU150" s="2" t="str">
        <f>MONJITAS!AT3</f>
        <v>Stock Actual</v>
      </c>
      <c r="AV150" s="2" t="str">
        <f>MONJITAS!AU3</f>
        <v>Stock Actual</v>
      </c>
      <c r="AW150" s="2" t="str">
        <f>MONJITAS!AV3</f>
        <v>Stock Actual</v>
      </c>
      <c r="AX150" s="2" t="str">
        <f>MONJITAS!AW3</f>
        <v>Stock Actual</v>
      </c>
      <c r="AY150" s="2" t="str">
        <f>MONJITAS!AX3</f>
        <v>Stock Actual</v>
      </c>
      <c r="AZ150" s="2" t="str">
        <f>MONJITAS!AY3</f>
        <v>Stock Actual</v>
      </c>
      <c r="BA150" s="2" t="str">
        <f>MONJITAS!AZ3</f>
        <v>Stock Actual</v>
      </c>
      <c r="BB150" s="2" t="str">
        <f>MONJITAS!BA3</f>
        <v>Stock Actual</v>
      </c>
      <c r="BC150" s="2" t="str">
        <f>MONJITAS!BB3</f>
        <v>Stock Actual</v>
      </c>
      <c r="BD150" s="2" t="str">
        <f>MONJITAS!BC3</f>
        <v>Stock Actual</v>
      </c>
      <c r="BE150" s="2" t="str">
        <f>MONJITAS!BD3</f>
        <v>Stock Actual</v>
      </c>
      <c r="BF150" s="2" t="str">
        <f>MONJITAS!BE3</f>
        <v>Stock Actual</v>
      </c>
      <c r="BG150" s="2" t="str">
        <f>MONJITAS!BF3</f>
        <v>Stock Actual</v>
      </c>
      <c r="BH150" s="2" t="str">
        <f>MONJITAS!BG3</f>
        <v>Stock Actual</v>
      </c>
      <c r="BI150" s="2" t="str">
        <f>MONJITAS!BH3</f>
        <v>Stock Actual</v>
      </c>
      <c r="BJ150" s="2" t="str">
        <f>MONJITAS!BI3</f>
        <v>Stock Actual</v>
      </c>
      <c r="BK150" s="2" t="str">
        <f>MONJITAS!BJ3</f>
        <v>Stock Actual</v>
      </c>
      <c r="BL150" s="2" t="str">
        <f>MONJITAS!BK3</f>
        <v>Stock Actual</v>
      </c>
      <c r="BM150" s="2" t="str">
        <f>MONJITAS!BL3</f>
        <v>Stock Actual</v>
      </c>
      <c r="BN150" s="2" t="str">
        <f>MONJITAS!BM3</f>
        <v>Stock Actual</v>
      </c>
      <c r="BO150" s="2" t="str">
        <f>MONJITAS!BN3</f>
        <v>Stock Actual</v>
      </c>
      <c r="BP150" s="2" t="str">
        <f>MONJITAS!BO3</f>
        <v>Stock Actual</v>
      </c>
      <c r="BQ150" s="2" t="str">
        <f>MONJITAS!BP3</f>
        <v>Stock Actual</v>
      </c>
      <c r="BR150" s="2" t="str">
        <f>MONJITAS!BQ3</f>
        <v>Stock Actual</v>
      </c>
      <c r="BS150" s="2" t="str">
        <f>MONJITAS!BR3</f>
        <v>Stock Actual</v>
      </c>
      <c r="BT150" s="2" t="str">
        <f>MONJITAS!BS3</f>
        <v/>
      </c>
      <c r="BU150" s="2" t="str">
        <f>MONJITAS!BT3</f>
        <v/>
      </c>
      <c r="BV150" s="2" t="str">
        <f>MONJITAS!BU3</f>
        <v/>
      </c>
      <c r="BW150" s="2" t="str">
        <f>MONJITAS!BV3</f>
        <v/>
      </c>
      <c r="BX150" s="2" t="str">
        <f>MONJITAS!BW3</f>
        <v/>
      </c>
      <c r="BY150" s="2" t="str">
        <f>MONJITAS!BX3</f>
        <v/>
      </c>
      <c r="BZ150" s="2" t="str">
        <f>MONJITAS!BY3</f>
        <v/>
      </c>
      <c r="CA150" s="2"/>
      <c r="CB150" s="2"/>
      <c r="CC150" s="2"/>
    </row>
    <row r="151">
      <c r="A151" s="2"/>
      <c r="B151" s="2" t="str">
        <f>MONJITAS!A4</f>
        <v>Monjitas</v>
      </c>
      <c r="C151" s="2" t="str">
        <f>MONJITAS!B4</f>
        <v>Cafe Caribe</v>
      </c>
      <c r="D151" s="2" t="str">
        <f>MONJITAS!C4</f>
        <v>Cafe Grano (KG)</v>
      </c>
      <c r="E151" s="2">
        <f>MONJITAS!D4</f>
        <v>0</v>
      </c>
      <c r="F151" s="2">
        <f>MONJITAS!E4</f>
        <v>0</v>
      </c>
      <c r="G151" s="2" t="str">
        <f>MONJITAS!F4</f>
        <v>20 kilos</v>
      </c>
      <c r="H151" s="2" t="str">
        <f>MONJITAS!G4</f>
        <v>14 kilos </v>
      </c>
      <c r="I151" s="2" t="str">
        <f>MONJITAS!H4</f>
        <v>5 kilos</v>
      </c>
      <c r="J151" s="2">
        <f>MONJITAS!I4</f>
        <v>0</v>
      </c>
      <c r="K151" s="2">
        <f>MONJITAS!J4</f>
        <v>5</v>
      </c>
      <c r="L151" s="2">
        <f>MONJITAS!K4</f>
        <v>2</v>
      </c>
      <c r="M151" s="2" t="str">
        <f>MONJITAS!L4</f>
        <v/>
      </c>
      <c r="N151" s="2" t="str">
        <f>MONJITAS!M4</f>
        <v>7 kg</v>
      </c>
      <c r="O151" s="2" t="str">
        <f>MONJITAS!N4</f>
        <v>3 kg</v>
      </c>
      <c r="P151" s="2" t="str">
        <f>MONJITAS!O4</f>
        <v>11 kg</v>
      </c>
      <c r="Q151" s="2" t="str">
        <f>MONJITAS!P4</f>
        <v>3 kg </v>
      </c>
      <c r="R151" s="2" t="str">
        <f>MONJITAS!Q4</f>
        <v>0 und </v>
      </c>
      <c r="S151" s="2" t="str">
        <f>MONJITAS!R4</f>
        <v>0 und</v>
      </c>
      <c r="T151" s="2" t="str">
        <f>MONJITAS!S4</f>
        <v>10 kg</v>
      </c>
      <c r="U151" s="2" t="str">
        <f>MONJITAS!T4</f>
        <v>10kg (en grano) 5,5kg (molido)</v>
      </c>
      <c r="V151" s="2" t="str">
        <f>MONJITAS!U4</f>
        <v>14kg (en grano) 4,5 kg (molido) </v>
      </c>
      <c r="W151" s="2" t="str">
        <f>MONJITAS!V4</f>
        <v>5kg (en grano) 4,5 kg (molido) </v>
      </c>
      <c r="X151" s="2" t="str">
        <f>MONJITAS!W4</f>
        <v>12kg (en grano) 4,5 kg (molido) </v>
      </c>
      <c r="Y151" s="2" t="str">
        <f>MONJITAS!X4</f>
        <v>3kg (en grano) 4,5 kg (molido) </v>
      </c>
      <c r="Z151" s="2" t="str">
        <f>MONJITAS!Y4</f>
        <v>8 kg (en grano)</v>
      </c>
      <c r="AA151" s="2" t="str">
        <f>MONJITAS!Z4</f>
        <v>3,5kg (en grano)</v>
      </c>
      <c r="AB151" s="2" t="str">
        <f>MONJITAS!AA4</f>
        <v>8,5 kg (en grano)</v>
      </c>
      <c r="AC151" s="2" t="str">
        <f>MONJITAS!AB4</f>
        <v>1 kg (en grano)</v>
      </c>
      <c r="AD151" s="2" t="str">
        <f>MONJITAS!AC4</f>
        <v>12 kg (en grano)</v>
      </c>
      <c r="AE151" s="2" t="str">
        <f>MONJITAS!AD4</f>
        <v>12 kg (en grano)</v>
      </c>
      <c r="AF151" s="2" t="str">
        <f>MONJITAS!AE4</f>
        <v>8 kg (en grano)</v>
      </c>
      <c r="AG151" s="2" t="str">
        <f>MONJITAS!AF4</f>
        <v>1 kg (en grano)</v>
      </c>
      <c r="AH151" s="2" t="str">
        <f>MONJITAS!AG4</f>
        <v>0 KG (en grano)</v>
      </c>
      <c r="AI151" s="2" t="str">
        <f>MONJITAS!AH4</f>
        <v>13 kg (en grano)</v>
      </c>
      <c r="AJ151" s="2" t="str">
        <f>MONJITAS!AI4</f>
        <v>10 kg (en grano)</v>
      </c>
      <c r="AK151" s="2" t="str">
        <f>MONJITAS!AJ4</f>
        <v>8 kg (en grano)</v>
      </c>
      <c r="AL151" s="2" t="str">
        <f>MONJITAS!AK4</f>
        <v>4 kg (en grano)</v>
      </c>
      <c r="AM151" s="2" t="str">
        <f>MONJITAS!AL4</f>
        <v>1 kg (en grano)</v>
      </c>
      <c r="AN151" s="2" t="str">
        <f>MONJITAS!AM4</f>
        <v>4,5 kg (Berta nos envío en uber)</v>
      </c>
      <c r="AO151" s="2" t="str">
        <f>MONJITAS!AN4</f>
        <v>0,5 kg</v>
      </c>
      <c r="AP151" s="2" t="str">
        <f>MONJITAS!AO4</f>
        <v>13 kg </v>
      </c>
      <c r="AQ151" s="2" t="str">
        <f>MONJITAS!AP4</f>
        <v>13 kg</v>
      </c>
      <c r="AR151" s="2" t="str">
        <f>MONJITAS!AQ4</f>
        <v>12 kg</v>
      </c>
      <c r="AS151" s="2" t="str">
        <f>MONJITAS!AR4</f>
        <v>10 kg </v>
      </c>
      <c r="AT151" s="2" t="str">
        <f>MONJITAS!AS4</f>
        <v>8 kg </v>
      </c>
      <c r="AU151" s="2" t="str">
        <f>MONJITAS!AT4</f>
        <v>10 kg </v>
      </c>
      <c r="AV151" s="2" t="str">
        <f>MONJITAS!AU4</f>
        <v>8 kg</v>
      </c>
      <c r="AW151" s="2" t="str">
        <f>MONJITAS!AV4</f>
        <v>7 kg</v>
      </c>
      <c r="AX151" s="2" t="str">
        <f>MONJITAS!AW4</f>
        <v>6 kg</v>
      </c>
      <c r="AY151" s="2" t="str">
        <f>MONJITAS!AX4</f>
        <v>5,5 kg </v>
      </c>
      <c r="AZ151" s="2" t="str">
        <f>MONJITAS!AY4</f>
        <v>1 kg </v>
      </c>
      <c r="BA151" s="2" t="str">
        <f>MONJITAS!AZ4</f>
        <v>0,5 kg </v>
      </c>
      <c r="BB151" s="2" t="str">
        <f>MONJITAS!BA4</f>
        <v>0 kg </v>
      </c>
      <c r="BC151" s="2" t="str">
        <f>MONJITAS!BB4</f>
        <v>11 kg</v>
      </c>
      <c r="BD151" s="2" t="str">
        <f>MONJITAS!BC4</f>
        <v>10 kg </v>
      </c>
      <c r="BE151" s="2" t="str">
        <f>MONJITAS!BD4</f>
        <v>5 kg </v>
      </c>
      <c r="BF151" s="2" t="str">
        <f>MONJITAS!BE4</f>
        <v>4 kg</v>
      </c>
      <c r="BG151" s="2" t="str">
        <f>MONJITAS!BF4</f>
        <v>4 kg</v>
      </c>
      <c r="BH151" s="2" t="str">
        <f>MONJITAS!BG4</f>
        <v>0,5 kg </v>
      </c>
      <c r="BI151" s="2" t="str">
        <f>MONJITAS!BH4</f>
        <v>10, 5 kg</v>
      </c>
      <c r="BJ151" s="2" t="str">
        <f>MONJITAS!BI4</f>
        <v>7,5 kg </v>
      </c>
      <c r="BK151" s="2" t="str">
        <f>MONJITAS!BJ4</f>
        <v>6 kg </v>
      </c>
      <c r="BL151" s="2" t="str">
        <f>MONJITAS!BK4</f>
        <v>2 kg</v>
      </c>
      <c r="BM151" s="2" t="str">
        <f>MONJITAS!BL4</f>
        <v>20 kg</v>
      </c>
      <c r="BN151" s="2" t="str">
        <f>MONJITAS!BM4</f>
        <v>17 kg </v>
      </c>
      <c r="BO151" s="2" t="str">
        <f>MONJITAS!BN4</f>
        <v>16 kg</v>
      </c>
      <c r="BP151" s="2" t="str">
        <f>MONJITAS!BO4</f>
        <v>12,5 kg</v>
      </c>
      <c r="BQ151" s="2" t="str">
        <f>MONJITAS!BP4</f>
        <v>10 kg </v>
      </c>
      <c r="BR151" s="2" t="str">
        <f>MONJITAS!BQ4</f>
        <v>13,5 kg</v>
      </c>
      <c r="BS151" s="2" t="str">
        <f>MONJITAS!BR4</f>
        <v>11 kg </v>
      </c>
      <c r="BT151" s="2" t="str">
        <f>MONJITAS!BS4</f>
        <v/>
      </c>
      <c r="BU151" s="2" t="str">
        <f>MONJITAS!BT4</f>
        <v/>
      </c>
      <c r="BV151" s="2" t="str">
        <f>MONJITAS!BU4</f>
        <v/>
      </c>
      <c r="BW151" s="2" t="str">
        <f>MONJITAS!BV4</f>
        <v/>
      </c>
      <c r="BX151" s="2" t="str">
        <f>MONJITAS!BW4</f>
        <v/>
      </c>
      <c r="BY151" s="2" t="str">
        <f>MONJITAS!BX4</f>
        <v/>
      </c>
      <c r="BZ151" s="2" t="str">
        <f>MONJITAS!BY4</f>
        <v/>
      </c>
      <c r="CA151" s="2"/>
      <c r="CB151" s="2"/>
      <c r="CC151" s="2"/>
    </row>
    <row r="152">
      <c r="A152" s="2"/>
      <c r="B152" s="2" t="str">
        <f>MONJITAS!A5</f>
        <v>Monjitas</v>
      </c>
      <c r="C152" s="2" t="str">
        <f>MONJITAS!B5</f>
        <v>Cafeteria</v>
      </c>
      <c r="D152" s="2" t="str">
        <f>MONJITAS!C5</f>
        <v>Toalla de Papel Jumbo (UN)</v>
      </c>
      <c r="E152" s="2" t="str">
        <f>MONJITAS!D5</f>
        <v>15 packs</v>
      </c>
      <c r="F152" s="2">
        <f>MONJITAS!E5</f>
        <v>11</v>
      </c>
      <c r="G152" s="2" t="str">
        <f>MONJITAS!F5</f>
        <v>8 novas</v>
      </c>
      <c r="H152" s="2" t="str">
        <f>MONJITAS!G5</f>
        <v>4 novas</v>
      </c>
      <c r="I152" s="2" t="str">
        <f>MONJITAS!H5</f>
        <v/>
      </c>
      <c r="J152" s="2" t="str">
        <f>MONJITAS!I5</f>
        <v>10 paquetes</v>
      </c>
      <c r="K152" s="2" t="str">
        <f>MONJITAS!J5</f>
        <v>6 paquetes</v>
      </c>
      <c r="L152" s="2" t="str">
        <f>MONJITAS!K5</f>
        <v>2 paquetes</v>
      </c>
      <c r="M152" s="2" t="str">
        <f>MONJITAS!L5</f>
        <v/>
      </c>
      <c r="N152" s="2" t="str">
        <f>MONJITAS!M5</f>
        <v>6 und</v>
      </c>
      <c r="O152" s="2" t="str">
        <f>MONJITAS!N5</f>
        <v>2 und</v>
      </c>
      <c r="P152" s="2" t="str">
        <f>MONJITAS!O5</f>
        <v>0 und</v>
      </c>
      <c r="Q152" s="2" t="str">
        <f>MONJITAS!P5</f>
        <v>4 und </v>
      </c>
      <c r="R152" s="2" t="str">
        <f>MONJITAS!Q5</f>
        <v>8 und </v>
      </c>
      <c r="S152" s="2" t="str">
        <f>MONJITAS!R5</f>
        <v>7 und</v>
      </c>
      <c r="T152" s="2" t="str">
        <f>MONJITAS!S5</f>
        <v>12 und </v>
      </c>
      <c r="U152" s="2" t="str">
        <f>MONJITAS!T5</f>
        <v>8 und</v>
      </c>
      <c r="V152" s="2" t="str">
        <f>MONJITAS!U5</f>
        <v>0 und</v>
      </c>
      <c r="W152" s="2" t="str">
        <f>MONJITAS!V5</f>
        <v>0 und</v>
      </c>
      <c r="X152" s="2" t="str">
        <f>MONJITAS!W5</f>
        <v>0 und</v>
      </c>
      <c r="Y152" s="2" t="str">
        <f>MONJITAS!X5</f>
        <v>0 und</v>
      </c>
      <c r="Z152" s="2" t="str">
        <f>MONJITAS!Y5</f>
        <v>4 und </v>
      </c>
      <c r="AA152" s="2" t="str">
        <f>MONJITAS!Z5</f>
        <v>0 und</v>
      </c>
      <c r="AB152" s="2" t="str">
        <f>MONJITAS!AA5</f>
        <v>6 und</v>
      </c>
      <c r="AC152" s="2" t="str">
        <f>MONJITAS!AB5</f>
        <v>0 und</v>
      </c>
      <c r="AD152" s="2" t="str">
        <f>MONJITAS!AC5</f>
        <v>10 und </v>
      </c>
      <c r="AE152" s="2" t="str">
        <f>MONJITAS!AD5</f>
        <v>10 und </v>
      </c>
      <c r="AF152" s="2" t="str">
        <f>MONJITAS!AE5</f>
        <v>8 und</v>
      </c>
      <c r="AG152" s="2" t="str">
        <f>MONJITAS!AF5</f>
        <v>0 und</v>
      </c>
      <c r="AH152" s="2" t="str">
        <f>MONJITAS!AG5</f>
        <v>0 und</v>
      </c>
      <c r="AI152" s="2" t="str">
        <f>MONJITAS!AH5</f>
        <v>20 und </v>
      </c>
      <c r="AJ152" s="2" t="str">
        <f>MONJITAS!AI5</f>
        <v>8 und</v>
      </c>
      <c r="AK152" s="2" t="str">
        <f>MONJITAS!AJ5</f>
        <v>6 und</v>
      </c>
      <c r="AL152" s="2" t="str">
        <f>MONJITAS!AK5</f>
        <v>4 und</v>
      </c>
      <c r="AM152" s="2" t="str">
        <f>MONJITAS!AL5</f>
        <v>0 und</v>
      </c>
      <c r="AN152" s="2" t="str">
        <f>MONJITAS!AM5</f>
        <v/>
      </c>
      <c r="AO152" s="2" t="str">
        <f>MONJITAS!AN5</f>
        <v>0 und</v>
      </c>
      <c r="AP152" s="2" t="str">
        <f>MONJITAS!AO5</f>
        <v>0 und</v>
      </c>
      <c r="AQ152" s="2" t="str">
        <f>MONJITAS!AP5</f>
        <v>0 und</v>
      </c>
      <c r="AR152" s="2" t="str">
        <f>MONJITAS!AQ5</f>
        <v>12 und</v>
      </c>
      <c r="AS152" s="2" t="str">
        <f>MONJITAS!AR5</f>
        <v>10 und </v>
      </c>
      <c r="AT152" s="2" t="str">
        <f>MONJITAS!AS5</f>
        <v>10 und</v>
      </c>
      <c r="AU152" s="2" t="str">
        <f>MONJITAS!AT5</f>
        <v>8 und </v>
      </c>
      <c r="AV152" s="2" t="str">
        <f>MONJITAS!AU5</f>
        <v>4 und</v>
      </c>
      <c r="AW152" s="2" t="str">
        <f>MONJITAS!AV5</f>
        <v>20 und</v>
      </c>
      <c r="AX152" s="2">
        <f>MONJITAS!AW5</f>
        <v>18</v>
      </c>
      <c r="AY152" s="2" t="str">
        <f>MONJITAS!AX5</f>
        <v>12 und</v>
      </c>
      <c r="AZ152" s="2" t="str">
        <f>MONJITAS!AY5</f>
        <v>10 und</v>
      </c>
      <c r="BA152" s="2" t="str">
        <f>MONJITAS!AZ5</f>
        <v>16 und</v>
      </c>
      <c r="BB152" s="2" t="str">
        <f>MONJITAS!BA5</f>
        <v>14 und </v>
      </c>
      <c r="BC152" s="2" t="str">
        <f>MONJITAS!BB5</f>
        <v>10 und</v>
      </c>
      <c r="BD152" s="2" t="str">
        <f>MONJITAS!BC5</f>
        <v>10 und</v>
      </c>
      <c r="BE152" s="2" t="str">
        <f>MONJITAS!BD5</f>
        <v>4 und</v>
      </c>
      <c r="BF152" s="2" t="str">
        <f>MONJITAS!BE5</f>
        <v>18 und</v>
      </c>
      <c r="BG152" s="2" t="str">
        <f>MONJITAS!BF5</f>
        <v>16 und</v>
      </c>
      <c r="BH152" s="2" t="str">
        <f>MONJITAS!BG5</f>
        <v>16 und </v>
      </c>
      <c r="BI152" s="2" t="str">
        <f>MONJITAS!BH5</f>
        <v>12 und</v>
      </c>
      <c r="BJ152" s="2">
        <f>MONJITAS!BI5</f>
        <v>12</v>
      </c>
      <c r="BK152" s="2">
        <f>MONJITAS!BJ5</f>
        <v>10</v>
      </c>
      <c r="BL152" s="2" t="str">
        <f>MONJITAS!BK5</f>
        <v>6 und</v>
      </c>
      <c r="BM152" s="2" t="str">
        <f>MONJITAS!BL5</f>
        <v>4 und</v>
      </c>
      <c r="BN152" s="2" t="str">
        <f>MONJITAS!BM5</f>
        <v>2 und</v>
      </c>
      <c r="BO152" s="2" t="str">
        <f>MONJITAS!BN5</f>
        <v>2 und</v>
      </c>
      <c r="BP152" s="2" t="str">
        <f>MONJITAS!BO5</f>
        <v>12 und</v>
      </c>
      <c r="BQ152" s="2" t="str">
        <f>MONJITAS!BP5</f>
        <v>10 und</v>
      </c>
      <c r="BR152" s="2" t="str">
        <f>MONJITAS!BQ5</f>
        <v>4 und</v>
      </c>
      <c r="BS152" s="2" t="str">
        <f>MONJITAS!BR5</f>
        <v>4 und</v>
      </c>
      <c r="BT152" s="2" t="str">
        <f>MONJITAS!BS5</f>
        <v/>
      </c>
      <c r="BU152" s="2" t="str">
        <f>MONJITAS!BT5</f>
        <v/>
      </c>
      <c r="BV152" s="2" t="str">
        <f>MONJITAS!BU5</f>
        <v/>
      </c>
      <c r="BW152" s="2" t="str">
        <f>MONJITAS!BV5</f>
        <v/>
      </c>
      <c r="BX152" s="2" t="str">
        <f>MONJITAS!BW5</f>
        <v/>
      </c>
      <c r="BY152" s="2" t="str">
        <f>MONJITAS!BX5</f>
        <v/>
      </c>
      <c r="BZ152" s="2" t="str">
        <f>MONJITAS!BY5</f>
        <v/>
      </c>
      <c r="CA152" s="2"/>
      <c r="CB152" s="2"/>
      <c r="CC152" s="2"/>
    </row>
    <row r="153">
      <c r="A153" s="2"/>
      <c r="B153" s="2" t="str">
        <f>MONJITAS!A6</f>
        <v>Monjitas</v>
      </c>
      <c r="C153" s="2" t="str">
        <f>MONJITAS!B6</f>
        <v>Cafeteria</v>
      </c>
      <c r="D153" s="2" t="str">
        <f>MONJITAS!C6</f>
        <v>Papel Higienico (UN)</v>
      </c>
      <c r="E153" s="2" t="str">
        <f>MONJITAS!D6</f>
        <v>11 packs</v>
      </c>
      <c r="F153" s="2" t="str">
        <f>MONJITAS!E6</f>
        <v>10 paquetes</v>
      </c>
      <c r="G153" s="2" t="str">
        <f>MONJITAS!F6</f>
        <v/>
      </c>
      <c r="H153" s="2" t="str">
        <f>MONJITAS!G6</f>
        <v>6 paquetes</v>
      </c>
      <c r="I153" s="2" t="str">
        <f>MONJITAS!H6</f>
        <v>4 paquetes</v>
      </c>
      <c r="J153" s="2" t="str">
        <f>MONJITAS!I6</f>
        <v>12 paquetes </v>
      </c>
      <c r="K153" s="2" t="str">
        <f>MONJITAS!J6</f>
        <v>9 paquetes</v>
      </c>
      <c r="L153" s="2" t="str">
        <f>MONJITAS!K6</f>
        <v>7 paquetes</v>
      </c>
      <c r="M153" s="2" t="str">
        <f>MONJITAS!L6</f>
        <v/>
      </c>
      <c r="N153" s="2" t="str">
        <f>MONJITAS!M6</f>
        <v>12 und</v>
      </c>
      <c r="O153" s="2" t="str">
        <f>MONJITAS!N6</f>
        <v>10 und</v>
      </c>
      <c r="P153" s="2" t="str">
        <f>MONJITAS!O6</f>
        <v>24 und</v>
      </c>
      <c r="Q153" s="2" t="str">
        <f>MONJITAS!P6</f>
        <v>20 und </v>
      </c>
      <c r="R153" s="2" t="str">
        <f>MONJITAS!Q6</f>
        <v>20 und </v>
      </c>
      <c r="S153" s="2" t="str">
        <f>MONJITAS!R6</f>
        <v>14 und </v>
      </c>
      <c r="T153" s="2" t="str">
        <f>MONJITAS!S6</f>
        <v>16 und </v>
      </c>
      <c r="U153" s="2" t="str">
        <f>MONJITAS!T6</f>
        <v>24 und </v>
      </c>
      <c r="V153" s="2" t="str">
        <f>MONJITAS!U6</f>
        <v>20 und </v>
      </c>
      <c r="W153" s="2" t="str">
        <f>MONJITAS!V6</f>
        <v>12 und</v>
      </c>
      <c r="X153" s="2" t="str">
        <f>MONJITAS!W6</f>
        <v>24 und</v>
      </c>
      <c r="Y153" s="2" t="str">
        <f>MONJITAS!X6</f>
        <v>20 und</v>
      </c>
      <c r="Z153" s="2" t="str">
        <f>MONJITAS!Y6</f>
        <v>16 und</v>
      </c>
      <c r="AA153" s="2" t="str">
        <f>MONJITAS!Z6</f>
        <v>16 und</v>
      </c>
      <c r="AB153" s="2" t="str">
        <f>MONJITAS!AA6</f>
        <v>32 und</v>
      </c>
      <c r="AC153" s="2" t="str">
        <f>MONJITAS!AB6</f>
        <v>24 und</v>
      </c>
      <c r="AD153" s="2" t="str">
        <f>MONJITAS!AC6</f>
        <v>48 und </v>
      </c>
      <c r="AE153" s="2" t="str">
        <f>MONJITAS!AD6</f>
        <v>49 und</v>
      </c>
      <c r="AF153" s="2" t="str">
        <f>MONJITAS!AE6</f>
        <v>40 und</v>
      </c>
      <c r="AG153" s="2" t="str">
        <f>MONJITAS!AF6</f>
        <v>40 und</v>
      </c>
      <c r="AH153" s="2" t="str">
        <f>MONJITAS!AG6</f>
        <v>32 und</v>
      </c>
      <c r="AI153" s="2" t="str">
        <f>MONJITAS!AH6</f>
        <v>32 und </v>
      </c>
      <c r="AJ153" s="2" t="str">
        <f>MONJITAS!AI6</f>
        <v>48 und</v>
      </c>
      <c r="AK153" s="2" t="str">
        <f>MONJITAS!AJ6</f>
        <v>48 und</v>
      </c>
      <c r="AL153" s="2" t="str">
        <f>MONJITAS!AK6</f>
        <v>44 und</v>
      </c>
      <c r="AM153" s="2" t="str">
        <f>MONJITAS!AL6</f>
        <v>40 und</v>
      </c>
      <c r="AN153" s="2" t="str">
        <f>MONJITAS!AM6</f>
        <v/>
      </c>
      <c r="AO153" s="2" t="str">
        <f>MONJITAS!AN6</f>
        <v>36 und</v>
      </c>
      <c r="AP153" s="2" t="str">
        <f>MONJITAS!AO6</f>
        <v/>
      </c>
      <c r="AQ153" s="2" t="str">
        <f>MONJITAS!AP6</f>
        <v>36 und</v>
      </c>
      <c r="AR153" s="2" t="str">
        <f>MONJITAS!AQ6</f>
        <v>56 und</v>
      </c>
      <c r="AS153" s="2" t="str">
        <f>MONJITAS!AR6</f>
        <v>56 und</v>
      </c>
      <c r="AT153" s="2" t="str">
        <f>MONJITAS!AS6</f>
        <v>40 und</v>
      </c>
      <c r="AU153" s="2" t="str">
        <f>MONJITAS!AT6</f>
        <v>36 und </v>
      </c>
      <c r="AV153" s="2" t="str">
        <f>MONJITAS!AU6</f>
        <v>34 und</v>
      </c>
      <c r="AW153" s="2" t="str">
        <f>MONJITAS!AV6</f>
        <v>34 und</v>
      </c>
      <c r="AX153" s="2">
        <f>MONJITAS!AW6</f>
        <v>30</v>
      </c>
      <c r="AY153" s="2" t="str">
        <f>MONJITAS!AX6</f>
        <v>30 und </v>
      </c>
      <c r="AZ153" s="2" t="str">
        <f>MONJITAS!AY6</f>
        <v>30 und</v>
      </c>
      <c r="BA153" s="2" t="str">
        <f>MONJITAS!AZ6</f>
        <v>52 und</v>
      </c>
      <c r="BB153" s="2" t="str">
        <f>MONJITAS!BA6</f>
        <v>52 und</v>
      </c>
      <c r="BC153" s="2" t="str">
        <f>MONJITAS!BB6</f>
        <v>48 und</v>
      </c>
      <c r="BD153" s="2" t="str">
        <f>MONJITAS!BC6</f>
        <v>48 und</v>
      </c>
      <c r="BE153" s="2" t="str">
        <f>MONJITAS!BD6</f>
        <v>44 und</v>
      </c>
      <c r="BF153" s="2" t="str">
        <f>MONJITAS!BE6</f>
        <v>44 und</v>
      </c>
      <c r="BG153" s="2" t="str">
        <f>MONJITAS!BF6</f>
        <v>44 und</v>
      </c>
      <c r="BH153" s="2" t="str">
        <f>MONJITAS!BG6</f>
        <v>40 und</v>
      </c>
      <c r="BI153" s="2" t="str">
        <f>MONJITAS!BH6</f>
        <v>36 und</v>
      </c>
      <c r="BJ153" s="2" t="str">
        <f>MONJITAS!BI6</f>
        <v>44 und</v>
      </c>
      <c r="BK153" s="2">
        <f>MONJITAS!BJ6</f>
        <v>40</v>
      </c>
      <c r="BL153" s="2" t="str">
        <f>MONJITAS!BK6</f>
        <v>40 und</v>
      </c>
      <c r="BM153" s="2" t="str">
        <f>MONJITAS!BL6</f>
        <v>40 und</v>
      </c>
      <c r="BN153" s="2" t="str">
        <f>MONJITAS!BM6</f>
        <v>32 und</v>
      </c>
      <c r="BO153" s="2" t="str">
        <f>MONJITAS!BN6</f>
        <v>32 und</v>
      </c>
      <c r="BP153" s="2" t="str">
        <f>MONJITAS!BO6</f>
        <v>56 und</v>
      </c>
      <c r="BQ153" s="2" t="str">
        <f>MONJITAS!BP6</f>
        <v>56 und</v>
      </c>
      <c r="BR153" s="2" t="str">
        <f>MONJITAS!BQ6</f>
        <v>44 und</v>
      </c>
      <c r="BS153" s="2" t="str">
        <f>MONJITAS!BR6</f>
        <v>40 und</v>
      </c>
      <c r="BT153" s="2" t="str">
        <f>MONJITAS!BS6</f>
        <v/>
      </c>
      <c r="BU153" s="2" t="str">
        <f>MONJITAS!BT6</f>
        <v/>
      </c>
      <c r="BV153" s="2" t="str">
        <f>MONJITAS!BU6</f>
        <v/>
      </c>
      <c r="BW153" s="2" t="str">
        <f>MONJITAS!BV6</f>
        <v/>
      </c>
      <c r="BX153" s="2" t="str">
        <f>MONJITAS!BW6</f>
        <v/>
      </c>
      <c r="BY153" s="2" t="str">
        <f>MONJITAS!BX6</f>
        <v/>
      </c>
      <c r="BZ153" s="2" t="str">
        <f>MONJITAS!BY6</f>
        <v/>
      </c>
      <c r="CA153" s="2"/>
      <c r="CB153" s="2"/>
      <c r="CC153" s="2"/>
    </row>
    <row r="154">
      <c r="A154" s="2"/>
      <c r="B154" s="2" t="str">
        <f>MONJITAS!A7</f>
        <v>Monjitas</v>
      </c>
      <c r="C154" s="2" t="str">
        <f>MONJITAS!B7</f>
        <v>Cafeteria</v>
      </c>
      <c r="D154" s="2" t="str">
        <f>MONJITAS!C7</f>
        <v>Resma Papel Fotocopia (UN)</v>
      </c>
      <c r="E154" s="2" t="str">
        <f>MONJITAS!D7</f>
        <v>3 resmas tamaño carta/ 0 tamaño oficio</v>
      </c>
      <c r="F154" s="2" t="str">
        <f>MONJITAS!E7</f>
        <v>3 resmas tamaño carta/ 0 tamaño oficio</v>
      </c>
      <c r="G154" s="2" t="str">
        <f>MONJITAS!F7</f>
        <v>3 resmas tamaño carta/ 0 tamaño oficio</v>
      </c>
      <c r="H154" s="2" t="str">
        <f>MONJITAS!G7</f>
        <v>3 resmas tamaño carta/ 0 tamaño oficio</v>
      </c>
      <c r="I154" s="2" t="str">
        <f>MONJITAS!H7</f>
        <v>3 resmas tamaño carta/ 0 tamaño oficio</v>
      </c>
      <c r="J154" s="2" t="str">
        <f>MONJITAS!I7</f>
        <v>3 resmas tamaño carta/ 0 tamaño oficio</v>
      </c>
      <c r="K154" s="2" t="str">
        <f>MONJITAS!J7</f>
        <v>3 resmas tamaño carta/ 0 tamaño oficio</v>
      </c>
      <c r="L154" s="2" t="str">
        <f>MONJITAS!K7</f>
        <v>3 resmas tamaño carta/ 0 tamaño oficio</v>
      </c>
      <c r="M154" s="2" t="str">
        <f>MONJITAS!L7</f>
        <v/>
      </c>
      <c r="N154" s="2" t="str">
        <f>MONJITAS!M7</f>
        <v>2 und</v>
      </c>
      <c r="O154" s="2" t="str">
        <f>MONJITAS!N7</f>
        <v>2 und </v>
      </c>
      <c r="P154" s="2" t="str">
        <f>MONJITAS!O7</f>
        <v>1 und</v>
      </c>
      <c r="Q154" s="2" t="str">
        <f>MONJITAS!P7</f>
        <v>3 und </v>
      </c>
      <c r="R154" s="2" t="str">
        <f>MONJITAS!Q7</f>
        <v>3 und</v>
      </c>
      <c r="S154" s="2" t="str">
        <f>MONJITAS!R7</f>
        <v>6 und </v>
      </c>
      <c r="T154" s="2" t="str">
        <f>MONJITAS!S7</f>
        <v>5 und </v>
      </c>
      <c r="U154" s="2" t="str">
        <f>MONJITAS!T7</f>
        <v>5 und</v>
      </c>
      <c r="V154" s="2" t="str">
        <f>MONJITAS!U7</f>
        <v>5 und </v>
      </c>
      <c r="W154" s="2" t="str">
        <f>MONJITAS!V7</f>
        <v>4 und </v>
      </c>
      <c r="X154" s="2" t="str">
        <f>MONJITAS!W7</f>
        <v>7 und </v>
      </c>
      <c r="Y154" s="2" t="str">
        <f>MONJITAS!X7</f>
        <v>8 und</v>
      </c>
      <c r="Z154" s="2" t="str">
        <f>MONJITAS!Y7</f>
        <v>7 und</v>
      </c>
      <c r="AA154" s="2" t="str">
        <f>MONJITAS!Z7</f>
        <v>7 und</v>
      </c>
      <c r="AB154" s="2" t="str">
        <f>MONJITAS!AA7</f>
        <v>6 und</v>
      </c>
      <c r="AC154" s="2" t="str">
        <f>MONJITAS!AB7</f>
        <v>6 und</v>
      </c>
      <c r="AD154" s="2" t="str">
        <f>MONJITAS!AC7</f>
        <v>5 und</v>
      </c>
      <c r="AE154" s="2" t="str">
        <f>MONJITAS!AD7</f>
        <v>5 und</v>
      </c>
      <c r="AF154" s="2" t="str">
        <f>MONJITAS!AE7</f>
        <v>5 und</v>
      </c>
      <c r="AG154" s="2" t="str">
        <f>MONJITAS!AF7</f>
        <v>4 und</v>
      </c>
      <c r="AH154" s="2" t="str">
        <f>MONJITAS!AG7</f>
        <v>4 und</v>
      </c>
      <c r="AI154" s="2" t="str">
        <f>MONJITAS!AH7</f>
        <v>4 und</v>
      </c>
      <c r="AJ154" s="2" t="str">
        <f>MONJITAS!AI7</f>
        <v>5 und</v>
      </c>
      <c r="AK154" s="2" t="str">
        <f>MONJITAS!AJ7</f>
        <v>4 und</v>
      </c>
      <c r="AL154" s="2" t="str">
        <f>MONJITAS!AK7</f>
        <v>3 und</v>
      </c>
      <c r="AM154" s="2" t="str">
        <f>MONJITAS!AL7</f>
        <v>3 und</v>
      </c>
      <c r="AN154" s="2" t="str">
        <f>MONJITAS!AM7</f>
        <v/>
      </c>
      <c r="AO154" s="2" t="str">
        <f>MONJITAS!AN7</f>
        <v>3 und</v>
      </c>
      <c r="AP154" s="2" t="str">
        <f>MONJITAS!AO7</f>
        <v/>
      </c>
      <c r="AQ154" s="2">
        <f>MONJITAS!AP7</f>
        <v>3</v>
      </c>
      <c r="AR154" s="2" t="str">
        <f>MONJITAS!AQ7</f>
        <v>3 und </v>
      </c>
      <c r="AS154" s="2" t="str">
        <f>MONJITAS!AR7</f>
        <v>2 und</v>
      </c>
      <c r="AT154" s="2" t="str">
        <f>MONJITAS!AS7</f>
        <v>2 und</v>
      </c>
      <c r="AU154" s="2" t="str">
        <f>MONJITAS!AT7</f>
        <v>1 und </v>
      </c>
      <c r="AV154" s="2" t="str">
        <f>MONJITAS!AU7</f>
        <v>1 und</v>
      </c>
      <c r="AW154" s="2" t="str">
        <f>MONJITAS!AV7</f>
        <v>1 und</v>
      </c>
      <c r="AX154" s="2" t="str">
        <f>MONJITAS!AW7</f>
        <v>1 und</v>
      </c>
      <c r="AY154" s="2" t="str">
        <f>MONJITAS!AX7</f>
        <v>1 und</v>
      </c>
      <c r="AZ154" s="2" t="str">
        <f>MONJITAS!AY7</f>
        <v>0 und</v>
      </c>
      <c r="BA154" s="2" t="str">
        <f>MONJITAS!AZ7</f>
        <v>1 und</v>
      </c>
      <c r="BB154" s="2" t="str">
        <f>MONJITAS!BA7</f>
        <v>1 und</v>
      </c>
      <c r="BC154" s="2" t="str">
        <f>MONJITAS!BB7</f>
        <v>1 und</v>
      </c>
      <c r="BD154" s="2" t="str">
        <f>MONJITAS!BC7</f>
        <v>1 und</v>
      </c>
      <c r="BE154" s="2" t="str">
        <f>MONJITAS!BD7</f>
        <v>1 und</v>
      </c>
      <c r="BF154" s="2" t="str">
        <f>MONJITAS!BE7</f>
        <v>0 und</v>
      </c>
      <c r="BG154" s="2" t="str">
        <f>MONJITAS!BF7</f>
        <v>0 und</v>
      </c>
      <c r="BH154" s="2" t="str">
        <f>MONJITAS!BG7</f>
        <v>0 und</v>
      </c>
      <c r="BI154" s="2" t="str">
        <f>MONJITAS!BH7</f>
        <v>0 und</v>
      </c>
      <c r="BJ154" s="2" t="str">
        <f>MONJITAS!BI7</f>
        <v>0 und</v>
      </c>
      <c r="BK154" s="2" t="str">
        <f>MONJITAS!BJ7</f>
        <v>2 und</v>
      </c>
      <c r="BL154" s="2" t="str">
        <f>MONJITAS!BK7</f>
        <v>2 und</v>
      </c>
      <c r="BM154" s="2" t="str">
        <f>MONJITAS!BL7</f>
        <v>1 und</v>
      </c>
      <c r="BN154" s="2" t="str">
        <f>MONJITAS!BM7</f>
        <v>1 und</v>
      </c>
      <c r="BO154" s="2" t="str">
        <f>MONJITAS!BN7</f>
        <v>1 und</v>
      </c>
      <c r="BP154" s="2" t="str">
        <f>MONJITAS!BO7</f>
        <v>7 und</v>
      </c>
      <c r="BQ154" s="2" t="str">
        <f>MONJITAS!BP7</f>
        <v>7 und</v>
      </c>
      <c r="BR154" s="2">
        <f>MONJITAS!BQ7</f>
        <v>7</v>
      </c>
      <c r="BS154" s="2" t="str">
        <f>MONJITAS!BR7</f>
        <v>6 und</v>
      </c>
      <c r="BT154" s="2" t="str">
        <f>MONJITAS!BS7</f>
        <v/>
      </c>
      <c r="BU154" s="2" t="str">
        <f>MONJITAS!BT7</f>
        <v/>
      </c>
      <c r="BV154" s="2" t="str">
        <f>MONJITAS!BU7</f>
        <v/>
      </c>
      <c r="BW154" s="2" t="str">
        <f>MONJITAS!BV7</f>
        <v/>
      </c>
      <c r="BX154" s="2" t="str">
        <f>MONJITAS!BW7</f>
        <v/>
      </c>
      <c r="BY154" s="2" t="str">
        <f>MONJITAS!BX7</f>
        <v/>
      </c>
      <c r="BZ154" s="2" t="str">
        <f>MONJITAS!BY7</f>
        <v/>
      </c>
      <c r="CA154" s="2"/>
      <c r="CB154" s="2"/>
      <c r="CC154" s="2"/>
    </row>
    <row r="155">
      <c r="A155" s="2"/>
      <c r="B155" s="2" t="str">
        <f>MONJITAS!A8</f>
        <v>Monjitas</v>
      </c>
      <c r="C155" s="2" t="str">
        <f>MONJITAS!B8</f>
        <v>Cafeteria</v>
      </c>
      <c r="D155" s="2" t="str">
        <f>MONJITAS!C8</f>
        <v>Leche liquida</v>
      </c>
      <c r="E155" s="2" t="str">
        <f>MONJITAS!D8</f>
        <v/>
      </c>
      <c r="F155" s="2" t="str">
        <f>MONJITAS!E8</f>
        <v/>
      </c>
      <c r="G155" s="2" t="str">
        <f>MONJITAS!F8</f>
        <v/>
      </c>
      <c r="H155" s="2" t="str">
        <f>MONJITAS!G8</f>
        <v/>
      </c>
      <c r="I155" s="2" t="str">
        <f>MONJITAS!H8</f>
        <v/>
      </c>
      <c r="J155" s="2" t="str">
        <f>MONJITAS!I8</f>
        <v/>
      </c>
      <c r="K155" s="2" t="str">
        <f>MONJITAS!J8</f>
        <v/>
      </c>
      <c r="L155" s="2" t="str">
        <f>MONJITAS!K8</f>
        <v/>
      </c>
      <c r="M155" s="2" t="str">
        <f>MONJITAS!L8</f>
        <v/>
      </c>
      <c r="N155" s="2" t="str">
        <f>MONJITAS!M8</f>
        <v/>
      </c>
      <c r="O155" s="2" t="str">
        <f>MONJITAS!N8</f>
        <v/>
      </c>
      <c r="P155" s="2" t="str">
        <f>MONJITAS!O8</f>
        <v/>
      </c>
      <c r="Q155" s="2" t="str">
        <f>MONJITAS!P8</f>
        <v/>
      </c>
      <c r="R155" s="2" t="str">
        <f>MONJITAS!Q8</f>
        <v>-</v>
      </c>
      <c r="S155" s="2" t="str">
        <f>MONJITAS!R8</f>
        <v>-</v>
      </c>
      <c r="T155" s="2" t="str">
        <f>MONJITAS!S8</f>
        <v>-</v>
      </c>
      <c r="U155" s="2" t="str">
        <f>MONJITAS!T8</f>
        <v>-</v>
      </c>
      <c r="V155" s="2" t="str">
        <f>MONJITAS!U8</f>
        <v>-</v>
      </c>
      <c r="W155" s="2" t="str">
        <f>MONJITAS!V8</f>
        <v>-</v>
      </c>
      <c r="X155" s="2" t="str">
        <f>MONJITAS!W8</f>
        <v>-</v>
      </c>
      <c r="Y155" s="2" t="str">
        <f>MONJITAS!X8</f>
        <v>-</v>
      </c>
      <c r="Z155" s="2" t="str">
        <f>MONJITAS!Y8</f>
        <v>-</v>
      </c>
      <c r="AA155" s="2" t="str">
        <f>MONJITAS!Z8</f>
        <v>2 lts</v>
      </c>
      <c r="AB155" s="2" t="str">
        <f>MONJITAS!AA8</f>
        <v>12 lts</v>
      </c>
      <c r="AC155" s="2" t="str">
        <f>MONJITAS!AB8</f>
        <v>0 lts </v>
      </c>
      <c r="AD155" s="2" t="str">
        <f>MONJITAS!AC8</f>
        <v>0 lts</v>
      </c>
      <c r="AE155" s="2" t="str">
        <f>MONJITAS!AD8</f>
        <v>31 lts </v>
      </c>
      <c r="AF155" s="2" t="str">
        <f>MONJITAS!AE8</f>
        <v>22 lts</v>
      </c>
      <c r="AG155" s="2" t="str">
        <f>MONJITAS!AF8</f>
        <v>0 lts</v>
      </c>
      <c r="AH155" s="2" t="str">
        <f>MONJITAS!AG8</f>
        <v>0 lts</v>
      </c>
      <c r="AI155" s="2" t="str">
        <f>MONJITAS!AH8</f>
        <v>24 lts</v>
      </c>
      <c r="AJ155" s="2" t="str">
        <f>MONJITAS!AI8</f>
        <v>10 lts</v>
      </c>
      <c r="AK155" s="2" t="str">
        <f>MONJITAS!AJ8</f>
        <v>8 lts</v>
      </c>
      <c r="AL155" s="2" t="str">
        <f>MONJITAS!AK8</f>
        <v>0 lts</v>
      </c>
      <c r="AM155" s="2" t="str">
        <f>MONJITAS!AL8</f>
        <v>0 lts</v>
      </c>
      <c r="AN155" s="2" t="str">
        <f>MONJITAS!AM8</f>
        <v/>
      </c>
      <c r="AO155" s="2" t="str">
        <f>MONJITAS!AN8</f>
        <v>0 lts</v>
      </c>
      <c r="AP155" s="2" t="str">
        <f>MONJITAS!AO8</f>
        <v/>
      </c>
      <c r="AQ155" s="2" t="str">
        <f>MONJITAS!AP8</f>
        <v>0 lts</v>
      </c>
      <c r="AR155" s="2" t="str">
        <f>MONJITAS!AQ8</f>
        <v>30 lts </v>
      </c>
      <c r="AS155" s="2" t="str">
        <f>MONJITAS!AR8</f>
        <v>26 lts </v>
      </c>
      <c r="AT155" s="2" t="str">
        <f>MONJITAS!AS8</f>
        <v>16 lts </v>
      </c>
      <c r="AU155" s="2" t="str">
        <f>MONJITAS!AT8</f>
        <v>0 lts </v>
      </c>
      <c r="AV155" s="2" t="str">
        <f>MONJITAS!AU8</f>
        <v>0 lts</v>
      </c>
      <c r="AW155" s="2" t="str">
        <f>MONJITAS!AV8</f>
        <v>30 lts </v>
      </c>
      <c r="AX155" s="2" t="str">
        <f>MONJITAS!AW8</f>
        <v>23 lts </v>
      </c>
      <c r="AY155" s="2" t="str">
        <f>MONJITAS!AX8</f>
        <v>18 lts </v>
      </c>
      <c r="AZ155" s="2" t="str">
        <f>MONJITAS!AY8</f>
        <v>9 lts</v>
      </c>
      <c r="BA155" s="2" t="str">
        <f>MONJITAS!AZ8</f>
        <v>31 lts </v>
      </c>
      <c r="BB155" s="2" t="str">
        <f>MONJITAS!BA8</f>
        <v>28 lts </v>
      </c>
      <c r="BC155" s="2" t="str">
        <f>MONJITAS!BB8</f>
        <v>25 lts </v>
      </c>
      <c r="BD155" s="2" t="str">
        <f>MONJITAS!BC8</f>
        <v>20  lts </v>
      </c>
      <c r="BE155" s="2" t="str">
        <f>MONJITAS!BD8</f>
        <v>12 lts </v>
      </c>
      <c r="BF155" s="2" t="str">
        <f>MONJITAS!BE8</f>
        <v>22 lts</v>
      </c>
      <c r="BG155" s="2" t="str">
        <f>MONJITAS!BF8</f>
        <v>19 lts</v>
      </c>
      <c r="BH155" s="2" t="str">
        <f>MONJITAS!BG8</f>
        <v>11 lts </v>
      </c>
      <c r="BI155" s="2" t="str">
        <f>MONJITAS!BH8</f>
        <v>5 lts </v>
      </c>
      <c r="BJ155" s="2" t="str">
        <f>MONJITAS!BI8</f>
        <v>22 lts </v>
      </c>
      <c r="BK155" s="2" t="str">
        <f>MONJITAS!BJ8</f>
        <v>17 lts</v>
      </c>
      <c r="BL155" s="2" t="str">
        <f>MONJITAS!BK8</f>
        <v>8 lts</v>
      </c>
      <c r="BM155" s="2" t="str">
        <f>MONJITAS!BL8</f>
        <v>3 lts </v>
      </c>
      <c r="BN155" s="2" t="str">
        <f>MONJITAS!BM8</f>
        <v>0 lts</v>
      </c>
      <c r="BO155" s="2" t="str">
        <f>MONJITAS!BN8</f>
        <v>1 lts</v>
      </c>
      <c r="BP155" s="2" t="str">
        <f>MONJITAS!BO8</f>
        <v>29 lts </v>
      </c>
      <c r="BQ155" s="2" t="str">
        <f>MONJITAS!BP8</f>
        <v>24 lts</v>
      </c>
      <c r="BR155" s="2" t="str">
        <f>MONJITAS!BQ8</f>
        <v>26 lts</v>
      </c>
      <c r="BS155" s="2" t="str">
        <f>MONJITAS!BR8</f>
        <v>19 lts </v>
      </c>
      <c r="BT155" s="2" t="str">
        <f>MONJITAS!BS8</f>
        <v/>
      </c>
      <c r="BU155" s="2" t="str">
        <f>MONJITAS!BT8</f>
        <v/>
      </c>
      <c r="BV155" s="2" t="str">
        <f>MONJITAS!BU8</f>
        <v/>
      </c>
      <c r="BW155" s="2" t="str">
        <f>MONJITAS!BV8</f>
        <v/>
      </c>
      <c r="BX155" s="2" t="str">
        <f>MONJITAS!BW8</f>
        <v/>
      </c>
      <c r="BY155" s="2" t="str">
        <f>MONJITAS!BX8</f>
        <v/>
      </c>
      <c r="BZ155" s="2" t="str">
        <f>MONJITAS!BY8</f>
        <v/>
      </c>
      <c r="CA155" s="2"/>
      <c r="CB155" s="2"/>
      <c r="CC155" s="2"/>
    </row>
    <row r="156">
      <c r="A156" s="2"/>
      <c r="B156" s="2" t="str">
        <f>MONJITAS!A18</f>
        <v>Monjitas</v>
      </c>
      <c r="C156" s="2" t="str">
        <f>MONJITAS!B18</f>
        <v>Cafeteria</v>
      </c>
      <c r="D156" s="2" t="str">
        <f>MONJITAS!C18</f>
        <v>Endulzante</v>
      </c>
      <c r="E156" s="2" t="str">
        <f>MONJITAS!D18</f>
        <v/>
      </c>
      <c r="F156" s="2" t="str">
        <f>MONJITAS!E18</f>
        <v/>
      </c>
      <c r="G156" s="2" t="str">
        <f>MONJITAS!F18</f>
        <v/>
      </c>
      <c r="H156" s="2" t="str">
        <f>MONJITAS!G18</f>
        <v/>
      </c>
      <c r="I156" s="2" t="str">
        <f>MONJITAS!H18</f>
        <v/>
      </c>
      <c r="J156" s="2" t="str">
        <f>MONJITAS!I18</f>
        <v/>
      </c>
      <c r="K156" s="2" t="str">
        <f>MONJITAS!J18</f>
        <v/>
      </c>
      <c r="L156" s="2" t="str">
        <f>MONJITAS!K18</f>
        <v/>
      </c>
      <c r="M156" s="2" t="str">
        <f>MONJITAS!L18</f>
        <v/>
      </c>
      <c r="N156" s="2" t="str">
        <f>MONJITAS!M18</f>
        <v/>
      </c>
      <c r="O156" s="2" t="str">
        <f>MONJITAS!N18</f>
        <v/>
      </c>
      <c r="P156" s="2" t="str">
        <f>MONJITAS!O18</f>
        <v/>
      </c>
      <c r="Q156" s="2" t="str">
        <f>MONJITAS!P18</f>
        <v/>
      </c>
      <c r="R156" s="2" t="str">
        <f>MONJITAS!Q18</f>
        <v>-</v>
      </c>
      <c r="S156" s="2" t="str">
        <f>MONJITAS!R18</f>
        <v>-</v>
      </c>
      <c r="T156" s="2" t="str">
        <f>MONJITAS!S18</f>
        <v>-</v>
      </c>
      <c r="U156" s="2" t="str">
        <f>MONJITAS!T18</f>
        <v>-</v>
      </c>
      <c r="V156" s="2" t="str">
        <f>MONJITAS!U18</f>
        <v>-</v>
      </c>
      <c r="W156" s="2" t="str">
        <f>MONJITAS!V18</f>
        <v>-</v>
      </c>
      <c r="X156" s="2" t="str">
        <f>MONJITAS!W18</f>
        <v>-</v>
      </c>
      <c r="Y156" s="2" t="str">
        <f>MONJITAS!X18</f>
        <v>-</v>
      </c>
      <c r="Z156" s="2" t="str">
        <f>MONJITAS!Y18</f>
        <v>-</v>
      </c>
      <c r="AA156" s="2" t="str">
        <f>MONJITAS!Z18</f>
        <v>4 und </v>
      </c>
      <c r="AB156" s="2" t="str">
        <f>MONJITAS!AA18</f>
        <v>3 und </v>
      </c>
      <c r="AC156" s="2" t="str">
        <f>MONJITAS!AB18</f>
        <v>3 und</v>
      </c>
      <c r="AD156" s="2" t="str">
        <f>MONJITAS!AC18</f>
        <v>2 und</v>
      </c>
      <c r="AE156" s="2" t="str">
        <f>MONJITAS!AD18</f>
        <v>2 und </v>
      </c>
      <c r="AF156" s="2" t="str">
        <f>MONJITAS!AE18</f>
        <v>2 und</v>
      </c>
      <c r="AG156" s="2" t="str">
        <f>MONJITAS!AF18</f>
        <v>2 und</v>
      </c>
      <c r="AH156" s="2" t="str">
        <f>MONJITAS!AG18</f>
        <v>2 und</v>
      </c>
      <c r="AI156" s="2" t="str">
        <f>MONJITAS!AH18</f>
        <v>4 und</v>
      </c>
      <c r="AJ156" s="2" t="str">
        <f>MONJITAS!AI18</f>
        <v>3 und</v>
      </c>
      <c r="AK156" s="2" t="str">
        <f>MONJITAS!AJ18</f>
        <v>3 und</v>
      </c>
      <c r="AL156" s="2" t="str">
        <f>MONJITAS!AK18</f>
        <v>3 und</v>
      </c>
      <c r="AM156" s="2" t="str">
        <f>MONJITAS!AL18</f>
        <v>2 und</v>
      </c>
      <c r="AN156" s="2" t="str">
        <f>MONJITAS!AM18</f>
        <v/>
      </c>
      <c r="AO156" s="2" t="str">
        <f>MONJITAS!AN18</f>
        <v>2 und</v>
      </c>
      <c r="AP156" s="2" t="str">
        <f>MONJITAS!AO18</f>
        <v/>
      </c>
      <c r="AQ156" s="2" t="str">
        <f>MONJITAS!AP18</f>
        <v>2 und</v>
      </c>
      <c r="AR156" s="2" t="str">
        <f>MONJITAS!AQ18</f>
        <v>2 und</v>
      </c>
      <c r="AS156" s="2" t="str">
        <f>MONJITAS!AR18</f>
        <v>2 und </v>
      </c>
      <c r="AT156" s="2" t="str">
        <f>MONJITAS!AS18</f>
        <v>2 und </v>
      </c>
      <c r="AU156" s="2" t="str">
        <f>MONJITAS!AT18</f>
        <v>2 und</v>
      </c>
      <c r="AV156" s="2" t="str">
        <f>MONJITAS!AU18</f>
        <v>2 und</v>
      </c>
      <c r="AW156" s="2" t="str">
        <f>MONJITAS!AV18</f>
        <v>4 und</v>
      </c>
      <c r="AX156" s="2" t="str">
        <f>MONJITAS!AW18</f>
        <v>4 und</v>
      </c>
      <c r="AY156" s="2" t="str">
        <f>MONJITAS!AX18</f>
        <v>4 und</v>
      </c>
      <c r="AZ156" s="2" t="str">
        <f>MONJITAS!AY18</f>
        <v>4 und</v>
      </c>
      <c r="BA156" s="2" t="str">
        <f>MONJITAS!AZ18</f>
        <v>4 und</v>
      </c>
      <c r="BB156" s="2" t="str">
        <f>MONJITAS!BA18</f>
        <v>3 und</v>
      </c>
      <c r="BC156" s="2" t="str">
        <f>MONJITAS!BB18</f>
        <v>3 und</v>
      </c>
      <c r="BD156" s="2" t="str">
        <f>MONJITAS!BC18</f>
        <v>3 und</v>
      </c>
      <c r="BE156" s="2" t="str">
        <f>MONJITAS!BD18</f>
        <v>3 und</v>
      </c>
      <c r="BF156" s="2" t="str">
        <f>MONJITAS!BE18</f>
        <v>3 und</v>
      </c>
      <c r="BG156" s="2" t="str">
        <f>MONJITAS!BF18</f>
        <v>3 und</v>
      </c>
      <c r="BH156" s="2" t="str">
        <f>MONJITAS!BG18</f>
        <v>3 und</v>
      </c>
      <c r="BI156" s="2" t="str">
        <f>MONJITAS!BH18</f>
        <v>2 und</v>
      </c>
      <c r="BJ156" s="2" t="str">
        <f>MONJITAS!BI9</f>
        <v/>
      </c>
      <c r="BK156" s="2" t="str">
        <f>MONJITAS!BJ9</f>
        <v/>
      </c>
      <c r="BL156" s="2" t="str">
        <f>MONJITAS!BK9</f>
        <v/>
      </c>
      <c r="BM156" s="2" t="str">
        <f>MONJITAS!BL9</f>
        <v/>
      </c>
      <c r="BN156" s="2" t="str">
        <f>MONJITAS!BM9</f>
        <v/>
      </c>
      <c r="BO156" s="2" t="str">
        <f>MONJITAS!BN9</f>
        <v/>
      </c>
      <c r="BP156" s="2" t="str">
        <f>MONJITAS!BO9</f>
        <v/>
      </c>
      <c r="BQ156" s="2" t="str">
        <f>MONJITAS!BP9</f>
        <v>3 und</v>
      </c>
      <c r="BR156" s="2" t="str">
        <f>MONJITAS!BQ9</f>
        <v>3 und</v>
      </c>
      <c r="BS156" s="2" t="str">
        <f>MONJITAS!BR9</f>
        <v>3 und</v>
      </c>
      <c r="BT156" s="2" t="str">
        <f>MONJITAS!BS9</f>
        <v/>
      </c>
      <c r="BU156" s="2" t="str">
        <f>MONJITAS!BT9</f>
        <v/>
      </c>
      <c r="BV156" s="2" t="str">
        <f>MONJITAS!BU9</f>
        <v/>
      </c>
      <c r="BW156" s="2" t="str">
        <f>MONJITAS!BV9</f>
        <v/>
      </c>
      <c r="BX156" s="2" t="str">
        <f>MONJITAS!BW9</f>
        <v/>
      </c>
      <c r="BY156" s="2" t="str">
        <f>MONJITAS!BX9</f>
        <v/>
      </c>
      <c r="BZ156" s="2" t="str">
        <f>MONJITAS!BY9</f>
        <v/>
      </c>
      <c r="CA156" s="2"/>
      <c r="CB156" s="2"/>
      <c r="CC156" s="2"/>
    </row>
    <row r="157">
      <c r="A157" s="2"/>
      <c r="B157" s="2" t="str">
        <f>MONJITAS!A19</f>
        <v>Monjitas</v>
      </c>
      <c r="C157" s="2" t="str">
        <f>MONJITAS!B19</f>
        <v>Cafeteria</v>
      </c>
      <c r="D157" s="2" t="str">
        <f>MONJITAS!C19</f>
        <v>Servilletas</v>
      </c>
      <c r="E157" s="2" t="str">
        <f>MONJITAS!D19</f>
        <v/>
      </c>
      <c r="F157" s="2" t="str">
        <f>MONJITAS!E19</f>
        <v/>
      </c>
      <c r="G157" s="2" t="str">
        <f>MONJITAS!F19</f>
        <v/>
      </c>
      <c r="H157" s="2" t="str">
        <f>MONJITAS!G19</f>
        <v/>
      </c>
      <c r="I157" s="2" t="str">
        <f>MONJITAS!H19</f>
        <v/>
      </c>
      <c r="J157" s="2" t="str">
        <f>MONJITAS!I19</f>
        <v/>
      </c>
      <c r="K157" s="2" t="str">
        <f>MONJITAS!J19</f>
        <v/>
      </c>
      <c r="L157" s="2" t="str">
        <f>MONJITAS!K19</f>
        <v/>
      </c>
      <c r="M157" s="2" t="str">
        <f>MONJITAS!L19</f>
        <v/>
      </c>
      <c r="N157" s="2" t="str">
        <f>MONJITAS!M19</f>
        <v/>
      </c>
      <c r="O157" s="2" t="str">
        <f>MONJITAS!N19</f>
        <v/>
      </c>
      <c r="P157" s="2" t="str">
        <f>MONJITAS!O19</f>
        <v/>
      </c>
      <c r="Q157" s="2" t="str">
        <f>MONJITAS!P19</f>
        <v/>
      </c>
      <c r="R157" s="2" t="str">
        <f>MONJITAS!Q19</f>
        <v/>
      </c>
      <c r="S157" s="2" t="str">
        <f>MONJITAS!R19</f>
        <v/>
      </c>
      <c r="T157" s="2" t="str">
        <f>MONJITAS!S19</f>
        <v/>
      </c>
      <c r="U157" s="2" t="str">
        <f>MONJITAS!T19</f>
        <v/>
      </c>
      <c r="V157" s="2" t="str">
        <f>MONJITAS!U19</f>
        <v/>
      </c>
      <c r="W157" s="2" t="str">
        <f>MONJITAS!V19</f>
        <v/>
      </c>
      <c r="X157" s="2" t="str">
        <f>MONJITAS!W19</f>
        <v/>
      </c>
      <c r="Y157" s="2" t="str">
        <f>MONJITAS!X19</f>
        <v/>
      </c>
      <c r="Z157" s="2" t="str">
        <f>MONJITAS!Y19</f>
        <v/>
      </c>
      <c r="AA157" s="2" t="str">
        <f>MONJITAS!Z19</f>
        <v/>
      </c>
      <c r="AB157" s="2" t="str">
        <f>MONJITAS!AA19</f>
        <v/>
      </c>
      <c r="AC157" s="2" t="str">
        <f>MONJITAS!AB19</f>
        <v/>
      </c>
      <c r="AD157" s="2" t="str">
        <f>MONJITAS!AC19</f>
        <v/>
      </c>
      <c r="AE157" s="2" t="str">
        <f>MONJITAS!AD19</f>
        <v/>
      </c>
      <c r="AF157" s="2" t="str">
        <f>MONJITAS!AE19</f>
        <v/>
      </c>
      <c r="AG157" s="2" t="str">
        <f>MONJITAS!AF19</f>
        <v/>
      </c>
      <c r="AH157" s="2" t="str">
        <f>MONJITAS!AG19</f>
        <v/>
      </c>
      <c r="AI157" s="2" t="str">
        <f>MONJITAS!AH19</f>
        <v/>
      </c>
      <c r="AJ157" s="2" t="str">
        <f>MONJITAS!AI19</f>
        <v/>
      </c>
      <c r="AK157" s="2" t="str">
        <f>MONJITAS!AJ19</f>
        <v/>
      </c>
      <c r="AL157" s="2" t="str">
        <f>MONJITAS!AK19</f>
        <v/>
      </c>
      <c r="AM157" s="2" t="str">
        <f>MONJITAS!AL19</f>
        <v/>
      </c>
      <c r="AN157" s="2" t="str">
        <f>MONJITAS!AM19</f>
        <v/>
      </c>
      <c r="AO157" s="2" t="str">
        <f>MONJITAS!AN19</f>
        <v/>
      </c>
      <c r="AP157" s="2" t="str">
        <f>MONJITAS!AO19</f>
        <v/>
      </c>
      <c r="AQ157" s="2" t="str">
        <f>MONJITAS!AP19</f>
        <v/>
      </c>
      <c r="AR157" s="2" t="str">
        <f>MONJITAS!AQ19</f>
        <v/>
      </c>
      <c r="AS157" s="2" t="str">
        <f>MONJITAS!AR19</f>
        <v/>
      </c>
      <c r="AT157" s="2" t="str">
        <f>MONJITAS!AS19</f>
        <v/>
      </c>
      <c r="AU157" s="2" t="str">
        <f>MONJITAS!AT19</f>
        <v/>
      </c>
      <c r="AV157" s="2" t="str">
        <f>MONJITAS!AU19</f>
        <v/>
      </c>
      <c r="AW157" s="2" t="str">
        <f>MONJITAS!AV19</f>
        <v/>
      </c>
      <c r="AX157" s="2" t="str">
        <f>MONJITAS!AW19</f>
        <v/>
      </c>
      <c r="AY157" s="2" t="str">
        <f>MONJITAS!AX19</f>
        <v/>
      </c>
      <c r="AZ157" s="2" t="str">
        <f>MONJITAS!AY19</f>
        <v/>
      </c>
      <c r="BA157" s="2" t="str">
        <f>MONJITAS!AZ19</f>
        <v/>
      </c>
      <c r="BB157" s="2" t="str">
        <f>MONJITAS!BA19</f>
        <v/>
      </c>
      <c r="BC157" s="2" t="str">
        <f>MONJITAS!BB19</f>
        <v/>
      </c>
      <c r="BD157" s="2" t="str">
        <f>MONJITAS!BC19</f>
        <v/>
      </c>
      <c r="BE157" s="2">
        <f>MONJITAS!BD19</f>
        <v>0</v>
      </c>
      <c r="BF157" s="2">
        <f>MONJITAS!BE19</f>
        <v>0</v>
      </c>
      <c r="BG157" s="2">
        <f>MONJITAS!BF19</f>
        <v>0</v>
      </c>
      <c r="BH157" s="2">
        <f>MONJITAS!BG19</f>
        <v>0</v>
      </c>
      <c r="BI157" s="2">
        <f>MONJITAS!BH19</f>
        <v>0</v>
      </c>
      <c r="BJ157" s="2" t="str">
        <f>MONJITAS!BI10</f>
        <v/>
      </c>
      <c r="BK157" s="2" t="str">
        <f>MONJITAS!BJ10</f>
        <v/>
      </c>
      <c r="BL157" s="2" t="str">
        <f>MONJITAS!BK10</f>
        <v/>
      </c>
      <c r="BM157" s="2" t="str">
        <f>MONJITAS!BL10</f>
        <v/>
      </c>
      <c r="BN157" s="2" t="str">
        <f>MONJITAS!BM10</f>
        <v/>
      </c>
      <c r="BO157" s="2" t="str">
        <f>MONJITAS!BN10</f>
        <v/>
      </c>
      <c r="BP157" s="2" t="str">
        <f>MONJITAS!BO10</f>
        <v/>
      </c>
      <c r="BQ157" s="2" t="str">
        <f>MONJITAS!BP10</f>
        <v/>
      </c>
      <c r="BR157" s="2" t="str">
        <f>MONJITAS!BQ10</f>
        <v>7 cajas</v>
      </c>
      <c r="BS157" s="2" t="str">
        <f>MONJITAS!BR10</f>
        <v>7 cajas</v>
      </c>
      <c r="BT157" s="2" t="str">
        <f>MONJITAS!BS10</f>
        <v/>
      </c>
      <c r="BU157" s="2" t="str">
        <f>MONJITAS!BT10</f>
        <v/>
      </c>
      <c r="BV157" s="2" t="str">
        <f>MONJITAS!BU10</f>
        <v/>
      </c>
      <c r="BW157" s="2" t="str">
        <f>MONJITAS!BV10</f>
        <v/>
      </c>
      <c r="BX157" s="2" t="str">
        <f>MONJITAS!BW10</f>
        <v/>
      </c>
      <c r="BY157" s="2" t="str">
        <f>MONJITAS!BX10</f>
        <v/>
      </c>
      <c r="BZ157" s="2" t="str">
        <f>MONJITAS!BY10</f>
        <v/>
      </c>
      <c r="CA157" s="2"/>
      <c r="CB157" s="2"/>
      <c r="CC157" s="2"/>
    </row>
    <row r="158">
      <c r="A158" s="2"/>
      <c r="B158" s="2" t="str">
        <f>MONJITAS!A20</f>
        <v>Monjitas</v>
      </c>
      <c r="C158" s="2" t="str">
        <f>MONJITAS!B20</f>
        <v>Aseo</v>
      </c>
      <c r="D158" s="2" t="str">
        <f>MONJITAS!C20</f>
        <v>Cloro Gel</v>
      </c>
      <c r="E158" s="2" t="str">
        <f>MONJITAS!D20</f>
        <v/>
      </c>
      <c r="F158" s="2" t="str">
        <f>MONJITAS!E20</f>
        <v/>
      </c>
      <c r="G158" s="2" t="str">
        <f>MONJITAS!F20</f>
        <v/>
      </c>
      <c r="H158" s="2" t="str">
        <f>MONJITAS!G20</f>
        <v/>
      </c>
      <c r="I158" s="2" t="str">
        <f>MONJITAS!H20</f>
        <v/>
      </c>
      <c r="J158" s="2" t="str">
        <f>MONJITAS!I20</f>
        <v/>
      </c>
      <c r="K158" s="2" t="str">
        <f>MONJITAS!J20</f>
        <v/>
      </c>
      <c r="L158" s="2" t="str">
        <f>MONJITAS!K20</f>
        <v/>
      </c>
      <c r="M158" s="2" t="str">
        <f>MONJITAS!L20</f>
        <v/>
      </c>
      <c r="N158" s="2" t="str">
        <f>MONJITAS!M20</f>
        <v/>
      </c>
      <c r="O158" s="2" t="str">
        <f>MONJITAS!N20</f>
        <v/>
      </c>
      <c r="P158" s="2" t="str">
        <f>MONJITAS!O20</f>
        <v/>
      </c>
      <c r="Q158" s="2" t="str">
        <f>MONJITAS!P20</f>
        <v/>
      </c>
      <c r="R158" s="2" t="str">
        <f>MONJITAS!Q20</f>
        <v>-</v>
      </c>
      <c r="S158" s="2" t="str">
        <f>MONJITAS!R20</f>
        <v>-</v>
      </c>
      <c r="T158" s="2" t="str">
        <f>MONJITAS!S20</f>
        <v>-</v>
      </c>
      <c r="U158" s="2" t="str">
        <f>MONJITAS!T20</f>
        <v>-</v>
      </c>
      <c r="V158" s="2" t="str">
        <f>MONJITAS!U20</f>
        <v>-</v>
      </c>
      <c r="W158" s="2" t="str">
        <f>MONJITAS!V20</f>
        <v>-</v>
      </c>
      <c r="X158" s="2" t="str">
        <f>MONJITAS!W20</f>
        <v>-</v>
      </c>
      <c r="Y158" s="2" t="str">
        <f>MONJITAS!X20</f>
        <v>-</v>
      </c>
      <c r="Z158" s="2" t="str">
        <f>MONJITAS!Y20</f>
        <v>-</v>
      </c>
      <c r="AA158" s="2" t="str">
        <f>MONJITAS!Z20</f>
        <v>-</v>
      </c>
      <c r="AB158" s="2" t="str">
        <f>MONJITAS!AA20</f>
        <v>-</v>
      </c>
      <c r="AC158" s="2" t="str">
        <f>MONJITAS!AB20</f>
        <v>5 lts </v>
      </c>
      <c r="AD158" s="2" t="str">
        <f>MONJITAS!AC20</f>
        <v>5 lts </v>
      </c>
      <c r="AE158" s="2" t="str">
        <f>MONJITAS!AD20</f>
        <v>5 lts</v>
      </c>
      <c r="AF158" s="2" t="str">
        <f>MONJITAS!AE20</f>
        <v>5 lts</v>
      </c>
      <c r="AG158" s="2" t="str">
        <f>MONJITAS!AF20</f>
        <v>5 lts</v>
      </c>
      <c r="AH158" s="2" t="str">
        <f>MONJITAS!AG20</f>
        <v>5 lts</v>
      </c>
      <c r="AI158" s="2" t="str">
        <f>MONJITAS!AH20</f>
        <v>10 lts</v>
      </c>
      <c r="AJ158" s="2" t="str">
        <f>MONJITAS!AI20</f>
        <v>10 lts</v>
      </c>
      <c r="AK158" s="2" t="str">
        <f>MONJITAS!AJ20</f>
        <v>5 lts</v>
      </c>
      <c r="AL158" s="2" t="str">
        <f>MONJITAS!AK20</f>
        <v>5 lts</v>
      </c>
      <c r="AM158" s="2" t="str">
        <f>MONJITAS!AL20</f>
        <v>5 lts</v>
      </c>
      <c r="AN158" s="2" t="str">
        <f>MONJITAS!AM20</f>
        <v/>
      </c>
      <c r="AO158" s="2" t="str">
        <f>MONJITAS!AN20</f>
        <v>0 lts</v>
      </c>
      <c r="AP158" s="2" t="str">
        <f>MONJITAS!AO20</f>
        <v/>
      </c>
      <c r="AQ158" s="2" t="str">
        <f>MONJITAS!AP20</f>
        <v>0 lts</v>
      </c>
      <c r="AR158" s="2" t="str">
        <f>MONJITAS!AQ20</f>
        <v>5 lts </v>
      </c>
      <c r="AS158" s="2" t="str">
        <f>MONJITAS!AR20</f>
        <v>5 lts </v>
      </c>
      <c r="AT158" s="2" t="str">
        <f>MONJITAS!AS20</f>
        <v>5 lts </v>
      </c>
      <c r="AU158" s="2" t="str">
        <f>MONJITAS!AT20</f>
        <v>5 lts </v>
      </c>
      <c r="AV158" s="2" t="str">
        <f>MONJITAS!AU20</f>
        <v>5 lts</v>
      </c>
      <c r="AW158" s="2" t="str">
        <f>MONJITAS!AV20</f>
        <v>5 lts </v>
      </c>
      <c r="AX158" s="2" t="str">
        <f>MONJITAS!AW20</f>
        <v>5 lts </v>
      </c>
      <c r="AY158" s="2" t="str">
        <f>MONJITAS!AX20</f>
        <v>5 lts </v>
      </c>
      <c r="AZ158" s="2" t="str">
        <f>MONJITAS!AY20</f>
        <v>0 lts </v>
      </c>
      <c r="BA158" s="2" t="str">
        <f>MONJITAS!AZ20</f>
        <v>5 lts </v>
      </c>
      <c r="BB158" s="2" t="str">
        <f>MONJITAS!BA20</f>
        <v>5 lts </v>
      </c>
      <c r="BC158" s="2" t="str">
        <f>MONJITAS!BB20</f>
        <v>5 lts </v>
      </c>
      <c r="BD158" s="2" t="str">
        <f>MONJITAS!BC20</f>
        <v>5 lts </v>
      </c>
      <c r="BE158" s="2" t="str">
        <f>MONJITAS!BD20</f>
        <v>0 lts </v>
      </c>
      <c r="BF158" s="2" t="str">
        <f>MONJITAS!BE20</f>
        <v>10 lts</v>
      </c>
      <c r="BG158" s="2" t="str">
        <f>MONJITAS!BF20</f>
        <v>10 lts</v>
      </c>
      <c r="BH158" s="2" t="str">
        <f>MONJITAS!BG20</f>
        <v>10 lts </v>
      </c>
      <c r="BI158" s="2" t="str">
        <f>MONJITAS!BH20</f>
        <v>5 lts </v>
      </c>
      <c r="BJ158" s="2" t="str">
        <f>MONJITAS!BI11</f>
        <v/>
      </c>
      <c r="BK158" s="2" t="str">
        <f>MONJITAS!BJ11</f>
        <v/>
      </c>
      <c r="BL158" s="2" t="str">
        <f>MONJITAS!BK11</f>
        <v/>
      </c>
      <c r="BM158" s="2" t="str">
        <f>MONJITAS!BL11</f>
        <v/>
      </c>
      <c r="BN158" s="2" t="str">
        <f>MONJITAS!BM11</f>
        <v/>
      </c>
      <c r="BO158" s="2" t="str">
        <f>MONJITAS!BN11</f>
        <v/>
      </c>
      <c r="BP158" s="2" t="str">
        <f>MONJITAS!BO11</f>
        <v/>
      </c>
      <c r="BQ158" s="2" t="str">
        <f>MONJITAS!BP11</f>
        <v/>
      </c>
      <c r="BR158" s="2" t="str">
        <f>MONJITAS!BQ11</f>
        <v>5 cajas</v>
      </c>
      <c r="BS158" s="2" t="str">
        <f>MONJITAS!BR11</f>
        <v>5 cajas</v>
      </c>
      <c r="BT158" s="2" t="str">
        <f>MONJITAS!BS11</f>
        <v/>
      </c>
      <c r="BU158" s="2" t="str">
        <f>MONJITAS!BT11</f>
        <v/>
      </c>
      <c r="BV158" s="2" t="str">
        <f>MONJITAS!BU11</f>
        <v/>
      </c>
      <c r="BW158" s="2" t="str">
        <f>MONJITAS!BV11</f>
        <v/>
      </c>
      <c r="BX158" s="2" t="str">
        <f>MONJITAS!BW11</f>
        <v/>
      </c>
      <c r="BY158" s="2" t="str">
        <f>MONJITAS!BX11</f>
        <v/>
      </c>
      <c r="BZ158" s="2" t="str">
        <f>MONJITAS!BY11</f>
        <v/>
      </c>
      <c r="CA158" s="2"/>
      <c r="CB158" s="2"/>
      <c r="CC158" s="2"/>
    </row>
    <row r="159" ht="14.25" customHeight="1">
      <c r="A159" s="2"/>
      <c r="B159" s="2" t="str">
        <f>MONJITAS!A21</f>
        <v>Monjitas</v>
      </c>
      <c r="C159" s="2" t="str">
        <f>MONJITAS!B21</f>
        <v>Aseo</v>
      </c>
      <c r="D159" s="2" t="str">
        <f>MONJITAS!C21</f>
        <v>Limpia Piso</v>
      </c>
      <c r="E159" s="2" t="str">
        <f>MONJITAS!D21</f>
        <v/>
      </c>
      <c r="F159" s="2" t="str">
        <f>MONJITAS!E21</f>
        <v/>
      </c>
      <c r="G159" s="2" t="str">
        <f>MONJITAS!F21</f>
        <v/>
      </c>
      <c r="H159" s="2" t="str">
        <f>MONJITAS!G21</f>
        <v/>
      </c>
      <c r="I159" s="2" t="str">
        <f>MONJITAS!H21</f>
        <v/>
      </c>
      <c r="J159" s="2" t="str">
        <f>MONJITAS!I21</f>
        <v/>
      </c>
      <c r="K159" s="2" t="str">
        <f>MONJITAS!J21</f>
        <v/>
      </c>
      <c r="L159" s="2" t="str">
        <f>MONJITAS!K21</f>
        <v/>
      </c>
      <c r="M159" s="2" t="str">
        <f>MONJITAS!L21</f>
        <v/>
      </c>
      <c r="N159" s="2" t="str">
        <f>MONJITAS!M21</f>
        <v/>
      </c>
      <c r="O159" s="2" t="str">
        <f>MONJITAS!N21</f>
        <v/>
      </c>
      <c r="P159" s="2" t="str">
        <f>MONJITAS!O21</f>
        <v/>
      </c>
      <c r="Q159" s="2" t="str">
        <f>MONJITAS!P21</f>
        <v/>
      </c>
      <c r="R159" s="2" t="str">
        <f>MONJITAS!Q21</f>
        <v>-</v>
      </c>
      <c r="S159" s="2" t="str">
        <f>MONJITAS!R21</f>
        <v>-</v>
      </c>
      <c r="T159" s="2" t="str">
        <f>MONJITAS!S21</f>
        <v>-</v>
      </c>
      <c r="U159" s="2" t="str">
        <f>MONJITAS!T21</f>
        <v>-</v>
      </c>
      <c r="V159" s="2" t="str">
        <f>MONJITAS!U21</f>
        <v>-</v>
      </c>
      <c r="W159" s="2" t="str">
        <f>MONJITAS!V21</f>
        <v>-</v>
      </c>
      <c r="X159" s="2" t="str">
        <f>MONJITAS!W21</f>
        <v>-</v>
      </c>
      <c r="Y159" s="2" t="str">
        <f>MONJITAS!X21</f>
        <v>-</v>
      </c>
      <c r="Z159" s="2" t="str">
        <f>MONJITAS!Y21</f>
        <v>-</v>
      </c>
      <c r="AA159" s="2" t="str">
        <f>MONJITAS!Z21</f>
        <v>-</v>
      </c>
      <c r="AB159" s="2" t="str">
        <f>MONJITAS!AA21</f>
        <v>-</v>
      </c>
      <c r="AC159" s="2" t="str">
        <f>MONJITAS!AB21</f>
        <v>10 lts </v>
      </c>
      <c r="AD159" s="2" t="str">
        <f>MONJITAS!AC21</f>
        <v>0 lts </v>
      </c>
      <c r="AE159" s="2" t="str">
        <f>MONJITAS!AD21</f>
        <v>0 lts </v>
      </c>
      <c r="AF159" s="2" t="str">
        <f>MONJITAS!AE21</f>
        <v>0 lts</v>
      </c>
      <c r="AG159" s="2" t="str">
        <f>MONJITAS!AF21</f>
        <v>0 lts</v>
      </c>
      <c r="AH159" s="2" t="str">
        <f>MONJITAS!AG21</f>
        <v>0 lts</v>
      </c>
      <c r="AI159" s="2" t="str">
        <f>MONJITAS!AH21</f>
        <v>0 lts</v>
      </c>
      <c r="AJ159" s="2" t="str">
        <f>MONJITAS!AI21</f>
        <v>0 lts</v>
      </c>
      <c r="AK159" s="2" t="str">
        <f>MONJITAS!AJ21</f>
        <v>0 lts</v>
      </c>
      <c r="AL159" s="2" t="str">
        <f>MONJITAS!AK21</f>
        <v>0 lts</v>
      </c>
      <c r="AM159" s="2" t="str">
        <f>MONJITAS!AL21</f>
        <v>0 lts</v>
      </c>
      <c r="AN159" s="2" t="str">
        <f>MONJITAS!AM21</f>
        <v/>
      </c>
      <c r="AO159" s="2" t="str">
        <f>MONJITAS!AN21</f>
        <v>0 lts</v>
      </c>
      <c r="AP159" s="2" t="str">
        <f>MONJITAS!AO21</f>
        <v/>
      </c>
      <c r="AQ159" s="2" t="str">
        <f>MONJITAS!AP21</f>
        <v>0 lts</v>
      </c>
      <c r="AR159" s="2" t="str">
        <f>MONJITAS!AQ21</f>
        <v>0 lts </v>
      </c>
      <c r="AS159" s="2" t="str">
        <f>MONJITAS!AR21</f>
        <v>0 lts </v>
      </c>
      <c r="AT159" s="2" t="str">
        <f>MONJITAS!AS21</f>
        <v>0 lts </v>
      </c>
      <c r="AU159" s="2" t="str">
        <f>MONJITAS!AT21</f>
        <v>0 lts </v>
      </c>
      <c r="AV159" s="2" t="str">
        <f>MONJITAS!AU21</f>
        <v>0 lts</v>
      </c>
      <c r="AW159" s="2" t="str">
        <f>MONJITAS!AV21</f>
        <v>10 lts </v>
      </c>
      <c r="AX159" s="2" t="str">
        <f>MONJITAS!AW21</f>
        <v>5 lts </v>
      </c>
      <c r="AY159" s="2" t="str">
        <f>MONJITAS!AX21</f>
        <v>5 lts </v>
      </c>
      <c r="AZ159" s="2" t="str">
        <f>MONJITAS!AY21</f>
        <v>5 lts </v>
      </c>
      <c r="BA159" s="2" t="str">
        <f>MONJITAS!AZ21</f>
        <v>15 lts </v>
      </c>
      <c r="BB159" s="2" t="str">
        <f>MONJITAS!BA21</f>
        <v>10 lts </v>
      </c>
      <c r="BC159" s="2" t="str">
        <f>MONJITAS!BB21</f>
        <v>10 lts</v>
      </c>
      <c r="BD159" s="2" t="str">
        <f>MONJITAS!BC21</f>
        <v>10 lts </v>
      </c>
      <c r="BE159" s="2" t="str">
        <f>MONJITAS!BD21</f>
        <v>10 lts </v>
      </c>
      <c r="BF159" s="2" t="str">
        <f>MONJITAS!BE21</f>
        <v>10 lts </v>
      </c>
      <c r="BG159" s="2" t="str">
        <f>MONJITAS!BF21</f>
        <v>10 lts</v>
      </c>
      <c r="BH159" s="2" t="str">
        <f>MONJITAS!BG21</f>
        <v>10 lts </v>
      </c>
      <c r="BI159" s="2" t="str">
        <f>MONJITAS!BH21</f>
        <v>5 lts </v>
      </c>
      <c r="BJ159" s="2" t="str">
        <f>MONJITAS!BI12</f>
        <v/>
      </c>
      <c r="BK159" s="2" t="str">
        <f>MONJITAS!BJ12</f>
        <v/>
      </c>
      <c r="BL159" s="2" t="str">
        <f>MONJITAS!BK12</f>
        <v/>
      </c>
      <c r="BM159" s="2" t="str">
        <f>MONJITAS!BL12</f>
        <v/>
      </c>
      <c r="BN159" s="2" t="str">
        <f>MONJITAS!BM12</f>
        <v/>
      </c>
      <c r="BO159" s="2" t="str">
        <f>MONJITAS!BN12</f>
        <v/>
      </c>
      <c r="BP159" s="2" t="str">
        <f>MONJITAS!BO12</f>
        <v/>
      </c>
      <c r="BQ159" s="2" t="str">
        <f>MONJITAS!BP12</f>
        <v/>
      </c>
      <c r="BR159" s="2" t="str">
        <f>MONJITAS!BQ12</f>
        <v>3 cajas</v>
      </c>
      <c r="BS159" s="2" t="str">
        <f>MONJITAS!BR12</f>
        <v>3 cajas</v>
      </c>
      <c r="BT159" s="2" t="str">
        <f>MONJITAS!BS12</f>
        <v/>
      </c>
      <c r="BU159" s="2" t="str">
        <f>MONJITAS!BT12</f>
        <v/>
      </c>
      <c r="BV159" s="2" t="str">
        <f>MONJITAS!BU12</f>
        <v/>
      </c>
      <c r="BW159" s="2" t="str">
        <f>MONJITAS!BV12</f>
        <v/>
      </c>
      <c r="BX159" s="2" t="str">
        <f>MONJITAS!BW12</f>
        <v/>
      </c>
      <c r="BY159" s="2" t="str">
        <f>MONJITAS!BX12</f>
        <v/>
      </c>
      <c r="BZ159" s="2" t="str">
        <f>MONJITAS!BY12</f>
        <v/>
      </c>
      <c r="CA159" s="2"/>
      <c r="CB159" s="2"/>
      <c r="CC159" s="2"/>
    </row>
    <row r="160" ht="14.25" customHeight="1">
      <c r="A160" s="2"/>
      <c r="B160" s="2" t="str">
        <f>MONJITAS!A22</f>
        <v>Monjitas</v>
      </c>
      <c r="C160" s="2" t="str">
        <f>MONJITAS!B22</f>
        <v>Aseo</v>
      </c>
      <c r="D160" s="2" t="str">
        <f>MONJITAS!C22</f>
        <v>Bolsas Basura 50x70</v>
      </c>
      <c r="E160" s="2" t="str">
        <f>MONJITAS!D22</f>
        <v/>
      </c>
      <c r="F160" s="2" t="str">
        <f>MONJITAS!E22</f>
        <v/>
      </c>
      <c r="G160" s="2" t="str">
        <f>MONJITAS!F22</f>
        <v/>
      </c>
      <c r="H160" s="2" t="str">
        <f>MONJITAS!G22</f>
        <v/>
      </c>
      <c r="I160" s="2" t="str">
        <f>MONJITAS!H22</f>
        <v/>
      </c>
      <c r="J160" s="2" t="str">
        <f>MONJITAS!I22</f>
        <v/>
      </c>
      <c r="K160" s="2" t="str">
        <f>MONJITAS!J22</f>
        <v/>
      </c>
      <c r="L160" s="2" t="str">
        <f>MONJITAS!K22</f>
        <v/>
      </c>
      <c r="M160" s="2" t="str">
        <f>MONJITAS!L22</f>
        <v/>
      </c>
      <c r="N160" s="2" t="str">
        <f>MONJITAS!M22</f>
        <v/>
      </c>
      <c r="O160" s="2" t="str">
        <f>MONJITAS!N22</f>
        <v/>
      </c>
      <c r="P160" s="2" t="str">
        <f>MONJITAS!O22</f>
        <v/>
      </c>
      <c r="Q160" s="2" t="str">
        <f>MONJITAS!P22</f>
        <v/>
      </c>
      <c r="R160" s="2" t="str">
        <f>MONJITAS!Q22</f>
        <v>-</v>
      </c>
      <c r="S160" s="2" t="str">
        <f>MONJITAS!R22</f>
        <v>-</v>
      </c>
      <c r="T160" s="2" t="str">
        <f>MONJITAS!S22</f>
        <v>-</v>
      </c>
      <c r="U160" s="2" t="str">
        <f>MONJITAS!T22</f>
        <v>-</v>
      </c>
      <c r="V160" s="2" t="str">
        <f>MONJITAS!U22</f>
        <v>-</v>
      </c>
      <c r="W160" s="2" t="str">
        <f>MONJITAS!V22</f>
        <v>-</v>
      </c>
      <c r="X160" s="2" t="str">
        <f>MONJITAS!W22</f>
        <v>-</v>
      </c>
      <c r="Y160" s="2" t="str">
        <f>MONJITAS!X22</f>
        <v>-</v>
      </c>
      <c r="Z160" s="2" t="str">
        <f>MONJITAS!Y22</f>
        <v>-</v>
      </c>
      <c r="AA160" s="2" t="str">
        <f>MONJITAS!Z22</f>
        <v>-</v>
      </c>
      <c r="AB160" s="2" t="str">
        <f>MONJITAS!AA22</f>
        <v>-</v>
      </c>
      <c r="AC160" s="2" t="str">
        <f>MONJITAS!AB22</f>
        <v>pequeña: 16 
mediana: 0
grande: 16 </v>
      </c>
      <c r="AD160" s="2" t="str">
        <f>MONJITAS!AC22</f>
        <v>pequeña: 21 paq
mediana: 5 paq
grande: 21 paq</v>
      </c>
      <c r="AE160" s="2" t="str">
        <f>MONJITAS!AD22</f>
        <v>pequeña: 21 paq
mediana: 5 paq
grande: 21 paq</v>
      </c>
      <c r="AF160" s="2" t="str">
        <f>MONJITAS!AE22</f>
        <v>pequeña: 19 paq
mediana: 4 paq
grande: 21 paq</v>
      </c>
      <c r="AG160" s="2" t="str">
        <f>MONJITAS!AF22</f>
        <v>pequeña: 14 paq
mediana: 3 paq
grande: 20 paq</v>
      </c>
      <c r="AH160" s="2" t="str">
        <f>MONJITAS!AG22</f>
        <v>pequeña: 14 paq
mediana: 2 paq
grande: 18 paq</v>
      </c>
      <c r="AI160" s="2" t="str">
        <f>MONJITAS!AH22</f>
        <v>pequeña: 18 paq
mediana: 6 paq
grande: 22 paq</v>
      </c>
      <c r="AJ160" s="2" t="str">
        <f>MONJITAS!AI22</f>
        <v>pequeña: 18 paq
mediana: 5 paq
grande: 22 paq</v>
      </c>
      <c r="AK160" s="2" t="str">
        <f>MONJITAS!AJ22</f>
        <v>pequeña: 14 paq
mediana: 3 paq
grande: 22 paq</v>
      </c>
      <c r="AL160" s="2" t="str">
        <f>MONJITAS!AK22</f>
        <v>pequeña: 14 paq
mediana: 2 paq
grande: 22 paq</v>
      </c>
      <c r="AM160" s="2" t="str">
        <f>MONJITAS!AL22</f>
        <v>pequeña: 14 paq
mediana: 2 paq
grande: 22 paq</v>
      </c>
      <c r="AN160" s="2" t="str">
        <f>MONJITAS!AM22</f>
        <v/>
      </c>
      <c r="AO160" s="2" t="str">
        <f>MONJITAS!AN22</f>
        <v>pequeña: 11 paq
mediana: 0 paq
grande: 16 paq</v>
      </c>
      <c r="AP160" s="2" t="str">
        <f>MONJITAS!AO22</f>
        <v/>
      </c>
      <c r="AQ160" s="2" t="str">
        <f>MONJITAS!AP22</f>
        <v>pequeña: 11 paq
mediana: 0 paq
grande: 36 paq</v>
      </c>
      <c r="AR160" s="2" t="str">
        <f>MONJITAS!AQ22</f>
        <v>pequeña: 21 paq
mediana: 10 paq
grande: 41 paq</v>
      </c>
      <c r="AS160" s="2" t="str">
        <f>MONJITAS!AR22</f>
        <v>pequeña: 19 paq
mediana: 8 paq
grande: 41 paq</v>
      </c>
      <c r="AT160" s="2">
        <f>MONJITAS!AS22</f>
        <v>19</v>
      </c>
      <c r="AU160" s="2">
        <f>MONJITAS!AT22</f>
        <v>19</v>
      </c>
      <c r="AV160" s="2">
        <f>MONJITAS!AU22</f>
        <v>15</v>
      </c>
      <c r="AW160" s="2">
        <f>MONJITAS!AV22</f>
        <v>15</v>
      </c>
      <c r="AX160" s="2">
        <f>MONJITAS!AW22</f>
        <v>15</v>
      </c>
      <c r="AY160" s="2">
        <f>MONJITAS!AX22</f>
        <v>15</v>
      </c>
      <c r="AZ160" s="2">
        <f>MONJITAS!AY22</f>
        <v>12</v>
      </c>
      <c r="BA160" s="2" t="str">
        <f>MONJITAS!AZ22</f>
        <v>17 paq</v>
      </c>
      <c r="BB160" s="2" t="str">
        <f>MONJITAS!BA22</f>
        <v>15 paq</v>
      </c>
      <c r="BC160" s="2" t="str">
        <f>MONJITAS!BB22</f>
        <v>15 paq</v>
      </c>
      <c r="BD160" s="2" t="str">
        <f>MONJITAS!BC22</f>
        <v>15 paq</v>
      </c>
      <c r="BE160" s="2" t="str">
        <f>MONJITAS!BD22</f>
        <v>12 paq</v>
      </c>
      <c r="BF160" s="2" t="str">
        <f>MONJITAS!BE22</f>
        <v>12 paq</v>
      </c>
      <c r="BG160" s="2" t="str">
        <f>MONJITAS!BF22</f>
        <v>12 paq</v>
      </c>
      <c r="BH160" s="2" t="str">
        <f>MONJITAS!BG22</f>
        <v>8 paq</v>
      </c>
      <c r="BI160" s="2" t="str">
        <f>MONJITAS!BH22</f>
        <v>8 paq</v>
      </c>
      <c r="BJ160" s="2" t="str">
        <f>MONJITAS!BI13</f>
        <v/>
      </c>
      <c r="BK160" s="2" t="str">
        <f>MONJITAS!BJ13</f>
        <v/>
      </c>
      <c r="BL160" s="2" t="str">
        <f>MONJITAS!BK13</f>
        <v/>
      </c>
      <c r="BM160" s="2" t="str">
        <f>MONJITAS!BL13</f>
        <v/>
      </c>
      <c r="BN160" s="2" t="str">
        <f>MONJITAS!BM13</f>
        <v/>
      </c>
      <c r="BO160" s="2" t="str">
        <f>MONJITAS!BN13</f>
        <v/>
      </c>
      <c r="BP160" s="2" t="str">
        <f>MONJITAS!BO13</f>
        <v/>
      </c>
      <c r="BQ160" s="2" t="str">
        <f>MONJITAS!BP13</f>
        <v/>
      </c>
      <c r="BR160" s="2" t="str">
        <f>MONJITAS!BQ13</f>
        <v>4 lts</v>
      </c>
      <c r="BS160" s="2" t="str">
        <f>MONJITAS!BR13</f>
        <v>4 lts</v>
      </c>
      <c r="BT160" s="2" t="str">
        <f>MONJITAS!BS13</f>
        <v/>
      </c>
      <c r="BU160" s="2" t="str">
        <f>MONJITAS!BT13</f>
        <v/>
      </c>
      <c r="BV160" s="2" t="str">
        <f>MONJITAS!BU13</f>
        <v/>
      </c>
      <c r="BW160" s="2" t="str">
        <f>MONJITAS!BV13</f>
        <v/>
      </c>
      <c r="BX160" s="2" t="str">
        <f>MONJITAS!BW13</f>
        <v/>
      </c>
      <c r="BY160" s="2" t="str">
        <f>MONJITAS!BX13</f>
        <v/>
      </c>
      <c r="BZ160" s="2" t="str">
        <f>MONJITAS!BY13</f>
        <v/>
      </c>
      <c r="CA160" s="2"/>
      <c r="CB160" s="2"/>
      <c r="CC160" s="2"/>
    </row>
    <row r="161">
      <c r="A161" s="2"/>
      <c r="B161" s="2" t="str">
        <f>MONJITAS!A23</f>
        <v>Monjitas</v>
      </c>
      <c r="C161" s="2" t="str">
        <f>MONJITAS!B23</f>
        <v>Aseo</v>
      </c>
      <c r="D161" s="2" t="str">
        <f>MONJITAS!C23</f>
        <v>Bolsas Basura 70x90</v>
      </c>
      <c r="E161" s="2" t="str">
        <f>MONJITAS!D23</f>
        <v/>
      </c>
      <c r="F161" s="2" t="str">
        <f>MONJITAS!E23</f>
        <v/>
      </c>
      <c r="G161" s="2" t="str">
        <f>MONJITAS!F23</f>
        <v/>
      </c>
      <c r="H161" s="2" t="str">
        <f>MONJITAS!G23</f>
        <v/>
      </c>
      <c r="I161" s="2" t="str">
        <f>MONJITAS!H23</f>
        <v/>
      </c>
      <c r="J161" s="2" t="str">
        <f>MONJITAS!I23</f>
        <v/>
      </c>
      <c r="K161" s="2" t="str">
        <f>MONJITAS!J23</f>
        <v/>
      </c>
      <c r="L161" s="2" t="str">
        <f>MONJITAS!K23</f>
        <v/>
      </c>
      <c r="M161" s="2" t="str">
        <f>MONJITAS!L23</f>
        <v/>
      </c>
      <c r="N161" s="2" t="str">
        <f>MONJITAS!M23</f>
        <v/>
      </c>
      <c r="O161" s="2" t="str">
        <f>MONJITAS!N23</f>
        <v/>
      </c>
      <c r="P161" s="2" t="str">
        <f>MONJITAS!O23</f>
        <v/>
      </c>
      <c r="Q161" s="2" t="str">
        <f>MONJITAS!P23</f>
        <v/>
      </c>
      <c r="R161" s="2" t="str">
        <f>MONJITAS!Q23</f>
        <v/>
      </c>
      <c r="S161" s="2" t="str">
        <f>MONJITAS!R23</f>
        <v/>
      </c>
      <c r="T161" s="2" t="str">
        <f>MONJITAS!S23</f>
        <v/>
      </c>
      <c r="U161" s="2" t="str">
        <f>MONJITAS!T23</f>
        <v/>
      </c>
      <c r="V161" s="2" t="str">
        <f>MONJITAS!U23</f>
        <v/>
      </c>
      <c r="W161" s="2" t="str">
        <f>MONJITAS!V23</f>
        <v/>
      </c>
      <c r="X161" s="2" t="str">
        <f>MONJITAS!W23</f>
        <v/>
      </c>
      <c r="Y161" s="2" t="str">
        <f>MONJITAS!X23</f>
        <v/>
      </c>
      <c r="Z161" s="2" t="str">
        <f>MONJITAS!Y23</f>
        <v/>
      </c>
      <c r="AA161" s="2" t="str">
        <f>MONJITAS!Z23</f>
        <v/>
      </c>
      <c r="AB161" s="2" t="str">
        <f>MONJITAS!AA23</f>
        <v/>
      </c>
      <c r="AC161" s="2" t="str">
        <f>MONJITAS!AB23</f>
        <v/>
      </c>
      <c r="AD161" s="2" t="str">
        <f>MONJITAS!AC23</f>
        <v/>
      </c>
      <c r="AE161" s="2" t="str">
        <f>MONJITAS!AD23</f>
        <v/>
      </c>
      <c r="AF161" s="2" t="str">
        <f>MONJITAS!AE23</f>
        <v/>
      </c>
      <c r="AG161" s="2" t="str">
        <f>MONJITAS!AF23</f>
        <v/>
      </c>
      <c r="AH161" s="2" t="str">
        <f>MONJITAS!AG23</f>
        <v/>
      </c>
      <c r="AI161" s="2" t="str">
        <f>MONJITAS!AH23</f>
        <v/>
      </c>
      <c r="AJ161" s="2" t="str">
        <f>MONJITAS!AI23</f>
        <v/>
      </c>
      <c r="AK161" s="2" t="str">
        <f>MONJITAS!AJ23</f>
        <v/>
      </c>
      <c r="AL161" s="2" t="str">
        <f>MONJITAS!AK23</f>
        <v/>
      </c>
      <c r="AM161" s="2" t="str">
        <f>MONJITAS!AL23</f>
        <v/>
      </c>
      <c r="AN161" s="2" t="str">
        <f>MONJITAS!AM23</f>
        <v/>
      </c>
      <c r="AO161" s="2" t="str">
        <f>MONJITAS!AN23</f>
        <v/>
      </c>
      <c r="AP161" s="2" t="str">
        <f>MONJITAS!AO23</f>
        <v/>
      </c>
      <c r="AQ161" s="2" t="str">
        <f>MONJITAS!AP23</f>
        <v/>
      </c>
      <c r="AR161" s="2" t="str">
        <f>MONJITAS!AQ23</f>
        <v/>
      </c>
      <c r="AS161" s="2" t="str">
        <f>MONJITAS!AR23</f>
        <v/>
      </c>
      <c r="AT161" s="2">
        <f>MONJITAS!AS23</f>
        <v>8</v>
      </c>
      <c r="AU161" s="2">
        <f>MONJITAS!AT23</f>
        <v>7</v>
      </c>
      <c r="AV161" s="2">
        <f>MONJITAS!AU23</f>
        <v>1</v>
      </c>
      <c r="AW161" s="2">
        <f>MONJITAS!AV23</f>
        <v>11</v>
      </c>
      <c r="AX161" s="2">
        <f>MONJITAS!AW23</f>
        <v>11</v>
      </c>
      <c r="AY161" s="2">
        <f>MONJITAS!AX23</f>
        <v>10</v>
      </c>
      <c r="AZ161" s="2">
        <f>MONJITAS!AY23</f>
        <v>7</v>
      </c>
      <c r="BA161" s="2" t="str">
        <f>MONJITAS!AZ23</f>
        <v>12 paq</v>
      </c>
      <c r="BB161" s="2" t="str">
        <f>MONJITAS!BA23</f>
        <v>10 paq</v>
      </c>
      <c r="BC161" s="2" t="str">
        <f>MONJITAS!BB23</f>
        <v>10 paq</v>
      </c>
      <c r="BD161" s="2" t="str">
        <f>MONJITAS!BC23</f>
        <v>10 paq</v>
      </c>
      <c r="BE161" s="2" t="str">
        <f>MONJITAS!BD23</f>
        <v>7 paq</v>
      </c>
      <c r="BF161" s="2" t="str">
        <f>MONJITAS!BE23</f>
        <v>7 paq</v>
      </c>
      <c r="BG161" s="2" t="str">
        <f>MONJITAS!BF23</f>
        <v>7 paq</v>
      </c>
      <c r="BH161" s="2" t="str">
        <f>MONJITAS!BG23</f>
        <v>3 und</v>
      </c>
      <c r="BI161" s="2" t="str">
        <f>MONJITAS!BH23</f>
        <v>3 und</v>
      </c>
      <c r="BJ161" s="2" t="str">
        <f>MONJITAS!BI14</f>
        <v/>
      </c>
      <c r="BK161" s="2" t="str">
        <f>MONJITAS!BJ14</f>
        <v/>
      </c>
      <c r="BL161" s="2" t="str">
        <f>MONJITAS!BK14</f>
        <v/>
      </c>
      <c r="BM161" s="2" t="str">
        <f>MONJITAS!BL14</f>
        <v/>
      </c>
      <c r="BN161" s="2" t="str">
        <f>MONJITAS!BM14</f>
        <v/>
      </c>
      <c r="BO161" s="2" t="str">
        <f>MONJITAS!BN14</f>
        <v/>
      </c>
      <c r="BP161" s="2" t="str">
        <f>MONJITAS!BO14</f>
        <v/>
      </c>
      <c r="BQ161" s="2" t="str">
        <f>MONJITAS!BP14</f>
        <v/>
      </c>
      <c r="BR161" s="2" t="str">
        <f>MONJITAS!BQ14</f>
        <v>1 lt</v>
      </c>
      <c r="BS161" s="2" t="str">
        <f>MONJITAS!BR14</f>
        <v>1 lt</v>
      </c>
      <c r="BT161" s="2" t="str">
        <f>MONJITAS!BS14</f>
        <v/>
      </c>
      <c r="BU161" s="2" t="str">
        <f>MONJITAS!BT14</f>
        <v/>
      </c>
      <c r="BV161" s="2" t="str">
        <f>MONJITAS!BU14</f>
        <v/>
      </c>
      <c r="BW161" s="2" t="str">
        <f>MONJITAS!BV14</f>
        <v/>
      </c>
      <c r="BX161" s="2" t="str">
        <f>MONJITAS!BW14</f>
        <v/>
      </c>
      <c r="BY161" s="2" t="str">
        <f>MONJITAS!BX14</f>
        <v/>
      </c>
      <c r="BZ161" s="2" t="str">
        <f>MONJITAS!BY14</f>
        <v/>
      </c>
      <c r="CA161" s="2"/>
      <c r="CB161" s="2"/>
      <c r="CC161" s="2"/>
    </row>
    <row r="162">
      <c r="A162" s="2"/>
      <c r="B162" s="2" t="str">
        <f>MONJITAS!A24</f>
        <v>Monjitas</v>
      </c>
      <c r="C162" s="2" t="str">
        <f>MONJITAS!B24</f>
        <v>Aseo</v>
      </c>
      <c r="D162" s="2" t="str">
        <f>MONJITAS!C24</f>
        <v>Bolsas Basura 80x110</v>
      </c>
      <c r="E162" s="2" t="str">
        <f>MONJITAS!D24</f>
        <v/>
      </c>
      <c r="F162" s="2" t="str">
        <f>MONJITAS!E24</f>
        <v/>
      </c>
      <c r="G162" s="2" t="str">
        <f>MONJITAS!F24</f>
        <v/>
      </c>
      <c r="H162" s="2" t="str">
        <f>MONJITAS!G24</f>
        <v/>
      </c>
      <c r="I162" s="2" t="str">
        <f>MONJITAS!H24</f>
        <v/>
      </c>
      <c r="J162" s="2" t="str">
        <f>MONJITAS!I24</f>
        <v/>
      </c>
      <c r="K162" s="2" t="str">
        <f>MONJITAS!J24</f>
        <v/>
      </c>
      <c r="L162" s="2" t="str">
        <f>MONJITAS!K24</f>
        <v/>
      </c>
      <c r="M162" s="2" t="str">
        <f>MONJITAS!L24</f>
        <v/>
      </c>
      <c r="N162" s="2" t="str">
        <f>MONJITAS!M24</f>
        <v/>
      </c>
      <c r="O162" s="2" t="str">
        <f>MONJITAS!N24</f>
        <v/>
      </c>
      <c r="P162" s="2" t="str">
        <f>MONJITAS!O24</f>
        <v/>
      </c>
      <c r="Q162" s="2" t="str">
        <f>MONJITAS!P24</f>
        <v/>
      </c>
      <c r="R162" s="2" t="str">
        <f>MONJITAS!Q24</f>
        <v/>
      </c>
      <c r="S162" s="2" t="str">
        <f>MONJITAS!R24</f>
        <v/>
      </c>
      <c r="T162" s="2" t="str">
        <f>MONJITAS!S24</f>
        <v/>
      </c>
      <c r="U162" s="2" t="str">
        <f>MONJITAS!T24</f>
        <v/>
      </c>
      <c r="V162" s="2" t="str">
        <f>MONJITAS!U24</f>
        <v/>
      </c>
      <c r="W162" s="2" t="str">
        <f>MONJITAS!V24</f>
        <v/>
      </c>
      <c r="X162" s="2" t="str">
        <f>MONJITAS!W24</f>
        <v/>
      </c>
      <c r="Y162" s="2" t="str">
        <f>MONJITAS!X24</f>
        <v/>
      </c>
      <c r="Z162" s="2" t="str">
        <f>MONJITAS!Y24</f>
        <v/>
      </c>
      <c r="AA162" s="2" t="str">
        <f>MONJITAS!Z24</f>
        <v/>
      </c>
      <c r="AB162" s="2" t="str">
        <f>MONJITAS!AA24</f>
        <v/>
      </c>
      <c r="AC162" s="2" t="str">
        <f>MONJITAS!AB24</f>
        <v/>
      </c>
      <c r="AD162" s="2" t="str">
        <f>MONJITAS!AC24</f>
        <v/>
      </c>
      <c r="AE162" s="2" t="str">
        <f>MONJITAS!AD24</f>
        <v/>
      </c>
      <c r="AF162" s="2" t="str">
        <f>MONJITAS!AE24</f>
        <v/>
      </c>
      <c r="AG162" s="2" t="str">
        <f>MONJITAS!AF24</f>
        <v/>
      </c>
      <c r="AH162" s="2" t="str">
        <f>MONJITAS!AG24</f>
        <v/>
      </c>
      <c r="AI162" s="2" t="str">
        <f>MONJITAS!AH24</f>
        <v/>
      </c>
      <c r="AJ162" s="2" t="str">
        <f>MONJITAS!AI24</f>
        <v/>
      </c>
      <c r="AK162" s="2" t="str">
        <f>MONJITAS!AJ24</f>
        <v/>
      </c>
      <c r="AL162" s="2" t="str">
        <f>MONJITAS!AK24</f>
        <v/>
      </c>
      <c r="AM162" s="2" t="str">
        <f>MONJITAS!AL24</f>
        <v/>
      </c>
      <c r="AN162" s="2" t="str">
        <f>MONJITAS!AM24</f>
        <v/>
      </c>
      <c r="AO162" s="2" t="str">
        <f>MONJITAS!AN24</f>
        <v/>
      </c>
      <c r="AP162" s="2" t="str">
        <f>MONJITAS!AO24</f>
        <v/>
      </c>
      <c r="AQ162" s="2" t="str">
        <f>MONJITAS!AP24</f>
        <v/>
      </c>
      <c r="AR162" s="2" t="str">
        <f>MONJITAS!AQ24</f>
        <v/>
      </c>
      <c r="AS162" s="2" t="str">
        <f>MONJITAS!AR24</f>
        <v/>
      </c>
      <c r="AT162" s="2">
        <f>MONJITAS!AS24</f>
        <v>41</v>
      </c>
      <c r="AU162" s="2">
        <f>MONJITAS!AT24</f>
        <v>40</v>
      </c>
      <c r="AV162" s="2">
        <f>MONJITAS!AU24</f>
        <v>40</v>
      </c>
      <c r="AW162" s="2">
        <f>MONJITAS!AV24</f>
        <v>40</v>
      </c>
      <c r="AX162" s="2">
        <f>MONJITAS!AW24</f>
        <v>40</v>
      </c>
      <c r="AY162" s="2">
        <f>MONJITAS!AX24</f>
        <v>40</v>
      </c>
      <c r="AZ162" s="2">
        <f>MONJITAS!AY24</f>
        <v>40</v>
      </c>
      <c r="BA162" s="2" t="str">
        <f>MONJITAS!AZ24</f>
        <v>45 paq</v>
      </c>
      <c r="BB162" s="2" t="str">
        <f>MONJITAS!BA24</f>
        <v>45 paq</v>
      </c>
      <c r="BC162" s="2" t="str">
        <f>MONJITAS!BB24</f>
        <v>42 paq</v>
      </c>
      <c r="BD162" s="2" t="str">
        <f>MONJITAS!BC24</f>
        <v>42 paq</v>
      </c>
      <c r="BE162" s="2" t="str">
        <f>MONJITAS!BD24</f>
        <v>42 paq</v>
      </c>
      <c r="BF162" s="2" t="str">
        <f>MONJITAS!BE24</f>
        <v>42 paq</v>
      </c>
      <c r="BG162" s="2" t="str">
        <f>MONJITAS!BF24</f>
        <v>42 paq</v>
      </c>
      <c r="BH162" s="2" t="str">
        <f>MONJITAS!BG24</f>
        <v>42 paq</v>
      </c>
      <c r="BI162" s="2" t="str">
        <f>MONJITAS!BH24</f>
        <v>42 paq</v>
      </c>
      <c r="BJ162" s="2" t="str">
        <f>MONJITAS!BI15</f>
        <v/>
      </c>
      <c r="BK162" s="2" t="str">
        <f>MONJITAS!BJ15</f>
        <v/>
      </c>
      <c r="BL162" s="2" t="str">
        <f>MONJITAS!BK15</f>
        <v/>
      </c>
      <c r="BM162" s="2" t="str">
        <f>MONJITAS!BL15</f>
        <v/>
      </c>
      <c r="BN162" s="2" t="str">
        <f>MONJITAS!BM15</f>
        <v/>
      </c>
      <c r="BO162" s="2" t="str">
        <f>MONJITAS!BN15</f>
        <v/>
      </c>
      <c r="BP162" s="2" t="str">
        <f>MONJITAS!BO15</f>
        <v/>
      </c>
      <c r="BQ162" s="2" t="str">
        <f>MONJITAS!BP15</f>
        <v/>
      </c>
      <c r="BR162" s="2" t="str">
        <f>MONJITAS!BQ15</f>
        <v>2 lts</v>
      </c>
      <c r="BS162" s="2" t="str">
        <f>MONJITAS!BR15</f>
        <v>2 lts</v>
      </c>
      <c r="BT162" s="2" t="str">
        <f>MONJITAS!BS15</f>
        <v/>
      </c>
      <c r="BU162" s="2" t="str">
        <f>MONJITAS!BT15</f>
        <v/>
      </c>
      <c r="BV162" s="2" t="str">
        <f>MONJITAS!BU15</f>
        <v/>
      </c>
      <c r="BW162" s="2" t="str">
        <f>MONJITAS!BV15</f>
        <v/>
      </c>
      <c r="BX162" s="2" t="str">
        <f>MONJITAS!BW15</f>
        <v/>
      </c>
      <c r="BY162" s="2" t="str">
        <f>MONJITAS!BX15</f>
        <v/>
      </c>
      <c r="BZ162" s="2" t="str">
        <f>MONJITAS!BY15</f>
        <v/>
      </c>
      <c r="CA162" s="2"/>
      <c r="CB162" s="2"/>
      <c r="CC162" s="2"/>
    </row>
    <row r="163">
      <c r="A163" s="2"/>
      <c r="B163" s="2" t="str">
        <f>MONJITAS!A25</f>
        <v>Monjitas</v>
      </c>
      <c r="C163" s="2" t="str">
        <f>MONJITAS!B25</f>
        <v>Aseo</v>
      </c>
      <c r="D163" s="2" t="str">
        <f>MONJITAS!C25</f>
        <v>Esponja 4U</v>
      </c>
      <c r="E163" s="2" t="str">
        <f>MONJITAS!D25</f>
        <v/>
      </c>
      <c r="F163" s="2" t="str">
        <f>MONJITAS!E25</f>
        <v/>
      </c>
      <c r="G163" s="2" t="str">
        <f>MONJITAS!F25</f>
        <v/>
      </c>
      <c r="H163" s="2" t="str">
        <f>MONJITAS!G25</f>
        <v/>
      </c>
      <c r="I163" s="2" t="str">
        <f>MONJITAS!H25</f>
        <v/>
      </c>
      <c r="J163" s="2" t="str">
        <f>MONJITAS!I25</f>
        <v/>
      </c>
      <c r="K163" s="2" t="str">
        <f>MONJITAS!J25</f>
        <v/>
      </c>
      <c r="L163" s="2" t="str">
        <f>MONJITAS!K25</f>
        <v/>
      </c>
      <c r="M163" s="2" t="str">
        <f>MONJITAS!L25</f>
        <v/>
      </c>
      <c r="N163" s="2" t="str">
        <f>MONJITAS!M25</f>
        <v/>
      </c>
      <c r="O163" s="2" t="str">
        <f>MONJITAS!N25</f>
        <v/>
      </c>
      <c r="P163" s="2" t="str">
        <f>MONJITAS!O25</f>
        <v/>
      </c>
      <c r="Q163" s="2" t="str">
        <f>MONJITAS!P25</f>
        <v/>
      </c>
      <c r="R163" s="2" t="str">
        <f>MONJITAS!Q25</f>
        <v>-</v>
      </c>
      <c r="S163" s="2" t="str">
        <f>MONJITAS!R25</f>
        <v>-</v>
      </c>
      <c r="T163" s="2" t="str">
        <f>MONJITAS!S25</f>
        <v>-</v>
      </c>
      <c r="U163" s="2" t="str">
        <f>MONJITAS!T25</f>
        <v>-</v>
      </c>
      <c r="V163" s="2" t="str">
        <f>MONJITAS!U25</f>
        <v>-</v>
      </c>
      <c r="W163" s="2" t="str">
        <f>MONJITAS!V25</f>
        <v>-</v>
      </c>
      <c r="X163" s="2" t="str">
        <f>MONJITAS!W25</f>
        <v>-</v>
      </c>
      <c r="Y163" s="2" t="str">
        <f>MONJITAS!X25</f>
        <v>-</v>
      </c>
      <c r="Z163" s="2" t="str">
        <f>MONJITAS!Y25</f>
        <v>-</v>
      </c>
      <c r="AA163" s="2" t="str">
        <f>MONJITAS!Z25</f>
        <v>-</v>
      </c>
      <c r="AB163" s="2" t="str">
        <f>MONJITAS!AA25</f>
        <v>-</v>
      </c>
      <c r="AC163" s="2" t="str">
        <f>MONJITAS!AB25</f>
        <v>16 und</v>
      </c>
      <c r="AD163" s="2" t="str">
        <f>MONJITAS!AC25</f>
        <v>16 und</v>
      </c>
      <c r="AE163" s="2" t="str">
        <f>MONJITAS!AD25</f>
        <v>15 und</v>
      </c>
      <c r="AF163" s="2" t="str">
        <f>MONJITAS!AE25</f>
        <v>14 und</v>
      </c>
      <c r="AG163" s="2" t="str">
        <f>MONJITAS!AF25</f>
        <v>13 und</v>
      </c>
      <c r="AH163" s="2" t="str">
        <f>MONJITAS!AG25</f>
        <v>12 und</v>
      </c>
      <c r="AI163" s="2" t="str">
        <f>MONJITAS!AH25</f>
        <v>11 und</v>
      </c>
      <c r="AJ163" s="2" t="str">
        <f>MONJITAS!AI25</f>
        <v>10 und</v>
      </c>
      <c r="AK163" s="2" t="str">
        <f>MONJITAS!AJ25</f>
        <v>8 und</v>
      </c>
      <c r="AL163" s="2" t="str">
        <f>MONJITAS!AK25</f>
        <v>8 und</v>
      </c>
      <c r="AM163" s="2" t="str">
        <f>MONJITAS!AL25</f>
        <v>8 und</v>
      </c>
      <c r="AN163" s="2" t="str">
        <f>MONJITAS!AM25</f>
        <v/>
      </c>
      <c r="AO163" s="2" t="str">
        <f>MONJITAS!AN25</f>
        <v>6 und</v>
      </c>
      <c r="AP163" s="2" t="str">
        <f>MONJITAS!AO25</f>
        <v/>
      </c>
      <c r="AQ163" s="2" t="str">
        <f>MONJITAS!AP25</f>
        <v>6 und</v>
      </c>
      <c r="AR163" s="2" t="str">
        <f>MONJITAS!AQ25</f>
        <v>22 und </v>
      </c>
      <c r="AS163" s="2" t="str">
        <f>MONJITAS!AR25</f>
        <v>22 und </v>
      </c>
      <c r="AT163" s="2" t="str">
        <f>MONJITAS!AS25</f>
        <v>16 und</v>
      </c>
      <c r="AU163" s="2" t="str">
        <f>MONJITAS!AT25</f>
        <v>12 und </v>
      </c>
      <c r="AV163" s="2" t="str">
        <f>MONJITAS!AU25</f>
        <v>12 und</v>
      </c>
      <c r="AW163" s="2" t="str">
        <f>MONJITAS!AV25</f>
        <v>12 und</v>
      </c>
      <c r="AX163" s="2" t="str">
        <f>MONJITAS!AW25</f>
        <v>12 und</v>
      </c>
      <c r="AY163" s="2" t="str">
        <f>MONJITAS!AX25</f>
        <v>8 und </v>
      </c>
      <c r="AZ163" s="2" t="str">
        <f>MONJITAS!AY25</f>
        <v>8 und</v>
      </c>
      <c r="BA163" s="2" t="str">
        <f>MONJITAS!AZ25</f>
        <v>16 und</v>
      </c>
      <c r="BB163" s="2" t="str">
        <f>MONJITAS!BA25</f>
        <v>12 und</v>
      </c>
      <c r="BC163" s="2" t="str">
        <f>MONJITAS!BB25</f>
        <v>12 und</v>
      </c>
      <c r="BD163" s="2" t="str">
        <f>MONJITAS!BC25</f>
        <v>12 und</v>
      </c>
      <c r="BE163" s="2" t="str">
        <f>MONJITAS!BD25</f>
        <v>8 und</v>
      </c>
      <c r="BF163" s="2" t="str">
        <f>MONJITAS!BE25</f>
        <v>8 und</v>
      </c>
      <c r="BG163" s="2" t="str">
        <f>MONJITAS!BF25</f>
        <v>8 und</v>
      </c>
      <c r="BH163" s="2" t="str">
        <f>MONJITAS!BG25</f>
        <v>8 und</v>
      </c>
      <c r="BI163" s="2" t="str">
        <f>MONJITAS!BH25</f>
        <v>4 und</v>
      </c>
      <c r="BJ163" s="2" t="str">
        <f>MONJITAS!BI16</f>
        <v/>
      </c>
      <c r="BK163" s="2" t="str">
        <f>MONJITAS!BJ16</f>
        <v/>
      </c>
      <c r="BL163" s="2" t="str">
        <f>MONJITAS!BK16</f>
        <v/>
      </c>
      <c r="BM163" s="2" t="str">
        <f>MONJITAS!BL16</f>
        <v/>
      </c>
      <c r="BN163" s="2" t="str">
        <f>MONJITAS!BM16</f>
        <v/>
      </c>
      <c r="BO163" s="2" t="str">
        <f>MONJITAS!BN16</f>
        <v/>
      </c>
      <c r="BP163" s="2" t="str">
        <f>MONJITAS!BO16</f>
        <v/>
      </c>
      <c r="BQ163" s="2" t="str">
        <f>MONJITAS!BP16</f>
        <v/>
      </c>
      <c r="BR163" s="2" t="str">
        <f>MONJITAS!BQ16</f>
        <v>2 lts</v>
      </c>
      <c r="BS163" s="2" t="str">
        <f>MONJITAS!BR16</f>
        <v>3 lts</v>
      </c>
      <c r="BT163" s="2" t="str">
        <f>MONJITAS!BS16</f>
        <v/>
      </c>
      <c r="BU163" s="2" t="str">
        <f>MONJITAS!BT16</f>
        <v/>
      </c>
      <c r="BV163" s="2" t="str">
        <f>MONJITAS!BU16</f>
        <v/>
      </c>
      <c r="BW163" s="2" t="str">
        <f>MONJITAS!BV16</f>
        <v/>
      </c>
      <c r="BX163" s="2" t="str">
        <f>MONJITAS!BW16</f>
        <v/>
      </c>
      <c r="BY163" s="2" t="str">
        <f>MONJITAS!BX16</f>
        <v/>
      </c>
      <c r="BZ163" s="2" t="str">
        <f>MONJITAS!BY16</f>
        <v/>
      </c>
      <c r="CA163" s="2"/>
      <c r="CB163" s="2"/>
      <c r="CC163" s="2"/>
    </row>
    <row r="164">
      <c r="A164" s="2"/>
      <c r="B164" s="2" t="str">
        <f>MONJITAS!A26</f>
        <v>Monjitas</v>
      </c>
      <c r="C164" s="2" t="str">
        <f>MONJITAS!B26</f>
        <v>Aseo</v>
      </c>
      <c r="D164" s="2" t="str">
        <f>MONJITAS!C26</f>
        <v>Mopa Redonda</v>
      </c>
      <c r="E164" s="2" t="str">
        <f>MONJITAS!D26</f>
        <v/>
      </c>
      <c r="F164" s="2" t="str">
        <f>MONJITAS!E26</f>
        <v/>
      </c>
      <c r="G164" s="2" t="str">
        <f>MONJITAS!F26</f>
        <v/>
      </c>
      <c r="H164" s="2" t="str">
        <f>MONJITAS!G26</f>
        <v/>
      </c>
      <c r="I164" s="2" t="str">
        <f>MONJITAS!H26</f>
        <v/>
      </c>
      <c r="J164" s="2" t="str">
        <f>MONJITAS!I26</f>
        <v/>
      </c>
      <c r="K164" s="2" t="str">
        <f>MONJITAS!J26</f>
        <v/>
      </c>
      <c r="L164" s="2" t="str">
        <f>MONJITAS!K26</f>
        <v/>
      </c>
      <c r="M164" s="2" t="str">
        <f>MONJITAS!L26</f>
        <v/>
      </c>
      <c r="N164" s="2" t="str">
        <f>MONJITAS!M26</f>
        <v/>
      </c>
      <c r="O164" s="2" t="str">
        <f>MONJITAS!N26</f>
        <v/>
      </c>
      <c r="P164" s="2" t="str">
        <f>MONJITAS!O26</f>
        <v/>
      </c>
      <c r="Q164" s="2" t="str">
        <f>MONJITAS!P26</f>
        <v/>
      </c>
      <c r="R164" s="2" t="str">
        <f>MONJITAS!Q26</f>
        <v>-</v>
      </c>
      <c r="S164" s="2" t="str">
        <f>MONJITAS!R26</f>
        <v>-</v>
      </c>
      <c r="T164" s="2" t="str">
        <f>MONJITAS!S26</f>
        <v>-</v>
      </c>
      <c r="U164" s="2" t="str">
        <f>MONJITAS!T26</f>
        <v>-</v>
      </c>
      <c r="V164" s="2" t="str">
        <f>MONJITAS!U26</f>
        <v>-</v>
      </c>
      <c r="W164" s="2" t="str">
        <f>MONJITAS!V26</f>
        <v>-</v>
      </c>
      <c r="X164" s="2" t="str">
        <f>MONJITAS!W26</f>
        <v>-</v>
      </c>
      <c r="Y164" s="2" t="str">
        <f>MONJITAS!X26</f>
        <v>-</v>
      </c>
      <c r="Z164" s="2" t="str">
        <f>MONJITAS!Y26</f>
        <v>-</v>
      </c>
      <c r="AA164" s="2" t="str">
        <f>MONJITAS!Z26</f>
        <v>-</v>
      </c>
      <c r="AB164" s="2" t="str">
        <f>MONJITAS!AA26</f>
        <v>-</v>
      </c>
      <c r="AC164" s="2" t="str">
        <f>MONJITAS!AB26</f>
        <v>2 und</v>
      </c>
      <c r="AD164" s="2" t="str">
        <f>MONJITAS!AC26</f>
        <v>2 und</v>
      </c>
      <c r="AE164" s="2" t="str">
        <f>MONJITAS!AD26</f>
        <v>2 und</v>
      </c>
      <c r="AF164" s="2" t="str">
        <f>MONJITAS!AE26</f>
        <v>2 und</v>
      </c>
      <c r="AG164" s="2" t="str">
        <f>MONJITAS!AF26</f>
        <v>2 und</v>
      </c>
      <c r="AH164" s="2" t="str">
        <f>MONJITAS!AG26</f>
        <v>2 und</v>
      </c>
      <c r="AI164" s="2" t="str">
        <f>MONJITAS!AH26</f>
        <v>4 und</v>
      </c>
      <c r="AJ164" s="2" t="str">
        <f>MONJITAS!AI26</f>
        <v>4 und</v>
      </c>
      <c r="AK164" s="2" t="str">
        <f>MONJITAS!AJ26</f>
        <v>3 und</v>
      </c>
      <c r="AL164" s="2" t="str">
        <f>MONJITAS!AK26</f>
        <v>3 und</v>
      </c>
      <c r="AM164" s="2" t="str">
        <f>MONJITAS!AL26</f>
        <v>2 und</v>
      </c>
      <c r="AN164" s="2" t="str">
        <f>MONJITAS!AM26</f>
        <v/>
      </c>
      <c r="AO164" s="2" t="str">
        <f>MONJITAS!AN26</f>
        <v>1 und</v>
      </c>
      <c r="AP164" s="2" t="str">
        <f>MONJITAS!AO26</f>
        <v/>
      </c>
      <c r="AQ164" s="2" t="str">
        <f>MONJITAS!AP26</f>
        <v>1 und </v>
      </c>
      <c r="AR164" s="2" t="str">
        <f>MONJITAS!AQ26</f>
        <v>4 und </v>
      </c>
      <c r="AS164" s="2" t="str">
        <f>MONJITAS!AR26</f>
        <v>4 und</v>
      </c>
      <c r="AT164" s="2" t="str">
        <f>MONJITAS!AS26</f>
        <v>4 und</v>
      </c>
      <c r="AU164" s="2" t="str">
        <f>MONJITAS!AT26</f>
        <v>4 und</v>
      </c>
      <c r="AV164" s="2" t="str">
        <f>MONJITAS!AU26</f>
        <v>2 und</v>
      </c>
      <c r="AW164" s="2" t="str">
        <f>MONJITAS!AV26</f>
        <v>2 und</v>
      </c>
      <c r="AX164" s="2" t="str">
        <f>MONJITAS!AW26</f>
        <v>2 und</v>
      </c>
      <c r="AY164" s="2" t="str">
        <f>MONJITAS!AX26</f>
        <v>2 und </v>
      </c>
      <c r="AZ164" s="2" t="str">
        <f>MONJITAS!AY26</f>
        <v>2 und</v>
      </c>
      <c r="BA164" s="2" t="str">
        <f>MONJITAS!AZ26</f>
        <v>5 und</v>
      </c>
      <c r="BB164" s="2" t="str">
        <f>MONJITAS!BA26</f>
        <v>4 und</v>
      </c>
      <c r="BC164" s="2" t="str">
        <f>MONJITAS!BB26</f>
        <v>4 und</v>
      </c>
      <c r="BD164" s="2" t="str">
        <f>MONJITAS!BC26</f>
        <v>4 und</v>
      </c>
      <c r="BE164" s="2" t="str">
        <f>MONJITAS!BD26</f>
        <v>3 und</v>
      </c>
      <c r="BF164" s="2" t="str">
        <f>MONJITAS!BE26</f>
        <v>3 und</v>
      </c>
      <c r="BG164" s="2" t="str">
        <f>MONJITAS!BF26</f>
        <v>2 und</v>
      </c>
      <c r="BH164" s="2" t="str">
        <f>MONJITAS!BG26</f>
        <v>2 und</v>
      </c>
      <c r="BI164" s="2" t="str">
        <f>MONJITAS!BH26</f>
        <v>2 und</v>
      </c>
      <c r="BJ164" s="2" t="str">
        <f>MONJITAS!BI17</f>
        <v/>
      </c>
      <c r="BK164" s="2" t="str">
        <f>MONJITAS!BJ17</f>
        <v/>
      </c>
      <c r="BL164" s="2" t="str">
        <f>MONJITAS!BK17</f>
        <v/>
      </c>
      <c r="BM164" s="2" t="str">
        <f>MONJITAS!BL17</f>
        <v/>
      </c>
      <c r="BN164" s="2" t="str">
        <f>MONJITAS!BM17</f>
        <v/>
      </c>
      <c r="BO164" s="2" t="str">
        <f>MONJITAS!BN17</f>
        <v/>
      </c>
      <c r="BP164" s="2" t="str">
        <f>MONJITAS!BO17</f>
        <v/>
      </c>
      <c r="BQ164" s="2" t="str">
        <f>MONJITAS!BP17</f>
        <v/>
      </c>
      <c r="BR164" s="2" t="str">
        <f>MONJITAS!BQ17</f>
        <v>1 kg</v>
      </c>
      <c r="BS164" s="2" t="str">
        <f>MONJITAS!BR17</f>
        <v>1 kg</v>
      </c>
      <c r="BT164" s="2" t="str">
        <f>MONJITAS!BS17</f>
        <v/>
      </c>
      <c r="BU164" s="2" t="str">
        <f>MONJITAS!BT17</f>
        <v/>
      </c>
      <c r="BV164" s="2" t="str">
        <f>MONJITAS!BU17</f>
        <v/>
      </c>
      <c r="BW164" s="2" t="str">
        <f>MONJITAS!BV17</f>
        <v/>
      </c>
      <c r="BX164" s="2" t="str">
        <f>MONJITAS!BW17</f>
        <v/>
      </c>
      <c r="BY164" s="2" t="str">
        <f>MONJITAS!BX17</f>
        <v/>
      </c>
      <c r="BZ164" s="2" t="str">
        <f>MONJITAS!BY17</f>
        <v/>
      </c>
      <c r="CA164" s="2"/>
      <c r="CB164" s="2"/>
      <c r="CC164" s="2"/>
    </row>
    <row r="165">
      <c r="A165" s="2"/>
      <c r="B165" s="2" t="str">
        <f>MONJITAS!A28</f>
        <v>Monjitas</v>
      </c>
      <c r="C165" s="2" t="str">
        <f>MONJITAS!B28</f>
        <v>Aseo</v>
      </c>
      <c r="D165" s="2" t="str">
        <f>MONJITAS!C28</f>
        <v>Repuesto Jabon</v>
      </c>
      <c r="E165" s="2" t="str">
        <f>MONJITAS!D28</f>
        <v/>
      </c>
      <c r="F165" s="2" t="str">
        <f>MONJITAS!E28</f>
        <v/>
      </c>
      <c r="G165" s="2" t="str">
        <f>MONJITAS!F28</f>
        <v/>
      </c>
      <c r="H165" s="2" t="str">
        <f>MONJITAS!G28</f>
        <v/>
      </c>
      <c r="I165" s="2" t="str">
        <f>MONJITAS!H28</f>
        <v/>
      </c>
      <c r="J165" s="2" t="str">
        <f>MONJITAS!I28</f>
        <v/>
      </c>
      <c r="K165" s="2" t="str">
        <f>MONJITAS!J28</f>
        <v/>
      </c>
      <c r="L165" s="2" t="str">
        <f>MONJITAS!K28</f>
        <v/>
      </c>
      <c r="M165" s="2" t="str">
        <f>MONJITAS!L28</f>
        <v/>
      </c>
      <c r="N165" s="2" t="str">
        <f>MONJITAS!M28</f>
        <v/>
      </c>
      <c r="O165" s="2" t="str">
        <f>MONJITAS!N28</f>
        <v/>
      </c>
      <c r="P165" s="2" t="str">
        <f>MONJITAS!O28</f>
        <v/>
      </c>
      <c r="Q165" s="2" t="str">
        <f>MONJITAS!P28</f>
        <v/>
      </c>
      <c r="R165" s="2" t="str">
        <f>MONJITAS!Q28</f>
        <v/>
      </c>
      <c r="S165" s="2" t="str">
        <f>MONJITAS!R28</f>
        <v/>
      </c>
      <c r="T165" s="2" t="str">
        <f>MONJITAS!S28</f>
        <v/>
      </c>
      <c r="U165" s="2" t="str">
        <f>MONJITAS!T28</f>
        <v/>
      </c>
      <c r="V165" s="2" t="str">
        <f>MONJITAS!U28</f>
        <v/>
      </c>
      <c r="W165" s="2" t="str">
        <f>MONJITAS!V28</f>
        <v/>
      </c>
      <c r="X165" s="2" t="str">
        <f>MONJITAS!W28</f>
        <v/>
      </c>
      <c r="Y165" s="2" t="str">
        <f>MONJITAS!X28</f>
        <v/>
      </c>
      <c r="Z165" s="2" t="str">
        <f>MONJITAS!Y28</f>
        <v/>
      </c>
      <c r="AA165" s="2" t="str">
        <f>MONJITAS!Z28</f>
        <v/>
      </c>
      <c r="AB165" s="2" t="str">
        <f>MONJITAS!AA28</f>
        <v/>
      </c>
      <c r="AC165" s="2" t="str">
        <f>MONJITAS!AB28</f>
        <v/>
      </c>
      <c r="AD165" s="2" t="str">
        <f>MONJITAS!AC28</f>
        <v/>
      </c>
      <c r="AE165" s="2" t="str">
        <f>MONJITAS!AD28</f>
        <v/>
      </c>
      <c r="AF165" s="2" t="str">
        <f>MONJITAS!AE28</f>
        <v/>
      </c>
      <c r="AG165" s="2" t="str">
        <f>MONJITAS!AF28</f>
        <v/>
      </c>
      <c r="AH165" s="2" t="str">
        <f>MONJITAS!AG28</f>
        <v/>
      </c>
      <c r="AI165" s="2" t="str">
        <f>MONJITAS!AH28</f>
        <v/>
      </c>
      <c r="AJ165" s="2" t="str">
        <f>MONJITAS!AI28</f>
        <v/>
      </c>
      <c r="AK165" s="2" t="str">
        <f>MONJITAS!AJ28</f>
        <v/>
      </c>
      <c r="AL165" s="2" t="str">
        <f>MONJITAS!AK28</f>
        <v/>
      </c>
      <c r="AM165" s="2" t="str">
        <f>MONJITAS!AL28</f>
        <v/>
      </c>
      <c r="AN165" s="2" t="str">
        <f>MONJITAS!AM28</f>
        <v/>
      </c>
      <c r="AO165" s="2" t="str">
        <f>MONJITAS!AN28</f>
        <v/>
      </c>
      <c r="AP165" s="2" t="str">
        <f>MONJITAS!AO28</f>
        <v/>
      </c>
      <c r="AQ165" s="2" t="str">
        <f>MONJITAS!AP28</f>
        <v/>
      </c>
      <c r="AR165" s="2" t="str">
        <f>MONJITAS!AQ28</f>
        <v/>
      </c>
      <c r="AS165" s="2" t="str">
        <f>MONJITAS!AR28</f>
        <v/>
      </c>
      <c r="AT165" s="2" t="str">
        <f>MONJITAS!AS28</f>
        <v/>
      </c>
      <c r="AU165" s="2" t="str">
        <f>MONJITAS!AT28</f>
        <v/>
      </c>
      <c r="AV165" s="2" t="str">
        <f>MONJITAS!AU28</f>
        <v/>
      </c>
      <c r="AW165" s="2" t="str">
        <f>MONJITAS!AV28</f>
        <v/>
      </c>
      <c r="AX165" s="2" t="str">
        <f>MONJITAS!AW28</f>
        <v/>
      </c>
      <c r="AY165" s="2" t="str">
        <f>MONJITAS!AX28</f>
        <v/>
      </c>
      <c r="AZ165" s="2" t="str">
        <f>MONJITAS!AY28</f>
        <v/>
      </c>
      <c r="BA165" s="2" t="str">
        <f>MONJITAS!AZ28</f>
        <v/>
      </c>
      <c r="BB165" s="2" t="str">
        <f>MONJITAS!BA28</f>
        <v/>
      </c>
      <c r="BC165" s="2" t="str">
        <f>MONJITAS!BB28</f>
        <v/>
      </c>
      <c r="BD165" s="2" t="str">
        <f>MONJITAS!BC28</f>
        <v/>
      </c>
      <c r="BE165" s="2" t="str">
        <f>MONJITAS!BD28</f>
        <v/>
      </c>
      <c r="BF165" s="2" t="str">
        <f>MONJITAS!BE28</f>
        <v/>
      </c>
      <c r="BG165" s="2" t="str">
        <f>MONJITAS!BF28</f>
        <v/>
      </c>
      <c r="BH165" s="2" t="str">
        <f>MONJITAS!BG28</f>
        <v/>
      </c>
      <c r="BI165" s="2" t="str">
        <f>MONJITAS!BH28</f>
        <v/>
      </c>
      <c r="BJ165" s="2" t="str">
        <f>MONJITAS!BI28</f>
        <v/>
      </c>
      <c r="BK165" s="2" t="str">
        <f>MONJITAS!BJ28</f>
        <v/>
      </c>
      <c r="BL165" s="2" t="str">
        <f>MONJITAS!BU28</f>
        <v/>
      </c>
      <c r="BM165" s="2" t="str">
        <f>MONJITAS!BV28</f>
        <v/>
      </c>
      <c r="BN165" s="2" t="str">
        <f>MONJITAS!BW28</f>
        <v/>
      </c>
      <c r="BO165" s="2" t="str">
        <f>MONJITAS!BX28</f>
        <v/>
      </c>
      <c r="BP165" s="2" t="str">
        <f>MONJITAS!BY28</f>
        <v/>
      </c>
      <c r="BQ165" s="2" t="str">
        <f>MONJITAS!BZ28</f>
        <v/>
      </c>
      <c r="BR165" s="2" t="str">
        <f>MONJITAS!CA28</f>
        <v/>
      </c>
      <c r="BS165" s="2" t="str">
        <f>MONJITAS!CB28</f>
        <v/>
      </c>
      <c r="BT165" s="2" t="str">
        <f>MONJITAS!CC28</f>
        <v/>
      </c>
      <c r="BU165" s="2"/>
      <c r="BV165" s="2"/>
      <c r="BW165" s="2"/>
      <c r="BX165" s="2"/>
      <c r="BY165" s="2"/>
      <c r="BZ165" s="2"/>
      <c r="CA165" s="2"/>
      <c r="CB165" s="2"/>
      <c r="CC165" s="2"/>
    </row>
    <row r="166">
      <c r="A166" s="2"/>
      <c r="B166" s="2" t="str">
        <f>MONJITAS!A29</f>
        <v/>
      </c>
      <c r="C166" s="2" t="str">
        <f>MONJITAS!B29</f>
        <v/>
      </c>
      <c r="D166" s="2" t="str">
        <f>MONJITAS!C29</f>
        <v/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</row>
    <row r="167">
      <c r="A167" s="2"/>
      <c r="B167" s="2" t="str">
        <f>ISIDORA!A2</f>
        <v/>
      </c>
      <c r="C167" s="2" t="str">
        <f>ISIDORA!B2</f>
        <v/>
      </c>
      <c r="D167" s="14" t="str">
        <f>ISIDORA!C2</f>
        <v/>
      </c>
      <c r="E167" s="14">
        <f>ISIDORA!D2</f>
        <v>45811</v>
      </c>
      <c r="F167" s="14">
        <f>ISIDORA!E2</f>
        <v>45817</v>
      </c>
      <c r="G167" s="14">
        <f>ISIDORA!F2</f>
        <v>45824</v>
      </c>
      <c r="H167" s="14">
        <f>ISIDORA!G2</f>
        <v>45831</v>
      </c>
      <c r="I167" s="14">
        <f>ISIDORA!H2</f>
        <v>45838</v>
      </c>
      <c r="J167" s="14">
        <f>ISIDORA!I2</f>
        <v>45845</v>
      </c>
      <c r="K167" s="14">
        <f>ISIDORA!J2</f>
        <v>45852</v>
      </c>
      <c r="L167" s="14">
        <f>ISIDORA!K2</f>
        <v>45859</v>
      </c>
      <c r="M167" s="14">
        <f>ISIDORA!L2</f>
        <v>45866</v>
      </c>
      <c r="N167" s="14">
        <f>ISIDORA!M2</f>
        <v>45873</v>
      </c>
      <c r="O167" s="14">
        <f>ISIDORA!N2</f>
        <v>45880</v>
      </c>
      <c r="P167" s="14">
        <f>ISIDORA!O2</f>
        <v>45887</v>
      </c>
      <c r="Q167" s="14">
        <f>ISIDORA!P2</f>
        <v>45894</v>
      </c>
      <c r="R167" s="14">
        <f>ISIDORA!Q2</f>
        <v>45901</v>
      </c>
      <c r="S167" s="14">
        <f>ISIDORA!R2</f>
        <v>45908</v>
      </c>
      <c r="T167" s="14">
        <f>ISIDORA!S2</f>
        <v>45915</v>
      </c>
      <c r="U167" s="14">
        <f>ISIDORA!T2</f>
        <v>45922</v>
      </c>
      <c r="V167" s="14">
        <f>ISIDORA!U2</f>
        <v>45929</v>
      </c>
      <c r="W167" s="14">
        <f>ISIDORA!V2</f>
        <v>45936</v>
      </c>
      <c r="X167" s="14">
        <f>ISIDORA!W2</f>
        <v>45943</v>
      </c>
      <c r="Y167" s="14">
        <f>ISIDORA!X2</f>
        <v>45943</v>
      </c>
      <c r="Z167" s="14">
        <f>ISIDORA!Y2</f>
        <v>45950</v>
      </c>
      <c r="AA167" s="14">
        <f>ISIDORA!Z2</f>
        <v>45957</v>
      </c>
      <c r="AB167" s="14">
        <f>ISIDORA!AA2</f>
        <v>45964</v>
      </c>
      <c r="AC167" s="14">
        <f>ISIDORA!AB2</f>
        <v>45967</v>
      </c>
      <c r="AD167" s="14">
        <f>ISIDORA!AC2</f>
        <v>45971</v>
      </c>
      <c r="AE167" s="14">
        <f>ISIDORA!AD2</f>
        <v>45978</v>
      </c>
      <c r="AF167" s="14">
        <f>ISIDORA!AE2</f>
        <v>45981</v>
      </c>
      <c r="AG167" s="14">
        <f>ISIDORA!AF2</f>
        <v>45985</v>
      </c>
      <c r="AH167" s="14">
        <f>ISIDORA!AG2</f>
        <v>45992</v>
      </c>
      <c r="AI167" s="14">
        <f>ISIDORA!AH2</f>
        <v>46000</v>
      </c>
      <c r="AJ167" s="14">
        <f>ISIDORA!AI2</f>
        <v>46006</v>
      </c>
      <c r="AK167" s="14">
        <f>ISIDORA!AJ2</f>
        <v>46013</v>
      </c>
      <c r="AL167" s="14">
        <f>ISIDORA!AK2</f>
        <v>46020</v>
      </c>
      <c r="AM167" s="14">
        <f>ISIDORA!AL2</f>
        <v>46027</v>
      </c>
      <c r="AN167" s="14">
        <f>ISIDORA!AM2</f>
        <v>46030</v>
      </c>
      <c r="AO167" s="14">
        <f>ISIDORA!AN2</f>
        <v>46034</v>
      </c>
      <c r="AP167" s="14">
        <f>ISIDORA!AO2</f>
        <v>46037</v>
      </c>
      <c r="AQ167" s="14">
        <f>ISIDORA!AP2</f>
        <v>46041</v>
      </c>
      <c r="AR167" s="14">
        <f>ISIDORA!AQ2</f>
        <v>46045</v>
      </c>
      <c r="AS167" s="14">
        <f>ISIDORA!AR2</f>
        <v>46051</v>
      </c>
      <c r="AT167" s="14">
        <f>ISIDORA!AS2</f>
        <v>46055</v>
      </c>
      <c r="AU167" s="14">
        <f>ISIDORA!AT2</f>
        <v>46062</v>
      </c>
      <c r="AV167" s="14">
        <f>ISIDORA!AU2</f>
        <v>46065</v>
      </c>
      <c r="AW167" s="14">
        <f>ISIDORA!AV2</f>
        <v>46069</v>
      </c>
      <c r="AX167" s="14">
        <f>ISIDORA!AW2</f>
        <v>46072</v>
      </c>
      <c r="AY167" s="14">
        <f>ISIDORA!AX2</f>
        <v>46076</v>
      </c>
      <c r="AZ167" s="14">
        <f>ISIDORA!AY2</f>
        <v>46083</v>
      </c>
      <c r="BA167" s="14">
        <f>ISIDORA!AZ2</f>
        <v>46090</v>
      </c>
      <c r="BB167" s="14">
        <f>ISIDORA!BA2</f>
        <v>46093</v>
      </c>
      <c r="BC167" s="14">
        <f>ISIDORA!BB2</f>
        <v>46097</v>
      </c>
      <c r="BD167" s="14">
        <f>ISIDORA!BC2</f>
        <v>46100</v>
      </c>
      <c r="BE167" s="14">
        <f>ISIDORA!BD2</f>
        <v>46104</v>
      </c>
      <c r="BF167" s="14" t="str">
        <f>ISIDORA!BE2</f>
        <v/>
      </c>
      <c r="BG167" s="14" t="str">
        <f>ISIDORA!BF2</f>
        <v/>
      </c>
      <c r="BH167" s="14" t="str">
        <f>ISIDORA!BG2</f>
        <v/>
      </c>
      <c r="BI167" s="14" t="str">
        <f>ISIDORA!BH2</f>
        <v/>
      </c>
      <c r="BJ167" s="2" t="str">
        <f>ISIDORA!BV2</f>
        <v/>
      </c>
      <c r="BK167" s="2" t="str">
        <f>ISIDORA!BW2</f>
        <v/>
      </c>
      <c r="BL167" s="2" t="str">
        <f>ISIDORA!BX2</f>
        <v/>
      </c>
      <c r="BM167" s="2" t="str">
        <f>ISIDORA!BY2</f>
        <v/>
      </c>
      <c r="BN167" s="2" t="str">
        <f>ISIDORA!BZ2</f>
        <v/>
      </c>
      <c r="BO167" s="2" t="str">
        <f>ISIDORA!CA2</f>
        <v/>
      </c>
      <c r="BP167" s="2" t="str">
        <f>ISIDORA!CB2</f>
        <v/>
      </c>
      <c r="BQ167" s="2" t="str">
        <f>ISIDORA!CC2</f>
        <v/>
      </c>
      <c r="BR167" s="2" t="str">
        <f>ISIDORA!CD2</f>
        <v/>
      </c>
      <c r="BS167" s="2" t="str">
        <f>ISIDORA!CE2</f>
        <v/>
      </c>
      <c r="BT167" s="2" t="str">
        <f>ISIDORA!CF2</f>
        <v/>
      </c>
      <c r="BU167" s="2"/>
      <c r="BV167" s="2"/>
      <c r="BW167" s="2"/>
      <c r="BX167" s="2"/>
      <c r="BY167" s="2"/>
      <c r="BZ167" s="2"/>
      <c r="CA167" s="2"/>
      <c r="CB167" s="2"/>
      <c r="CC167" s="2"/>
    </row>
    <row r="168">
      <c r="A168" s="2"/>
      <c r="B168" s="2" t="str">
        <f>ISIDORA!A3</f>
        <v>Sede</v>
      </c>
      <c r="C168" s="2" t="str">
        <f>ISIDORA!B3</f>
        <v>Proveedor</v>
      </c>
      <c r="D168" s="2" t="str">
        <f>ISIDORA!C3</f>
        <v>Producto</v>
      </c>
      <c r="E168" s="2" t="str">
        <f>ISIDORA!D3</f>
        <v>Stock Actual</v>
      </c>
      <c r="F168" s="2" t="str">
        <f>ISIDORA!E3</f>
        <v>Stock Actual</v>
      </c>
      <c r="G168" s="2" t="str">
        <f>ISIDORA!F3</f>
        <v>Stock Actual</v>
      </c>
      <c r="H168" s="2" t="str">
        <f>ISIDORA!G3</f>
        <v>Stock Actual</v>
      </c>
      <c r="I168" s="2" t="str">
        <f>ISIDORA!H3</f>
        <v>Stock Actual</v>
      </c>
      <c r="J168" s="2" t="str">
        <f>ISIDORA!I3</f>
        <v>Stock Actual</v>
      </c>
      <c r="K168" s="2" t="str">
        <f>ISIDORA!J3</f>
        <v>Stock Actual</v>
      </c>
      <c r="L168" s="2" t="str">
        <f>ISIDORA!K3</f>
        <v>Stock Actual</v>
      </c>
      <c r="M168" s="2" t="str">
        <f>ISIDORA!L3</f>
        <v>Stock Actual</v>
      </c>
      <c r="N168" s="2" t="str">
        <f>ISIDORA!M3</f>
        <v>Stock Actual</v>
      </c>
      <c r="O168" s="2" t="str">
        <f>ISIDORA!N3</f>
        <v>Stock Actual</v>
      </c>
      <c r="P168" s="2" t="str">
        <f>ISIDORA!O3</f>
        <v>Stock Actual</v>
      </c>
      <c r="Q168" s="2" t="str">
        <f>ISIDORA!P3</f>
        <v>Stock Actual</v>
      </c>
      <c r="R168" s="2" t="str">
        <f>ISIDORA!Q3</f>
        <v>Stock Actual</v>
      </c>
      <c r="S168" s="2" t="str">
        <f>ISIDORA!R3</f>
        <v>Stock Actual</v>
      </c>
      <c r="T168" s="2" t="str">
        <f>ISIDORA!S3</f>
        <v>Stock Actual</v>
      </c>
      <c r="U168" s="2" t="str">
        <f>ISIDORA!T3</f>
        <v>Stock Actual</v>
      </c>
      <c r="V168" s="2" t="str">
        <f>ISIDORA!U3</f>
        <v>Stock Actual</v>
      </c>
      <c r="W168" s="2" t="str">
        <f>ISIDORA!V3</f>
        <v>Stock Actual</v>
      </c>
      <c r="X168" s="2" t="str">
        <f>ISIDORA!W3</f>
        <v>Stock Actual</v>
      </c>
      <c r="Y168" s="2" t="str">
        <f>ISIDORA!X3</f>
        <v>Stock Actual</v>
      </c>
      <c r="Z168" s="2" t="str">
        <f>ISIDORA!Y3</f>
        <v>Stock Actual</v>
      </c>
      <c r="AA168" s="2" t="str">
        <f>ISIDORA!Z3</f>
        <v>Stock Actual</v>
      </c>
      <c r="AB168" s="2" t="str">
        <f>ISIDORA!AA3</f>
        <v>Stock Actual</v>
      </c>
      <c r="AC168" s="2" t="str">
        <f>ISIDORA!AB3</f>
        <v>Stock Actual</v>
      </c>
      <c r="AD168" s="2" t="str">
        <f>ISIDORA!AC3</f>
        <v>Stock Actual</v>
      </c>
      <c r="AE168" s="2" t="str">
        <f>ISIDORA!AD3</f>
        <v>Stock Actual</v>
      </c>
      <c r="AF168" s="2" t="str">
        <f>ISIDORA!AE3</f>
        <v>Stock Actual</v>
      </c>
      <c r="AG168" s="2" t="str">
        <f>ISIDORA!AF3</f>
        <v>Stock Actual</v>
      </c>
      <c r="AH168" s="2" t="str">
        <f>ISIDORA!AG3</f>
        <v>Stock Actual</v>
      </c>
      <c r="AI168" s="2" t="str">
        <f>ISIDORA!AH3</f>
        <v>Stock Actual</v>
      </c>
      <c r="AJ168" s="2" t="str">
        <f>ISIDORA!AI3</f>
        <v>Stock Actual</v>
      </c>
      <c r="AK168" s="2" t="str">
        <f>ISIDORA!AJ3</f>
        <v>Stock Actual</v>
      </c>
      <c r="AL168" s="2" t="str">
        <f>ISIDORA!AK3</f>
        <v>Stock Actual</v>
      </c>
      <c r="AM168" s="2" t="str">
        <f>ISIDORA!AL3</f>
        <v>Stock Actual</v>
      </c>
      <c r="AN168" s="2" t="str">
        <f>ISIDORA!AM3</f>
        <v>Stock Actual</v>
      </c>
      <c r="AO168" s="2" t="str">
        <f>ISIDORA!AN3</f>
        <v>Stock Actual</v>
      </c>
      <c r="AP168" s="2" t="str">
        <f>ISIDORA!AO3</f>
        <v>Stock Actual</v>
      </c>
      <c r="AQ168" s="2" t="str">
        <f>ISIDORA!AP3</f>
        <v>Stock Actual</v>
      </c>
      <c r="AR168" s="2" t="str">
        <f>ISIDORA!AQ3</f>
        <v>Stock Actual</v>
      </c>
      <c r="AS168" s="2" t="str">
        <f>ISIDORA!AR3</f>
        <v>Stock Actual</v>
      </c>
      <c r="AT168" s="2" t="str">
        <f>ISIDORA!AS3</f>
        <v>Stock Actual</v>
      </c>
      <c r="AU168" s="2" t="str">
        <f>ISIDORA!AT3</f>
        <v>Stock Actual</v>
      </c>
      <c r="AV168" s="2" t="str">
        <f>ISIDORA!AU3</f>
        <v>Stock Actual</v>
      </c>
      <c r="AW168" s="2" t="str">
        <f>ISIDORA!AV3</f>
        <v>Stock Actual</v>
      </c>
      <c r="AX168" s="2" t="str">
        <f>ISIDORA!AW3</f>
        <v>Stock Actual</v>
      </c>
      <c r="AY168" s="2" t="str">
        <f>ISIDORA!AX3</f>
        <v>Stock Actual</v>
      </c>
      <c r="AZ168" s="2" t="str">
        <f>ISIDORA!AY3</f>
        <v>Stock Actual</v>
      </c>
      <c r="BA168" s="2" t="str">
        <f>ISIDORA!AZ3</f>
        <v>Stock Actual</v>
      </c>
      <c r="BB168" s="2" t="str">
        <f>ISIDORA!BA3</f>
        <v>stok Atual</v>
      </c>
      <c r="BC168" s="2" t="str">
        <f>ISIDORA!BB3</f>
        <v>stok Actul</v>
      </c>
      <c r="BD168" s="2" t="str">
        <f>ISIDORA!BC3</f>
        <v>stok Actual</v>
      </c>
      <c r="BE168" s="2" t="str">
        <f>ISIDORA!BD3</f>
        <v>stok Actual</v>
      </c>
      <c r="BF168" s="2" t="str">
        <f>ISIDORA!BE3</f>
        <v/>
      </c>
      <c r="BG168" s="2" t="str">
        <f>ISIDORA!BF3</f>
        <v/>
      </c>
      <c r="BH168" s="2" t="str">
        <f>ISIDORA!BG3</f>
        <v/>
      </c>
      <c r="BI168" s="2" t="str">
        <f>ISIDORA!BH3</f>
        <v/>
      </c>
      <c r="BJ168" s="2" t="str">
        <f>ISIDORA!BS3</f>
        <v/>
      </c>
      <c r="BK168" s="2" t="str">
        <f>ISIDORA!BT3</f>
        <v/>
      </c>
      <c r="BL168" s="2" t="str">
        <f>ISIDORA!BU3</f>
        <v/>
      </c>
      <c r="BM168" s="2" t="str">
        <f>ISIDORA!BV3</f>
        <v/>
      </c>
      <c r="BN168" s="2" t="str">
        <f>ISIDORA!BW3</f>
        <v/>
      </c>
      <c r="BO168" s="2" t="str">
        <f>ISIDORA!BX3</f>
        <v/>
      </c>
      <c r="BP168" s="2" t="str">
        <f>ISIDORA!BY3</f>
        <v/>
      </c>
      <c r="BQ168" s="2" t="str">
        <f>ISIDORA!CC3</f>
        <v/>
      </c>
      <c r="BR168" s="2" t="str">
        <f>ISIDORA!CD3</f>
        <v/>
      </c>
      <c r="BS168" s="2" t="str">
        <f>ISIDORA!CE3</f>
        <v/>
      </c>
      <c r="BT168" s="2" t="str">
        <f>ISIDORA!CF3</f>
        <v/>
      </c>
      <c r="BU168" s="2"/>
      <c r="BV168" s="2"/>
      <c r="BW168" s="2"/>
      <c r="BX168" s="2"/>
      <c r="BY168" s="2"/>
      <c r="BZ168" s="2"/>
      <c r="CA168" s="2"/>
      <c r="CB168" s="2"/>
      <c r="CC168" s="2"/>
    </row>
    <row r="169">
      <c r="A169" s="2"/>
      <c r="B169" s="2" t="str">
        <f>ISIDORA!A4</f>
        <v>Isidora</v>
      </c>
      <c r="C169" s="2" t="str">
        <f>ISIDORA!B4</f>
        <v>Cafe Caribe</v>
      </c>
      <c r="D169" s="2" t="str">
        <f>ISIDORA!C4</f>
        <v>Cafe Grano (KG)</v>
      </c>
      <c r="E169" s="2">
        <f>ISIDORA!D4</f>
        <v>9</v>
      </c>
      <c r="F169" s="2">
        <f>ISIDORA!E4</f>
        <v>6</v>
      </c>
      <c r="G169" s="2">
        <f>ISIDORA!F4</f>
        <v>6</v>
      </c>
      <c r="H169" s="2">
        <f>ISIDORA!G4</f>
        <v>4</v>
      </c>
      <c r="I169" s="2">
        <f>ISIDORA!H4</f>
        <v>3</v>
      </c>
      <c r="J169" s="2">
        <f>ISIDORA!I4</f>
        <v>3</v>
      </c>
      <c r="K169" s="2">
        <f>ISIDORA!J4</f>
        <v>3</v>
      </c>
      <c r="L169" s="2">
        <f>ISIDORA!K4</f>
        <v>8.5</v>
      </c>
      <c r="M169" s="2">
        <f>ISIDORA!L4</f>
        <v>7.5</v>
      </c>
      <c r="N169" s="2">
        <f>ISIDORA!M4</f>
        <v>4.5</v>
      </c>
      <c r="O169" s="2">
        <f>ISIDORA!N4</f>
        <v>4</v>
      </c>
      <c r="P169" s="2">
        <f>ISIDORA!O4</f>
        <v>4</v>
      </c>
      <c r="Q169" s="2">
        <f>ISIDORA!P4</f>
        <v>4</v>
      </c>
      <c r="R169" s="2">
        <f>ISIDORA!Q4</f>
        <v>4</v>
      </c>
      <c r="S169" s="2" t="str">
        <f>ISIDORA!R4</f>
        <v/>
      </c>
      <c r="T169" s="2" t="str">
        <f>ISIDORA!S4</f>
        <v/>
      </c>
      <c r="U169" s="2">
        <f>ISIDORA!T4</f>
        <v>5</v>
      </c>
      <c r="V169" s="2">
        <f>ISIDORA!U4</f>
        <v>4</v>
      </c>
      <c r="W169" s="2">
        <f>ISIDORA!V4</f>
        <v>3</v>
      </c>
      <c r="X169" s="2">
        <f>ISIDORA!W4</f>
        <v>2</v>
      </c>
      <c r="Y169" s="2">
        <f>ISIDORA!X4</f>
        <v>2</v>
      </c>
      <c r="Z169" s="2" t="str">
        <f>ISIDORA!Y4</f>
        <v>500 g</v>
      </c>
      <c r="AA169" s="2">
        <f>ISIDORA!Z4</f>
        <v>2</v>
      </c>
      <c r="AB169" s="2">
        <f>ISIDORA!AA4</f>
        <v>1.5</v>
      </c>
      <c r="AC169" s="2">
        <f>ISIDORA!AB4</f>
        <v>1</v>
      </c>
      <c r="AD169" s="2">
        <f>ISIDORA!AC4</f>
        <v>8</v>
      </c>
      <c r="AE169" s="2">
        <f>ISIDORA!AD4</f>
        <v>6</v>
      </c>
      <c r="AF169" s="2">
        <f>ISIDORA!AE4</f>
        <v>6</v>
      </c>
      <c r="AG169" s="2">
        <f>ISIDORA!AF4</f>
        <v>4</v>
      </c>
      <c r="AH169" s="2" t="str">
        <f>ISIDORA!AG4</f>
        <v>2.5 KG</v>
      </c>
      <c r="AI169" s="2" t="str">
        <f>ISIDORA!AH4</f>
        <v>1.5 KG</v>
      </c>
      <c r="AJ169" s="2" t="str">
        <f>ISIDORA!AI4</f>
        <v>1 KG</v>
      </c>
      <c r="AK169" s="2" t="str">
        <f>ISIDORA!AJ4</f>
        <v>500 g</v>
      </c>
      <c r="AL169" s="2">
        <f>ISIDORA!AK4</f>
        <v>0</v>
      </c>
      <c r="AM169" s="2">
        <f>ISIDORA!AL4</f>
        <v>0</v>
      </c>
      <c r="AN169" s="2" t="str">
        <f>ISIDORA!AM4</f>
        <v>11,5 KG</v>
      </c>
      <c r="AO169" s="2" t="str">
        <f>ISIDORA!AN4</f>
        <v>11 KG</v>
      </c>
      <c r="AP169" s="2" t="str">
        <f>ISIDORA!AO4</f>
        <v>11 KG</v>
      </c>
      <c r="AQ169" s="2" t="str">
        <f>ISIDORA!AP4</f>
        <v>10,5 KG</v>
      </c>
      <c r="AR169" s="2" t="str">
        <f>ISIDORA!AQ4</f>
        <v>9,5 KG</v>
      </c>
      <c r="AS169" s="2" t="str">
        <f>ISIDORA!AR4</f>
        <v>7,5 KG</v>
      </c>
      <c r="AT169" s="2" t="str">
        <f>ISIDORA!AS4</f>
        <v>6,5 KG</v>
      </c>
      <c r="AU169" s="2" t="str">
        <f>ISIDORA!AT4</f>
        <v>5,5 KG</v>
      </c>
      <c r="AV169" s="2" t="str">
        <f>ISIDORA!AU4</f>
        <v>5 KG</v>
      </c>
      <c r="AW169" s="2" t="str">
        <f>ISIDORA!AV4</f>
        <v>10 KG</v>
      </c>
      <c r="AX169" s="2" t="str">
        <f>ISIDORA!AW4</f>
        <v>9,5 KG</v>
      </c>
      <c r="AY169" s="2" t="str">
        <f>ISIDORA!AX4</f>
        <v>9 KG</v>
      </c>
      <c r="AZ169" s="2" t="str">
        <f>ISIDORA!AY4</f>
        <v>20,5 KG</v>
      </c>
      <c r="BA169" s="2" t="str">
        <f>ISIDORA!AZ4</f>
        <v>18 kg</v>
      </c>
      <c r="BB169" s="2" t="str">
        <f>ISIDORA!BA4</f>
        <v>17 kg</v>
      </c>
      <c r="BC169" s="2" t="str">
        <f>ISIDORA!BB4</f>
        <v>16 kg</v>
      </c>
      <c r="BD169" s="2" t="str">
        <f>ISIDORA!BC4</f>
        <v>14.5kg</v>
      </c>
      <c r="BE169" s="2" t="str">
        <f>ISIDORA!BD4</f>
        <v>13 kg</v>
      </c>
      <c r="BF169" s="2" t="str">
        <f>ISIDORA!BE4</f>
        <v/>
      </c>
      <c r="BG169" s="2" t="str">
        <f>ISIDORA!BF4</f>
        <v/>
      </c>
      <c r="BH169" s="2" t="str">
        <f>ISIDORA!BG4</f>
        <v/>
      </c>
      <c r="BI169" s="2" t="str">
        <f>ISIDORA!BH4</f>
        <v/>
      </c>
      <c r="BJ169" s="2" t="str">
        <f>ISIDORA!BS4</f>
        <v/>
      </c>
      <c r="BK169" s="2" t="str">
        <f>ISIDORA!BT4</f>
        <v/>
      </c>
      <c r="BL169" s="2" t="str">
        <f>ISIDORA!BU4</f>
        <v/>
      </c>
      <c r="BM169" s="2" t="str">
        <f>ISIDORA!BV4</f>
        <v/>
      </c>
      <c r="BN169" s="2" t="str">
        <f>ISIDORA!BW4</f>
        <v/>
      </c>
      <c r="BO169" s="2" t="str">
        <f>ISIDORA!BX4</f>
        <v/>
      </c>
      <c r="BP169" s="2" t="str">
        <f>ISIDORA!BY4</f>
        <v/>
      </c>
      <c r="BQ169" s="2" t="str">
        <f>ISIDORA!CC4</f>
        <v/>
      </c>
      <c r="BR169" s="2" t="str">
        <f>ISIDORA!CD4</f>
        <v/>
      </c>
      <c r="BS169" s="2" t="str">
        <f>ISIDORA!CE4</f>
        <v/>
      </c>
      <c r="BT169" s="2" t="str">
        <f>ISIDORA!CF4</f>
        <v/>
      </c>
      <c r="BU169" s="2"/>
      <c r="BV169" s="2"/>
      <c r="BW169" s="2"/>
      <c r="BX169" s="2"/>
      <c r="BY169" s="2"/>
      <c r="BZ169" s="2"/>
      <c r="CA169" s="2"/>
      <c r="CB169" s="2"/>
      <c r="CC169" s="2"/>
    </row>
    <row r="170">
      <c r="A170" s="2"/>
      <c r="B170" s="2" t="str">
        <f>ISIDORA!A5</f>
        <v>Isidora</v>
      </c>
      <c r="C170" s="2" t="str">
        <f>ISIDORA!B5</f>
        <v>Cafeteria</v>
      </c>
      <c r="D170" s="2" t="str">
        <f>ISIDORA!C5</f>
        <v>Toalla de Papel Jumbo (UN)</v>
      </c>
      <c r="E170" s="2">
        <f>ISIDORA!D5</f>
        <v>10</v>
      </c>
      <c r="F170" s="2">
        <f>ISIDORA!E5</f>
        <v>8</v>
      </c>
      <c r="G170" s="2">
        <f>ISIDORA!F5</f>
        <v>5</v>
      </c>
      <c r="H170" s="2">
        <f>ISIDORA!G5</f>
        <v>4</v>
      </c>
      <c r="I170" s="2">
        <f>ISIDORA!H5</f>
        <v>4</v>
      </c>
      <c r="J170" s="2">
        <f>ISIDORA!I5</f>
        <v>4</v>
      </c>
      <c r="K170" s="2">
        <f>ISIDORA!J5</f>
        <v>4</v>
      </c>
      <c r="L170" s="2">
        <f>ISIDORA!K5</f>
        <v>4</v>
      </c>
      <c r="M170" s="2">
        <f>ISIDORA!L5</f>
        <v>3</v>
      </c>
      <c r="N170" s="2">
        <f>ISIDORA!M5</f>
        <v>3</v>
      </c>
      <c r="O170" s="2">
        <f>ISIDORA!N5</f>
        <v>3</v>
      </c>
      <c r="P170" s="2">
        <f>ISIDORA!O5</f>
        <v>3</v>
      </c>
      <c r="Q170" s="2">
        <f>ISIDORA!P5</f>
        <v>6</v>
      </c>
      <c r="R170" s="2">
        <f>ISIDORA!Q5</f>
        <v>6</v>
      </c>
      <c r="S170" s="2" t="str">
        <f>ISIDORA!R5</f>
        <v/>
      </c>
      <c r="T170" s="2" t="str">
        <f>ISIDORA!S5</f>
        <v/>
      </c>
      <c r="U170" s="2">
        <f>ISIDORA!T5</f>
        <v>5</v>
      </c>
      <c r="V170" s="2">
        <f>ISIDORA!U5</f>
        <v>4</v>
      </c>
      <c r="W170" s="2">
        <f>ISIDORA!V5</f>
        <v>3</v>
      </c>
      <c r="X170" s="2">
        <f>ISIDORA!W5</f>
        <v>2</v>
      </c>
      <c r="Y170" s="2">
        <f>ISIDORA!X5</f>
        <v>1</v>
      </c>
      <c r="Z170" s="2">
        <f>ISIDORA!Y5</f>
        <v>5</v>
      </c>
      <c r="AA170" s="2">
        <f>ISIDORA!Z5</f>
        <v>5</v>
      </c>
      <c r="AB170" s="2">
        <f>ISIDORA!AA5</f>
        <v>4</v>
      </c>
      <c r="AC170" s="2">
        <f>ISIDORA!AB5</f>
        <v>3</v>
      </c>
      <c r="AD170" s="2">
        <f>ISIDORA!AC5</f>
        <v>1</v>
      </c>
      <c r="AE170" s="2">
        <f>ISIDORA!AD5</f>
        <v>0</v>
      </c>
      <c r="AF170" s="2">
        <f>ISIDORA!AE5</f>
        <v>7</v>
      </c>
      <c r="AG170" s="2">
        <f>ISIDORA!AF5</f>
        <v>5</v>
      </c>
      <c r="AH170" s="2">
        <f>ISIDORA!AG5</f>
        <v>3</v>
      </c>
      <c r="AI170" s="2">
        <f>ISIDORA!AH5</f>
        <v>2</v>
      </c>
      <c r="AJ170" s="2">
        <f>ISIDORA!AI5</f>
        <v>1</v>
      </c>
      <c r="AK170" s="2">
        <f>ISIDORA!AJ5</f>
        <v>8</v>
      </c>
      <c r="AL170" s="2">
        <f>ISIDORA!AK5</f>
        <v>7</v>
      </c>
      <c r="AM170" s="2">
        <f>ISIDORA!AL5</f>
        <v>6</v>
      </c>
      <c r="AN170" s="2">
        <f>ISIDORA!AM5</f>
        <v>4</v>
      </c>
      <c r="AO170" s="2">
        <f>ISIDORA!AN5</f>
        <v>4</v>
      </c>
      <c r="AP170" s="2">
        <f>ISIDORA!AO5</f>
        <v>3</v>
      </c>
      <c r="AQ170" s="2">
        <f>ISIDORA!AP5</f>
        <v>2</v>
      </c>
      <c r="AR170" s="2">
        <f>ISIDORA!AQ5</f>
        <v>4</v>
      </c>
      <c r="AS170" s="2">
        <f>ISIDORA!AR5</f>
        <v>4</v>
      </c>
      <c r="AT170" s="2">
        <f>ISIDORA!AS5</f>
        <v>4</v>
      </c>
      <c r="AU170" s="2">
        <f>ISIDORA!AT5</f>
        <v>9</v>
      </c>
      <c r="AV170" s="2">
        <f>ISIDORA!AU5</f>
        <v>9</v>
      </c>
      <c r="AW170" s="2">
        <f>ISIDORA!AV5</f>
        <v>8</v>
      </c>
      <c r="AX170" s="2">
        <f>ISIDORA!AW5</f>
        <v>7</v>
      </c>
      <c r="AY170" s="2">
        <f>ISIDORA!AX5</f>
        <v>6</v>
      </c>
      <c r="AZ170" s="2">
        <f>ISIDORA!AY5</f>
        <v>5</v>
      </c>
      <c r="BA170" s="2">
        <f>ISIDORA!AZ5</f>
        <v>4</v>
      </c>
      <c r="BB170" s="2">
        <f>ISIDORA!BA5</f>
        <v>10</v>
      </c>
      <c r="BC170" s="2">
        <f>ISIDORA!BB5</f>
        <v>9</v>
      </c>
      <c r="BD170" s="2">
        <f>ISIDORA!BC5</f>
        <v>8</v>
      </c>
      <c r="BE170" s="2">
        <f>ISIDORA!BD5</f>
        <v>7</v>
      </c>
      <c r="BF170" s="2" t="str">
        <f>ISIDORA!BE5</f>
        <v/>
      </c>
      <c r="BG170" s="2" t="str">
        <f>ISIDORA!BF5</f>
        <v/>
      </c>
      <c r="BH170" s="2" t="str">
        <f>ISIDORA!BG5</f>
        <v/>
      </c>
      <c r="BI170" s="2" t="str">
        <f>ISIDORA!BH5</f>
        <v/>
      </c>
      <c r="BJ170" s="2" t="str">
        <f>ISIDORA!BS5</f>
        <v/>
      </c>
      <c r="BK170" s="2" t="str">
        <f>ISIDORA!BT5</f>
        <v/>
      </c>
      <c r="BL170" s="2" t="str">
        <f>ISIDORA!BU5</f>
        <v/>
      </c>
      <c r="BM170" s="2" t="str">
        <f>ISIDORA!BV5</f>
        <v/>
      </c>
      <c r="BN170" s="2" t="str">
        <f>ISIDORA!BW5</f>
        <v/>
      </c>
      <c r="BO170" s="2" t="str">
        <f>ISIDORA!BX5</f>
        <v/>
      </c>
      <c r="BP170" s="2" t="str">
        <f>ISIDORA!BY5</f>
        <v/>
      </c>
      <c r="BQ170" s="2" t="str">
        <f>ISIDORA!CC5</f>
        <v/>
      </c>
      <c r="BR170" s="2" t="str">
        <f>ISIDORA!CD5</f>
        <v/>
      </c>
      <c r="BS170" s="2" t="str">
        <f>ISIDORA!CE5</f>
        <v/>
      </c>
      <c r="BT170" s="2" t="str">
        <f>ISIDORA!CF5</f>
        <v/>
      </c>
      <c r="BU170" s="2"/>
      <c r="BV170" s="2"/>
      <c r="BW170" s="2"/>
      <c r="BX170" s="2"/>
      <c r="BY170" s="2"/>
      <c r="BZ170" s="2"/>
      <c r="CA170" s="2"/>
      <c r="CB170" s="2"/>
      <c r="CC170" s="2"/>
    </row>
    <row r="171">
      <c r="A171" s="2"/>
      <c r="B171" s="2" t="str">
        <f>ISIDORA!A6</f>
        <v>Isidora</v>
      </c>
      <c r="C171" s="2" t="str">
        <f>ISIDORA!B6</f>
        <v>Cafeteria</v>
      </c>
      <c r="D171" s="2" t="str">
        <f>ISIDORA!C6</f>
        <v>Papel Higienico (UN)</v>
      </c>
      <c r="E171" s="2">
        <f>ISIDORA!D6</f>
        <v>10</v>
      </c>
      <c r="F171" s="2">
        <f>ISIDORA!E6</f>
        <v>8</v>
      </c>
      <c r="G171" s="2">
        <f>ISIDORA!F6</f>
        <v>6</v>
      </c>
      <c r="H171" s="2">
        <f>ISIDORA!G6</f>
        <v>5</v>
      </c>
      <c r="I171" s="2">
        <f>ISIDORA!H6</f>
        <v>5</v>
      </c>
      <c r="J171" s="2">
        <f>ISIDORA!I6</f>
        <v>5</v>
      </c>
      <c r="K171" s="2">
        <f>ISIDORA!J6</f>
        <v>5</v>
      </c>
      <c r="L171" s="2">
        <f>ISIDORA!K6</f>
        <v>5</v>
      </c>
      <c r="M171" s="2">
        <f>ISIDORA!L6</f>
        <v>4</v>
      </c>
      <c r="N171" s="2">
        <f>ISIDORA!M6</f>
        <v>3</v>
      </c>
      <c r="O171" s="2">
        <f>ISIDORA!N6</f>
        <v>3</v>
      </c>
      <c r="P171" s="2">
        <f>ISIDORA!O6</f>
        <v>3</v>
      </c>
      <c r="Q171" s="2">
        <f>ISIDORA!P6</f>
        <v>9</v>
      </c>
      <c r="R171" s="2">
        <f>ISIDORA!Q6</f>
        <v>9</v>
      </c>
      <c r="S171" s="2" t="str">
        <f>ISIDORA!R6</f>
        <v/>
      </c>
      <c r="T171" s="2" t="str">
        <f>ISIDORA!S6</f>
        <v/>
      </c>
      <c r="U171" s="2">
        <f>ISIDORA!T6</f>
        <v>5</v>
      </c>
      <c r="V171" s="2">
        <f>ISIDORA!U6</f>
        <v>5</v>
      </c>
      <c r="W171" s="2">
        <f>ISIDORA!V6</f>
        <v>4</v>
      </c>
      <c r="X171" s="2">
        <f>ISIDORA!W6</f>
        <v>3</v>
      </c>
      <c r="Y171" s="2">
        <f>ISIDORA!X6</f>
        <v>2</v>
      </c>
      <c r="Z171" s="2">
        <f>ISIDORA!Y6</f>
        <v>6</v>
      </c>
      <c r="AA171" s="2">
        <f>ISIDORA!Z6</f>
        <v>6</v>
      </c>
      <c r="AB171" s="2">
        <f>ISIDORA!AA6</f>
        <v>4</v>
      </c>
      <c r="AC171" s="2">
        <f>ISIDORA!AB6</f>
        <v>3</v>
      </c>
      <c r="AD171" s="2">
        <f>ISIDORA!AC6</f>
        <v>3</v>
      </c>
      <c r="AE171" s="2">
        <f>ISIDORA!AD6</f>
        <v>3</v>
      </c>
      <c r="AF171" s="2">
        <f>ISIDORA!AE6</f>
        <v>7</v>
      </c>
      <c r="AG171" s="2">
        <f>ISIDORA!AF6</f>
        <v>7</v>
      </c>
      <c r="AH171" s="2">
        <f>ISIDORA!AG6</f>
        <v>5</v>
      </c>
      <c r="AI171" s="2">
        <f>ISIDORA!AH6</f>
        <v>3</v>
      </c>
      <c r="AJ171" s="2">
        <f>ISIDORA!AI6</f>
        <v>2</v>
      </c>
      <c r="AK171" s="2">
        <f>ISIDORA!AJ6</f>
        <v>8</v>
      </c>
      <c r="AL171" s="2">
        <f>ISIDORA!AK6</f>
        <v>6</v>
      </c>
      <c r="AM171" s="2">
        <f>ISIDORA!AL6</f>
        <v>9</v>
      </c>
      <c r="AN171" s="2">
        <f>ISIDORA!AM6</f>
        <v>9</v>
      </c>
      <c r="AO171" s="2">
        <f>ISIDORA!AN6</f>
        <v>9</v>
      </c>
      <c r="AP171" s="2">
        <f>ISIDORA!AO6</f>
        <v>9</v>
      </c>
      <c r="AQ171" s="2">
        <f>ISIDORA!AP6</f>
        <v>9</v>
      </c>
      <c r="AR171" s="2">
        <f>ISIDORA!AQ6</f>
        <v>8</v>
      </c>
      <c r="AS171" s="2">
        <f>ISIDORA!AR6</f>
        <v>8</v>
      </c>
      <c r="AT171" s="2">
        <f>ISIDORA!AS6</f>
        <v>7</v>
      </c>
      <c r="AU171" s="2">
        <f>ISIDORA!AT6</f>
        <v>12</v>
      </c>
      <c r="AV171" s="2">
        <f>ISIDORA!AU6</f>
        <v>12</v>
      </c>
      <c r="AW171" s="2">
        <f>ISIDORA!AV6</f>
        <v>12</v>
      </c>
      <c r="AX171" s="2">
        <f>ISIDORA!AW6</f>
        <v>12</v>
      </c>
      <c r="AY171" s="2">
        <f>ISIDORA!AX6</f>
        <v>12</v>
      </c>
      <c r="AZ171" s="2">
        <f>ISIDORA!AY6</f>
        <v>11</v>
      </c>
      <c r="BA171" s="2">
        <f>ISIDORA!AZ6</f>
        <v>11</v>
      </c>
      <c r="BB171" s="2">
        <f>ISIDORA!BA6</f>
        <v>11</v>
      </c>
      <c r="BC171" s="2">
        <f>ISIDORA!BB6</f>
        <v>10</v>
      </c>
      <c r="BD171" s="2">
        <f>ISIDORA!BC6</f>
        <v>10</v>
      </c>
      <c r="BE171" s="2">
        <f>ISIDORA!BD6</f>
        <v>9</v>
      </c>
      <c r="BF171" s="2" t="str">
        <f>ISIDORA!BE6</f>
        <v/>
      </c>
      <c r="BG171" s="2" t="str">
        <f>ISIDORA!BF6</f>
        <v/>
      </c>
      <c r="BH171" s="2" t="str">
        <f>ISIDORA!BG6</f>
        <v/>
      </c>
      <c r="BI171" s="2" t="str">
        <f>ISIDORA!BH6</f>
        <v/>
      </c>
      <c r="BJ171" s="2" t="str">
        <f>ISIDORA!BS6</f>
        <v/>
      </c>
      <c r="BK171" s="2" t="str">
        <f>ISIDORA!BT6</f>
        <v/>
      </c>
      <c r="BL171" s="2" t="str">
        <f>ISIDORA!BU6</f>
        <v/>
      </c>
      <c r="BM171" s="2" t="str">
        <f>ISIDORA!BV6</f>
        <v/>
      </c>
      <c r="BN171" s="2" t="str">
        <f>ISIDORA!BW6</f>
        <v/>
      </c>
      <c r="BO171" s="2" t="str">
        <f>ISIDORA!BX6</f>
        <v/>
      </c>
      <c r="BP171" s="2" t="str">
        <f>ISIDORA!BY6</f>
        <v/>
      </c>
      <c r="BQ171" s="2" t="str">
        <f>ISIDORA!CC6</f>
        <v/>
      </c>
      <c r="BR171" s="2" t="str">
        <f>ISIDORA!CD6</f>
        <v/>
      </c>
      <c r="BS171" s="2" t="str">
        <f>ISIDORA!CE6</f>
        <v/>
      </c>
      <c r="BT171" s="2" t="str">
        <f>ISIDORA!CF6</f>
        <v/>
      </c>
      <c r="BU171" s="2"/>
      <c r="BV171" s="2"/>
      <c r="BW171" s="2"/>
      <c r="BX171" s="2"/>
      <c r="BY171" s="2"/>
      <c r="BZ171" s="2"/>
      <c r="CA171" s="2"/>
      <c r="CB171" s="2"/>
      <c r="CC171" s="2"/>
    </row>
    <row r="172">
      <c r="A172" s="2"/>
      <c r="B172" s="2" t="str">
        <f>ISIDORA!A7</f>
        <v>Isidora</v>
      </c>
      <c r="C172" s="2" t="str">
        <f>ISIDORA!B7</f>
        <v>Cafeteria</v>
      </c>
      <c r="D172" s="2" t="str">
        <f>ISIDORA!C7</f>
        <v>Resma Papel Fotocopia (UN)</v>
      </c>
      <c r="E172" s="2">
        <f>ISIDORA!D7</f>
        <v>2</v>
      </c>
      <c r="F172" s="2">
        <f>ISIDORA!E7</f>
        <v>2</v>
      </c>
      <c r="G172" s="2">
        <f>ISIDORA!F7</f>
        <v>2</v>
      </c>
      <c r="H172" s="2">
        <f>ISIDORA!G7</f>
        <v>2</v>
      </c>
      <c r="I172" s="2">
        <f>ISIDORA!H7</f>
        <v>2</v>
      </c>
      <c r="J172" s="2">
        <f>ISIDORA!I7</f>
        <v>2</v>
      </c>
      <c r="K172" s="2">
        <f>ISIDORA!J7</f>
        <v>2</v>
      </c>
      <c r="L172" s="2">
        <f>ISIDORA!K7</f>
        <v>2</v>
      </c>
      <c r="M172" s="2">
        <f>ISIDORA!L7</f>
        <v>2</v>
      </c>
      <c r="N172" s="2">
        <f>ISIDORA!M7</f>
        <v>2</v>
      </c>
      <c r="O172" s="2">
        <f>ISIDORA!N7</f>
        <v>2</v>
      </c>
      <c r="P172" s="2">
        <f>ISIDORA!O7</f>
        <v>2</v>
      </c>
      <c r="Q172" s="2">
        <f>ISIDORA!P7</f>
        <v>2</v>
      </c>
      <c r="R172" s="2">
        <f>ISIDORA!Q7</f>
        <v>2</v>
      </c>
      <c r="S172" s="2" t="str">
        <f>ISIDORA!R7</f>
        <v/>
      </c>
      <c r="T172" s="2" t="str">
        <f>ISIDORA!S7</f>
        <v/>
      </c>
      <c r="U172" s="2">
        <f>ISIDORA!T7</f>
        <v>2</v>
      </c>
      <c r="V172" s="2">
        <f>ISIDORA!U7</f>
        <v>2</v>
      </c>
      <c r="W172" s="2">
        <f>ISIDORA!V7</f>
        <v>2</v>
      </c>
      <c r="X172" s="2">
        <f>ISIDORA!W7</f>
        <v>2</v>
      </c>
      <c r="Y172" s="2">
        <f>ISIDORA!X7</f>
        <v>2</v>
      </c>
      <c r="Z172" s="2">
        <f>ISIDORA!Y7</f>
        <v>2</v>
      </c>
      <c r="AA172" s="2">
        <f>ISIDORA!Z7</f>
        <v>2</v>
      </c>
      <c r="AB172" s="2">
        <f>ISIDORA!AA7</f>
        <v>1</v>
      </c>
      <c r="AC172" s="2">
        <f>ISIDORA!AB7</f>
        <v>1</v>
      </c>
      <c r="AD172" s="2">
        <f>ISIDORA!AC7</f>
        <v>1</v>
      </c>
      <c r="AE172" s="2">
        <f>ISIDORA!AD7</f>
        <v>1</v>
      </c>
      <c r="AF172" s="2">
        <f>ISIDORA!AE7</f>
        <v>1</v>
      </c>
      <c r="AG172" s="2">
        <f>ISIDORA!AF7</f>
        <v>1</v>
      </c>
      <c r="AH172" s="2">
        <f>ISIDORA!AG7</f>
        <v>1</v>
      </c>
      <c r="AI172" s="2">
        <f>ISIDORA!AH7</f>
        <v>1</v>
      </c>
      <c r="AJ172" s="2">
        <f>ISIDORA!AI7</f>
        <v>1</v>
      </c>
      <c r="AK172" s="2">
        <f>ISIDORA!AJ7</f>
        <v>6</v>
      </c>
      <c r="AL172" s="2">
        <f>ISIDORA!AK7</f>
        <v>6</v>
      </c>
      <c r="AM172" s="2">
        <f>ISIDORA!AL7</f>
        <v>6</v>
      </c>
      <c r="AN172" s="2">
        <f>ISIDORA!AM7</f>
        <v>6</v>
      </c>
      <c r="AO172" s="2">
        <f>ISIDORA!AN7</f>
        <v>6</v>
      </c>
      <c r="AP172" s="2">
        <f>ISIDORA!AO7</f>
        <v>6</v>
      </c>
      <c r="AQ172" s="2">
        <f>ISIDORA!AP7</f>
        <v>6</v>
      </c>
      <c r="AR172" s="2">
        <f>ISIDORA!AQ7</f>
        <v>6</v>
      </c>
      <c r="AS172" s="2">
        <f>ISIDORA!AR7</f>
        <v>6</v>
      </c>
      <c r="AT172" s="2">
        <f>ISIDORA!AS7</f>
        <v>6</v>
      </c>
      <c r="AU172" s="2">
        <f>ISIDORA!AT7</f>
        <v>6</v>
      </c>
      <c r="AV172" s="2">
        <f>ISIDORA!AU7</f>
        <v>6</v>
      </c>
      <c r="AW172" s="2">
        <f>ISIDORA!AV7</f>
        <v>6</v>
      </c>
      <c r="AX172" s="2">
        <f>ISIDORA!AW7</f>
        <v>8</v>
      </c>
      <c r="AY172" s="2">
        <f>ISIDORA!AX7</f>
        <v>8</v>
      </c>
      <c r="AZ172" s="2">
        <f>ISIDORA!AY7</f>
        <v>8</v>
      </c>
      <c r="BA172" s="2">
        <f>ISIDORA!AZ7</f>
        <v>7</v>
      </c>
      <c r="BB172" s="2">
        <f>ISIDORA!BA7</f>
        <v>14</v>
      </c>
      <c r="BC172" s="2">
        <f>ISIDORA!BB7</f>
        <v>14</v>
      </c>
      <c r="BD172" s="2">
        <f>ISIDORA!BC7</f>
        <v>14</v>
      </c>
      <c r="BE172" s="2">
        <f>ISIDORA!BD7</f>
        <v>14</v>
      </c>
      <c r="BF172" s="2" t="str">
        <f>ISIDORA!BE7</f>
        <v/>
      </c>
      <c r="BG172" s="2" t="str">
        <f>ISIDORA!BF7</f>
        <v/>
      </c>
      <c r="BH172" s="2" t="str">
        <f>ISIDORA!BG7</f>
        <v/>
      </c>
      <c r="BI172" s="2" t="str">
        <f>ISIDORA!BH7</f>
        <v/>
      </c>
      <c r="BJ172" s="2" t="str">
        <f>ISIDORA!BS7</f>
        <v/>
      </c>
      <c r="BK172" s="2" t="str">
        <f>ISIDORA!BT7</f>
        <v/>
      </c>
      <c r="BL172" s="2" t="str">
        <f>ISIDORA!BU7</f>
        <v/>
      </c>
      <c r="BM172" s="2" t="str">
        <f>ISIDORA!BV7</f>
        <v/>
      </c>
      <c r="BN172" s="2" t="str">
        <f>ISIDORA!BW7</f>
        <v/>
      </c>
      <c r="BO172" s="2" t="str">
        <f>ISIDORA!BX7</f>
        <v/>
      </c>
      <c r="BP172" s="2" t="str">
        <f>ISIDORA!BY7</f>
        <v/>
      </c>
      <c r="BQ172" s="2" t="str">
        <f>ISIDORA!CC7</f>
        <v/>
      </c>
      <c r="BR172" s="2" t="str">
        <f>ISIDORA!CD7</f>
        <v/>
      </c>
      <c r="BS172" s="2" t="str">
        <f>ISIDORA!CE7</f>
        <v/>
      </c>
      <c r="BT172" s="2" t="str">
        <f>ISIDORA!CF7</f>
        <v/>
      </c>
      <c r="BU172" s="2"/>
      <c r="BV172" s="2"/>
      <c r="BW172" s="2"/>
      <c r="BX172" s="2"/>
      <c r="BY172" s="2"/>
      <c r="BZ172" s="2"/>
      <c r="CA172" s="2"/>
      <c r="CB172" s="2"/>
      <c r="CC172" s="2"/>
    </row>
    <row r="173">
      <c r="A173" s="2"/>
      <c r="B173" s="2" t="str">
        <f>ISIDORA!A8</f>
        <v>Isidora</v>
      </c>
      <c r="C173" s="2" t="str">
        <f>ISIDORA!B8</f>
        <v>Cafeteria</v>
      </c>
      <c r="D173" s="2" t="str">
        <f>ISIDORA!C8</f>
        <v>Leche liquida</v>
      </c>
      <c r="E173" s="2" t="str">
        <f>ISIDORA!D8</f>
        <v/>
      </c>
      <c r="F173" s="2" t="str">
        <f>ISIDORA!E8</f>
        <v/>
      </c>
      <c r="G173" s="2" t="str">
        <f>ISIDORA!F8</f>
        <v/>
      </c>
      <c r="H173" s="2" t="str">
        <f>ISIDORA!G8</f>
        <v/>
      </c>
      <c r="I173" s="2" t="str">
        <f>ISIDORA!H8</f>
        <v/>
      </c>
      <c r="J173" s="2" t="str">
        <f>ISIDORA!I8</f>
        <v/>
      </c>
      <c r="K173" s="2" t="str">
        <f>ISIDORA!J8</f>
        <v/>
      </c>
      <c r="L173" s="2" t="str">
        <f>ISIDORA!K8</f>
        <v/>
      </c>
      <c r="M173" s="2" t="str">
        <f>ISIDORA!L8</f>
        <v/>
      </c>
      <c r="N173" s="2" t="str">
        <f>ISIDORA!M8</f>
        <v/>
      </c>
      <c r="O173" s="2" t="str">
        <f>ISIDORA!N8</f>
        <v/>
      </c>
      <c r="P173" s="2" t="str">
        <f>ISIDORA!O8</f>
        <v/>
      </c>
      <c r="Q173" s="2" t="str">
        <f>ISIDORA!P8</f>
        <v/>
      </c>
      <c r="R173" s="2" t="str">
        <f>ISIDORA!Q8</f>
        <v/>
      </c>
      <c r="S173" s="2" t="str">
        <f>ISIDORA!R8</f>
        <v/>
      </c>
      <c r="T173" s="2" t="str">
        <f>ISIDORA!S8</f>
        <v/>
      </c>
      <c r="U173" s="2" t="str">
        <f>ISIDORA!T8</f>
        <v/>
      </c>
      <c r="V173" s="2" t="str">
        <f>ISIDORA!U8</f>
        <v/>
      </c>
      <c r="W173" s="2" t="str">
        <f>ISIDORA!V8</f>
        <v>-</v>
      </c>
      <c r="X173" s="2" t="str">
        <f>ISIDORA!W8</f>
        <v>-</v>
      </c>
      <c r="Y173" s="2" t="str">
        <f>ISIDORA!X8</f>
        <v>-</v>
      </c>
      <c r="Z173" s="2" t="str">
        <f>ISIDORA!Y8</f>
        <v>-</v>
      </c>
      <c r="AA173" s="2" t="str">
        <f>ISIDORA!Z8</f>
        <v>-</v>
      </c>
      <c r="AB173" s="2" t="str">
        <f>ISIDORA!AA8</f>
        <v>16 L</v>
      </c>
      <c r="AC173" s="2" t="str">
        <f>ISIDORA!AB8</f>
        <v>13 L</v>
      </c>
      <c r="AD173" s="2" t="str">
        <f>ISIDORA!AC8</f>
        <v>12 L</v>
      </c>
      <c r="AE173" s="2" t="str">
        <f>ISIDORA!AD8</f>
        <v>8 L</v>
      </c>
      <c r="AF173" s="2" t="str">
        <f>ISIDORA!AE8</f>
        <v>32 L</v>
      </c>
      <c r="AG173" s="2" t="str">
        <f>ISIDORA!AF8</f>
        <v>29 L</v>
      </c>
      <c r="AH173" s="2" t="str">
        <f>ISIDORA!AG8</f>
        <v>25 L</v>
      </c>
      <c r="AI173" s="2" t="str">
        <f>ISIDORA!AH8</f>
        <v>20 L</v>
      </c>
      <c r="AJ173" s="2" t="str">
        <f>ISIDORA!AI8</f>
        <v>16 L</v>
      </c>
      <c r="AK173" s="2" t="str">
        <f>ISIDORA!AJ8</f>
        <v>35 L</v>
      </c>
      <c r="AL173" s="2" t="str">
        <f>ISIDORA!AK8</f>
        <v>33 L</v>
      </c>
      <c r="AM173" s="2" t="str">
        <f>ISIDORA!AL8</f>
        <v>31 L</v>
      </c>
      <c r="AN173" s="2" t="str">
        <f>ISIDORA!AM8</f>
        <v>28 L</v>
      </c>
      <c r="AO173" s="2" t="str">
        <f>ISIDORA!AN8</f>
        <v>28 L</v>
      </c>
      <c r="AP173" s="2" t="str">
        <f>ISIDORA!AO8</f>
        <v>26 L</v>
      </c>
      <c r="AQ173" s="2" t="str">
        <f>ISIDORA!AP8</f>
        <v>25 L</v>
      </c>
      <c r="AR173" s="2" t="str">
        <f>ISIDORA!AQ8</f>
        <v>22 L</v>
      </c>
      <c r="AS173" s="2" t="str">
        <f>ISIDORA!AR8</f>
        <v>22 L</v>
      </c>
      <c r="AT173" s="2" t="str">
        <f>ISIDORA!AS8</f>
        <v>19 L</v>
      </c>
      <c r="AU173" s="2" t="str">
        <f>ISIDORA!AT8</f>
        <v>16 L</v>
      </c>
      <c r="AV173" s="2" t="str">
        <f>ISIDORA!AU8</f>
        <v>14 L</v>
      </c>
      <c r="AW173" s="2" t="str">
        <f>ISIDORA!AV8</f>
        <v>14 L</v>
      </c>
      <c r="AX173" s="2" t="str">
        <f>ISIDORA!AW8</f>
        <v>12 L</v>
      </c>
      <c r="AY173" s="2" t="str">
        <f>ISIDORA!AX8</f>
        <v>11 L</v>
      </c>
      <c r="AZ173" s="2" t="str">
        <f>ISIDORA!AY8</f>
        <v>10 L</v>
      </c>
      <c r="BA173" s="2">
        <f>ISIDORA!AZ8</f>
        <v>8</v>
      </c>
      <c r="BB173" s="2" t="str">
        <f>ISIDORA!BA8</f>
        <v>24 L</v>
      </c>
      <c r="BC173" s="2" t="str">
        <f>ISIDORA!BB8</f>
        <v>22 L</v>
      </c>
      <c r="BD173" s="2" t="str">
        <f>ISIDORA!BC8</f>
        <v>19 L</v>
      </c>
      <c r="BE173" s="2" t="str">
        <f>ISIDORA!BD8</f>
        <v>16L</v>
      </c>
      <c r="BF173" s="2" t="str">
        <f>ISIDORA!BE8</f>
        <v/>
      </c>
      <c r="BG173" s="2" t="str">
        <f>ISIDORA!BF8</f>
        <v/>
      </c>
      <c r="BH173" s="2" t="str">
        <f>ISIDORA!BG8</f>
        <v/>
      </c>
      <c r="BI173" s="2" t="str">
        <f>ISIDORA!BH8</f>
        <v/>
      </c>
      <c r="BJ173" s="2" t="str">
        <f>ISIDORA!BS8</f>
        <v/>
      </c>
      <c r="BK173" s="2" t="str">
        <f>ISIDORA!BT8</f>
        <v/>
      </c>
      <c r="BL173" s="2" t="str">
        <f>ISIDORA!BU8</f>
        <v/>
      </c>
      <c r="BM173" s="2" t="str">
        <f>ISIDORA!BV8</f>
        <v/>
      </c>
      <c r="BN173" s="2" t="str">
        <f>ISIDORA!BW8</f>
        <v/>
      </c>
      <c r="BO173" s="2" t="str">
        <f>ISIDORA!BX8</f>
        <v/>
      </c>
      <c r="BP173" s="2" t="str">
        <f>ISIDORA!BY8</f>
        <v/>
      </c>
      <c r="BQ173" s="2" t="str">
        <f>ISIDORA!CC8</f>
        <v/>
      </c>
      <c r="BR173" s="2" t="str">
        <f>ISIDORA!CD8</f>
        <v/>
      </c>
      <c r="BS173" s="2" t="str">
        <f>ISIDORA!CE8</f>
        <v/>
      </c>
      <c r="BT173" s="2" t="str">
        <f>ISIDORA!CF8</f>
        <v/>
      </c>
      <c r="BU173" s="2"/>
      <c r="BV173" s="2"/>
      <c r="BW173" s="2"/>
      <c r="BX173" s="2"/>
      <c r="BY173" s="2"/>
      <c r="BZ173" s="2"/>
      <c r="CA173" s="2"/>
      <c r="CB173" s="2"/>
      <c r="CC173" s="2"/>
    </row>
    <row r="174">
      <c r="A174" s="2"/>
      <c r="B174" s="2" t="str">
        <f>ISIDORA!A9</f>
        <v>Isidora</v>
      </c>
      <c r="C174" s="2" t="str">
        <f>ISIDORA!B9</f>
        <v>Cocina</v>
      </c>
      <c r="D174" s="2" t="str">
        <f>ISIDORA!C9</f>
        <v>Cafe Granulado</v>
      </c>
      <c r="E174" s="2" t="str">
        <f>ISIDORA!D9</f>
        <v/>
      </c>
      <c r="F174" s="2" t="str">
        <f>ISIDORA!E9</f>
        <v/>
      </c>
      <c r="G174" s="2" t="str">
        <f>ISIDORA!F9</f>
        <v/>
      </c>
      <c r="H174" s="2" t="str">
        <f>ISIDORA!G9</f>
        <v/>
      </c>
      <c r="I174" s="2" t="str">
        <f>ISIDORA!H9</f>
        <v/>
      </c>
      <c r="J174" s="2" t="str">
        <f>ISIDORA!I9</f>
        <v/>
      </c>
      <c r="K174" s="2" t="str">
        <f>ISIDORA!J9</f>
        <v/>
      </c>
      <c r="L174" s="2" t="str">
        <f>ISIDORA!K9</f>
        <v/>
      </c>
      <c r="M174" s="2" t="str">
        <f>ISIDORA!L9</f>
        <v/>
      </c>
      <c r="N174" s="2" t="str">
        <f>ISIDORA!M9</f>
        <v/>
      </c>
      <c r="O174" s="2" t="str">
        <f>ISIDORA!N9</f>
        <v/>
      </c>
      <c r="P174" s="2" t="str">
        <f>ISIDORA!O9</f>
        <v/>
      </c>
      <c r="Q174" s="2" t="str">
        <f>ISIDORA!P9</f>
        <v/>
      </c>
      <c r="R174" s="2" t="str">
        <f>ISIDORA!Q9</f>
        <v/>
      </c>
      <c r="S174" s="2" t="str">
        <f>ISIDORA!R9</f>
        <v/>
      </c>
      <c r="T174" s="2" t="str">
        <f>ISIDORA!S9</f>
        <v/>
      </c>
      <c r="U174" s="2" t="str">
        <f>ISIDORA!T9</f>
        <v/>
      </c>
      <c r="V174" s="2" t="str">
        <f>ISIDORA!U9</f>
        <v/>
      </c>
      <c r="W174" s="2" t="str">
        <f>ISIDORA!V9</f>
        <v/>
      </c>
      <c r="X174" s="2" t="str">
        <f>ISIDORA!W9</f>
        <v/>
      </c>
      <c r="Y174" s="2" t="str">
        <f>ISIDORA!X9</f>
        <v/>
      </c>
      <c r="Z174" s="2" t="str">
        <f>ISIDORA!Y9</f>
        <v/>
      </c>
      <c r="AA174" s="2" t="str">
        <f>ISIDORA!Z9</f>
        <v/>
      </c>
      <c r="AB174" s="2" t="str">
        <f>ISIDORA!AA9</f>
        <v/>
      </c>
      <c r="AC174" s="2" t="str">
        <f>ISIDORA!AB9</f>
        <v/>
      </c>
      <c r="AD174" s="2" t="str">
        <f>ISIDORA!AC9</f>
        <v/>
      </c>
      <c r="AE174" s="2" t="str">
        <f>ISIDORA!AD9</f>
        <v/>
      </c>
      <c r="AF174" s="2" t="str">
        <f>ISIDORA!AE9</f>
        <v/>
      </c>
      <c r="AG174" s="2" t="str">
        <f>ISIDORA!AF9</f>
        <v/>
      </c>
      <c r="AH174" s="2" t="str">
        <f>ISIDORA!AG9</f>
        <v/>
      </c>
      <c r="AI174" s="2" t="str">
        <f>ISIDORA!AH9</f>
        <v/>
      </c>
      <c r="AJ174" s="2" t="str">
        <f>ISIDORA!AI9</f>
        <v/>
      </c>
      <c r="AK174" s="2" t="str">
        <f>ISIDORA!AJ9</f>
        <v/>
      </c>
      <c r="AL174" s="2" t="str">
        <f>ISIDORA!AK9</f>
        <v/>
      </c>
      <c r="AM174" s="2" t="str">
        <f>ISIDORA!AL9</f>
        <v/>
      </c>
      <c r="AN174" s="2" t="str">
        <f>ISIDORA!AM9</f>
        <v/>
      </c>
      <c r="AO174" s="2" t="str">
        <f>ISIDORA!AN9</f>
        <v/>
      </c>
      <c r="AP174" s="2" t="str">
        <f>ISIDORA!AO9</f>
        <v/>
      </c>
      <c r="AQ174" s="2" t="str">
        <f>ISIDORA!AP9</f>
        <v/>
      </c>
      <c r="AR174" s="2" t="str">
        <f>ISIDORA!AQ9</f>
        <v/>
      </c>
      <c r="AS174" s="2" t="str">
        <f>ISIDORA!AR9</f>
        <v/>
      </c>
      <c r="AT174" s="2" t="str">
        <f>ISIDORA!AS9</f>
        <v/>
      </c>
      <c r="AU174" s="2" t="str">
        <f>ISIDORA!AT9</f>
        <v/>
      </c>
      <c r="AV174" s="2" t="str">
        <f>ISIDORA!AU9</f>
        <v/>
      </c>
      <c r="AW174" s="2" t="str">
        <f>ISIDORA!AV9</f>
        <v/>
      </c>
      <c r="AX174" s="2" t="str">
        <f>ISIDORA!AW9</f>
        <v/>
      </c>
      <c r="AY174" s="2" t="str">
        <f>ISIDORA!AX9</f>
        <v/>
      </c>
      <c r="AZ174" s="2" t="str">
        <f>ISIDORA!AY9</f>
        <v/>
      </c>
      <c r="BA174" s="2" t="str">
        <f>ISIDORA!AZ9</f>
        <v/>
      </c>
      <c r="BB174" s="2" t="str">
        <f>ISIDORA!BA9</f>
        <v/>
      </c>
      <c r="BC174" s="2" t="str">
        <f>ISIDORA!BB9</f>
        <v/>
      </c>
      <c r="BD174" s="2" t="str">
        <f>ISIDORA!BC9</f>
        <v/>
      </c>
      <c r="BE174" s="2" t="str">
        <f>ISIDORA!BD9</f>
        <v/>
      </c>
      <c r="BF174" s="2" t="str">
        <f>ISIDORA!BE9</f>
        <v/>
      </c>
      <c r="BG174" s="2" t="str">
        <f>ISIDORA!BF9</f>
        <v/>
      </c>
      <c r="BH174" s="2" t="str">
        <f>ISIDORA!BG9</f>
        <v/>
      </c>
      <c r="BI174" s="2" t="str">
        <f>ISIDORA!BH9</f>
        <v/>
      </c>
      <c r="BJ174" s="2" t="str">
        <f>ISIDORA!BS10</f>
        <v/>
      </c>
      <c r="BK174" s="2" t="str">
        <f>ISIDORA!BT10</f>
        <v/>
      </c>
      <c r="BL174" s="2" t="str">
        <f>ISIDORA!BU10</f>
        <v/>
      </c>
      <c r="BM174" s="2" t="str">
        <f>ISIDORA!BV10</f>
        <v/>
      </c>
      <c r="BN174" s="2" t="str">
        <f>ISIDORA!BW10</f>
        <v/>
      </c>
      <c r="BO174" s="2" t="str">
        <f>ISIDORA!BX10</f>
        <v/>
      </c>
      <c r="BP174" s="2" t="str">
        <f>ISIDORA!BY10</f>
        <v/>
      </c>
      <c r="BQ174" s="2" t="str">
        <f>ISIDORA!CC10</f>
        <v/>
      </c>
      <c r="BR174" s="2" t="str">
        <f>ISIDORA!CD10</f>
        <v/>
      </c>
      <c r="BS174" s="2" t="str">
        <f>ISIDORA!CE10</f>
        <v/>
      </c>
      <c r="BT174" s="2" t="str">
        <f>ISIDORA!CF10</f>
        <v/>
      </c>
      <c r="BU174" s="2"/>
      <c r="BV174" s="2"/>
      <c r="BW174" s="2"/>
      <c r="BX174" s="2"/>
      <c r="BY174" s="2"/>
      <c r="BZ174" s="2"/>
      <c r="CA174" s="2"/>
      <c r="CB174" s="2"/>
      <c r="CC174" s="2"/>
    </row>
    <row r="175">
      <c r="A175" s="2"/>
      <c r="B175" s="2" t="str">
        <f>ISIDORA!A10</f>
        <v>Isidora</v>
      </c>
      <c r="C175" s="2" t="str">
        <f>ISIDORA!B10</f>
        <v>Cafeteria</v>
      </c>
      <c r="D175" s="2" t="str">
        <f>ISIDORA!C10</f>
        <v>Endulzante</v>
      </c>
      <c r="E175" s="2" t="str">
        <f>ISIDORA!D10</f>
        <v/>
      </c>
      <c r="F175" s="2" t="str">
        <f>ISIDORA!E10</f>
        <v/>
      </c>
      <c r="G175" s="2" t="str">
        <f>ISIDORA!F10</f>
        <v/>
      </c>
      <c r="H175" s="2" t="str">
        <f>ISIDORA!G10</f>
        <v/>
      </c>
      <c r="I175" s="2" t="str">
        <f>ISIDORA!H10</f>
        <v/>
      </c>
      <c r="J175" s="2" t="str">
        <f>ISIDORA!I10</f>
        <v/>
      </c>
      <c r="K175" s="2" t="str">
        <f>ISIDORA!J10</f>
        <v/>
      </c>
      <c r="L175" s="2" t="str">
        <f>ISIDORA!K10</f>
        <v/>
      </c>
      <c r="M175" s="2" t="str">
        <f>ISIDORA!L10</f>
        <v/>
      </c>
      <c r="N175" s="2" t="str">
        <f>ISIDORA!M10</f>
        <v/>
      </c>
      <c r="O175" s="2" t="str">
        <f>ISIDORA!N10</f>
        <v/>
      </c>
      <c r="P175" s="2" t="str">
        <f>ISIDORA!O10</f>
        <v/>
      </c>
      <c r="Q175" s="2" t="str">
        <f>ISIDORA!P10</f>
        <v/>
      </c>
      <c r="R175" s="2" t="str">
        <f>ISIDORA!Q10</f>
        <v/>
      </c>
      <c r="S175" s="2" t="str">
        <f>ISIDORA!R10</f>
        <v/>
      </c>
      <c r="T175" s="2" t="str">
        <f>ISIDORA!S10</f>
        <v/>
      </c>
      <c r="U175" s="2" t="str">
        <f>ISIDORA!T10</f>
        <v/>
      </c>
      <c r="V175" s="2" t="str">
        <f>ISIDORA!U10</f>
        <v/>
      </c>
      <c r="W175" s="2" t="str">
        <f>ISIDORA!V10</f>
        <v>-</v>
      </c>
      <c r="X175" s="2" t="str">
        <f>ISIDORA!W10</f>
        <v>-</v>
      </c>
      <c r="Y175" s="2" t="str">
        <f>ISIDORA!X10</f>
        <v>-</v>
      </c>
      <c r="Z175" s="2" t="str">
        <f>ISIDORA!Y10</f>
        <v>-</v>
      </c>
      <c r="AA175" s="2" t="str">
        <f>ISIDORA!Z10</f>
        <v>-</v>
      </c>
      <c r="AB175" s="2" t="str">
        <f>ISIDORA!AA10</f>
        <v>2 (450 ml c/u)</v>
      </c>
      <c r="AC175" s="2" t="str">
        <f>ISIDORA!AB10</f>
        <v>2 (450 ml c/u)</v>
      </c>
      <c r="AD175" s="2" t="str">
        <f>ISIDORA!AC10</f>
        <v>2 (450 ml c/u)</v>
      </c>
      <c r="AE175" s="2" t="str">
        <f>ISIDORA!AD10</f>
        <v>2 (450 ml c/u)</v>
      </c>
      <c r="AF175" s="2" t="str">
        <f>ISIDORA!AE10</f>
        <v>2 (450 ml) - 1 (270 ml)</v>
      </c>
      <c r="AG175" s="2" t="str">
        <f>ISIDORA!AF10</f>
        <v>2 (450 ml) - 1 (270 ml)</v>
      </c>
      <c r="AH175" s="2" t="str">
        <f>ISIDORA!AG10</f>
        <v>2 (450 ml) - 1 (270 ml)</v>
      </c>
      <c r="AI175" s="2" t="str">
        <f>ISIDORA!AH10</f>
        <v>2 (450 ml) - 1 (270 ml)</v>
      </c>
      <c r="AJ175" s="2" t="str">
        <f>ISIDORA!AI10</f>
        <v>2 (450 ml) - 1 (270 ml)</v>
      </c>
      <c r="AK175" s="2" t="str">
        <f>ISIDORA!AJ10</f>
        <v>1 (450 ml)</v>
      </c>
      <c r="AL175" s="2" t="str">
        <f>ISIDORA!AK10</f>
        <v>1 (450 ml)</v>
      </c>
      <c r="AM175" s="2" t="str">
        <f>ISIDORA!AL10</f>
        <v>2 (450 ml)</v>
      </c>
      <c r="AN175" s="2" t="str">
        <f>ISIDORA!AM10</f>
        <v>2 (450 ml)</v>
      </c>
      <c r="AO175" s="2" t="str">
        <f>ISIDORA!AN10</f>
        <v>2 (450 ml)</v>
      </c>
      <c r="AP175" s="2" t="str">
        <f>ISIDORA!AO10</f>
        <v>2 (450 ml)</v>
      </c>
      <c r="AQ175" s="2" t="str">
        <f>ISIDORA!AP10</f>
        <v>2 (450 ml)</v>
      </c>
      <c r="AR175" s="2" t="str">
        <f>ISIDORA!AQ10</f>
        <v>2 (450 ml)</v>
      </c>
      <c r="AS175" s="2" t="str">
        <f>ISIDORA!AR10</f>
        <v>2 (450 ml)</v>
      </c>
      <c r="AT175" s="2" t="str">
        <f>ISIDORA!AS10</f>
        <v>2 (450 ml)</v>
      </c>
      <c r="AU175" s="2" t="str">
        <f>ISIDORA!AT10</f>
        <v>2 (450 ml)</v>
      </c>
      <c r="AV175" s="2" t="str">
        <f>ISIDORA!AU10</f>
        <v>2 (450 ml)</v>
      </c>
      <c r="AW175" s="2" t="str">
        <f>ISIDORA!AV10</f>
        <v>2 (450 ml)</v>
      </c>
      <c r="AX175" s="2" t="str">
        <f>ISIDORA!AW10</f>
        <v>2 (450 ml)</v>
      </c>
      <c r="AY175" s="2" t="str">
        <f>ISIDORA!AX10</f>
        <v>2 (450 ml)</v>
      </c>
      <c r="AZ175" s="2" t="str">
        <f>ISIDORA!AY10</f>
        <v>2 (450 ml)</v>
      </c>
      <c r="BA175" s="2">
        <f>ISIDORA!AZ10</f>
        <v>1</v>
      </c>
      <c r="BB175" s="2" t="str">
        <f>ISIDORA!BA10</f>
        <v>1 (450ML)</v>
      </c>
      <c r="BC175" s="2" t="str">
        <f>ISIDORA!BB10</f>
        <v>1(450ml)</v>
      </c>
      <c r="BD175" s="2" t="str">
        <f>ISIDORA!BC10</f>
        <v>1(450ml)</v>
      </c>
      <c r="BE175" s="2" t="str">
        <f>ISIDORA!BD10</f>
        <v>1(450ml)</v>
      </c>
      <c r="BF175" s="2" t="str">
        <f>ISIDORA!BE10</f>
        <v/>
      </c>
      <c r="BG175" s="2" t="str">
        <f>ISIDORA!BF10</f>
        <v/>
      </c>
      <c r="BH175" s="2" t="str">
        <f>ISIDORA!BG10</f>
        <v/>
      </c>
      <c r="BI175" s="2" t="str">
        <f>ISIDORA!BH10</f>
        <v/>
      </c>
      <c r="BJ175" s="2" t="str">
        <f>ISIDORA!BS11</f>
        <v/>
      </c>
      <c r="BK175" s="2" t="str">
        <f>ISIDORA!BT11</f>
        <v/>
      </c>
      <c r="BL175" s="2" t="str">
        <f>ISIDORA!BU11</f>
        <v/>
      </c>
      <c r="BM175" s="2" t="str">
        <f>ISIDORA!BV11</f>
        <v/>
      </c>
      <c r="BN175" s="2" t="str">
        <f>ISIDORA!BW11</f>
        <v/>
      </c>
      <c r="BO175" s="2" t="str">
        <f>ISIDORA!BX11</f>
        <v/>
      </c>
      <c r="BP175" s="2" t="str">
        <f>ISIDORA!BY11</f>
        <v/>
      </c>
      <c r="BQ175" s="2" t="str">
        <f>ISIDORA!CC12</f>
        <v/>
      </c>
      <c r="BR175" s="2" t="str">
        <f>ISIDORA!CD12</f>
        <v/>
      </c>
      <c r="BS175" s="2" t="str">
        <f>ISIDORA!CE12</f>
        <v/>
      </c>
      <c r="BT175" s="2" t="str">
        <f>ISIDORA!CF12</f>
        <v/>
      </c>
      <c r="BU175" s="2"/>
      <c r="BV175" s="2"/>
      <c r="BW175" s="2"/>
      <c r="BX175" s="2"/>
      <c r="BY175" s="2"/>
      <c r="BZ175" s="2"/>
      <c r="CA175" s="2"/>
      <c r="CB175" s="2"/>
      <c r="CC175" s="2"/>
    </row>
    <row r="176">
      <c r="A176" s="2"/>
      <c r="B176" s="2" t="str">
        <f>ISIDORA!A11</f>
        <v>Isidora</v>
      </c>
      <c r="C176" s="2" t="str">
        <f>ISIDORA!B11</f>
        <v>Cafeteria</v>
      </c>
      <c r="D176" s="2" t="str">
        <f>ISIDORA!C11</f>
        <v>Servilletas</v>
      </c>
      <c r="E176" s="2" t="str">
        <f>ISIDORA!D11</f>
        <v/>
      </c>
      <c r="F176" s="2" t="str">
        <f>ISIDORA!E11</f>
        <v/>
      </c>
      <c r="G176" s="2" t="str">
        <f>ISIDORA!F11</f>
        <v/>
      </c>
      <c r="H176" s="2" t="str">
        <f>ISIDORA!G11</f>
        <v/>
      </c>
      <c r="I176" s="2" t="str">
        <f>ISIDORA!H11</f>
        <v/>
      </c>
      <c r="J176" s="2" t="str">
        <f>ISIDORA!I11</f>
        <v/>
      </c>
      <c r="K176" s="2" t="str">
        <f>ISIDORA!J11</f>
        <v/>
      </c>
      <c r="L176" s="2" t="str">
        <f>ISIDORA!K11</f>
        <v/>
      </c>
      <c r="M176" s="2" t="str">
        <f>ISIDORA!L11</f>
        <v/>
      </c>
      <c r="N176" s="2" t="str">
        <f>ISIDORA!M11</f>
        <v/>
      </c>
      <c r="O176" s="2" t="str">
        <f>ISIDORA!N11</f>
        <v/>
      </c>
      <c r="P176" s="2" t="str">
        <f>ISIDORA!O11</f>
        <v/>
      </c>
      <c r="Q176" s="2" t="str">
        <f>ISIDORA!P11</f>
        <v/>
      </c>
      <c r="R176" s="2" t="str">
        <f>ISIDORA!Q11</f>
        <v/>
      </c>
      <c r="S176" s="2" t="str">
        <f>ISIDORA!R11</f>
        <v/>
      </c>
      <c r="T176" s="2" t="str">
        <f>ISIDORA!S11</f>
        <v/>
      </c>
      <c r="U176" s="2" t="str">
        <f>ISIDORA!T11</f>
        <v/>
      </c>
      <c r="V176" s="2" t="str">
        <f>ISIDORA!U11</f>
        <v/>
      </c>
      <c r="W176" s="2" t="str">
        <f>ISIDORA!V11</f>
        <v/>
      </c>
      <c r="X176" s="2" t="str">
        <f>ISIDORA!W11</f>
        <v/>
      </c>
      <c r="Y176" s="2" t="str">
        <f>ISIDORA!X11</f>
        <v/>
      </c>
      <c r="Z176" s="2" t="str">
        <f>ISIDORA!Y11</f>
        <v/>
      </c>
      <c r="AA176" s="2" t="str">
        <f>ISIDORA!Z11</f>
        <v/>
      </c>
      <c r="AB176" s="2" t="str">
        <f>ISIDORA!AA11</f>
        <v/>
      </c>
      <c r="AC176" s="2" t="str">
        <f>ISIDORA!AB11</f>
        <v/>
      </c>
      <c r="AD176" s="2" t="str">
        <f>ISIDORA!AC11</f>
        <v/>
      </c>
      <c r="AE176" s="2" t="str">
        <f>ISIDORA!AD11</f>
        <v/>
      </c>
      <c r="AF176" s="2" t="str">
        <f>ISIDORA!AE11</f>
        <v/>
      </c>
      <c r="AG176" s="2" t="str">
        <f>ISIDORA!AF11</f>
        <v/>
      </c>
      <c r="AH176" s="2" t="str">
        <f>ISIDORA!AG11</f>
        <v/>
      </c>
      <c r="AI176" s="2" t="str">
        <f>ISIDORA!AH11</f>
        <v/>
      </c>
      <c r="AJ176" s="2" t="str">
        <f>ISIDORA!AI11</f>
        <v/>
      </c>
      <c r="AK176" s="2" t="str">
        <f>ISIDORA!AJ11</f>
        <v/>
      </c>
      <c r="AL176" s="2" t="str">
        <f>ISIDORA!AK11</f>
        <v/>
      </c>
      <c r="AM176" s="2" t="str">
        <f>ISIDORA!AL11</f>
        <v/>
      </c>
      <c r="AN176" s="2" t="str">
        <f>ISIDORA!AM11</f>
        <v/>
      </c>
      <c r="AO176" s="2" t="str">
        <f>ISIDORA!AN11</f>
        <v/>
      </c>
      <c r="AP176" s="2" t="str">
        <f>ISIDORA!AO11</f>
        <v/>
      </c>
      <c r="AQ176" s="2" t="str">
        <f>ISIDORA!AP11</f>
        <v/>
      </c>
      <c r="AR176" s="2" t="str">
        <f>ISIDORA!AQ11</f>
        <v/>
      </c>
      <c r="AS176" s="2">
        <f>ISIDORA!AR11</f>
        <v>6</v>
      </c>
      <c r="AT176" s="2">
        <f>ISIDORA!AS11</f>
        <v>5</v>
      </c>
      <c r="AU176" s="2">
        <f>ISIDORA!AT11</f>
        <v>4</v>
      </c>
      <c r="AV176" s="2">
        <f>ISIDORA!AU11</f>
        <v>3</v>
      </c>
      <c r="AW176" s="2">
        <f>ISIDORA!AV11</f>
        <v>2</v>
      </c>
      <c r="AX176" s="2">
        <f>ISIDORA!AW11</f>
        <v>2</v>
      </c>
      <c r="AY176" s="2">
        <f>ISIDORA!AX11</f>
        <v>9</v>
      </c>
      <c r="AZ176" s="2">
        <f>ISIDORA!AY11</f>
        <v>9</v>
      </c>
      <c r="BA176" s="2">
        <f>ISIDORA!AZ11</f>
        <v>8</v>
      </c>
      <c r="BB176" s="2">
        <f>ISIDORA!BA11</f>
        <v>6</v>
      </c>
      <c r="BC176" s="2">
        <f>ISIDORA!BB11</f>
        <v>5</v>
      </c>
      <c r="BD176" s="2">
        <f>ISIDORA!BC11</f>
        <v>4</v>
      </c>
      <c r="BE176" s="2">
        <f>ISIDORA!BD11</f>
        <v>3</v>
      </c>
      <c r="BF176" s="2" t="str">
        <f>ISIDORA!BE11</f>
        <v/>
      </c>
      <c r="BG176" s="2" t="str">
        <f>ISIDORA!BF11</f>
        <v/>
      </c>
      <c r="BH176" s="2" t="str">
        <f>ISIDORA!BG11</f>
        <v/>
      </c>
      <c r="BI176" s="2" t="str">
        <f>ISIDORA!BH11</f>
        <v/>
      </c>
      <c r="BJ176" s="2" t="str">
        <f>ISIDORA!BS12</f>
        <v/>
      </c>
      <c r="BK176" s="2" t="str">
        <f>ISIDORA!BT12</f>
        <v/>
      </c>
      <c r="BL176" s="2" t="str">
        <f>ISIDORA!BU12</f>
        <v/>
      </c>
      <c r="BM176" s="2" t="str">
        <f>ISIDORA!BV12</f>
        <v/>
      </c>
      <c r="BN176" s="2" t="str">
        <f>ISIDORA!BW12</f>
        <v/>
      </c>
      <c r="BO176" s="2" t="str">
        <f>ISIDORA!BX12</f>
        <v/>
      </c>
      <c r="BP176" s="2" t="str">
        <f>ISIDORA!BY12</f>
        <v/>
      </c>
      <c r="BQ176" s="2" t="str">
        <f>ISIDORA!CC13</f>
        <v/>
      </c>
      <c r="BR176" s="2" t="str">
        <f>ISIDORA!CD13</f>
        <v/>
      </c>
      <c r="BS176" s="2" t="str">
        <f>ISIDORA!CE13</f>
        <v/>
      </c>
      <c r="BT176" s="2" t="str">
        <f>ISIDORA!CF13</f>
        <v/>
      </c>
      <c r="BU176" s="2"/>
      <c r="BV176" s="2"/>
      <c r="BW176" s="2"/>
      <c r="BX176" s="2"/>
      <c r="BY176" s="2"/>
      <c r="BZ176" s="2"/>
      <c r="CA176" s="2"/>
      <c r="CB176" s="2"/>
      <c r="CC176" s="2"/>
    </row>
    <row r="177">
      <c r="A177" s="2"/>
      <c r="B177" s="2" t="str">
        <f>ISIDORA!A12</f>
        <v>Isidora</v>
      </c>
      <c r="C177" s="2" t="str">
        <f>ISIDORA!B12</f>
        <v>Aseo</v>
      </c>
      <c r="D177" s="2" t="str">
        <f>ISIDORA!C12</f>
        <v>Cloro Gel</v>
      </c>
      <c r="E177" s="2" t="str">
        <f>ISIDORA!D12</f>
        <v/>
      </c>
      <c r="F177" s="2" t="str">
        <f>ISIDORA!E12</f>
        <v/>
      </c>
      <c r="G177" s="2" t="str">
        <f>ISIDORA!F12</f>
        <v/>
      </c>
      <c r="H177" s="2" t="str">
        <f>ISIDORA!G12</f>
        <v/>
      </c>
      <c r="I177" s="2" t="str">
        <f>ISIDORA!H12</f>
        <v/>
      </c>
      <c r="J177" s="2" t="str">
        <f>ISIDORA!I12</f>
        <v/>
      </c>
      <c r="K177" s="2" t="str">
        <f>ISIDORA!J12</f>
        <v/>
      </c>
      <c r="L177" s="2" t="str">
        <f>ISIDORA!K12</f>
        <v/>
      </c>
      <c r="M177" s="2" t="str">
        <f>ISIDORA!L12</f>
        <v/>
      </c>
      <c r="N177" s="2" t="str">
        <f>ISIDORA!M12</f>
        <v/>
      </c>
      <c r="O177" s="2" t="str">
        <f>ISIDORA!N12</f>
        <v/>
      </c>
      <c r="P177" s="2" t="str">
        <f>ISIDORA!O12</f>
        <v/>
      </c>
      <c r="Q177" s="2" t="str">
        <f>ISIDORA!P12</f>
        <v/>
      </c>
      <c r="R177" s="2" t="str">
        <f>ISIDORA!Q12</f>
        <v/>
      </c>
      <c r="S177" s="2" t="str">
        <f>ISIDORA!R12</f>
        <v/>
      </c>
      <c r="T177" s="2" t="str">
        <f>ISIDORA!S12</f>
        <v/>
      </c>
      <c r="U177" s="2" t="str">
        <f>ISIDORA!T12</f>
        <v/>
      </c>
      <c r="V177" s="2" t="str">
        <f>ISIDORA!U12</f>
        <v/>
      </c>
      <c r="W177" s="2" t="str">
        <f>ISIDORA!V12</f>
        <v>-</v>
      </c>
      <c r="X177" s="2" t="str">
        <f>ISIDORA!W12</f>
        <v>-</v>
      </c>
      <c r="Y177" s="2" t="str">
        <f>ISIDORA!X12</f>
        <v>-</v>
      </c>
      <c r="Z177" s="2" t="str">
        <f>ISIDORA!Y12</f>
        <v>-</v>
      </c>
      <c r="AA177" s="2" t="str">
        <f>ISIDORA!Z12</f>
        <v>-</v>
      </c>
      <c r="AB177" s="2" t="str">
        <f>ISIDORA!AA12</f>
        <v>-</v>
      </c>
      <c r="AC177" s="2" t="str">
        <f>ISIDORA!AB12</f>
        <v>-</v>
      </c>
      <c r="AD177" s="2" t="str">
        <f>ISIDORA!AC12</f>
        <v>-</v>
      </c>
      <c r="AE177" s="2">
        <f>ISIDORA!AD12</f>
        <v>0</v>
      </c>
      <c r="AF177" s="2" t="str">
        <f>ISIDORA!AE12</f>
        <v>1 (5 L)</v>
      </c>
      <c r="AG177" s="2" t="str">
        <f>ISIDORA!AF12</f>
        <v>1 (quedan 2.5 L)</v>
      </c>
      <c r="AH177" s="2" t="str">
        <f>ISIDORA!AG12</f>
        <v>1 (quedan 2.5 L)</v>
      </c>
      <c r="AI177" s="2" t="str">
        <f>ISIDORA!AH12</f>
        <v>1 (quedan 1.5 L)</v>
      </c>
      <c r="AJ177" s="2" t="str">
        <f>ISIDORA!AI12</f>
        <v>1 (quedan 1.5 L)</v>
      </c>
      <c r="AK177" s="2" t="str">
        <f>ISIDORA!AJ12</f>
        <v>1 (5 L)</v>
      </c>
      <c r="AL177" s="2" t="str">
        <f>ISIDORA!AK12</f>
        <v>1 (5 L)</v>
      </c>
      <c r="AM177" s="2" t="str">
        <f>ISIDORA!AL12</f>
        <v>1 (5 L)</v>
      </c>
      <c r="AN177" s="2" t="str">
        <f>ISIDORA!AM12</f>
        <v>1 (5 L)</v>
      </c>
      <c r="AO177" s="2" t="str">
        <f>ISIDORA!AN12</f>
        <v>1 (5 L)</v>
      </c>
      <c r="AP177" s="2" t="str">
        <f>ISIDORA!AO12</f>
        <v>1 (2.5 L)</v>
      </c>
      <c r="AQ177" s="2" t="str">
        <f>ISIDORA!AP12</f>
        <v>1 (1 L)</v>
      </c>
      <c r="AR177" s="2" t="str">
        <f>ISIDORA!AQ12</f>
        <v>2 (10 L)</v>
      </c>
      <c r="AS177" s="2" t="str">
        <f>ISIDORA!AR12</f>
        <v>2 (10 L)</v>
      </c>
      <c r="AT177" s="2" t="str">
        <f>ISIDORA!AS12</f>
        <v>2 (10 L)</v>
      </c>
      <c r="AU177" s="2" t="str">
        <f>ISIDORA!AT12</f>
        <v>1 (5 L)</v>
      </c>
      <c r="AV177" s="2" t="str">
        <f>ISIDORA!AU12</f>
        <v>1 (5 L)</v>
      </c>
      <c r="AW177" s="2" t="str">
        <f>ISIDORA!AV12</f>
        <v>1 (5 L)</v>
      </c>
      <c r="AX177" s="2" t="str">
        <f>ISIDORA!AW12</f>
        <v>1 (5 L)</v>
      </c>
      <c r="AY177" s="2" t="str">
        <f>ISIDORA!AX12</f>
        <v>1 (5 L)</v>
      </c>
      <c r="AZ177" s="2" t="str">
        <f>ISIDORA!AY12</f>
        <v>1 (5 L)</v>
      </c>
      <c r="BA177" s="2">
        <f>ISIDORA!AZ12</f>
        <v>1</v>
      </c>
      <c r="BB177" s="2">
        <f>ISIDORA!BA12</f>
        <v>1</v>
      </c>
      <c r="BC177" s="2">
        <f>ISIDORA!BB12</f>
        <v>1</v>
      </c>
      <c r="BD177" s="2">
        <f>ISIDORA!BC12</f>
        <v>1</v>
      </c>
      <c r="BE177" s="2">
        <f>ISIDORA!BD12</f>
        <v>1</v>
      </c>
      <c r="BF177" s="2" t="str">
        <f>ISIDORA!BE12</f>
        <v/>
      </c>
      <c r="BG177" s="2" t="str">
        <f>ISIDORA!BF12</f>
        <v/>
      </c>
      <c r="BH177" s="2" t="str">
        <f>ISIDORA!BG12</f>
        <v/>
      </c>
      <c r="BI177" s="2" t="str">
        <f>ISIDORA!BH12</f>
        <v/>
      </c>
      <c r="BJ177" s="2" t="str">
        <f>ISIDORA!BS13</f>
        <v/>
      </c>
      <c r="BK177" s="2" t="str">
        <f>ISIDORA!BT13</f>
        <v/>
      </c>
      <c r="BL177" s="2" t="str">
        <f>ISIDORA!BU13</f>
        <v/>
      </c>
      <c r="BM177" s="2" t="str">
        <f>ISIDORA!BV13</f>
        <v/>
      </c>
      <c r="BN177" s="2" t="str">
        <f>ISIDORA!BW13</f>
        <v/>
      </c>
      <c r="BO177" s="2" t="str">
        <f>ISIDORA!BX13</f>
        <v/>
      </c>
      <c r="BP177" s="2" t="str">
        <f>ISIDORA!BY13</f>
        <v/>
      </c>
      <c r="BQ177" s="2" t="str">
        <f>ISIDORA!CC14</f>
        <v/>
      </c>
      <c r="BR177" s="2" t="str">
        <f>ISIDORA!CD14</f>
        <v/>
      </c>
      <c r="BS177" s="2" t="str">
        <f>ISIDORA!CE14</f>
        <v/>
      </c>
      <c r="BT177" s="2" t="str">
        <f>ISIDORA!CF14</f>
        <v/>
      </c>
      <c r="BU177" s="2"/>
      <c r="BV177" s="2"/>
      <c r="BW177" s="2"/>
      <c r="BX177" s="2"/>
      <c r="BY177" s="2"/>
      <c r="BZ177" s="2"/>
      <c r="CA177" s="2"/>
      <c r="CB177" s="2"/>
      <c r="CC177" s="2"/>
    </row>
    <row r="178">
      <c r="A178" s="2"/>
      <c r="B178" s="2" t="str">
        <f>ISIDORA!A13</f>
        <v>Isidora</v>
      </c>
      <c r="C178" s="2" t="str">
        <f>ISIDORA!B13</f>
        <v>Aseo</v>
      </c>
      <c r="D178" s="2" t="str">
        <f>ISIDORA!C13</f>
        <v>Limpia Piso</v>
      </c>
      <c r="E178" s="2" t="str">
        <f>ISIDORA!D13</f>
        <v/>
      </c>
      <c r="F178" s="2" t="str">
        <f>ISIDORA!E13</f>
        <v/>
      </c>
      <c r="G178" s="2" t="str">
        <f>ISIDORA!F13</f>
        <v/>
      </c>
      <c r="H178" s="2" t="str">
        <f>ISIDORA!G13</f>
        <v/>
      </c>
      <c r="I178" s="2" t="str">
        <f>ISIDORA!H13</f>
        <v/>
      </c>
      <c r="J178" s="2" t="str">
        <f>ISIDORA!I13</f>
        <v/>
      </c>
      <c r="K178" s="2" t="str">
        <f>ISIDORA!J13</f>
        <v/>
      </c>
      <c r="L178" s="2" t="str">
        <f>ISIDORA!K13</f>
        <v/>
      </c>
      <c r="M178" s="2" t="str">
        <f>ISIDORA!L13</f>
        <v/>
      </c>
      <c r="N178" s="2" t="str">
        <f>ISIDORA!M13</f>
        <v/>
      </c>
      <c r="O178" s="2" t="str">
        <f>ISIDORA!N13</f>
        <v/>
      </c>
      <c r="P178" s="2" t="str">
        <f>ISIDORA!O13</f>
        <v/>
      </c>
      <c r="Q178" s="2" t="str">
        <f>ISIDORA!P13</f>
        <v/>
      </c>
      <c r="R178" s="2" t="str">
        <f>ISIDORA!Q13</f>
        <v/>
      </c>
      <c r="S178" s="2" t="str">
        <f>ISIDORA!R13</f>
        <v/>
      </c>
      <c r="T178" s="2" t="str">
        <f>ISIDORA!S13</f>
        <v/>
      </c>
      <c r="U178" s="2" t="str">
        <f>ISIDORA!T13</f>
        <v/>
      </c>
      <c r="V178" s="2" t="str">
        <f>ISIDORA!U13</f>
        <v/>
      </c>
      <c r="W178" s="2" t="str">
        <f>ISIDORA!V13</f>
        <v>-</v>
      </c>
      <c r="X178" s="2" t="str">
        <f>ISIDORA!W13</f>
        <v>-</v>
      </c>
      <c r="Y178" s="2" t="str">
        <f>ISIDORA!X13</f>
        <v>-</v>
      </c>
      <c r="Z178" s="2" t="str">
        <f>ISIDORA!Y13</f>
        <v>-</v>
      </c>
      <c r="AA178" s="2" t="str">
        <f>ISIDORA!Z13</f>
        <v>-</v>
      </c>
      <c r="AB178" s="2" t="str">
        <f>ISIDORA!AA13</f>
        <v>-</v>
      </c>
      <c r="AC178" s="2" t="str">
        <f>ISIDORA!AB13</f>
        <v>-</v>
      </c>
      <c r="AD178" s="2" t="str">
        <f>ISIDORA!AC13</f>
        <v>-</v>
      </c>
      <c r="AE178" s="2">
        <f>ISIDORA!AD13</f>
        <v>0</v>
      </c>
      <c r="AF178" s="2">
        <f>ISIDORA!AE13</f>
        <v>0</v>
      </c>
      <c r="AG178" s="2">
        <f>ISIDORA!AF13</f>
        <v>0</v>
      </c>
      <c r="AH178" s="2">
        <f>ISIDORA!AG13</f>
        <v>0</v>
      </c>
      <c r="AI178" s="2">
        <f>ISIDORA!AH13</f>
        <v>0</v>
      </c>
      <c r="AJ178" s="2">
        <f>ISIDORA!AI13</f>
        <v>0</v>
      </c>
      <c r="AK178" s="2" t="str">
        <f>ISIDORA!AJ13</f>
        <v>2 (8 L)</v>
      </c>
      <c r="AL178" s="2" t="str">
        <f>ISIDORA!AK13</f>
        <v>1 (8 L)</v>
      </c>
      <c r="AM178" s="2" t="str">
        <f>ISIDORA!AL13</f>
        <v>1 (4 L)</v>
      </c>
      <c r="AN178" s="2" t="str">
        <f>ISIDORA!AM13</f>
        <v>1 (4 L)</v>
      </c>
      <c r="AO178" s="2" t="str">
        <f>ISIDORA!AN13</f>
        <v>1 (4 L)</v>
      </c>
      <c r="AP178" s="2" t="str">
        <f>ISIDORA!AO13</f>
        <v>1 (4 L)</v>
      </c>
      <c r="AQ178" s="2" t="str">
        <f>ISIDORA!AP13</f>
        <v>1 (4 L)</v>
      </c>
      <c r="AR178" s="2" t="str">
        <f>ISIDORA!AQ13</f>
        <v>1 (4 L)</v>
      </c>
      <c r="AS178" s="2" t="str">
        <f>ISIDORA!AR13</f>
        <v>1 (4 L)</v>
      </c>
      <c r="AT178" s="2" t="str">
        <f>ISIDORA!AS13</f>
        <v>1 (2 L)</v>
      </c>
      <c r="AU178" s="2" t="str">
        <f>ISIDORA!AT13</f>
        <v>1 (4 L)</v>
      </c>
      <c r="AV178" s="2" t="str">
        <f>ISIDORA!AU13</f>
        <v>1 (4 L)</v>
      </c>
      <c r="AW178" s="2" t="str">
        <f>ISIDORA!AV13</f>
        <v>1 (4 L)</v>
      </c>
      <c r="AX178" s="2" t="str">
        <f>ISIDORA!AW13</f>
        <v>1 (4 L)</v>
      </c>
      <c r="AY178" s="2" t="str">
        <f>ISIDORA!AX13</f>
        <v>1 (4 L)</v>
      </c>
      <c r="AZ178" s="2" t="str">
        <f>ISIDORA!AY13</f>
        <v>1 (4 L)</v>
      </c>
      <c r="BA178" s="2">
        <f>ISIDORA!AZ13</f>
        <v>1</v>
      </c>
      <c r="BB178" s="2">
        <f>ISIDORA!BA13</f>
        <v>1</v>
      </c>
      <c r="BC178" s="2">
        <f>ISIDORA!BB13</f>
        <v>1</v>
      </c>
      <c r="BD178" s="2">
        <f>ISIDORA!BC13</f>
        <v>1</v>
      </c>
      <c r="BE178" s="2" t="str">
        <f>ISIDORA!BD13</f>
        <v>3(lts)</v>
      </c>
      <c r="BF178" s="2" t="str">
        <f>ISIDORA!BE13</f>
        <v/>
      </c>
      <c r="BG178" s="2" t="str">
        <f>ISIDORA!BF13</f>
        <v/>
      </c>
      <c r="BH178" s="2" t="str">
        <f>ISIDORA!BG13</f>
        <v/>
      </c>
      <c r="BI178" s="2" t="str">
        <f>ISIDORA!BH13</f>
        <v/>
      </c>
      <c r="BJ178" s="2" t="str">
        <f>ISIDORA!BS14</f>
        <v/>
      </c>
      <c r="BK178" s="2" t="str">
        <f>ISIDORA!BT14</f>
        <v/>
      </c>
      <c r="BL178" s="2" t="str">
        <f>ISIDORA!BU14</f>
        <v/>
      </c>
      <c r="BM178" s="2" t="str">
        <f>ISIDORA!BV14</f>
        <v/>
      </c>
      <c r="BN178" s="2" t="str">
        <f>ISIDORA!BW14</f>
        <v/>
      </c>
      <c r="BO178" s="2" t="str">
        <f>ISIDORA!BX14</f>
        <v/>
      </c>
      <c r="BP178" s="2" t="str">
        <f>ISIDORA!BY14</f>
        <v/>
      </c>
      <c r="BQ178" s="2" t="str">
        <f>ISIDORA!CC15</f>
        <v/>
      </c>
      <c r="BR178" s="2" t="str">
        <f>ISIDORA!CD15</f>
        <v/>
      </c>
      <c r="BS178" s="2" t="str">
        <f>ISIDORA!CE15</f>
        <v/>
      </c>
      <c r="BT178" s="2" t="str">
        <f>ISIDORA!CF15</f>
        <v/>
      </c>
      <c r="BU178" s="2"/>
      <c r="BV178" s="2"/>
      <c r="BW178" s="2"/>
      <c r="BX178" s="2"/>
      <c r="BY178" s="2"/>
      <c r="BZ178" s="2"/>
      <c r="CA178" s="2"/>
      <c r="CB178" s="2"/>
      <c r="CC178" s="2"/>
    </row>
    <row r="179">
      <c r="A179" s="2"/>
      <c r="B179" s="2" t="str">
        <f>ISIDORA!A14</f>
        <v>Isidora</v>
      </c>
      <c r="C179" s="2" t="str">
        <f>ISIDORA!B14</f>
        <v>Aseo</v>
      </c>
      <c r="D179" s="2" t="str">
        <f>ISIDORA!C14</f>
        <v>Bolsas Basura 50x70</v>
      </c>
      <c r="E179" s="2" t="str">
        <f>ISIDORA!D14</f>
        <v/>
      </c>
      <c r="F179" s="2" t="str">
        <f>ISIDORA!E14</f>
        <v/>
      </c>
      <c r="G179" s="2" t="str">
        <f>ISIDORA!F14</f>
        <v/>
      </c>
      <c r="H179" s="2" t="str">
        <f>ISIDORA!G14</f>
        <v/>
      </c>
      <c r="I179" s="2" t="str">
        <f>ISIDORA!H14</f>
        <v/>
      </c>
      <c r="J179" s="2" t="str">
        <f>ISIDORA!I14</f>
        <v/>
      </c>
      <c r="K179" s="2" t="str">
        <f>ISIDORA!J14</f>
        <v/>
      </c>
      <c r="L179" s="2" t="str">
        <f>ISIDORA!K14</f>
        <v/>
      </c>
      <c r="M179" s="2" t="str">
        <f>ISIDORA!L14</f>
        <v/>
      </c>
      <c r="N179" s="2" t="str">
        <f>ISIDORA!M14</f>
        <v/>
      </c>
      <c r="O179" s="2" t="str">
        <f>ISIDORA!N14</f>
        <v/>
      </c>
      <c r="P179" s="2" t="str">
        <f>ISIDORA!O14</f>
        <v/>
      </c>
      <c r="Q179" s="2" t="str">
        <f>ISIDORA!P14</f>
        <v/>
      </c>
      <c r="R179" s="2" t="str">
        <f>ISIDORA!Q14</f>
        <v/>
      </c>
      <c r="S179" s="2" t="str">
        <f>ISIDORA!R14</f>
        <v/>
      </c>
      <c r="T179" s="2" t="str">
        <f>ISIDORA!S14</f>
        <v/>
      </c>
      <c r="U179" s="2" t="str">
        <f>ISIDORA!T14</f>
        <v/>
      </c>
      <c r="V179" s="2" t="str">
        <f>ISIDORA!U14</f>
        <v/>
      </c>
      <c r="W179" s="2" t="str">
        <f>ISIDORA!V14</f>
        <v>-</v>
      </c>
      <c r="X179" s="2" t="str">
        <f>ISIDORA!W14</f>
        <v>-</v>
      </c>
      <c r="Y179" s="2" t="str">
        <f>ISIDORA!X14</f>
        <v>-</v>
      </c>
      <c r="Z179" s="2" t="str">
        <f>ISIDORA!Y14</f>
        <v>-</v>
      </c>
      <c r="AA179" s="2" t="str">
        <f>ISIDORA!Z14</f>
        <v>-</v>
      </c>
      <c r="AB179" s="2" t="str">
        <f>ISIDORA!AA14</f>
        <v>-</v>
      </c>
      <c r="AC179" s="2" t="str">
        <f>ISIDORA!AB14</f>
        <v>-</v>
      </c>
      <c r="AD179" s="2" t="str">
        <f>ISIDORA!AC14</f>
        <v>-</v>
      </c>
      <c r="AE179" s="2" t="str">
        <f>ISIDORA!AD14</f>
        <v>0 S - 13 M - 6 L</v>
      </c>
      <c r="AF179" s="2" t="str">
        <f>ISIDORA!AE14</f>
        <v>10 S - 13 M - 11 L</v>
      </c>
      <c r="AG179" s="2" t="str">
        <f>ISIDORA!AF14</f>
        <v>8 S - 13 M - 11 L</v>
      </c>
      <c r="AH179" s="2" t="str">
        <f>ISIDORA!AG14</f>
        <v>5 S - 11 M - 11 L</v>
      </c>
      <c r="AI179" s="2" t="str">
        <f>ISIDORA!AH14</f>
        <v>4 S - 10 M - 10 L</v>
      </c>
      <c r="AJ179" s="2">
        <f>ISIDORA!AI14</f>
        <v>3</v>
      </c>
      <c r="AK179" s="2">
        <f>ISIDORA!AJ14</f>
        <v>12</v>
      </c>
      <c r="AL179" s="2">
        <f>ISIDORA!AK14</f>
        <v>8</v>
      </c>
      <c r="AM179" s="2">
        <f>ISIDORA!AL14</f>
        <v>9</v>
      </c>
      <c r="AN179" s="2">
        <f>ISIDORA!AM14</f>
        <v>7</v>
      </c>
      <c r="AO179" s="2">
        <f>ISIDORA!AN14</f>
        <v>7</v>
      </c>
      <c r="AP179" s="2">
        <f>ISIDORA!AO14</f>
        <v>7</v>
      </c>
      <c r="AQ179" s="2">
        <f>ISIDORA!AP14</f>
        <v>6</v>
      </c>
      <c r="AR179" s="2">
        <f>ISIDORA!AQ14</f>
        <v>5</v>
      </c>
      <c r="AS179" s="2">
        <f>ISIDORA!AR14</f>
        <v>5</v>
      </c>
      <c r="AT179" s="2">
        <f>ISIDORA!AS14</f>
        <v>3</v>
      </c>
      <c r="AU179" s="2">
        <f>ISIDORA!AT14</f>
        <v>1</v>
      </c>
      <c r="AV179" s="2">
        <f>ISIDORA!AU14</f>
        <v>0</v>
      </c>
      <c r="AW179" s="2">
        <f>ISIDORA!AV14</f>
        <v>0</v>
      </c>
      <c r="AX179" s="2">
        <f>ISIDORA!AW14</f>
        <v>13</v>
      </c>
      <c r="AY179" s="2">
        <f>ISIDORA!AX14</f>
        <v>13</v>
      </c>
      <c r="AZ179" s="2">
        <f>ISIDORA!AY14</f>
        <v>12</v>
      </c>
      <c r="BA179" s="2">
        <f>ISIDORA!AZ14</f>
        <v>11</v>
      </c>
      <c r="BB179" s="2">
        <f>ISIDORA!BA14</f>
        <v>27</v>
      </c>
      <c r="BC179" s="2">
        <f>ISIDORA!BB14</f>
        <v>26</v>
      </c>
      <c r="BD179" s="2">
        <f>ISIDORA!BC14</f>
        <v>25</v>
      </c>
      <c r="BE179" s="2">
        <f>ISIDORA!BD14</f>
        <v>23</v>
      </c>
      <c r="BF179" s="2" t="str">
        <f>ISIDORA!BE14</f>
        <v/>
      </c>
      <c r="BG179" s="2" t="str">
        <f>ISIDORA!BF14</f>
        <v/>
      </c>
      <c r="BH179" s="2" t="str">
        <f>ISIDORA!BG14</f>
        <v/>
      </c>
      <c r="BI179" s="2" t="str">
        <f>ISIDORA!BH14</f>
        <v/>
      </c>
      <c r="BJ179" s="2" t="str">
        <f>ISIDORA!BS15</f>
        <v/>
      </c>
      <c r="BK179" s="2" t="str">
        <f>ISIDORA!BT15</f>
        <v/>
      </c>
      <c r="BL179" s="2" t="str">
        <f>ISIDORA!BU15</f>
        <v/>
      </c>
      <c r="BM179" s="2" t="str">
        <f>ISIDORA!BV15</f>
        <v/>
      </c>
      <c r="BN179" s="2" t="str">
        <f>ISIDORA!BW15</f>
        <v/>
      </c>
      <c r="BO179" s="2" t="str">
        <f>ISIDORA!BX15</f>
        <v/>
      </c>
      <c r="BP179" s="2" t="str">
        <f>ISIDORA!BY15</f>
        <v/>
      </c>
      <c r="BQ179" s="2" t="str">
        <f>ISIDORA!CC16</f>
        <v/>
      </c>
      <c r="BR179" s="2" t="str">
        <f>ISIDORA!CD16</f>
        <v/>
      </c>
      <c r="BS179" s="2" t="str">
        <f>ISIDORA!CE16</f>
        <v/>
      </c>
      <c r="BT179" s="2" t="str">
        <f>ISIDORA!CF16</f>
        <v/>
      </c>
      <c r="BU179" s="2"/>
      <c r="BV179" s="2"/>
      <c r="BW179" s="2"/>
      <c r="BX179" s="2"/>
      <c r="BY179" s="2"/>
      <c r="BZ179" s="2"/>
      <c r="CA179" s="2"/>
      <c r="CB179" s="2"/>
      <c r="CC179" s="2"/>
    </row>
    <row r="180">
      <c r="A180" s="2"/>
      <c r="B180" s="2" t="str">
        <f>ISIDORA!A15</f>
        <v>Isidora</v>
      </c>
      <c r="C180" s="2" t="str">
        <f>ISIDORA!B15</f>
        <v>Aseo</v>
      </c>
      <c r="D180" s="2" t="str">
        <f>ISIDORA!C15</f>
        <v>Bolsas Basura 70x90</v>
      </c>
      <c r="E180" s="2" t="str">
        <f>ISIDORA!D15</f>
        <v/>
      </c>
      <c r="F180" s="2" t="str">
        <f>ISIDORA!E15</f>
        <v/>
      </c>
      <c r="G180" s="2" t="str">
        <f>ISIDORA!F15</f>
        <v/>
      </c>
      <c r="H180" s="2" t="str">
        <f>ISIDORA!G15</f>
        <v/>
      </c>
      <c r="I180" s="2" t="str">
        <f>ISIDORA!H15</f>
        <v/>
      </c>
      <c r="J180" s="2" t="str">
        <f>ISIDORA!I15</f>
        <v/>
      </c>
      <c r="K180" s="2" t="str">
        <f>ISIDORA!J15</f>
        <v/>
      </c>
      <c r="L180" s="2" t="str">
        <f>ISIDORA!K15</f>
        <v/>
      </c>
      <c r="M180" s="2" t="str">
        <f>ISIDORA!L15</f>
        <v/>
      </c>
      <c r="N180" s="2" t="str">
        <f>ISIDORA!M15</f>
        <v/>
      </c>
      <c r="O180" s="2" t="str">
        <f>ISIDORA!N15</f>
        <v/>
      </c>
      <c r="P180" s="2" t="str">
        <f>ISIDORA!O15</f>
        <v/>
      </c>
      <c r="Q180" s="2" t="str">
        <f>ISIDORA!P15</f>
        <v/>
      </c>
      <c r="R180" s="2" t="str">
        <f>ISIDORA!Q15</f>
        <v/>
      </c>
      <c r="S180" s="2" t="str">
        <f>ISIDORA!R15</f>
        <v/>
      </c>
      <c r="T180" s="2" t="str">
        <f>ISIDORA!S15</f>
        <v/>
      </c>
      <c r="U180" s="2" t="str">
        <f>ISIDORA!T15</f>
        <v/>
      </c>
      <c r="V180" s="2" t="str">
        <f>ISIDORA!U15</f>
        <v/>
      </c>
      <c r="W180" s="2" t="str">
        <f>ISIDORA!V15</f>
        <v/>
      </c>
      <c r="X180" s="2" t="str">
        <f>ISIDORA!W15</f>
        <v/>
      </c>
      <c r="Y180" s="2" t="str">
        <f>ISIDORA!X15</f>
        <v/>
      </c>
      <c r="Z180" s="2" t="str">
        <f>ISIDORA!Y15</f>
        <v/>
      </c>
      <c r="AA180" s="2" t="str">
        <f>ISIDORA!Z15</f>
        <v/>
      </c>
      <c r="AB180" s="2" t="str">
        <f>ISIDORA!AA15</f>
        <v/>
      </c>
      <c r="AC180" s="2" t="str">
        <f>ISIDORA!AB15</f>
        <v/>
      </c>
      <c r="AD180" s="2" t="str">
        <f>ISIDORA!AC15</f>
        <v/>
      </c>
      <c r="AE180" s="2" t="str">
        <f>ISIDORA!AD15</f>
        <v/>
      </c>
      <c r="AF180" s="2" t="str">
        <f>ISIDORA!AE15</f>
        <v/>
      </c>
      <c r="AG180" s="2" t="str">
        <f>ISIDORA!AF15</f>
        <v/>
      </c>
      <c r="AH180" s="2" t="str">
        <f>ISIDORA!AG15</f>
        <v/>
      </c>
      <c r="AI180" s="2" t="str">
        <f>ISIDORA!AH15</f>
        <v/>
      </c>
      <c r="AJ180" s="2">
        <f>ISIDORA!AI15</f>
        <v>9</v>
      </c>
      <c r="AK180" s="2">
        <f>ISIDORA!AJ15</f>
        <v>15</v>
      </c>
      <c r="AL180" s="2">
        <f>ISIDORA!AK15</f>
        <v>12</v>
      </c>
      <c r="AM180" s="2">
        <f>ISIDORA!AL15</f>
        <v>23</v>
      </c>
      <c r="AN180" s="2">
        <f>ISIDORA!AM15</f>
        <v>23</v>
      </c>
      <c r="AO180" s="2">
        <f>ISIDORA!AN15</f>
        <v>23</v>
      </c>
      <c r="AP180" s="2">
        <f>ISIDORA!AO15</f>
        <v>23</v>
      </c>
      <c r="AQ180" s="2">
        <f>ISIDORA!AP15</f>
        <v>22</v>
      </c>
      <c r="AR180" s="2">
        <f>ISIDORA!AQ15</f>
        <v>22</v>
      </c>
      <c r="AS180" s="2">
        <f>ISIDORA!AR15</f>
        <v>22</v>
      </c>
      <c r="AT180" s="2">
        <f>ISIDORA!AS15</f>
        <v>20</v>
      </c>
      <c r="AU180" s="2">
        <f>ISIDORA!AT15</f>
        <v>19</v>
      </c>
      <c r="AV180" s="2">
        <f>ISIDORA!AU15</f>
        <v>18</v>
      </c>
      <c r="AW180" s="2">
        <f>ISIDORA!AV15</f>
        <v>18</v>
      </c>
      <c r="AX180" s="2">
        <f>ISIDORA!AW15</f>
        <v>26</v>
      </c>
      <c r="AY180" s="2">
        <f>ISIDORA!AX15</f>
        <v>25</v>
      </c>
      <c r="AZ180" s="2">
        <f>ISIDORA!AY15</f>
        <v>25</v>
      </c>
      <c r="BA180" s="2">
        <f>ISIDORA!AZ15</f>
        <v>23</v>
      </c>
      <c r="BB180" s="2">
        <f>ISIDORA!BA15</f>
        <v>22</v>
      </c>
      <c r="BC180" s="2">
        <f>ISIDORA!BB15</f>
        <v>22</v>
      </c>
      <c r="BD180" s="2">
        <f>ISIDORA!BC15</f>
        <v>21</v>
      </c>
      <c r="BE180" s="2">
        <f>ISIDORA!BD15</f>
        <v>19</v>
      </c>
      <c r="BF180" s="2" t="str">
        <f>ISIDORA!BE15</f>
        <v/>
      </c>
      <c r="BG180" s="2" t="str">
        <f>ISIDORA!BF15</f>
        <v/>
      </c>
      <c r="BH180" s="2" t="str">
        <f>ISIDORA!BG15</f>
        <v/>
      </c>
      <c r="BI180" s="2" t="str">
        <f>ISIDORA!BH15</f>
        <v/>
      </c>
      <c r="BJ180" s="2" t="str">
        <f>ISIDORA!BS16</f>
        <v/>
      </c>
      <c r="BK180" s="2" t="str">
        <f>ISIDORA!BT16</f>
        <v/>
      </c>
      <c r="BL180" s="2" t="str">
        <f>ISIDORA!BU16</f>
        <v/>
      </c>
      <c r="BM180" s="2" t="str">
        <f>ISIDORA!BV16</f>
        <v/>
      </c>
      <c r="BN180" s="2" t="str">
        <f>ISIDORA!BW16</f>
        <v/>
      </c>
      <c r="BO180" s="2" t="str">
        <f>ISIDORA!BX16</f>
        <v/>
      </c>
      <c r="BP180" s="2" t="str">
        <f>ISIDORA!BY16</f>
        <v/>
      </c>
      <c r="BQ180" s="2" t="str">
        <f>ISIDORA!CC17</f>
        <v/>
      </c>
      <c r="BR180" s="2" t="str">
        <f>ISIDORA!CD17</f>
        <v/>
      </c>
      <c r="BS180" s="2" t="str">
        <f>ISIDORA!CE17</f>
        <v/>
      </c>
      <c r="BT180" s="2" t="str">
        <f>ISIDORA!CF17</f>
        <v/>
      </c>
      <c r="BU180" s="2"/>
      <c r="BV180" s="2"/>
      <c r="BW180" s="2"/>
      <c r="BX180" s="2"/>
      <c r="BY180" s="2"/>
      <c r="BZ180" s="2"/>
      <c r="CA180" s="2"/>
      <c r="CB180" s="2"/>
      <c r="CC180" s="2"/>
    </row>
    <row r="181">
      <c r="A181" s="2"/>
      <c r="B181" s="2" t="str">
        <f>ISIDORA!A16</f>
        <v>Isidora</v>
      </c>
      <c r="C181" s="2" t="str">
        <f>ISIDORA!B16</f>
        <v>Aseo</v>
      </c>
      <c r="D181" s="2" t="str">
        <f>ISIDORA!C16</f>
        <v>Bolsas Basura 80x110</v>
      </c>
      <c r="E181" s="2" t="str">
        <f>ISIDORA!D16</f>
        <v/>
      </c>
      <c r="F181" s="2" t="str">
        <f>ISIDORA!E16</f>
        <v/>
      </c>
      <c r="G181" s="2" t="str">
        <f>ISIDORA!F16</f>
        <v/>
      </c>
      <c r="H181" s="2" t="str">
        <f>ISIDORA!G16</f>
        <v/>
      </c>
      <c r="I181" s="2" t="str">
        <f>ISIDORA!H16</f>
        <v/>
      </c>
      <c r="J181" s="2" t="str">
        <f>ISIDORA!I16</f>
        <v/>
      </c>
      <c r="K181" s="2" t="str">
        <f>ISIDORA!J16</f>
        <v/>
      </c>
      <c r="L181" s="2" t="str">
        <f>ISIDORA!K16</f>
        <v/>
      </c>
      <c r="M181" s="2" t="str">
        <f>ISIDORA!L16</f>
        <v/>
      </c>
      <c r="N181" s="2" t="str">
        <f>ISIDORA!M16</f>
        <v/>
      </c>
      <c r="O181" s="2" t="str">
        <f>ISIDORA!N16</f>
        <v/>
      </c>
      <c r="P181" s="2" t="str">
        <f>ISIDORA!O16</f>
        <v/>
      </c>
      <c r="Q181" s="2" t="str">
        <f>ISIDORA!P16</f>
        <v/>
      </c>
      <c r="R181" s="2" t="str">
        <f>ISIDORA!Q16</f>
        <v/>
      </c>
      <c r="S181" s="2" t="str">
        <f>ISIDORA!R16</f>
        <v/>
      </c>
      <c r="T181" s="2" t="str">
        <f>ISIDORA!S16</f>
        <v/>
      </c>
      <c r="U181" s="2" t="str">
        <f>ISIDORA!T16</f>
        <v/>
      </c>
      <c r="V181" s="2" t="str">
        <f>ISIDORA!U16</f>
        <v/>
      </c>
      <c r="W181" s="2" t="str">
        <f>ISIDORA!V16</f>
        <v/>
      </c>
      <c r="X181" s="2" t="str">
        <f>ISIDORA!W16</f>
        <v/>
      </c>
      <c r="Y181" s="2" t="str">
        <f>ISIDORA!X16</f>
        <v/>
      </c>
      <c r="Z181" s="2" t="str">
        <f>ISIDORA!Y16</f>
        <v/>
      </c>
      <c r="AA181" s="2" t="str">
        <f>ISIDORA!Z16</f>
        <v/>
      </c>
      <c r="AB181" s="2" t="str">
        <f>ISIDORA!AA16</f>
        <v/>
      </c>
      <c r="AC181" s="2" t="str">
        <f>ISIDORA!AB16</f>
        <v/>
      </c>
      <c r="AD181" s="2" t="str">
        <f>ISIDORA!AC16</f>
        <v/>
      </c>
      <c r="AE181" s="2" t="str">
        <f>ISIDORA!AD16</f>
        <v/>
      </c>
      <c r="AF181" s="2" t="str">
        <f>ISIDORA!AE16</f>
        <v/>
      </c>
      <c r="AG181" s="2" t="str">
        <f>ISIDORA!AF16</f>
        <v/>
      </c>
      <c r="AH181" s="2" t="str">
        <f>ISIDORA!AG16</f>
        <v/>
      </c>
      <c r="AI181" s="2" t="str">
        <f>ISIDORA!AH16</f>
        <v/>
      </c>
      <c r="AJ181" s="2">
        <f>ISIDORA!AI16</f>
        <v>9</v>
      </c>
      <c r="AK181" s="2">
        <f>ISIDORA!AJ16</f>
        <v>14</v>
      </c>
      <c r="AL181" s="2">
        <f>ISIDORA!AK16</f>
        <v>12</v>
      </c>
      <c r="AM181" s="2">
        <f>ISIDORA!AL16</f>
        <v>15</v>
      </c>
      <c r="AN181" s="2">
        <f>ISIDORA!AM16</f>
        <v>17</v>
      </c>
      <c r="AO181" s="2">
        <f>ISIDORA!AN16</f>
        <v>19</v>
      </c>
      <c r="AP181" s="2">
        <f>ISIDORA!AO16</f>
        <v>18</v>
      </c>
      <c r="AQ181" s="2">
        <f>ISIDORA!AP16</f>
        <v>17</v>
      </c>
      <c r="AR181" s="2">
        <f>ISIDORA!AQ16</f>
        <v>16</v>
      </c>
      <c r="AS181" s="2">
        <f>ISIDORA!AR16</f>
        <v>16</v>
      </c>
      <c r="AT181" s="2">
        <f>ISIDORA!AS16</f>
        <v>15</v>
      </c>
      <c r="AU181" s="2">
        <f>ISIDORA!AT16</f>
        <v>13</v>
      </c>
      <c r="AV181" s="2">
        <f>ISIDORA!AU16</f>
        <v>13</v>
      </c>
      <c r="AW181" s="2">
        <f>ISIDORA!AV16</f>
        <v>13</v>
      </c>
      <c r="AX181" s="2">
        <f>ISIDORA!AW16</f>
        <v>12</v>
      </c>
      <c r="AY181" s="2">
        <f>ISIDORA!AX16</f>
        <v>11</v>
      </c>
      <c r="AZ181" s="2">
        <f>ISIDORA!AY16</f>
        <v>10</v>
      </c>
      <c r="BA181" s="2">
        <f>ISIDORA!AZ16</f>
        <v>9</v>
      </c>
      <c r="BB181" s="2">
        <f>ISIDORA!BA16</f>
        <v>16</v>
      </c>
      <c r="BC181" s="2">
        <f>ISIDORA!BB16</f>
        <v>16</v>
      </c>
      <c r="BD181" s="2">
        <f>ISIDORA!BC16</f>
        <v>15</v>
      </c>
      <c r="BE181" s="2">
        <f>ISIDORA!BD16</f>
        <v>13</v>
      </c>
      <c r="BF181" s="2" t="str">
        <f>ISIDORA!BE16</f>
        <v/>
      </c>
      <c r="BG181" s="2" t="str">
        <f>ISIDORA!BF16</f>
        <v/>
      </c>
      <c r="BH181" s="2" t="str">
        <f>ISIDORA!BG16</f>
        <v/>
      </c>
      <c r="BI181" s="2" t="str">
        <f>ISIDORA!BH16</f>
        <v/>
      </c>
      <c r="BJ181" s="2" t="str">
        <f>ISIDORA!BS17</f>
        <v/>
      </c>
      <c r="BK181" s="2" t="str">
        <f>ISIDORA!BT17</f>
        <v/>
      </c>
      <c r="BL181" s="2" t="str">
        <f>ISIDORA!BU17</f>
        <v/>
      </c>
      <c r="BM181" s="2" t="str">
        <f>ISIDORA!BV17</f>
        <v/>
      </c>
      <c r="BN181" s="2" t="str">
        <f>ISIDORA!BW17</f>
        <v/>
      </c>
      <c r="BO181" s="2" t="str">
        <f>ISIDORA!BX17</f>
        <v/>
      </c>
      <c r="BP181" s="2" t="str">
        <f>ISIDORA!BY17</f>
        <v/>
      </c>
      <c r="BQ181" s="2" t="str">
        <f>ISIDORA!CC18</f>
        <v/>
      </c>
      <c r="BR181" s="2" t="str">
        <f>ISIDORA!CD18</f>
        <v/>
      </c>
      <c r="BS181" s="2" t="str">
        <f>ISIDORA!CE18</f>
        <v/>
      </c>
      <c r="BT181" s="2" t="str">
        <f>ISIDORA!CF18</f>
        <v/>
      </c>
      <c r="BU181" s="2"/>
      <c r="BV181" s="2"/>
      <c r="BW181" s="2"/>
      <c r="BX181" s="2"/>
      <c r="BY181" s="2"/>
      <c r="BZ181" s="2"/>
      <c r="CA181" s="2"/>
      <c r="CB181" s="2"/>
      <c r="CC181" s="2"/>
    </row>
    <row r="182">
      <c r="A182" s="2"/>
      <c r="B182" s="2" t="str">
        <f>ISIDORA!A17</f>
        <v>Isidora</v>
      </c>
      <c r="C182" s="2" t="str">
        <f>ISIDORA!B17</f>
        <v>Aseo</v>
      </c>
      <c r="D182" s="2" t="str">
        <f>ISIDORA!C17</f>
        <v>Esponja 4U</v>
      </c>
      <c r="E182" s="2" t="str">
        <f>ISIDORA!D17</f>
        <v/>
      </c>
      <c r="F182" s="2" t="str">
        <f>ISIDORA!E17</f>
        <v/>
      </c>
      <c r="G182" s="2" t="str">
        <f>ISIDORA!F17</f>
        <v/>
      </c>
      <c r="H182" s="2" t="str">
        <f>ISIDORA!G17</f>
        <v/>
      </c>
      <c r="I182" s="2" t="str">
        <f>ISIDORA!H17</f>
        <v/>
      </c>
      <c r="J182" s="2" t="str">
        <f>ISIDORA!I17</f>
        <v/>
      </c>
      <c r="K182" s="2" t="str">
        <f>ISIDORA!J17</f>
        <v/>
      </c>
      <c r="L182" s="2" t="str">
        <f>ISIDORA!K17</f>
        <v/>
      </c>
      <c r="M182" s="2" t="str">
        <f>ISIDORA!L17</f>
        <v/>
      </c>
      <c r="N182" s="2" t="str">
        <f>ISIDORA!M17</f>
        <v/>
      </c>
      <c r="O182" s="2" t="str">
        <f>ISIDORA!N17</f>
        <v/>
      </c>
      <c r="P182" s="2" t="str">
        <f>ISIDORA!O17</f>
        <v/>
      </c>
      <c r="Q182" s="2" t="str">
        <f>ISIDORA!P17</f>
        <v/>
      </c>
      <c r="R182" s="2" t="str">
        <f>ISIDORA!Q17</f>
        <v/>
      </c>
      <c r="S182" s="2" t="str">
        <f>ISIDORA!R17</f>
        <v/>
      </c>
      <c r="T182" s="2" t="str">
        <f>ISIDORA!S17</f>
        <v/>
      </c>
      <c r="U182" s="2" t="str">
        <f>ISIDORA!T17</f>
        <v/>
      </c>
      <c r="V182" s="2" t="str">
        <f>ISIDORA!U17</f>
        <v/>
      </c>
      <c r="W182" s="2" t="str">
        <f>ISIDORA!V17</f>
        <v>-</v>
      </c>
      <c r="X182" s="2" t="str">
        <f>ISIDORA!W17</f>
        <v>-</v>
      </c>
      <c r="Y182" s="2" t="str">
        <f>ISIDORA!X17</f>
        <v>-</v>
      </c>
      <c r="Z182" s="2" t="str">
        <f>ISIDORA!Y17</f>
        <v>-</v>
      </c>
      <c r="AA182" s="2" t="str">
        <f>ISIDORA!Z17</f>
        <v>-</v>
      </c>
      <c r="AB182" s="2" t="str">
        <f>ISIDORA!AA17</f>
        <v>-</v>
      </c>
      <c r="AC182" s="2" t="str">
        <f>ISIDORA!AB17</f>
        <v>-</v>
      </c>
      <c r="AD182" s="2" t="str">
        <f>ISIDORA!AC17</f>
        <v>-</v>
      </c>
      <c r="AE182" s="2">
        <f>ISIDORA!AD17</f>
        <v>0</v>
      </c>
      <c r="AF182" s="2">
        <f>ISIDORA!AE17</f>
        <v>2</v>
      </c>
      <c r="AG182" s="2">
        <f>ISIDORA!AF17</f>
        <v>1</v>
      </c>
      <c r="AH182" s="2" t="str">
        <f>ISIDORA!AG17</f>
        <v>1 (pero queda 1 esponja en el empaque)</v>
      </c>
      <c r="AI182" s="2" t="str">
        <f>ISIDORA!AH17</f>
        <v>1 (pero queda 1 esponja en el empaque)</v>
      </c>
      <c r="AJ182" s="2" t="str">
        <f>ISIDORA!AI17</f>
        <v>1 (pero queda 1 esponja en el empaque)</v>
      </c>
      <c r="AK182" s="2">
        <f>ISIDORA!AJ17</f>
        <v>3</v>
      </c>
      <c r="AL182" s="2">
        <f>ISIDORA!AK17</f>
        <v>2</v>
      </c>
      <c r="AM182" s="2">
        <f>ISIDORA!AL17</f>
        <v>2</v>
      </c>
      <c r="AN182" s="2">
        <f>ISIDORA!AM17</f>
        <v>4</v>
      </c>
      <c r="AO182" s="2">
        <f>ISIDORA!AN17</f>
        <v>6</v>
      </c>
      <c r="AP182" s="2">
        <f>ISIDORA!AO17</f>
        <v>5</v>
      </c>
      <c r="AQ182" s="2">
        <f>ISIDORA!AP17</f>
        <v>5</v>
      </c>
      <c r="AR182" s="2">
        <f>ISIDORA!AQ17</f>
        <v>4</v>
      </c>
      <c r="AS182" s="2">
        <f>ISIDORA!AR17</f>
        <v>4</v>
      </c>
      <c r="AT182" s="2">
        <f>ISIDORA!AS17</f>
        <v>0</v>
      </c>
      <c r="AU182" s="2">
        <f>ISIDORA!AT17</f>
        <v>4</v>
      </c>
      <c r="AV182" s="2">
        <f>ISIDORA!AU17</f>
        <v>4</v>
      </c>
      <c r="AW182" s="2">
        <f>ISIDORA!AV17</f>
        <v>4</v>
      </c>
      <c r="AX182" s="2">
        <f>ISIDORA!AW17</f>
        <v>11</v>
      </c>
      <c r="AY182" s="2">
        <f>ISIDORA!AX17</f>
        <v>11</v>
      </c>
      <c r="AZ182" s="2">
        <f>ISIDORA!AY17</f>
        <v>10</v>
      </c>
      <c r="BA182" s="2">
        <f>ISIDORA!AZ17</f>
        <v>8</v>
      </c>
      <c r="BB182" s="2">
        <f>ISIDORA!BA17</f>
        <v>7</v>
      </c>
      <c r="BC182" s="2">
        <f>ISIDORA!BB17</f>
        <v>5</v>
      </c>
      <c r="BD182" s="2">
        <f>ISIDORA!BC17</f>
        <v>4</v>
      </c>
      <c r="BE182" s="2">
        <f>ISIDORA!BD17</f>
        <v>4</v>
      </c>
      <c r="BF182" s="2" t="str">
        <f>ISIDORA!BE17</f>
        <v/>
      </c>
      <c r="BG182" s="2" t="str">
        <f>ISIDORA!BF17</f>
        <v/>
      </c>
      <c r="BH182" s="2" t="str">
        <f>ISIDORA!BG17</f>
        <v/>
      </c>
      <c r="BI182" s="2" t="str">
        <f>ISIDORA!BH17</f>
        <v/>
      </c>
      <c r="BJ182" s="2" t="str">
        <f>ISIDORA!BS18</f>
        <v/>
      </c>
      <c r="BK182" s="2" t="str">
        <f>ISIDORA!BT18</f>
        <v/>
      </c>
      <c r="BL182" s="2" t="str">
        <f>ISIDORA!BU18</f>
        <v/>
      </c>
      <c r="BM182" s="2" t="str">
        <f>ISIDORA!BV18</f>
        <v/>
      </c>
      <c r="BN182" s="2" t="str">
        <f>ISIDORA!BW18</f>
        <v/>
      </c>
      <c r="BO182" s="2" t="str">
        <f>ISIDORA!BX18</f>
        <v/>
      </c>
      <c r="BP182" s="2" t="str">
        <f>ISIDORA!BY18</f>
        <v/>
      </c>
      <c r="BQ182" s="2" t="str">
        <f>ISIDORA!CC19</f>
        <v/>
      </c>
      <c r="BR182" s="2" t="str">
        <f>ISIDORA!CD19</f>
        <v/>
      </c>
      <c r="BS182" s="2" t="str">
        <f>ISIDORA!CE19</f>
        <v/>
      </c>
      <c r="BT182" s="2" t="str">
        <f>ISIDORA!CF19</f>
        <v/>
      </c>
      <c r="BU182" s="2"/>
      <c r="BV182" s="2"/>
      <c r="BW182" s="2"/>
      <c r="BX182" s="2"/>
      <c r="BY182" s="2"/>
      <c r="BZ182" s="2"/>
      <c r="CA182" s="2"/>
      <c r="CB182" s="2"/>
      <c r="CC182" s="2"/>
    </row>
    <row r="183">
      <c r="A183" s="2"/>
      <c r="B183" s="2" t="str">
        <f>ISIDORA!A21</f>
        <v/>
      </c>
      <c r="C183" s="2" t="str">
        <f>ISIDORA!B21</f>
        <v/>
      </c>
      <c r="D183" s="2" t="str">
        <f>ISIDORA!C21</f>
        <v/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</row>
    <row r="184">
      <c r="A184" s="2"/>
      <c r="B184" s="2" t="str">
        <f>VESPUCIO!A2</f>
        <v/>
      </c>
      <c r="C184" s="2" t="str">
        <f>VESPUCIO!B2</f>
        <v/>
      </c>
      <c r="D184" s="14" t="str">
        <f>VESPUCIO!C2</f>
        <v/>
      </c>
      <c r="E184" s="14">
        <f>VESPUCIO!D2</f>
        <v>45811</v>
      </c>
      <c r="F184" s="14">
        <f>VESPUCIO!E2</f>
        <v>45817</v>
      </c>
      <c r="G184" s="14">
        <f>VESPUCIO!F2</f>
        <v>45824</v>
      </c>
      <c r="H184" s="14">
        <f>VESPUCIO!G2</f>
        <v>45831</v>
      </c>
      <c r="I184" s="14">
        <f>VESPUCIO!H2</f>
        <v>45838</v>
      </c>
      <c r="J184" s="14">
        <f>VESPUCIO!I2</f>
        <v>45845</v>
      </c>
      <c r="K184" s="14">
        <f>VESPUCIO!J2</f>
        <v>45851</v>
      </c>
      <c r="L184" s="14">
        <f>VESPUCIO!K2</f>
        <v>45852</v>
      </c>
      <c r="M184" s="14">
        <f>VESPUCIO!L2</f>
        <v>45858</v>
      </c>
      <c r="N184" s="14">
        <f>VESPUCIO!M2</f>
        <v>45865</v>
      </c>
      <c r="O184" s="14">
        <f>VESPUCIO!N2</f>
        <v>45873</v>
      </c>
      <c r="P184" s="14">
        <f>VESPUCIO!O2</f>
        <v>45880</v>
      </c>
      <c r="Q184" s="14">
        <f>VESPUCIO!P2</f>
        <v>45887</v>
      </c>
      <c r="R184" s="14">
        <f>VESPUCIO!Q2</f>
        <v>45894</v>
      </c>
      <c r="S184" s="14">
        <f>VESPUCIO!R2</f>
        <v>45901</v>
      </c>
      <c r="T184" s="14">
        <f>VESPUCIO!S2</f>
        <v>45908</v>
      </c>
      <c r="U184" s="14">
        <f>VESPUCIO!T2</f>
        <v>45915</v>
      </c>
      <c r="V184" s="14">
        <f>VESPUCIO!U2</f>
        <v>45922</v>
      </c>
      <c r="W184" s="14">
        <f>VESPUCIO!V2</f>
        <v>45929</v>
      </c>
      <c r="X184" s="14">
        <f>VESPUCIO!W2</f>
        <v>45936</v>
      </c>
      <c r="Y184" s="14">
        <f>VESPUCIO!X2</f>
        <v>45943</v>
      </c>
      <c r="Z184" s="14">
        <f>VESPUCIO!Y2</f>
        <v>45950</v>
      </c>
      <c r="AA184" s="14">
        <f>VESPUCIO!Z2</f>
        <v>45957</v>
      </c>
      <c r="AB184" s="14">
        <f>VESPUCIO!AA2</f>
        <v>45964</v>
      </c>
      <c r="AC184" s="14">
        <f>VESPUCIO!AB2</f>
        <v>45967</v>
      </c>
      <c r="AD184" s="14">
        <f>VESPUCIO!AC2</f>
        <v>45971</v>
      </c>
      <c r="AE184" s="14">
        <f>VESPUCIO!AD2</f>
        <v>45978</v>
      </c>
      <c r="AF184" s="14">
        <f>VESPUCIO!AE2</f>
        <v>45981</v>
      </c>
      <c r="AG184" s="14">
        <f>VESPUCIO!AF2</f>
        <v>45985</v>
      </c>
      <c r="AH184" s="14">
        <f>VESPUCIO!AG2</f>
        <v>45988</v>
      </c>
      <c r="AI184" s="14">
        <f>VESPUCIO!AH2</f>
        <v>46000</v>
      </c>
      <c r="AJ184" s="14">
        <f>VESPUCIO!AI2</f>
        <v>46020</v>
      </c>
      <c r="AK184" s="14">
        <f>VESPUCIO!AJ2</f>
        <v>46027</v>
      </c>
      <c r="AL184" s="14">
        <f>VESPUCIO!AK2</f>
        <v>46030</v>
      </c>
      <c r="AM184" s="14">
        <f>VESPUCIO!AL2</f>
        <v>46034</v>
      </c>
      <c r="AN184" s="14">
        <f>VESPUCIO!AM2</f>
        <v>46037</v>
      </c>
      <c r="AO184" s="14">
        <f>VESPUCIO!AN2</f>
        <v>46041</v>
      </c>
      <c r="AP184" s="14">
        <f>VESPUCIO!AO2</f>
        <v>46044</v>
      </c>
      <c r="AQ184" s="14">
        <f>VESPUCIO!AP2</f>
        <v>46049</v>
      </c>
      <c r="AR184" s="14">
        <f>VESPUCIO!AQ2</f>
        <v>46051</v>
      </c>
      <c r="AS184" s="14">
        <f>VESPUCIO!AR2</f>
        <v>46055</v>
      </c>
      <c r="AT184" s="14">
        <f>VESPUCIO!AS2</f>
        <v>46062</v>
      </c>
      <c r="AU184" s="14">
        <f>VESPUCIO!AT2</f>
        <v>46065</v>
      </c>
      <c r="AV184" s="14">
        <f>VESPUCIO!AU2</f>
        <v>46069</v>
      </c>
      <c r="AW184" s="14">
        <f>VESPUCIO!AV2</f>
        <v>46072</v>
      </c>
      <c r="AX184" s="14">
        <f>VESPUCIO!AW2</f>
        <v>46076</v>
      </c>
      <c r="AY184" s="14">
        <f>VESPUCIO!AX2</f>
        <v>46083</v>
      </c>
      <c r="AZ184" s="14">
        <f>VESPUCIO!AY2</f>
        <v>46091</v>
      </c>
      <c r="BA184" s="14">
        <f>VESPUCIO!AZ2</f>
        <v>46100</v>
      </c>
      <c r="BB184" s="14">
        <f>VESPUCIO!BA2</f>
        <v>46104</v>
      </c>
      <c r="BC184" s="14" t="str">
        <f>VESPUCIO!BB2</f>
        <v/>
      </c>
      <c r="BD184" s="14" t="str">
        <f>VESPUCIO!BC2</f>
        <v/>
      </c>
      <c r="BE184" s="14" t="str">
        <f>VESPUCIO!BD2</f>
        <v/>
      </c>
      <c r="BF184" s="14" t="str">
        <f>VESPUCIO!BE2</f>
        <v/>
      </c>
      <c r="BG184" s="14" t="str">
        <f>VESPUCIO!BF2</f>
        <v/>
      </c>
      <c r="BH184" s="2" t="str">
        <f>VESPUCIO!BY2</f>
        <v/>
      </c>
      <c r="BI184" s="2" t="str">
        <f>VESPUCIO!BZ2</f>
        <v/>
      </c>
      <c r="BJ184" s="2" t="str">
        <f>VESPUCIO!CA2</f>
        <v/>
      </c>
      <c r="BK184" s="2" t="str">
        <f>VESPUCIO!CB2</f>
        <v/>
      </c>
      <c r="BL184" s="2" t="str">
        <f>VESPUCIO!CC2</f>
        <v/>
      </c>
      <c r="BM184" s="2" t="str">
        <f>VESPUCIO!CD2</f>
        <v/>
      </c>
      <c r="BN184" s="2" t="str">
        <f>VESPUCIO!CE2</f>
        <v/>
      </c>
      <c r="BO184" s="2" t="str">
        <f>VESPUCIO!CF2</f>
        <v/>
      </c>
      <c r="BP184" s="2" t="str">
        <f>VESPUCIO!CG2</f>
        <v/>
      </c>
      <c r="BQ184" s="2" t="str">
        <f>VESPUCIO!CH2</f>
        <v/>
      </c>
      <c r="BR184" s="2" t="str">
        <f>VESPUCIO!CI2</f>
        <v/>
      </c>
      <c r="BS184" s="2" t="str">
        <f>VESPUCIO!CJ2</f>
        <v/>
      </c>
      <c r="BT184" s="2" t="str">
        <f>VESPUCIO!CK2</f>
        <v/>
      </c>
      <c r="BU184" s="2"/>
      <c r="BV184" s="2"/>
      <c r="BW184" s="2"/>
      <c r="BX184" s="2"/>
      <c r="BY184" s="2"/>
      <c r="BZ184" s="2"/>
      <c r="CA184" s="2"/>
      <c r="CB184" s="2"/>
      <c r="CC184" s="2"/>
    </row>
    <row r="185">
      <c r="A185" s="2"/>
      <c r="B185" s="2" t="str">
        <f>VESPUCIO!A3</f>
        <v>Sede</v>
      </c>
      <c r="C185" s="2" t="str">
        <f>VESPUCIO!B3</f>
        <v>Proveedor</v>
      </c>
      <c r="D185" s="2" t="str">
        <f>VESPUCIO!C3</f>
        <v>Producto</v>
      </c>
      <c r="E185" s="2" t="str">
        <f>VESPUCIO!D3</f>
        <v>Stock Actual</v>
      </c>
      <c r="F185" s="2" t="str">
        <f>VESPUCIO!E3</f>
        <v>Stock Actual</v>
      </c>
      <c r="G185" s="2" t="str">
        <f>VESPUCIO!F3</f>
        <v>Stock Actual</v>
      </c>
      <c r="H185" s="2" t="str">
        <f>VESPUCIO!G3</f>
        <v>Stock Actual</v>
      </c>
      <c r="I185" s="2" t="str">
        <f>VESPUCIO!H3</f>
        <v>Stock Actual</v>
      </c>
      <c r="J185" s="2" t="str">
        <f>VESPUCIO!I3</f>
        <v>Stock Actual</v>
      </c>
      <c r="K185" s="2" t="str">
        <f>VESPUCIO!J3</f>
        <v>Stock Actual</v>
      </c>
      <c r="L185" s="2" t="str">
        <f>VESPUCIO!K3</f>
        <v>Stock Actual</v>
      </c>
      <c r="M185" s="2" t="str">
        <f>VESPUCIO!L3</f>
        <v>Stock Actual</v>
      </c>
      <c r="N185" s="2" t="str">
        <f>VESPUCIO!M3</f>
        <v>Stock Actual</v>
      </c>
      <c r="O185" s="2" t="str">
        <f>VESPUCIO!N3</f>
        <v>Stock Actual</v>
      </c>
      <c r="P185" s="2" t="str">
        <f>VESPUCIO!O3</f>
        <v>Stock Actual</v>
      </c>
      <c r="Q185" s="2" t="str">
        <f>VESPUCIO!P3</f>
        <v>Stock Actual</v>
      </c>
      <c r="R185" s="2" t="str">
        <f>VESPUCIO!Q3</f>
        <v>Stock Actual</v>
      </c>
      <c r="S185" s="2" t="str">
        <f>VESPUCIO!R3</f>
        <v>Stock Actual</v>
      </c>
      <c r="T185" s="2" t="str">
        <f>VESPUCIO!S3</f>
        <v>Stock Actual</v>
      </c>
      <c r="U185" s="2" t="str">
        <f>VESPUCIO!T3</f>
        <v>Stock Actual</v>
      </c>
      <c r="V185" s="2" t="str">
        <f>VESPUCIO!U3</f>
        <v>Stock Actual</v>
      </c>
      <c r="W185" s="2" t="str">
        <f>VESPUCIO!V3</f>
        <v>Stock Actual</v>
      </c>
      <c r="X185" s="2" t="str">
        <f>VESPUCIO!W3</f>
        <v>Stock Actual</v>
      </c>
      <c r="Y185" s="2" t="str">
        <f>VESPUCIO!X3</f>
        <v>Stock Actual</v>
      </c>
      <c r="Z185" s="2" t="str">
        <f>VESPUCIO!Y3</f>
        <v>Stock Actual</v>
      </c>
      <c r="AA185" s="2" t="str">
        <f>VESPUCIO!Z3</f>
        <v>Stock Actual</v>
      </c>
      <c r="AB185" s="2" t="str">
        <f>VESPUCIO!AA3</f>
        <v>Stock Actual</v>
      </c>
      <c r="AC185" s="2" t="str">
        <f>VESPUCIO!AB3</f>
        <v>Stock Actual</v>
      </c>
      <c r="AD185" s="2" t="str">
        <f>VESPUCIO!AC3</f>
        <v>Stock Actual</v>
      </c>
      <c r="AE185" s="2" t="str">
        <f>VESPUCIO!AD3</f>
        <v>Stock Actual</v>
      </c>
      <c r="AF185" s="2" t="str">
        <f>VESPUCIO!AE3</f>
        <v>Stock Actual</v>
      </c>
      <c r="AG185" s="2" t="str">
        <f>VESPUCIO!AF3</f>
        <v>Stock Actual</v>
      </c>
      <c r="AH185" s="2" t="str">
        <f>VESPUCIO!AG3</f>
        <v>Stock Actual</v>
      </c>
      <c r="AI185" s="2" t="str">
        <f>VESPUCIO!AH3</f>
        <v>Stock Actual</v>
      </c>
      <c r="AJ185" s="2" t="str">
        <f>VESPUCIO!AI3</f>
        <v>Stock Actual</v>
      </c>
      <c r="AK185" s="2" t="str">
        <f>VESPUCIO!AJ3</f>
        <v>Stock Actual</v>
      </c>
      <c r="AL185" s="2" t="str">
        <f>VESPUCIO!AK3</f>
        <v>Stock Actual</v>
      </c>
      <c r="AM185" s="2" t="str">
        <f>VESPUCIO!AL3</f>
        <v>Stock Actual</v>
      </c>
      <c r="AN185" s="2" t="str">
        <f>VESPUCIO!AM3</f>
        <v>Stock Actual</v>
      </c>
      <c r="AO185" s="2" t="str">
        <f>VESPUCIO!AN3</f>
        <v>Stock Actual</v>
      </c>
      <c r="AP185" s="2" t="str">
        <f>VESPUCIO!AO3</f>
        <v>Stock Actual</v>
      </c>
      <c r="AQ185" s="2" t="str">
        <f>VESPUCIO!AP3</f>
        <v>Stock Actual</v>
      </c>
      <c r="AR185" s="2" t="str">
        <f>VESPUCIO!AQ3</f>
        <v>Stock Actual</v>
      </c>
      <c r="AS185" s="2" t="str">
        <f>VESPUCIO!AR3</f>
        <v>Stock Actual</v>
      </c>
      <c r="AT185" s="2" t="str">
        <f>VESPUCIO!AS3</f>
        <v>Stock Actual</v>
      </c>
      <c r="AU185" s="2" t="str">
        <f>VESPUCIO!AT3</f>
        <v>Stock Actual</v>
      </c>
      <c r="AV185" s="2" t="str">
        <f>VESPUCIO!AU3</f>
        <v>Stock Actual</v>
      </c>
      <c r="AW185" s="2" t="str">
        <f>VESPUCIO!AV3</f>
        <v>Stock Actual</v>
      </c>
      <c r="AX185" s="2" t="str">
        <f>VESPUCIO!AW3</f>
        <v>Stock Actual</v>
      </c>
      <c r="AY185" s="2" t="str">
        <f>VESPUCIO!AX3</f>
        <v>Stock Actual</v>
      </c>
      <c r="AZ185" s="2" t="str">
        <f>VESPUCIO!AY3</f>
        <v>Stock Actual</v>
      </c>
      <c r="BA185" s="2" t="str">
        <f>VESPUCIO!AZ3</f>
        <v>Stock Actual</v>
      </c>
      <c r="BB185" s="2" t="str">
        <f>VESPUCIO!BA3</f>
        <v>Stock Actual</v>
      </c>
      <c r="BC185" s="2" t="str">
        <f>VESPUCIO!BB3</f>
        <v/>
      </c>
      <c r="BD185" s="2" t="str">
        <f>VESPUCIO!BC3</f>
        <v/>
      </c>
      <c r="BE185" s="2" t="str">
        <f>VESPUCIO!BD3</f>
        <v/>
      </c>
      <c r="BF185" s="2" t="str">
        <f>VESPUCIO!BE3</f>
        <v/>
      </c>
      <c r="BG185" s="2" t="str">
        <f>VESPUCIO!BF3</f>
        <v/>
      </c>
      <c r="BH185" s="2" t="str">
        <f>VESPUCIO!BY3</f>
        <v/>
      </c>
      <c r="BI185" s="2" t="str">
        <f>VESPUCIO!BZ3</f>
        <v/>
      </c>
      <c r="BJ185" s="2" t="str">
        <f>VESPUCIO!CA3</f>
        <v/>
      </c>
      <c r="BK185" s="2" t="str">
        <f>VESPUCIO!CB3</f>
        <v/>
      </c>
      <c r="BL185" s="2" t="str">
        <f>VESPUCIO!CC3</f>
        <v/>
      </c>
      <c r="BM185" s="2" t="str">
        <f>VESPUCIO!CD3</f>
        <v/>
      </c>
      <c r="BN185" s="2" t="str">
        <f>VESPUCIO!CE3</f>
        <v/>
      </c>
      <c r="BO185" s="2" t="str">
        <f>VESPUCIO!CF3</f>
        <v/>
      </c>
      <c r="BP185" s="2" t="str">
        <f>VESPUCIO!CG3</f>
        <v/>
      </c>
      <c r="BQ185" s="2" t="str">
        <f>VESPUCIO!CH3</f>
        <v/>
      </c>
      <c r="BR185" s="2" t="str">
        <f>VESPUCIO!CI3</f>
        <v/>
      </c>
      <c r="BS185" s="2" t="str">
        <f>VESPUCIO!CJ3</f>
        <v/>
      </c>
      <c r="BT185" s="2" t="str">
        <f>VESPUCIO!CK3</f>
        <v/>
      </c>
      <c r="BU185" s="2"/>
      <c r="BV185" s="2"/>
      <c r="BW185" s="2"/>
      <c r="BX185" s="2"/>
      <c r="BY185" s="2"/>
      <c r="BZ185" s="2"/>
      <c r="CA185" s="2"/>
      <c r="CB185" s="2"/>
      <c r="CC185" s="2"/>
    </row>
    <row r="186">
      <c r="A186" s="2"/>
      <c r="B186" s="2" t="str">
        <f>VESPUCIO!A4</f>
        <v>Vespucio</v>
      </c>
      <c r="C186" s="2" t="str">
        <f>VESPUCIO!B4</f>
        <v>Cafeteria</v>
      </c>
      <c r="D186" s="2" t="str">
        <f>VESPUCIO!C4</f>
        <v>Aceite de oliva </v>
      </c>
      <c r="E186" s="2" t="str">
        <f>VESPUCIO!D4</f>
        <v/>
      </c>
      <c r="F186" s="2" t="str">
        <f>VESPUCIO!E4</f>
        <v/>
      </c>
      <c r="G186" s="2" t="str">
        <f>VESPUCIO!F4</f>
        <v/>
      </c>
      <c r="H186" s="2" t="str">
        <f>VESPUCIO!G4</f>
        <v/>
      </c>
      <c r="I186" s="2" t="str">
        <f>VESPUCIO!H4</f>
        <v/>
      </c>
      <c r="J186" s="2" t="str">
        <f>VESPUCIO!I4</f>
        <v/>
      </c>
      <c r="K186" s="2" t="str">
        <f>VESPUCIO!J4</f>
        <v/>
      </c>
      <c r="L186" s="2" t="str">
        <f>VESPUCIO!K4</f>
        <v/>
      </c>
      <c r="M186" s="2" t="str">
        <f>VESPUCIO!L4</f>
        <v/>
      </c>
      <c r="N186" s="2" t="str">
        <f>VESPUCIO!M4</f>
        <v/>
      </c>
      <c r="O186" s="2" t="str">
        <f>VESPUCIO!N4</f>
        <v/>
      </c>
      <c r="P186" s="2" t="str">
        <f>VESPUCIO!O4</f>
        <v/>
      </c>
      <c r="Q186" s="2" t="str">
        <f>VESPUCIO!P4</f>
        <v/>
      </c>
      <c r="R186" s="2" t="str">
        <f>VESPUCIO!Q4</f>
        <v/>
      </c>
      <c r="S186" s="2" t="str">
        <f>VESPUCIO!R4</f>
        <v/>
      </c>
      <c r="T186" s="2" t="str">
        <f>VESPUCIO!S4</f>
        <v/>
      </c>
      <c r="U186" s="2" t="str">
        <f>VESPUCIO!T4</f>
        <v/>
      </c>
      <c r="V186" s="2" t="str">
        <f>VESPUCIO!U4</f>
        <v/>
      </c>
      <c r="W186" s="2" t="str">
        <f>VESPUCIO!V4</f>
        <v/>
      </c>
      <c r="X186" s="2" t="str">
        <f>VESPUCIO!W4</f>
        <v/>
      </c>
      <c r="Y186" s="2" t="str">
        <f>VESPUCIO!X4</f>
        <v/>
      </c>
      <c r="Z186" s="2" t="str">
        <f>VESPUCIO!Y4</f>
        <v/>
      </c>
      <c r="AA186" s="2" t="str">
        <f>VESPUCIO!Z4</f>
        <v/>
      </c>
      <c r="AB186" s="2" t="str">
        <f>VESPUCIO!AA4</f>
        <v/>
      </c>
      <c r="AC186" s="2" t="str">
        <f>VESPUCIO!AB4</f>
        <v/>
      </c>
      <c r="AD186" s="2" t="str">
        <f>VESPUCIO!AC4</f>
        <v/>
      </c>
      <c r="AE186" s="2" t="str">
        <f>VESPUCIO!AD4</f>
        <v/>
      </c>
      <c r="AF186" s="2" t="str">
        <f>VESPUCIO!AE4</f>
        <v/>
      </c>
      <c r="AG186" s="2" t="str">
        <f>VESPUCIO!AF4</f>
        <v/>
      </c>
      <c r="AH186" s="2" t="str">
        <f>VESPUCIO!AG4</f>
        <v/>
      </c>
      <c r="AI186" s="2" t="str">
        <f>VESPUCIO!AH4</f>
        <v/>
      </c>
      <c r="AJ186" s="2" t="str">
        <f>VESPUCIO!AI4</f>
        <v/>
      </c>
      <c r="AK186" s="2" t="str">
        <f>VESPUCIO!AJ4</f>
        <v/>
      </c>
      <c r="AL186" s="2" t="str">
        <f>VESPUCIO!AK4</f>
        <v/>
      </c>
      <c r="AM186" s="2" t="str">
        <f>VESPUCIO!AL4</f>
        <v>-</v>
      </c>
      <c r="AN186" s="2" t="str">
        <f>VESPUCIO!AM4</f>
        <v>-</v>
      </c>
      <c r="AO186" s="2" t="str">
        <f>VESPUCIO!AN4</f>
        <v>-</v>
      </c>
      <c r="AP186" s="2">
        <f>VESPUCIO!AO4</f>
        <v>3</v>
      </c>
      <c r="AQ186" s="2">
        <f>VESPUCIO!AP4</f>
        <v>3</v>
      </c>
      <c r="AR186" s="2">
        <f>VESPUCIO!AQ4</f>
        <v>3</v>
      </c>
      <c r="AS186" s="2">
        <f>VESPUCIO!AR4</f>
        <v>3</v>
      </c>
      <c r="AT186" s="2">
        <f>VESPUCIO!AS4</f>
        <v>5</v>
      </c>
      <c r="AU186" s="2">
        <f>VESPUCIO!AT4</f>
        <v>5</v>
      </c>
      <c r="AV186" s="2">
        <f>VESPUCIO!AU4</f>
        <v>4</v>
      </c>
      <c r="AW186" s="2">
        <f>VESPUCIO!AV4</f>
        <v>3</v>
      </c>
      <c r="AX186" s="2">
        <f>VESPUCIO!AW4</f>
        <v>3</v>
      </c>
      <c r="AY186" s="2">
        <f>VESPUCIO!AX4</f>
        <v>3</v>
      </c>
      <c r="AZ186" s="2">
        <f>VESPUCIO!AY4</f>
        <v>2</v>
      </c>
      <c r="BA186" s="2">
        <f>VESPUCIO!AZ4</f>
        <v>2</v>
      </c>
      <c r="BB186" s="2">
        <f>VESPUCIO!BA4</f>
        <v>1</v>
      </c>
      <c r="BC186" s="2" t="str">
        <f>VESPUCIO!BB4</f>
        <v/>
      </c>
      <c r="BD186" s="2" t="str">
        <f>VESPUCIO!BC4</f>
        <v/>
      </c>
      <c r="BE186" s="2" t="str">
        <f>VESPUCIO!BD4</f>
        <v/>
      </c>
      <c r="BF186" s="2" t="str">
        <f>VESPUCIO!BE4</f>
        <v/>
      </c>
      <c r="BG186" s="2" t="str">
        <f>VESPUCIO!BF4</f>
        <v/>
      </c>
      <c r="BH186" s="2" t="str">
        <f>VESPUCIO!BY4</f>
        <v/>
      </c>
      <c r="BI186" s="2" t="str">
        <f>VESPUCIO!BZ4</f>
        <v/>
      </c>
      <c r="BJ186" s="2" t="str">
        <f>VESPUCIO!CA4</f>
        <v/>
      </c>
      <c r="BK186" s="2" t="str">
        <f>VESPUCIO!CB4</f>
        <v/>
      </c>
      <c r="BL186" s="2" t="str">
        <f>VESPUCIO!CC4</f>
        <v/>
      </c>
      <c r="BM186" s="2" t="str">
        <f>VESPUCIO!CD4</f>
        <v/>
      </c>
      <c r="BN186" s="2" t="str">
        <f>VESPUCIO!CE4</f>
        <v/>
      </c>
      <c r="BO186" s="2" t="str">
        <f>VESPUCIO!CF4</f>
        <v/>
      </c>
      <c r="BP186" s="2" t="str">
        <f>VESPUCIO!CG4</f>
        <v/>
      </c>
      <c r="BQ186" s="2" t="str">
        <f>VESPUCIO!CH4</f>
        <v/>
      </c>
      <c r="BR186" s="2" t="str">
        <f>VESPUCIO!CI4</f>
        <v/>
      </c>
      <c r="BS186" s="2" t="str">
        <f>VESPUCIO!CJ4</f>
        <v/>
      </c>
      <c r="BT186" s="2" t="str">
        <f>VESPUCIO!CK4</f>
        <v/>
      </c>
      <c r="BU186" s="2"/>
      <c r="BV186" s="2"/>
      <c r="BW186" s="2"/>
      <c r="BX186" s="2"/>
      <c r="BY186" s="2"/>
      <c r="BZ186" s="2"/>
      <c r="CA186" s="2"/>
      <c r="CB186" s="2"/>
      <c r="CC186" s="2"/>
    </row>
    <row r="187">
      <c r="A187" s="2"/>
      <c r="B187" s="2" t="str">
        <f>VESPUCIO!A5</f>
        <v>Vespucio</v>
      </c>
      <c r="C187" s="2" t="str">
        <f>VESPUCIO!B5</f>
        <v>Cafeteria</v>
      </c>
      <c r="D187" s="2" t="str">
        <f>VESPUCIO!C5</f>
        <v>Aceto Balsamico </v>
      </c>
      <c r="E187" s="2" t="str">
        <f>VESPUCIO!D5</f>
        <v/>
      </c>
      <c r="F187" s="2" t="str">
        <f>VESPUCIO!E5</f>
        <v/>
      </c>
      <c r="G187" s="2" t="str">
        <f>VESPUCIO!F5</f>
        <v/>
      </c>
      <c r="H187" s="2" t="str">
        <f>VESPUCIO!G5</f>
        <v/>
      </c>
      <c r="I187" s="2" t="str">
        <f>VESPUCIO!H5</f>
        <v/>
      </c>
      <c r="J187" s="2" t="str">
        <f>VESPUCIO!I5</f>
        <v/>
      </c>
      <c r="K187" s="2" t="str">
        <f>VESPUCIO!J5</f>
        <v/>
      </c>
      <c r="L187" s="2" t="str">
        <f>VESPUCIO!K5</f>
        <v/>
      </c>
      <c r="M187" s="2" t="str">
        <f>VESPUCIO!L5</f>
        <v/>
      </c>
      <c r="N187" s="2" t="str">
        <f>VESPUCIO!M5</f>
        <v/>
      </c>
      <c r="O187" s="2" t="str">
        <f>VESPUCIO!N5</f>
        <v/>
      </c>
      <c r="P187" s="2" t="str">
        <f>VESPUCIO!O5</f>
        <v/>
      </c>
      <c r="Q187" s="2" t="str">
        <f>VESPUCIO!P5</f>
        <v/>
      </c>
      <c r="R187" s="2" t="str">
        <f>VESPUCIO!Q5</f>
        <v/>
      </c>
      <c r="S187" s="2" t="str">
        <f>VESPUCIO!R5</f>
        <v/>
      </c>
      <c r="T187" s="2" t="str">
        <f>VESPUCIO!S5</f>
        <v/>
      </c>
      <c r="U187" s="2" t="str">
        <f>VESPUCIO!T5</f>
        <v/>
      </c>
      <c r="V187" s="2" t="str">
        <f>VESPUCIO!U5</f>
        <v/>
      </c>
      <c r="W187" s="2" t="str">
        <f>VESPUCIO!V5</f>
        <v/>
      </c>
      <c r="X187" s="2" t="str">
        <f>VESPUCIO!W5</f>
        <v/>
      </c>
      <c r="Y187" s="2" t="str">
        <f>VESPUCIO!X5</f>
        <v/>
      </c>
      <c r="Z187" s="2" t="str">
        <f>VESPUCIO!Y5</f>
        <v/>
      </c>
      <c r="AA187" s="2" t="str">
        <f>VESPUCIO!Z5</f>
        <v/>
      </c>
      <c r="AB187" s="2" t="str">
        <f>VESPUCIO!AA5</f>
        <v/>
      </c>
      <c r="AC187" s="2" t="str">
        <f>VESPUCIO!AB5</f>
        <v/>
      </c>
      <c r="AD187" s="2" t="str">
        <f>VESPUCIO!AC5</f>
        <v/>
      </c>
      <c r="AE187" s="2" t="str">
        <f>VESPUCIO!AD5</f>
        <v/>
      </c>
      <c r="AF187" s="2" t="str">
        <f>VESPUCIO!AE5</f>
        <v/>
      </c>
      <c r="AG187" s="2" t="str">
        <f>VESPUCIO!AF5</f>
        <v/>
      </c>
      <c r="AH187" s="2" t="str">
        <f>VESPUCIO!AG5</f>
        <v/>
      </c>
      <c r="AI187" s="2" t="str">
        <f>VESPUCIO!AH5</f>
        <v/>
      </c>
      <c r="AJ187" s="2" t="str">
        <f>VESPUCIO!AI5</f>
        <v/>
      </c>
      <c r="AK187" s="2" t="str">
        <f>VESPUCIO!AJ5</f>
        <v/>
      </c>
      <c r="AL187" s="2" t="str">
        <f>VESPUCIO!AK5</f>
        <v/>
      </c>
      <c r="AM187" s="2" t="str">
        <f>VESPUCIO!AL5</f>
        <v>-</v>
      </c>
      <c r="AN187" s="2" t="str">
        <f>VESPUCIO!AM5</f>
        <v>-</v>
      </c>
      <c r="AO187" s="2" t="str">
        <f>VESPUCIO!AN5</f>
        <v>-</v>
      </c>
      <c r="AP187" s="2">
        <f>VESPUCIO!AO5</f>
        <v>2</v>
      </c>
      <c r="AQ187" s="2">
        <f>VESPUCIO!AP5</f>
        <v>2</v>
      </c>
      <c r="AR187" s="2">
        <f>VESPUCIO!AQ5</f>
        <v>2</v>
      </c>
      <c r="AS187" s="2">
        <f>VESPUCIO!AR5</f>
        <v>2</v>
      </c>
      <c r="AT187" s="2">
        <f>VESPUCIO!AS5</f>
        <v>5</v>
      </c>
      <c r="AU187" s="2">
        <f>VESPUCIO!AT5</f>
        <v>5</v>
      </c>
      <c r="AV187" s="2">
        <f>VESPUCIO!AU5</f>
        <v>5</v>
      </c>
      <c r="AW187" s="2">
        <f>VESPUCIO!AV5</f>
        <v>4</v>
      </c>
      <c r="AX187" s="2">
        <f>VESPUCIO!AW5</f>
        <v>4</v>
      </c>
      <c r="AY187" s="2">
        <f>VESPUCIO!AX5</f>
        <v>4</v>
      </c>
      <c r="AZ187" s="2">
        <f>VESPUCIO!AY5</f>
        <v>3</v>
      </c>
      <c r="BA187" s="2">
        <f>VESPUCIO!AZ5</f>
        <v>2</v>
      </c>
      <c r="BB187" s="2">
        <f>VESPUCIO!BA5</f>
        <v>1</v>
      </c>
      <c r="BC187" s="2" t="str">
        <f>VESPUCIO!BB5</f>
        <v/>
      </c>
      <c r="BD187" s="2" t="str">
        <f>VESPUCIO!BC5</f>
        <v/>
      </c>
      <c r="BE187" s="2" t="str">
        <f>VESPUCIO!BD5</f>
        <v/>
      </c>
      <c r="BF187" s="2" t="str">
        <f>VESPUCIO!BE5</f>
        <v/>
      </c>
      <c r="BG187" s="2" t="str">
        <f>VESPUCIO!BF5</f>
        <v/>
      </c>
      <c r="BH187" s="2" t="str">
        <f>VESPUCIO!BY5</f>
        <v/>
      </c>
      <c r="BI187" s="2" t="str">
        <f>VESPUCIO!BZ5</f>
        <v/>
      </c>
      <c r="BJ187" s="2" t="str">
        <f>VESPUCIO!CA5</f>
        <v/>
      </c>
      <c r="BK187" s="2" t="str">
        <f>VESPUCIO!CB5</f>
        <v/>
      </c>
      <c r="BL187" s="2" t="str">
        <f>VESPUCIO!CC5</f>
        <v/>
      </c>
      <c r="BM187" s="2" t="str">
        <f>VESPUCIO!CD5</f>
        <v/>
      </c>
      <c r="BN187" s="2" t="str">
        <f>VESPUCIO!CE5</f>
        <v/>
      </c>
      <c r="BO187" s="2" t="str">
        <f>VESPUCIO!CF5</f>
        <v/>
      </c>
      <c r="BP187" s="2" t="str">
        <f>VESPUCIO!CG5</f>
        <v/>
      </c>
      <c r="BQ187" s="2" t="str">
        <f>VESPUCIO!CH5</f>
        <v/>
      </c>
      <c r="BR187" s="2" t="str">
        <f>VESPUCIO!CI5</f>
        <v/>
      </c>
      <c r="BS187" s="2" t="str">
        <f>VESPUCIO!CJ5</f>
        <v/>
      </c>
      <c r="BT187" s="2" t="str">
        <f>VESPUCIO!CK5</f>
        <v/>
      </c>
      <c r="BU187" s="2"/>
      <c r="BV187" s="2"/>
      <c r="BW187" s="2"/>
      <c r="BX187" s="2"/>
      <c r="BY187" s="2"/>
      <c r="BZ187" s="2"/>
      <c r="CA187" s="2"/>
      <c r="CB187" s="2"/>
      <c r="CC187" s="2"/>
    </row>
    <row r="188">
      <c r="A188" s="2"/>
      <c r="B188" s="2" t="str">
        <f>VESPUCIO!A6</f>
        <v>Vespucio</v>
      </c>
      <c r="C188" s="2" t="str">
        <f>VESPUCIO!B6</f>
        <v>Cafeteria</v>
      </c>
      <c r="D188" s="2" t="str">
        <f>VESPUCIO!C6</f>
        <v>Cafe Granulado</v>
      </c>
      <c r="E188" s="2" t="str">
        <f>VESPUCIO!D6</f>
        <v/>
      </c>
      <c r="F188" s="2" t="str">
        <f>VESPUCIO!E6</f>
        <v/>
      </c>
      <c r="G188" s="2" t="str">
        <f>VESPUCIO!F6</f>
        <v/>
      </c>
      <c r="H188" s="2" t="str">
        <f>VESPUCIO!G6</f>
        <v/>
      </c>
      <c r="I188" s="2" t="str">
        <f>VESPUCIO!H6</f>
        <v/>
      </c>
      <c r="J188" s="2" t="str">
        <f>VESPUCIO!I6</f>
        <v/>
      </c>
      <c r="K188" s="2" t="str">
        <f>VESPUCIO!J6</f>
        <v/>
      </c>
      <c r="L188" s="2" t="str">
        <f>VESPUCIO!K6</f>
        <v/>
      </c>
      <c r="M188" s="2" t="str">
        <f>VESPUCIO!L6</f>
        <v/>
      </c>
      <c r="N188" s="2" t="str">
        <f>VESPUCIO!M6</f>
        <v/>
      </c>
      <c r="O188" s="2" t="str">
        <f>VESPUCIO!N6</f>
        <v/>
      </c>
      <c r="P188" s="2" t="str">
        <f>VESPUCIO!O6</f>
        <v/>
      </c>
      <c r="Q188" s="2" t="str">
        <f>VESPUCIO!P6</f>
        <v/>
      </c>
      <c r="R188" s="2" t="str">
        <f>VESPUCIO!Q6</f>
        <v/>
      </c>
      <c r="S188" s="2" t="str">
        <f>VESPUCIO!R6</f>
        <v/>
      </c>
      <c r="T188" s="2" t="str">
        <f>VESPUCIO!S6</f>
        <v/>
      </c>
      <c r="U188" s="2" t="str">
        <f>VESPUCIO!T6</f>
        <v/>
      </c>
      <c r="V188" s="2" t="str">
        <f>VESPUCIO!U6</f>
        <v/>
      </c>
      <c r="W188" s="2" t="str">
        <f>VESPUCIO!V6</f>
        <v/>
      </c>
      <c r="X188" s="2" t="str">
        <f>VESPUCIO!W6</f>
        <v/>
      </c>
      <c r="Y188" s="2" t="str">
        <f>VESPUCIO!X6</f>
        <v/>
      </c>
      <c r="Z188" s="2" t="str">
        <f>VESPUCIO!Y6</f>
        <v/>
      </c>
      <c r="AA188" s="2" t="str">
        <f>VESPUCIO!Z6</f>
        <v/>
      </c>
      <c r="AB188" s="2" t="str">
        <f>VESPUCIO!AA6</f>
        <v/>
      </c>
      <c r="AC188" s="2" t="str">
        <f>VESPUCIO!AB6</f>
        <v/>
      </c>
      <c r="AD188" s="2" t="str">
        <f>VESPUCIO!AC6</f>
        <v/>
      </c>
      <c r="AE188" s="2" t="str">
        <f>VESPUCIO!AD6</f>
        <v/>
      </c>
      <c r="AF188" s="2" t="str">
        <f>VESPUCIO!AE6</f>
        <v/>
      </c>
      <c r="AG188" s="2" t="str">
        <f>VESPUCIO!AF6</f>
        <v/>
      </c>
      <c r="AH188" s="2" t="str">
        <f>VESPUCIO!AG6</f>
        <v/>
      </c>
      <c r="AI188" s="2" t="str">
        <f>VESPUCIO!AH6</f>
        <v/>
      </c>
      <c r="AJ188" s="2" t="str">
        <f>VESPUCIO!AI6</f>
        <v/>
      </c>
      <c r="AK188" s="2" t="str">
        <f>VESPUCIO!AJ6</f>
        <v/>
      </c>
      <c r="AL188" s="2" t="str">
        <f>VESPUCIO!AK6</f>
        <v/>
      </c>
      <c r="AM188" s="2" t="str">
        <f>VESPUCIO!AL6</f>
        <v>-</v>
      </c>
      <c r="AN188" s="2" t="str">
        <f>VESPUCIO!AM6</f>
        <v>-</v>
      </c>
      <c r="AO188" s="2" t="str">
        <f>VESPUCIO!AN6</f>
        <v>-</v>
      </c>
      <c r="AP188" s="2">
        <f>VESPUCIO!AO6</f>
        <v>4</v>
      </c>
      <c r="AQ188" s="2">
        <f>VESPUCIO!AP6</f>
        <v>4</v>
      </c>
      <c r="AR188" s="2">
        <f>VESPUCIO!AQ6</f>
        <v>4</v>
      </c>
      <c r="AS188" s="2">
        <f>VESPUCIO!AR6</f>
        <v>4</v>
      </c>
      <c r="AT188" s="2">
        <f>VESPUCIO!AS6</f>
        <v>4</v>
      </c>
      <c r="AU188" s="2">
        <f>VESPUCIO!AT6</f>
        <v>3</v>
      </c>
      <c r="AV188" s="2">
        <f>VESPUCIO!AU6</f>
        <v>3</v>
      </c>
      <c r="AW188" s="2">
        <f>VESPUCIO!AV6</f>
        <v>3</v>
      </c>
      <c r="AX188" s="2">
        <f>VESPUCIO!AW6</f>
        <v>3</v>
      </c>
      <c r="AY188" s="2">
        <f>VESPUCIO!AX6</f>
        <v>3</v>
      </c>
      <c r="AZ188" s="2">
        <f>VESPUCIO!AY6</f>
        <v>3</v>
      </c>
      <c r="BA188" s="2">
        <f>VESPUCIO!AZ6</f>
        <v>3</v>
      </c>
      <c r="BB188" s="2">
        <f>VESPUCIO!BA6</f>
        <v>3</v>
      </c>
      <c r="BC188" s="2" t="str">
        <f>VESPUCIO!BB6</f>
        <v/>
      </c>
      <c r="BD188" s="2" t="str">
        <f>VESPUCIO!BC6</f>
        <v/>
      </c>
      <c r="BE188" s="2" t="str">
        <f>VESPUCIO!BD6</f>
        <v/>
      </c>
      <c r="BF188" s="2" t="str">
        <f>VESPUCIO!BE6</f>
        <v/>
      </c>
      <c r="BG188" s="2" t="str">
        <f>VESPUCIO!BF6</f>
        <v/>
      </c>
      <c r="BH188" s="2" t="str">
        <f>VESPUCIO!BY6</f>
        <v/>
      </c>
      <c r="BI188" s="2" t="str">
        <f>VESPUCIO!BZ6</f>
        <v/>
      </c>
      <c r="BJ188" s="2" t="str">
        <f>VESPUCIO!CA6</f>
        <v/>
      </c>
      <c r="BK188" s="2" t="str">
        <f>VESPUCIO!CB6</f>
        <v/>
      </c>
      <c r="BL188" s="2" t="str">
        <f>VESPUCIO!CC6</f>
        <v/>
      </c>
      <c r="BM188" s="2" t="str">
        <f>VESPUCIO!CD6</f>
        <v/>
      </c>
      <c r="BN188" s="2" t="str">
        <f>VESPUCIO!CE6</f>
        <v/>
      </c>
      <c r="BO188" s="2" t="str">
        <f>VESPUCIO!CF6</f>
        <v/>
      </c>
      <c r="BP188" s="2" t="str">
        <f>VESPUCIO!CG6</f>
        <v/>
      </c>
      <c r="BQ188" s="2" t="str">
        <f>VESPUCIO!CH6</f>
        <v/>
      </c>
      <c r="BR188" s="2" t="str">
        <f>VESPUCIO!CI6</f>
        <v/>
      </c>
      <c r="BS188" s="2" t="str">
        <f>VESPUCIO!CJ6</f>
        <v/>
      </c>
      <c r="BT188" s="2" t="str">
        <f>VESPUCIO!CK6</f>
        <v/>
      </c>
      <c r="BU188" s="2"/>
      <c r="BV188" s="2"/>
      <c r="BW188" s="2"/>
      <c r="BX188" s="2"/>
      <c r="BY188" s="2"/>
      <c r="BZ188" s="2"/>
      <c r="CA188" s="2"/>
      <c r="CB188" s="2"/>
      <c r="CC188" s="2"/>
    </row>
    <row r="189">
      <c r="A189" s="2"/>
      <c r="B189" s="2" t="str">
        <f>VESPUCIO!A7</f>
        <v>Vespucio</v>
      </c>
      <c r="C189" s="2" t="str">
        <f>VESPUCIO!B7</f>
        <v>Cafeteria</v>
      </c>
      <c r="D189" s="2" t="str">
        <f>VESPUCIO!C7</f>
        <v>Endulzante</v>
      </c>
      <c r="E189" s="2" t="str">
        <f>VESPUCIO!D7</f>
        <v/>
      </c>
      <c r="F189" s="2" t="str">
        <f>VESPUCIO!E7</f>
        <v/>
      </c>
      <c r="G189" s="2" t="str">
        <f>VESPUCIO!F7</f>
        <v/>
      </c>
      <c r="H189" s="2" t="str">
        <f>VESPUCIO!G7</f>
        <v/>
      </c>
      <c r="I189" s="2" t="str">
        <f>VESPUCIO!H7</f>
        <v/>
      </c>
      <c r="J189" s="2" t="str">
        <f>VESPUCIO!I7</f>
        <v/>
      </c>
      <c r="K189" s="2" t="str">
        <f>VESPUCIO!J7</f>
        <v/>
      </c>
      <c r="L189" s="2" t="str">
        <f>VESPUCIO!K7</f>
        <v/>
      </c>
      <c r="M189" s="2" t="str">
        <f>VESPUCIO!L7</f>
        <v/>
      </c>
      <c r="N189" s="2" t="str">
        <f>VESPUCIO!M7</f>
        <v/>
      </c>
      <c r="O189" s="2" t="str">
        <f>VESPUCIO!N7</f>
        <v/>
      </c>
      <c r="P189" s="2" t="str">
        <f>VESPUCIO!O7</f>
        <v/>
      </c>
      <c r="Q189" s="2" t="str">
        <f>VESPUCIO!P7</f>
        <v/>
      </c>
      <c r="R189" s="2" t="str">
        <f>VESPUCIO!Q7</f>
        <v/>
      </c>
      <c r="S189" s="2">
        <f>VESPUCIO!R7</f>
        <v>0</v>
      </c>
      <c r="T189" s="2">
        <f>VESPUCIO!S7</f>
        <v>0</v>
      </c>
      <c r="U189" s="2">
        <f>VESPUCIO!T7</f>
        <v>0</v>
      </c>
      <c r="V189" s="2">
        <f>VESPUCIO!U7</f>
        <v>0</v>
      </c>
      <c r="W189" s="2">
        <f>VESPUCIO!V7</f>
        <v>0</v>
      </c>
      <c r="X189" s="2">
        <f>VESPUCIO!W7</f>
        <v>0</v>
      </c>
      <c r="Y189" s="2">
        <f>VESPUCIO!X7</f>
        <v>0</v>
      </c>
      <c r="Z189" s="2">
        <f>VESPUCIO!Y7</f>
        <v>0</v>
      </c>
      <c r="AA189" s="2">
        <f>VESPUCIO!Z7</f>
        <v>0</v>
      </c>
      <c r="AB189" s="2">
        <f>VESPUCIO!AA7</f>
        <v>3</v>
      </c>
      <c r="AC189" s="2">
        <f>VESPUCIO!AB7</f>
        <v>2</v>
      </c>
      <c r="AD189" s="2">
        <f>VESPUCIO!AC7</f>
        <v>1</v>
      </c>
      <c r="AE189" s="2">
        <f>VESPUCIO!AD7</f>
        <v>3</v>
      </c>
      <c r="AF189" s="2">
        <f>VESPUCIO!AE7</f>
        <v>3</v>
      </c>
      <c r="AG189" s="2">
        <f>VESPUCIO!AF7</f>
        <v>4</v>
      </c>
      <c r="AH189" s="2">
        <f>VESPUCIO!AG7</f>
        <v>4</v>
      </c>
      <c r="AI189" s="2">
        <f>VESPUCIO!AH7</f>
        <v>4</v>
      </c>
      <c r="AJ189" s="2">
        <f>VESPUCIO!AI7</f>
        <v>5</v>
      </c>
      <c r="AK189" s="2">
        <f>VESPUCIO!AJ7</f>
        <v>5</v>
      </c>
      <c r="AL189" s="2">
        <f>VESPUCIO!AK7</f>
        <v>4</v>
      </c>
      <c r="AM189" s="2">
        <f>VESPUCIO!AL7</f>
        <v>3</v>
      </c>
      <c r="AN189" s="2">
        <f>VESPUCIO!AM7</f>
        <v>3</v>
      </c>
      <c r="AO189" s="2">
        <f>VESPUCIO!AN7</f>
        <v>4</v>
      </c>
      <c r="AP189" s="2">
        <f>VESPUCIO!AO7</f>
        <v>4</v>
      </c>
      <c r="AQ189" s="2">
        <f>VESPUCIO!AP7</f>
        <v>4</v>
      </c>
      <c r="AR189" s="2">
        <f>VESPUCIO!AQ7</f>
        <v>4</v>
      </c>
      <c r="AS189" s="2">
        <f>VESPUCIO!AR7</f>
        <v>4</v>
      </c>
      <c r="AT189" s="2">
        <f>VESPUCIO!AS7</f>
        <v>4</v>
      </c>
      <c r="AU189" s="2">
        <f>VESPUCIO!AT7</f>
        <v>4</v>
      </c>
      <c r="AV189" s="2">
        <f>VESPUCIO!AU7</f>
        <v>4</v>
      </c>
      <c r="AW189" s="2">
        <f>VESPUCIO!AV7</f>
        <v>3</v>
      </c>
      <c r="AX189" s="2">
        <f>VESPUCIO!AW7</f>
        <v>3</v>
      </c>
      <c r="AY189" s="2">
        <f>VESPUCIO!AX7</f>
        <v>3</v>
      </c>
      <c r="AZ189" s="2">
        <f>VESPUCIO!AY7</f>
        <v>7</v>
      </c>
      <c r="BA189" s="2">
        <f>VESPUCIO!AZ7</f>
        <v>6</v>
      </c>
      <c r="BB189" s="2">
        <f>VESPUCIO!BA7</f>
        <v>6</v>
      </c>
      <c r="BC189" s="2" t="str">
        <f>VESPUCIO!BB7</f>
        <v/>
      </c>
      <c r="BD189" s="2" t="str">
        <f>VESPUCIO!BC7</f>
        <v/>
      </c>
      <c r="BE189" s="2" t="str">
        <f>VESPUCIO!BD7</f>
        <v/>
      </c>
      <c r="BF189" s="2" t="str">
        <f>VESPUCIO!BE7</f>
        <v/>
      </c>
      <c r="BG189" s="2" t="str">
        <f>VESPUCIO!BF7</f>
        <v/>
      </c>
      <c r="BH189" s="2" t="str">
        <f>VESPUCIO!BY7</f>
        <v/>
      </c>
      <c r="BI189" s="2" t="str">
        <f>VESPUCIO!BZ7</f>
        <v/>
      </c>
      <c r="BJ189" s="2" t="str">
        <f>VESPUCIO!CA7</f>
        <v/>
      </c>
      <c r="BK189" s="2" t="str">
        <f>VESPUCIO!CB7</f>
        <v/>
      </c>
      <c r="BL189" s="2" t="str">
        <f>VESPUCIO!CC7</f>
        <v/>
      </c>
      <c r="BM189" s="2" t="str">
        <f>VESPUCIO!CD7</f>
        <v/>
      </c>
      <c r="BN189" s="2" t="str">
        <f>VESPUCIO!CE7</f>
        <v/>
      </c>
      <c r="BO189" s="2" t="str">
        <f>VESPUCIO!CF7</f>
        <v/>
      </c>
      <c r="BP189" s="2" t="str">
        <f>VESPUCIO!CG7</f>
        <v/>
      </c>
      <c r="BQ189" s="2" t="str">
        <f>VESPUCIO!CH7</f>
        <v/>
      </c>
      <c r="BR189" s="2" t="str">
        <f>VESPUCIO!CI7</f>
        <v/>
      </c>
      <c r="BS189" s="2" t="str">
        <f>VESPUCIO!CJ7</f>
        <v/>
      </c>
      <c r="BT189" s="2" t="str">
        <f>VESPUCIO!CK7</f>
        <v/>
      </c>
      <c r="BU189" s="2"/>
      <c r="BV189" s="2"/>
      <c r="BW189" s="2"/>
      <c r="BX189" s="2"/>
      <c r="BY189" s="2"/>
      <c r="BZ189" s="2"/>
      <c r="CA189" s="2"/>
      <c r="CB189" s="2"/>
      <c r="CC189" s="2"/>
    </row>
    <row r="190">
      <c r="A190" s="2"/>
      <c r="B190" s="2" t="str">
        <f>VESPUCIO!A8</f>
        <v>Vespucio</v>
      </c>
      <c r="C190" s="2" t="str">
        <f>VESPUCIO!B8</f>
        <v>Cafeteria</v>
      </c>
      <c r="D190" s="2" t="str">
        <f>VESPUCIO!C8</f>
        <v>Jugo de Limon </v>
      </c>
      <c r="E190" s="2" t="str">
        <f>VESPUCIO!D8</f>
        <v/>
      </c>
      <c r="F190" s="2" t="str">
        <f>VESPUCIO!E8</f>
        <v/>
      </c>
      <c r="G190" s="2" t="str">
        <f>VESPUCIO!F8</f>
        <v/>
      </c>
      <c r="H190" s="2" t="str">
        <f>VESPUCIO!G8</f>
        <v/>
      </c>
      <c r="I190" s="2" t="str">
        <f>VESPUCIO!H8</f>
        <v/>
      </c>
      <c r="J190" s="2" t="str">
        <f>VESPUCIO!I8</f>
        <v/>
      </c>
      <c r="K190" s="2" t="str">
        <f>VESPUCIO!J8</f>
        <v/>
      </c>
      <c r="L190" s="2" t="str">
        <f>VESPUCIO!K8</f>
        <v/>
      </c>
      <c r="M190" s="2" t="str">
        <f>VESPUCIO!L8</f>
        <v/>
      </c>
      <c r="N190" s="2" t="str">
        <f>VESPUCIO!M8</f>
        <v/>
      </c>
      <c r="O190" s="2" t="str">
        <f>VESPUCIO!N8</f>
        <v/>
      </c>
      <c r="P190" s="2" t="str">
        <f>VESPUCIO!O8</f>
        <v/>
      </c>
      <c r="Q190" s="2" t="str">
        <f>VESPUCIO!P8</f>
        <v/>
      </c>
      <c r="R190" s="2" t="str">
        <f>VESPUCIO!Q8</f>
        <v/>
      </c>
      <c r="S190" s="2" t="str">
        <f>VESPUCIO!R8</f>
        <v/>
      </c>
      <c r="T190" s="2" t="str">
        <f>VESPUCIO!S8</f>
        <v/>
      </c>
      <c r="U190" s="2" t="str">
        <f>VESPUCIO!T8</f>
        <v/>
      </c>
      <c r="V190" s="2" t="str">
        <f>VESPUCIO!U8</f>
        <v/>
      </c>
      <c r="W190" s="2" t="str">
        <f>VESPUCIO!V8</f>
        <v/>
      </c>
      <c r="X190" s="2" t="str">
        <f>VESPUCIO!W8</f>
        <v/>
      </c>
      <c r="Y190" s="2" t="str">
        <f>VESPUCIO!X8</f>
        <v/>
      </c>
      <c r="Z190" s="2" t="str">
        <f>VESPUCIO!Y8</f>
        <v/>
      </c>
      <c r="AA190" s="2" t="str">
        <f>VESPUCIO!Z8</f>
        <v/>
      </c>
      <c r="AB190" s="2" t="str">
        <f>VESPUCIO!AA8</f>
        <v/>
      </c>
      <c r="AC190" s="2" t="str">
        <f>VESPUCIO!AB8</f>
        <v/>
      </c>
      <c r="AD190" s="2" t="str">
        <f>VESPUCIO!AC8</f>
        <v/>
      </c>
      <c r="AE190" s="2" t="str">
        <f>VESPUCIO!AD8</f>
        <v/>
      </c>
      <c r="AF190" s="2" t="str">
        <f>VESPUCIO!AE8</f>
        <v/>
      </c>
      <c r="AG190" s="2" t="str">
        <f>VESPUCIO!AF8</f>
        <v/>
      </c>
      <c r="AH190" s="2" t="str">
        <f>VESPUCIO!AG8</f>
        <v/>
      </c>
      <c r="AI190" s="2" t="str">
        <f>VESPUCIO!AH8</f>
        <v/>
      </c>
      <c r="AJ190" s="2" t="str">
        <f>VESPUCIO!AI8</f>
        <v/>
      </c>
      <c r="AK190" s="2" t="str">
        <f>VESPUCIO!AJ8</f>
        <v/>
      </c>
      <c r="AL190" s="2" t="str">
        <f>VESPUCIO!AK8</f>
        <v/>
      </c>
      <c r="AM190" s="2" t="str">
        <f>VESPUCIO!AL8</f>
        <v>-</v>
      </c>
      <c r="AN190" s="2" t="str">
        <f>VESPUCIO!AM8</f>
        <v>-</v>
      </c>
      <c r="AO190" s="2" t="str">
        <f>VESPUCIO!AN8</f>
        <v>-</v>
      </c>
      <c r="AP190" s="2">
        <f>VESPUCIO!AO8</f>
        <v>6</v>
      </c>
      <c r="AQ190" s="2">
        <f>VESPUCIO!AP8</f>
        <v>6</v>
      </c>
      <c r="AR190" s="2">
        <f>VESPUCIO!AQ8</f>
        <v>6</v>
      </c>
      <c r="AS190" s="2">
        <f>VESPUCIO!AR8</f>
        <v>6</v>
      </c>
      <c r="AT190" s="2">
        <f>VESPUCIO!AS8</f>
        <v>6</v>
      </c>
      <c r="AU190" s="2">
        <f>VESPUCIO!AT8</f>
        <v>5</v>
      </c>
      <c r="AV190" s="2">
        <f>VESPUCIO!AU8</f>
        <v>5</v>
      </c>
      <c r="AW190" s="2">
        <f>VESPUCIO!AV8</f>
        <v>5</v>
      </c>
      <c r="AX190" s="2">
        <f>VESPUCIO!AW8</f>
        <v>5</v>
      </c>
      <c r="AY190" s="2">
        <f>VESPUCIO!AX8</f>
        <v>5</v>
      </c>
      <c r="AZ190" s="2">
        <f>VESPUCIO!AY8</f>
        <v>5</v>
      </c>
      <c r="BA190" s="2">
        <f>VESPUCIO!AZ8</f>
        <v>5</v>
      </c>
      <c r="BB190" s="2">
        <f>VESPUCIO!BA8</f>
        <v>5</v>
      </c>
      <c r="BC190" s="2" t="str">
        <f>VESPUCIO!BB8</f>
        <v/>
      </c>
      <c r="BD190" s="2" t="str">
        <f>VESPUCIO!BC8</f>
        <v/>
      </c>
      <c r="BE190" s="2" t="str">
        <f>VESPUCIO!BD8</f>
        <v/>
      </c>
      <c r="BF190" s="2" t="str">
        <f>VESPUCIO!BE8</f>
        <v/>
      </c>
      <c r="BG190" s="2" t="str">
        <f>VESPUCIO!BF8</f>
        <v/>
      </c>
      <c r="BH190" s="2" t="str">
        <f>VESPUCIO!BY8</f>
        <v/>
      </c>
      <c r="BI190" s="2" t="str">
        <f>VESPUCIO!BZ8</f>
        <v/>
      </c>
      <c r="BJ190" s="2" t="str">
        <f>VESPUCIO!CA8</f>
        <v/>
      </c>
      <c r="BK190" s="2" t="str">
        <f>VESPUCIO!CB8</f>
        <v/>
      </c>
      <c r="BL190" s="2" t="str">
        <f>VESPUCIO!CC8</f>
        <v/>
      </c>
      <c r="BM190" s="2" t="str">
        <f>VESPUCIO!CD8</f>
        <v/>
      </c>
      <c r="BN190" s="2" t="str">
        <f>VESPUCIO!CE8</f>
        <v/>
      </c>
      <c r="BO190" s="2" t="str">
        <f>VESPUCIO!CF8</f>
        <v/>
      </c>
      <c r="BP190" s="2" t="str">
        <f>VESPUCIO!CG8</f>
        <v/>
      </c>
      <c r="BQ190" s="2" t="str">
        <f>VESPUCIO!CH8</f>
        <v/>
      </c>
      <c r="BR190" s="2" t="str">
        <f>VESPUCIO!CI8</f>
        <v/>
      </c>
      <c r="BS190" s="2" t="str">
        <f>VESPUCIO!CJ8</f>
        <v/>
      </c>
      <c r="BT190" s="2" t="str">
        <f>VESPUCIO!CK8</f>
        <v/>
      </c>
      <c r="BU190" s="2"/>
      <c r="BV190" s="2"/>
      <c r="BW190" s="2"/>
      <c r="BX190" s="2"/>
      <c r="BY190" s="2"/>
      <c r="BZ190" s="2"/>
      <c r="CA190" s="2"/>
      <c r="CB190" s="2"/>
      <c r="CC190" s="2"/>
    </row>
    <row r="191">
      <c r="A191" s="2"/>
      <c r="B191" s="2" t="str">
        <f>VESPUCIO!A9</f>
        <v>Vespucio</v>
      </c>
      <c r="C191" s="2" t="str">
        <f>VESPUCIO!B9</f>
        <v>Cafeteria</v>
      </c>
      <c r="D191" s="2" t="str">
        <f>VESPUCIO!C9</f>
        <v>Leche liquida</v>
      </c>
      <c r="E191" s="2" t="str">
        <f>VESPUCIO!D9</f>
        <v/>
      </c>
      <c r="F191" s="2" t="str">
        <f>VESPUCIO!E9</f>
        <v/>
      </c>
      <c r="G191" s="2" t="str">
        <f>VESPUCIO!F9</f>
        <v/>
      </c>
      <c r="H191" s="2" t="str">
        <f>VESPUCIO!G9</f>
        <v/>
      </c>
      <c r="I191" s="2" t="str">
        <f>VESPUCIO!H9</f>
        <v/>
      </c>
      <c r="J191" s="2" t="str">
        <f>VESPUCIO!I9</f>
        <v/>
      </c>
      <c r="K191" s="2" t="str">
        <f>VESPUCIO!J9</f>
        <v/>
      </c>
      <c r="L191" s="2" t="str">
        <f>VESPUCIO!K9</f>
        <v/>
      </c>
      <c r="M191" s="2" t="str">
        <f>VESPUCIO!L9</f>
        <v/>
      </c>
      <c r="N191" s="2" t="str">
        <f>VESPUCIO!M9</f>
        <v/>
      </c>
      <c r="O191" s="2" t="str">
        <f>VESPUCIO!N9</f>
        <v/>
      </c>
      <c r="P191" s="2" t="str">
        <f>VESPUCIO!O9</f>
        <v/>
      </c>
      <c r="Q191" s="2" t="str">
        <f>VESPUCIO!P9</f>
        <v/>
      </c>
      <c r="R191" s="2" t="str">
        <f>VESPUCIO!Q9</f>
        <v/>
      </c>
      <c r="S191" s="2">
        <f>VESPUCIO!R9</f>
        <v>0</v>
      </c>
      <c r="T191" s="2">
        <f>VESPUCIO!S9</f>
        <v>0</v>
      </c>
      <c r="U191" s="2">
        <f>VESPUCIO!T9</f>
        <v>0</v>
      </c>
      <c r="V191" s="2">
        <f>VESPUCIO!U9</f>
        <v>0</v>
      </c>
      <c r="W191" s="2">
        <f>VESPUCIO!V9</f>
        <v>0</v>
      </c>
      <c r="X191" s="2">
        <f>VESPUCIO!W9</f>
        <v>0</v>
      </c>
      <c r="Y191" s="2">
        <f>VESPUCIO!X9</f>
        <v>0</v>
      </c>
      <c r="Z191" s="2">
        <f>VESPUCIO!Y9</f>
        <v>0</v>
      </c>
      <c r="AA191" s="2">
        <f>VESPUCIO!Z9</f>
        <v>0</v>
      </c>
      <c r="AB191" s="2">
        <f>VESPUCIO!AA9</f>
        <v>12</v>
      </c>
      <c r="AC191" s="2">
        <f>VESPUCIO!AB9</f>
        <v>3</v>
      </c>
      <c r="AD191" s="2">
        <f>VESPUCIO!AC9</f>
        <v>0</v>
      </c>
      <c r="AE191" s="2">
        <f>VESPUCIO!AD9</f>
        <v>36</v>
      </c>
      <c r="AF191" s="2">
        <f>VESPUCIO!AE9</f>
        <v>30</v>
      </c>
      <c r="AG191" s="2">
        <f>VESPUCIO!AF9</f>
        <v>26</v>
      </c>
      <c r="AH191" s="2">
        <f>VESPUCIO!AG9</f>
        <v>18</v>
      </c>
      <c r="AI191" s="2">
        <f>VESPUCIO!AH9</f>
        <v>5</v>
      </c>
      <c r="AJ191" s="2">
        <f>VESPUCIO!AI9</f>
        <v>17</v>
      </c>
      <c r="AK191" s="2">
        <f>VESPUCIO!AJ9</f>
        <v>13</v>
      </c>
      <c r="AL191" s="2">
        <f>VESPUCIO!AK9</f>
        <v>8</v>
      </c>
      <c r="AM191" s="2">
        <f>VESPUCIO!AL9</f>
        <v>4</v>
      </c>
      <c r="AN191" s="2">
        <f>VESPUCIO!AM9</f>
        <v>0</v>
      </c>
      <c r="AO191" s="2">
        <f>VESPUCIO!AN9</f>
        <v>0</v>
      </c>
      <c r="AP191" s="2">
        <f>VESPUCIO!AO9</f>
        <v>24</v>
      </c>
      <c r="AQ191" s="2">
        <f>VESPUCIO!AP9</f>
        <v>20</v>
      </c>
      <c r="AR191" s="2">
        <f>VESPUCIO!AQ9</f>
        <v>15</v>
      </c>
      <c r="AS191" s="2">
        <f>VESPUCIO!AR9</f>
        <v>11</v>
      </c>
      <c r="AT191" s="2">
        <f>VESPUCIO!AS9</f>
        <v>18</v>
      </c>
      <c r="AU191" s="2">
        <f>VESPUCIO!AT9</f>
        <v>10</v>
      </c>
      <c r="AV191" s="2">
        <f>VESPUCIO!AU9</f>
        <v>7</v>
      </c>
      <c r="AW191" s="2">
        <f>VESPUCIO!AV9</f>
        <v>1</v>
      </c>
      <c r="AX191" s="2">
        <f>VESPUCIO!AW9</f>
        <v>0</v>
      </c>
      <c r="AY191" s="2">
        <f>VESPUCIO!AX9</f>
        <v>0</v>
      </c>
      <c r="AZ191" s="2">
        <f>VESPUCIO!AY9</f>
        <v>24</v>
      </c>
      <c r="BA191" s="2">
        <f>VESPUCIO!AZ9</f>
        <v>20</v>
      </c>
      <c r="BB191" s="2">
        <f>VESPUCIO!BA9</f>
        <v>14</v>
      </c>
      <c r="BC191" s="2" t="str">
        <f>VESPUCIO!BB9</f>
        <v/>
      </c>
      <c r="BD191" s="2" t="str">
        <f>VESPUCIO!BC9</f>
        <v/>
      </c>
      <c r="BE191" s="2" t="str">
        <f>VESPUCIO!BD9</f>
        <v/>
      </c>
      <c r="BF191" s="2" t="str">
        <f>VESPUCIO!BE9</f>
        <v/>
      </c>
      <c r="BG191" s="2" t="str">
        <f>VESPUCIO!BF9</f>
        <v/>
      </c>
      <c r="BH191" s="2" t="str">
        <f>VESPUCIO!BY9</f>
        <v/>
      </c>
      <c r="BI191" s="2" t="str">
        <f>VESPUCIO!BZ9</f>
        <v/>
      </c>
      <c r="BJ191" s="2" t="str">
        <f>VESPUCIO!CA9</f>
        <v/>
      </c>
      <c r="BK191" s="2" t="str">
        <f>VESPUCIO!CB9</f>
        <v/>
      </c>
      <c r="BL191" s="2" t="str">
        <f>VESPUCIO!CC9</f>
        <v/>
      </c>
      <c r="BM191" s="2" t="str">
        <f>VESPUCIO!CD9</f>
        <v/>
      </c>
      <c r="BN191" s="2" t="str">
        <f>VESPUCIO!CE9</f>
        <v/>
      </c>
      <c r="BO191" s="2" t="str">
        <f>VESPUCIO!CF9</f>
        <v/>
      </c>
      <c r="BP191" s="2" t="str">
        <f>VESPUCIO!CG9</f>
        <v/>
      </c>
      <c r="BQ191" s="2" t="str">
        <f>VESPUCIO!CH9</f>
        <v/>
      </c>
      <c r="BR191" s="2" t="str">
        <f>VESPUCIO!CI9</f>
        <v/>
      </c>
      <c r="BS191" s="2" t="str">
        <f>VESPUCIO!CJ9</f>
        <v/>
      </c>
      <c r="BT191" s="2" t="str">
        <f>VESPUCIO!CK9</f>
        <v/>
      </c>
      <c r="BU191" s="2"/>
      <c r="BV191" s="2"/>
      <c r="BW191" s="2"/>
      <c r="BX191" s="2"/>
      <c r="BY191" s="2"/>
      <c r="BZ191" s="2"/>
      <c r="CA191" s="2"/>
      <c r="CB191" s="2"/>
      <c r="CC191" s="2"/>
    </row>
    <row r="192">
      <c r="A192" s="2"/>
      <c r="B192" s="2" t="str">
        <f>VESPUCIO!A10</f>
        <v>Vespucio</v>
      </c>
      <c r="C192" s="2" t="str">
        <f>VESPUCIO!B10</f>
        <v>Cafeteria</v>
      </c>
      <c r="D192" s="2" t="str">
        <f>VESPUCIO!C10</f>
        <v>Resma Papel Fot. Carta (UN)</v>
      </c>
      <c r="E192" s="2">
        <f>VESPUCIO!D10</f>
        <v>6</v>
      </c>
      <c r="F192" s="2" t="str">
        <f>VESPUCIO!E10</f>
        <v/>
      </c>
      <c r="G192" s="2">
        <f>VESPUCIO!F10</f>
        <v>4</v>
      </c>
      <c r="H192" s="2">
        <f>VESPUCIO!G10</f>
        <v>2</v>
      </c>
      <c r="I192" s="2">
        <f>VESPUCIO!H10</f>
        <v>2</v>
      </c>
      <c r="J192" s="2">
        <f>VESPUCIO!I10</f>
        <v>2</v>
      </c>
      <c r="K192" s="2" t="str">
        <f>VESPUCIO!J10</f>
        <v/>
      </c>
      <c r="L192" s="2" t="str">
        <f>VESPUCIO!K10</f>
        <v/>
      </c>
      <c r="M192" s="2">
        <f>VESPUCIO!L10</f>
        <v>0</v>
      </c>
      <c r="N192" s="2">
        <f>VESPUCIO!M10</f>
        <v>0</v>
      </c>
      <c r="O192" s="2">
        <f>VESPUCIO!N10</f>
        <v>0</v>
      </c>
      <c r="P192" s="2">
        <f>VESPUCIO!O10</f>
        <v>0</v>
      </c>
      <c r="Q192" s="2">
        <f>VESPUCIO!P10</f>
        <v>2</v>
      </c>
      <c r="R192" s="2">
        <f>VESPUCIO!Q10</f>
        <v>2</v>
      </c>
      <c r="S192" s="2">
        <f>VESPUCIO!R10</f>
        <v>2</v>
      </c>
      <c r="T192" s="2">
        <f>VESPUCIO!S10</f>
        <v>0</v>
      </c>
      <c r="U192" s="2">
        <f>VESPUCIO!T10</f>
        <v>4</v>
      </c>
      <c r="V192" s="2">
        <f>VESPUCIO!U10</f>
        <v>4</v>
      </c>
      <c r="W192" s="2">
        <f>VESPUCIO!V10</f>
        <v>8</v>
      </c>
      <c r="X192" s="2">
        <f>VESPUCIO!W10</f>
        <v>8</v>
      </c>
      <c r="Y192" s="2">
        <f>VESPUCIO!X10</f>
        <v>8</v>
      </c>
      <c r="Z192" s="2">
        <f>VESPUCIO!Y10</f>
        <v>7</v>
      </c>
      <c r="AA192" s="2">
        <f>VESPUCIO!Z10</f>
        <v>6</v>
      </c>
      <c r="AB192" s="2">
        <f>VESPUCIO!AA10</f>
        <v>6</v>
      </c>
      <c r="AC192" s="2">
        <f>VESPUCIO!AB10</f>
        <v>6</v>
      </c>
      <c r="AD192" s="2">
        <f>VESPUCIO!AC10</f>
        <v>6</v>
      </c>
      <c r="AE192" s="2">
        <f>VESPUCIO!AD10</f>
        <v>7</v>
      </c>
      <c r="AF192" s="2">
        <f>VESPUCIO!AE10</f>
        <v>7</v>
      </c>
      <c r="AG192" s="2">
        <f>VESPUCIO!AF10</f>
        <v>5</v>
      </c>
      <c r="AH192" s="2">
        <f>VESPUCIO!AG10</f>
        <v>5</v>
      </c>
      <c r="AI192" s="2" t="str">
        <f>VESPUCIO!AH10</f>
        <v>Carta: 4 - Oficio: 8</v>
      </c>
      <c r="AJ192" s="2" t="str">
        <f>VESPUCIO!AI10</f>
        <v>Carta: 4 - Oficio: 9</v>
      </c>
      <c r="AK192" s="2" t="str">
        <f>VESPUCIO!AJ10</f>
        <v>Carta: 4 - Oficio: 9</v>
      </c>
      <c r="AL192" s="2" t="str">
        <f>VESPUCIO!AK10</f>
        <v>Carta: 4 - Oficio: 9</v>
      </c>
      <c r="AM192" s="2">
        <f>VESPUCIO!AL10</f>
        <v>4</v>
      </c>
      <c r="AN192" s="2">
        <f>VESPUCIO!AM10</f>
        <v>4</v>
      </c>
      <c r="AO192" s="2">
        <f>VESPUCIO!AN10</f>
        <v>5</v>
      </c>
      <c r="AP192" s="2">
        <f>VESPUCIO!AO10</f>
        <v>5</v>
      </c>
      <c r="AQ192" s="2">
        <f>VESPUCIO!AP10</f>
        <v>5</v>
      </c>
      <c r="AR192" s="2">
        <f>VESPUCIO!AQ10</f>
        <v>5</v>
      </c>
      <c r="AS192" s="2">
        <f>VESPUCIO!AR10</f>
        <v>5</v>
      </c>
      <c r="AT192" s="2">
        <f>VESPUCIO!AS10</f>
        <v>5</v>
      </c>
      <c r="AU192" s="2">
        <f>VESPUCIO!AT10</f>
        <v>5</v>
      </c>
      <c r="AV192" s="2">
        <f>VESPUCIO!AU10</f>
        <v>5</v>
      </c>
      <c r="AW192" s="2">
        <f>VESPUCIO!AV10</f>
        <v>5</v>
      </c>
      <c r="AX192" s="2">
        <f>VESPUCIO!AW10</f>
        <v>5</v>
      </c>
      <c r="AY192" s="2">
        <f>VESPUCIO!AX10</f>
        <v>5</v>
      </c>
      <c r="AZ192" s="2">
        <f>VESPUCIO!AY10</f>
        <v>5</v>
      </c>
      <c r="BA192" s="2">
        <f>VESPUCIO!AZ10</f>
        <v>10</v>
      </c>
      <c r="BB192" s="2">
        <f>VESPUCIO!BA10</f>
        <v>10</v>
      </c>
      <c r="BC192" s="2" t="str">
        <f>VESPUCIO!BB10</f>
        <v/>
      </c>
      <c r="BD192" s="2" t="str">
        <f>VESPUCIO!BC10</f>
        <v/>
      </c>
      <c r="BE192" s="2" t="str">
        <f>VESPUCIO!BD10</f>
        <v/>
      </c>
      <c r="BF192" s="2" t="str">
        <f>VESPUCIO!BE10</f>
        <v/>
      </c>
      <c r="BG192" s="2" t="str">
        <f>VESPUCIO!BF10</f>
        <v/>
      </c>
      <c r="BH192" s="2" t="str">
        <f>VESPUCIO!BY10</f>
        <v/>
      </c>
      <c r="BI192" s="2" t="str">
        <f>VESPUCIO!BZ10</f>
        <v/>
      </c>
      <c r="BJ192" s="2" t="str">
        <f>VESPUCIO!CA10</f>
        <v/>
      </c>
      <c r="BK192" s="2" t="str">
        <f>VESPUCIO!CB10</f>
        <v/>
      </c>
      <c r="BL192" s="2" t="str">
        <f>VESPUCIO!CC10</f>
        <v/>
      </c>
      <c r="BM192" s="2" t="str">
        <f>VESPUCIO!CD10</f>
        <v/>
      </c>
      <c r="BN192" s="2" t="str">
        <f>VESPUCIO!CE10</f>
        <v/>
      </c>
      <c r="BO192" s="2" t="str">
        <f>VESPUCIO!CF10</f>
        <v/>
      </c>
      <c r="BP192" s="2" t="str">
        <f>VESPUCIO!CG10</f>
        <v/>
      </c>
      <c r="BQ192" s="2" t="str">
        <f>VESPUCIO!CH10</f>
        <v/>
      </c>
      <c r="BR192" s="2" t="str">
        <f>VESPUCIO!CI10</f>
        <v/>
      </c>
      <c r="BS192" s="2" t="str">
        <f>VESPUCIO!CJ10</f>
        <v/>
      </c>
      <c r="BT192" s="2" t="str">
        <f>VESPUCIO!CK10</f>
        <v/>
      </c>
      <c r="BU192" s="2"/>
      <c r="BV192" s="2"/>
      <c r="BW192" s="2"/>
      <c r="BX192" s="2"/>
      <c r="BY192" s="2"/>
      <c r="BZ192" s="2"/>
      <c r="CA192" s="2"/>
      <c r="CB192" s="2"/>
      <c r="CC192" s="2"/>
    </row>
    <row r="193">
      <c r="A193" s="2"/>
      <c r="B193" s="2" t="str">
        <f>VESPUCIO!A11</f>
        <v>Vespucio</v>
      </c>
      <c r="C193" s="2" t="str">
        <f>VESPUCIO!B11</f>
        <v>Cafeteria</v>
      </c>
      <c r="D193" s="2" t="str">
        <f>VESPUCIO!C11</f>
        <v>Resma Papel Fot. Oficio (UN)</v>
      </c>
      <c r="E193" s="2" t="str">
        <f>VESPUCIO!D11</f>
        <v/>
      </c>
      <c r="F193" s="2" t="str">
        <f>VESPUCIO!E11</f>
        <v/>
      </c>
      <c r="G193" s="2" t="str">
        <f>VESPUCIO!F11</f>
        <v/>
      </c>
      <c r="H193" s="2" t="str">
        <f>VESPUCIO!G11</f>
        <v/>
      </c>
      <c r="I193" s="2" t="str">
        <f>VESPUCIO!H11</f>
        <v/>
      </c>
      <c r="J193" s="2" t="str">
        <f>VESPUCIO!I11</f>
        <v/>
      </c>
      <c r="K193" s="2" t="str">
        <f>VESPUCIO!J11</f>
        <v/>
      </c>
      <c r="L193" s="2" t="str">
        <f>VESPUCIO!K11</f>
        <v/>
      </c>
      <c r="M193" s="2" t="str">
        <f>VESPUCIO!L11</f>
        <v/>
      </c>
      <c r="N193" s="2" t="str">
        <f>VESPUCIO!M11</f>
        <v/>
      </c>
      <c r="O193" s="2" t="str">
        <f>VESPUCIO!N11</f>
        <v/>
      </c>
      <c r="P193" s="2" t="str">
        <f>VESPUCIO!O11</f>
        <v/>
      </c>
      <c r="Q193" s="2" t="str">
        <f>VESPUCIO!P11</f>
        <v/>
      </c>
      <c r="R193" s="2" t="str">
        <f>VESPUCIO!Q11</f>
        <v/>
      </c>
      <c r="S193" s="2" t="str">
        <f>VESPUCIO!R11</f>
        <v/>
      </c>
      <c r="T193" s="2" t="str">
        <f>VESPUCIO!S11</f>
        <v/>
      </c>
      <c r="U193" s="2" t="str">
        <f>VESPUCIO!T11</f>
        <v/>
      </c>
      <c r="V193" s="2" t="str">
        <f>VESPUCIO!U11</f>
        <v/>
      </c>
      <c r="W193" s="2" t="str">
        <f>VESPUCIO!V11</f>
        <v/>
      </c>
      <c r="X193" s="2" t="str">
        <f>VESPUCIO!W11</f>
        <v/>
      </c>
      <c r="Y193" s="2" t="str">
        <f>VESPUCIO!X11</f>
        <v/>
      </c>
      <c r="Z193" s="2" t="str">
        <f>VESPUCIO!Y11</f>
        <v/>
      </c>
      <c r="AA193" s="2" t="str">
        <f>VESPUCIO!Z11</f>
        <v/>
      </c>
      <c r="AB193" s="2" t="str">
        <f>VESPUCIO!AA11</f>
        <v/>
      </c>
      <c r="AC193" s="2" t="str">
        <f>VESPUCIO!AB11</f>
        <v/>
      </c>
      <c r="AD193" s="2" t="str">
        <f>VESPUCIO!AC11</f>
        <v/>
      </c>
      <c r="AE193" s="2" t="str">
        <f>VESPUCIO!AD11</f>
        <v/>
      </c>
      <c r="AF193" s="2" t="str">
        <f>VESPUCIO!AE11</f>
        <v/>
      </c>
      <c r="AG193" s="2" t="str">
        <f>VESPUCIO!AF11</f>
        <v/>
      </c>
      <c r="AH193" s="2" t="str">
        <f>VESPUCIO!AG11</f>
        <v/>
      </c>
      <c r="AI193" s="2" t="str">
        <f>VESPUCIO!AH11</f>
        <v/>
      </c>
      <c r="AJ193" s="2" t="str">
        <f>VESPUCIO!AI11</f>
        <v/>
      </c>
      <c r="AK193" s="2" t="str">
        <f>VESPUCIO!AJ11</f>
        <v/>
      </c>
      <c r="AL193" s="2" t="str">
        <f>VESPUCIO!AK11</f>
        <v/>
      </c>
      <c r="AM193" s="2">
        <f>VESPUCIO!AL11</f>
        <v>9</v>
      </c>
      <c r="AN193" s="2">
        <f>VESPUCIO!AM11</f>
        <v>9</v>
      </c>
      <c r="AO193" s="2">
        <f>VESPUCIO!AN11</f>
        <v>9</v>
      </c>
      <c r="AP193" s="2">
        <f>VESPUCIO!AO11</f>
        <v>9</v>
      </c>
      <c r="AQ193" s="2">
        <f>VESPUCIO!AP11</f>
        <v>9</v>
      </c>
      <c r="AR193" s="2">
        <f>VESPUCIO!AQ11</f>
        <v>9</v>
      </c>
      <c r="AS193" s="2">
        <f>VESPUCIO!AR11</f>
        <v>9</v>
      </c>
      <c r="AT193" s="2">
        <f>VESPUCIO!AS11</f>
        <v>9</v>
      </c>
      <c r="AU193" s="2">
        <f>VESPUCIO!AT11</f>
        <v>9</v>
      </c>
      <c r="AV193" s="2">
        <f>VESPUCIO!AU11</f>
        <v>9</v>
      </c>
      <c r="AW193" s="2">
        <f>VESPUCIO!AV11</f>
        <v>9</v>
      </c>
      <c r="AX193" s="2">
        <f>VESPUCIO!AW11</f>
        <v>9</v>
      </c>
      <c r="AY193" s="2">
        <f>VESPUCIO!AX11</f>
        <v>9</v>
      </c>
      <c r="AZ193" s="2">
        <f>VESPUCIO!AY11</f>
        <v>9</v>
      </c>
      <c r="BA193" s="2">
        <f>VESPUCIO!AZ11</f>
        <v>9</v>
      </c>
      <c r="BB193" s="2">
        <f>VESPUCIO!BA11</f>
        <v>9</v>
      </c>
      <c r="BC193" s="2" t="str">
        <f>VESPUCIO!BB11</f>
        <v/>
      </c>
      <c r="BD193" s="2" t="str">
        <f>VESPUCIO!BC11</f>
        <v/>
      </c>
      <c r="BE193" s="2" t="str">
        <f>VESPUCIO!BD11</f>
        <v/>
      </c>
      <c r="BF193" s="2" t="str">
        <f>VESPUCIO!BE11</f>
        <v/>
      </c>
      <c r="BG193" s="2" t="str">
        <f>VESPUCIO!BF11</f>
        <v/>
      </c>
      <c r="BH193" s="2" t="str">
        <f>VESPUCIO!BY11</f>
        <v/>
      </c>
      <c r="BI193" s="2" t="str">
        <f>VESPUCIO!BZ11</f>
        <v/>
      </c>
      <c r="BJ193" s="2" t="str">
        <f>VESPUCIO!CA11</f>
        <v/>
      </c>
      <c r="BK193" s="2" t="str">
        <f>VESPUCIO!CB11</f>
        <v/>
      </c>
      <c r="BL193" s="2" t="str">
        <f>VESPUCIO!CC11</f>
        <v/>
      </c>
      <c r="BM193" s="2" t="str">
        <f>VESPUCIO!CD11</f>
        <v/>
      </c>
      <c r="BN193" s="2" t="str">
        <f>VESPUCIO!CE11</f>
        <v/>
      </c>
      <c r="BO193" s="2" t="str">
        <f>VESPUCIO!CF11</f>
        <v/>
      </c>
      <c r="BP193" s="2" t="str">
        <f>VESPUCIO!CG11</f>
        <v/>
      </c>
      <c r="BQ193" s="2" t="str">
        <f>VESPUCIO!CH11</f>
        <v/>
      </c>
      <c r="BR193" s="2" t="str">
        <f>VESPUCIO!CI11</f>
        <v/>
      </c>
      <c r="BS193" s="2" t="str">
        <f>VESPUCIO!CJ11</f>
        <v/>
      </c>
      <c r="BT193" s="2" t="str">
        <f>VESPUCIO!CK11</f>
        <v/>
      </c>
      <c r="BU193" s="2"/>
      <c r="BV193" s="2"/>
      <c r="BW193" s="2"/>
      <c r="BX193" s="2"/>
      <c r="BY193" s="2"/>
      <c r="BZ193" s="2"/>
      <c r="CA193" s="2"/>
      <c r="CB193" s="2"/>
      <c r="CC193" s="2"/>
    </row>
    <row r="194" ht="15.75" customHeight="1">
      <c r="A194" s="2"/>
      <c r="B194" s="2" t="str">
        <f>VESPUCIO!A12</f>
        <v>Vespucio</v>
      </c>
      <c r="C194" s="2" t="str">
        <f>VESPUCIO!B12</f>
        <v>Cafeteria</v>
      </c>
      <c r="D194" s="2" t="str">
        <f>VESPUCIO!C12</f>
        <v>Revolvedores </v>
      </c>
      <c r="E194" s="2" t="str">
        <f>VESPUCIO!D12</f>
        <v/>
      </c>
      <c r="F194" s="2" t="str">
        <f>VESPUCIO!E12</f>
        <v/>
      </c>
      <c r="G194" s="2" t="str">
        <f>VESPUCIO!F12</f>
        <v/>
      </c>
      <c r="H194" s="2" t="str">
        <f>VESPUCIO!G12</f>
        <v/>
      </c>
      <c r="I194" s="2" t="str">
        <f>VESPUCIO!H12</f>
        <v/>
      </c>
      <c r="J194" s="2" t="str">
        <f>VESPUCIO!I12</f>
        <v/>
      </c>
      <c r="K194" s="2" t="str">
        <f>VESPUCIO!J12</f>
        <v/>
      </c>
      <c r="L194" s="2" t="str">
        <f>VESPUCIO!K12</f>
        <v/>
      </c>
      <c r="M194" s="2" t="str">
        <f>VESPUCIO!L12</f>
        <v/>
      </c>
      <c r="N194" s="2" t="str">
        <f>VESPUCIO!M12</f>
        <v/>
      </c>
      <c r="O194" s="2" t="str">
        <f>VESPUCIO!N12</f>
        <v/>
      </c>
      <c r="P194" s="2" t="str">
        <f>VESPUCIO!O12</f>
        <v/>
      </c>
      <c r="Q194" s="2" t="str">
        <f>VESPUCIO!P12</f>
        <v/>
      </c>
      <c r="R194" s="2" t="str">
        <f>VESPUCIO!Q12</f>
        <v/>
      </c>
      <c r="S194" s="2" t="str">
        <f>VESPUCIO!R12</f>
        <v/>
      </c>
      <c r="T194" s="2" t="str">
        <f>VESPUCIO!S12</f>
        <v/>
      </c>
      <c r="U194" s="2" t="str">
        <f>VESPUCIO!T12</f>
        <v/>
      </c>
      <c r="V194" s="2" t="str">
        <f>VESPUCIO!U12</f>
        <v/>
      </c>
      <c r="W194" s="2" t="str">
        <f>VESPUCIO!V12</f>
        <v/>
      </c>
      <c r="X194" s="2" t="str">
        <f>VESPUCIO!W12</f>
        <v/>
      </c>
      <c r="Y194" s="2" t="str">
        <f>VESPUCIO!X12</f>
        <v/>
      </c>
      <c r="Z194" s="2" t="str">
        <f>VESPUCIO!Y12</f>
        <v/>
      </c>
      <c r="AA194" s="2" t="str">
        <f>VESPUCIO!Z12</f>
        <v/>
      </c>
      <c r="AB194" s="2" t="str">
        <f>VESPUCIO!AA12</f>
        <v/>
      </c>
      <c r="AC194" s="2" t="str">
        <f>VESPUCIO!AB12</f>
        <v/>
      </c>
      <c r="AD194" s="2" t="str">
        <f>VESPUCIO!AC12</f>
        <v/>
      </c>
      <c r="AE194" s="2" t="str">
        <f>VESPUCIO!AD12</f>
        <v/>
      </c>
      <c r="AF194" s="2" t="str">
        <f>VESPUCIO!AE12</f>
        <v/>
      </c>
      <c r="AG194" s="2" t="str">
        <f>VESPUCIO!AF12</f>
        <v/>
      </c>
      <c r="AH194" s="2" t="str">
        <f>VESPUCIO!AG12</f>
        <v/>
      </c>
      <c r="AI194" s="2" t="str">
        <f>VESPUCIO!AH12</f>
        <v/>
      </c>
      <c r="AJ194" s="2" t="str">
        <f>VESPUCIO!AI12</f>
        <v/>
      </c>
      <c r="AK194" s="2" t="str">
        <f>VESPUCIO!AJ12</f>
        <v/>
      </c>
      <c r="AL194" s="2" t="str">
        <f>VESPUCIO!AK12</f>
        <v/>
      </c>
      <c r="AM194" s="2" t="str">
        <f>VESPUCIO!AL12</f>
        <v>-</v>
      </c>
      <c r="AN194" s="2" t="str">
        <f>VESPUCIO!AM12</f>
        <v>-</v>
      </c>
      <c r="AO194" s="2" t="str">
        <f>VESPUCIO!AN12</f>
        <v>-</v>
      </c>
      <c r="AP194" s="2">
        <f>VESPUCIO!AO12</f>
        <v>14</v>
      </c>
      <c r="AQ194" s="2">
        <f>VESPUCIO!AP12</f>
        <v>13</v>
      </c>
      <c r="AR194" s="2">
        <f>VESPUCIO!AQ12</f>
        <v>13</v>
      </c>
      <c r="AS194" s="2">
        <f>VESPUCIO!AR12</f>
        <v>12</v>
      </c>
      <c r="AT194" s="2">
        <f>VESPUCIO!AS12</f>
        <v>12</v>
      </c>
      <c r="AU194" s="2">
        <f>VESPUCIO!AT12</f>
        <v>12</v>
      </c>
      <c r="AV194" s="2">
        <f>VESPUCIO!AU12</f>
        <v>12</v>
      </c>
      <c r="AW194" s="2">
        <f>VESPUCIO!AV12</f>
        <v>12</v>
      </c>
      <c r="AX194" s="2">
        <f>VESPUCIO!AW12</f>
        <v>11</v>
      </c>
      <c r="AY194" s="2">
        <f>VESPUCIO!AX12</f>
        <v>11</v>
      </c>
      <c r="AZ194" s="2">
        <f>VESPUCIO!AY12</f>
        <v>8</v>
      </c>
      <c r="BA194" s="2">
        <f>VESPUCIO!AZ12</f>
        <v>8</v>
      </c>
      <c r="BB194" s="2">
        <f>VESPUCIO!BA12</f>
        <v>6</v>
      </c>
      <c r="BC194" s="2" t="str">
        <f>VESPUCIO!BB12</f>
        <v/>
      </c>
      <c r="BD194" s="2" t="str">
        <f>VESPUCIO!BC12</f>
        <v/>
      </c>
      <c r="BE194" s="2" t="str">
        <f>VESPUCIO!BD12</f>
        <v/>
      </c>
      <c r="BF194" s="2" t="str">
        <f>VESPUCIO!BE12</f>
        <v/>
      </c>
      <c r="BG194" s="2" t="str">
        <f>VESPUCIO!BF12</f>
        <v/>
      </c>
      <c r="BH194" s="2" t="str">
        <f>VESPUCIO!BY12</f>
        <v/>
      </c>
      <c r="BI194" s="2" t="str">
        <f>VESPUCIO!BZ12</f>
        <v/>
      </c>
      <c r="BJ194" s="2" t="str">
        <f>VESPUCIO!CA12</f>
        <v/>
      </c>
      <c r="BK194" s="2" t="str">
        <f>VESPUCIO!CB12</f>
        <v/>
      </c>
      <c r="BL194" s="2" t="str">
        <f>VESPUCIO!CC12</f>
        <v/>
      </c>
      <c r="BM194" s="2" t="str">
        <f>VESPUCIO!CD12</f>
        <v/>
      </c>
      <c r="BN194" s="2" t="str">
        <f>VESPUCIO!CE12</f>
        <v/>
      </c>
      <c r="BO194" s="2" t="str">
        <f>VESPUCIO!CF12</f>
        <v/>
      </c>
      <c r="BP194" s="2" t="str">
        <f>VESPUCIO!CG12</f>
        <v/>
      </c>
      <c r="BQ194" s="2" t="str">
        <f>VESPUCIO!CH12</f>
        <v/>
      </c>
      <c r="BR194" s="2" t="str">
        <f>VESPUCIO!CI12</f>
        <v/>
      </c>
      <c r="BS194" s="2" t="str">
        <f>VESPUCIO!CJ12</f>
        <v/>
      </c>
      <c r="BT194" s="2" t="str">
        <f>VESPUCIO!CK12</f>
        <v/>
      </c>
      <c r="BU194" s="2"/>
      <c r="BV194" s="2"/>
      <c r="BW194" s="2"/>
      <c r="BX194" s="2"/>
      <c r="BY194" s="2"/>
      <c r="BZ194" s="2"/>
      <c r="CA194" s="2"/>
      <c r="CB194" s="2"/>
      <c r="CC194" s="2"/>
    </row>
    <row r="195" ht="15.0" customHeight="1">
      <c r="A195" s="2"/>
      <c r="B195" s="2" t="str">
        <f>VESPUCIO!A13</f>
        <v>Vespucio</v>
      </c>
      <c r="C195" s="2" t="str">
        <f>VESPUCIO!B13</f>
        <v>Cafeteria</v>
      </c>
      <c r="D195" s="2" t="str">
        <f>VESPUCIO!C13</f>
        <v>Sal</v>
      </c>
      <c r="E195" s="2" t="str">
        <f>VESPUCIO!D13</f>
        <v/>
      </c>
      <c r="F195" s="2" t="str">
        <f>VESPUCIO!E13</f>
        <v/>
      </c>
      <c r="G195" s="2" t="str">
        <f>VESPUCIO!F13</f>
        <v/>
      </c>
      <c r="H195" s="2" t="str">
        <f>VESPUCIO!G13</f>
        <v/>
      </c>
      <c r="I195" s="2" t="str">
        <f>VESPUCIO!H13</f>
        <v/>
      </c>
      <c r="J195" s="2" t="str">
        <f>VESPUCIO!I13</f>
        <v/>
      </c>
      <c r="K195" s="2" t="str">
        <f>VESPUCIO!J13</f>
        <v/>
      </c>
      <c r="L195" s="2" t="str">
        <f>VESPUCIO!K13</f>
        <v/>
      </c>
      <c r="M195" s="2" t="str">
        <f>VESPUCIO!L13</f>
        <v/>
      </c>
      <c r="N195" s="2" t="str">
        <f>VESPUCIO!M13</f>
        <v/>
      </c>
      <c r="O195" s="2" t="str">
        <f>VESPUCIO!N13</f>
        <v/>
      </c>
      <c r="P195" s="2" t="str">
        <f>VESPUCIO!O13</f>
        <v/>
      </c>
      <c r="Q195" s="2" t="str">
        <f>VESPUCIO!P13</f>
        <v/>
      </c>
      <c r="R195" s="2" t="str">
        <f>VESPUCIO!Q13</f>
        <v/>
      </c>
      <c r="S195" s="2" t="str">
        <f>VESPUCIO!R13</f>
        <v/>
      </c>
      <c r="T195" s="2" t="str">
        <f>VESPUCIO!S13</f>
        <v/>
      </c>
      <c r="U195" s="2" t="str">
        <f>VESPUCIO!T13</f>
        <v/>
      </c>
      <c r="V195" s="2" t="str">
        <f>VESPUCIO!U13</f>
        <v/>
      </c>
      <c r="W195" s="2" t="str">
        <f>VESPUCIO!V13</f>
        <v/>
      </c>
      <c r="X195" s="2" t="str">
        <f>VESPUCIO!W13</f>
        <v/>
      </c>
      <c r="Y195" s="2" t="str">
        <f>VESPUCIO!X13</f>
        <v/>
      </c>
      <c r="Z195" s="2" t="str">
        <f>VESPUCIO!Y13</f>
        <v/>
      </c>
      <c r="AA195" s="2" t="str">
        <f>VESPUCIO!Z13</f>
        <v/>
      </c>
      <c r="AB195" s="2" t="str">
        <f>VESPUCIO!AA13</f>
        <v/>
      </c>
      <c r="AC195" s="2" t="str">
        <f>VESPUCIO!AB13</f>
        <v/>
      </c>
      <c r="AD195" s="2" t="str">
        <f>VESPUCIO!AC13</f>
        <v/>
      </c>
      <c r="AE195" s="2" t="str">
        <f>VESPUCIO!AD13</f>
        <v/>
      </c>
      <c r="AF195" s="2" t="str">
        <f>VESPUCIO!AE13</f>
        <v/>
      </c>
      <c r="AG195" s="2" t="str">
        <f>VESPUCIO!AF13</f>
        <v/>
      </c>
      <c r="AH195" s="2" t="str">
        <f>VESPUCIO!AG13</f>
        <v/>
      </c>
      <c r="AI195" s="2" t="str">
        <f>VESPUCIO!AH13</f>
        <v/>
      </c>
      <c r="AJ195" s="2" t="str">
        <f>VESPUCIO!AI13</f>
        <v/>
      </c>
      <c r="AK195" s="2" t="str">
        <f>VESPUCIO!AJ13</f>
        <v/>
      </c>
      <c r="AL195" s="2" t="str">
        <f>VESPUCIO!AK13</f>
        <v/>
      </c>
      <c r="AM195" s="2" t="str">
        <f>VESPUCIO!AL13</f>
        <v>-</v>
      </c>
      <c r="AN195" s="2" t="str">
        <f>VESPUCIO!AM13</f>
        <v>-</v>
      </c>
      <c r="AO195" s="2" t="str">
        <f>VESPUCIO!AN13</f>
        <v>-</v>
      </c>
      <c r="AP195" s="2">
        <f>VESPUCIO!AO13</f>
        <v>1</v>
      </c>
      <c r="AQ195" s="2">
        <f>VESPUCIO!AP13</f>
        <v>1</v>
      </c>
      <c r="AR195" s="2">
        <f>VESPUCIO!AQ13</f>
        <v>1</v>
      </c>
      <c r="AS195" s="2">
        <f>VESPUCIO!AR13</f>
        <v>1</v>
      </c>
      <c r="AT195" s="2">
        <f>VESPUCIO!AS13</f>
        <v>1</v>
      </c>
      <c r="AU195" s="2">
        <f>VESPUCIO!AT13</f>
        <v>1</v>
      </c>
      <c r="AV195" s="2">
        <f>VESPUCIO!AU13</f>
        <v>1</v>
      </c>
      <c r="AW195" s="2">
        <f>VESPUCIO!AV13</f>
        <v>1</v>
      </c>
      <c r="AX195" s="2">
        <f>VESPUCIO!AW13</f>
        <v>1</v>
      </c>
      <c r="AY195" s="2">
        <f>VESPUCIO!AX13</f>
        <v>1</v>
      </c>
      <c r="AZ195" s="2">
        <f>VESPUCIO!AY13</f>
        <v>1</v>
      </c>
      <c r="BA195" s="2">
        <f>VESPUCIO!AZ13</f>
        <v>1</v>
      </c>
      <c r="BB195" s="2">
        <f>VESPUCIO!BA13</f>
        <v>1</v>
      </c>
      <c r="BC195" s="2" t="str">
        <f>VESPUCIO!BB13</f>
        <v/>
      </c>
      <c r="BD195" s="2" t="str">
        <f>VESPUCIO!BC13</f>
        <v/>
      </c>
      <c r="BE195" s="2" t="str">
        <f>VESPUCIO!BD13</f>
        <v/>
      </c>
      <c r="BF195" s="2" t="str">
        <f>VESPUCIO!BE13</f>
        <v/>
      </c>
      <c r="BG195" s="2" t="str">
        <f>VESPUCIO!BF13</f>
        <v/>
      </c>
      <c r="BH195" s="2" t="str">
        <f>VESPUCIO!BY13</f>
        <v/>
      </c>
      <c r="BI195" s="2" t="str">
        <f>VESPUCIO!BZ13</f>
        <v/>
      </c>
      <c r="BJ195" s="2" t="str">
        <f>VESPUCIO!CA13</f>
        <v/>
      </c>
      <c r="BK195" s="2" t="str">
        <f>VESPUCIO!CB13</f>
        <v/>
      </c>
      <c r="BL195" s="2" t="str">
        <f>VESPUCIO!CC13</f>
        <v/>
      </c>
      <c r="BM195" s="2" t="str">
        <f>VESPUCIO!CD13</f>
        <v/>
      </c>
      <c r="BN195" s="2" t="str">
        <f>VESPUCIO!CE13</f>
        <v/>
      </c>
      <c r="BO195" s="2" t="str">
        <f>VESPUCIO!CF13</f>
        <v/>
      </c>
      <c r="BP195" s="2" t="str">
        <f>VESPUCIO!CG13</f>
        <v/>
      </c>
      <c r="BQ195" s="2" t="str">
        <f>VESPUCIO!CH13</f>
        <v/>
      </c>
      <c r="BR195" s="2" t="str">
        <f>VESPUCIO!CI13</f>
        <v/>
      </c>
      <c r="BS195" s="2" t="str">
        <f>VESPUCIO!CJ13</f>
        <v/>
      </c>
      <c r="BT195" s="2" t="str">
        <f>VESPUCIO!CK13</f>
        <v/>
      </c>
      <c r="BU195" s="2"/>
      <c r="BV195" s="2"/>
      <c r="BW195" s="2"/>
      <c r="BX195" s="2"/>
      <c r="BY195" s="2"/>
      <c r="BZ195" s="2"/>
      <c r="CA195" s="2"/>
      <c r="CB195" s="2"/>
      <c r="CC195" s="2"/>
    </row>
    <row r="196">
      <c r="A196" s="2"/>
      <c r="B196" s="2" t="str">
        <f>VESPUCIO!A14</f>
        <v>Vespucio</v>
      </c>
      <c r="C196" s="2" t="str">
        <f>VESPUCIO!B14</f>
        <v>Cafeteria</v>
      </c>
      <c r="D196" s="2" t="str">
        <f>VESPUCIO!C14</f>
        <v>Servilletas </v>
      </c>
      <c r="E196" s="2" t="str">
        <f>VESPUCIO!D14</f>
        <v/>
      </c>
      <c r="F196" s="2" t="str">
        <f>VESPUCIO!E14</f>
        <v/>
      </c>
      <c r="G196" s="2" t="str">
        <f>VESPUCIO!F14</f>
        <v/>
      </c>
      <c r="H196" s="2" t="str">
        <f>VESPUCIO!G14</f>
        <v/>
      </c>
      <c r="I196" s="2" t="str">
        <f>VESPUCIO!H14</f>
        <v/>
      </c>
      <c r="J196" s="2" t="str">
        <f>VESPUCIO!I14</f>
        <v/>
      </c>
      <c r="K196" s="2" t="str">
        <f>VESPUCIO!J14</f>
        <v/>
      </c>
      <c r="L196" s="2" t="str">
        <f>VESPUCIO!K14</f>
        <v/>
      </c>
      <c r="M196" s="2" t="str">
        <f>VESPUCIO!L14</f>
        <v/>
      </c>
      <c r="N196" s="2" t="str">
        <f>VESPUCIO!M14</f>
        <v/>
      </c>
      <c r="O196" s="2" t="str">
        <f>VESPUCIO!N14</f>
        <v/>
      </c>
      <c r="P196" s="2" t="str">
        <f>VESPUCIO!O14</f>
        <v/>
      </c>
      <c r="Q196" s="2" t="str">
        <f>VESPUCIO!P14</f>
        <v/>
      </c>
      <c r="R196" s="2" t="str">
        <f>VESPUCIO!Q14</f>
        <v/>
      </c>
      <c r="S196" s="2" t="str">
        <f>VESPUCIO!R14</f>
        <v/>
      </c>
      <c r="T196" s="2" t="str">
        <f>VESPUCIO!S14</f>
        <v/>
      </c>
      <c r="U196" s="2" t="str">
        <f>VESPUCIO!T14</f>
        <v/>
      </c>
      <c r="V196" s="2" t="str">
        <f>VESPUCIO!U14</f>
        <v/>
      </c>
      <c r="W196" s="2" t="str">
        <f>VESPUCIO!V14</f>
        <v/>
      </c>
      <c r="X196" s="2" t="str">
        <f>VESPUCIO!W14</f>
        <v/>
      </c>
      <c r="Y196" s="2" t="str">
        <f>VESPUCIO!X14</f>
        <v/>
      </c>
      <c r="Z196" s="2" t="str">
        <f>VESPUCIO!Y14</f>
        <v/>
      </c>
      <c r="AA196" s="2" t="str">
        <f>VESPUCIO!Z14</f>
        <v/>
      </c>
      <c r="AB196" s="2" t="str">
        <f>VESPUCIO!AA14</f>
        <v/>
      </c>
      <c r="AC196" s="2" t="str">
        <f>VESPUCIO!AB14</f>
        <v/>
      </c>
      <c r="AD196" s="2" t="str">
        <f>VESPUCIO!AC14</f>
        <v/>
      </c>
      <c r="AE196" s="2" t="str">
        <f>VESPUCIO!AD14</f>
        <v/>
      </c>
      <c r="AF196" s="2" t="str">
        <f>VESPUCIO!AE14</f>
        <v/>
      </c>
      <c r="AG196" s="2" t="str">
        <f>VESPUCIO!AF14</f>
        <v/>
      </c>
      <c r="AH196" s="2" t="str">
        <f>VESPUCIO!AG14</f>
        <v/>
      </c>
      <c r="AI196" s="2" t="str">
        <f>VESPUCIO!AH14</f>
        <v/>
      </c>
      <c r="AJ196" s="2" t="str">
        <f>VESPUCIO!AI14</f>
        <v/>
      </c>
      <c r="AK196" s="2" t="str">
        <f>VESPUCIO!AJ14</f>
        <v/>
      </c>
      <c r="AL196" s="2" t="str">
        <f>VESPUCIO!AK14</f>
        <v/>
      </c>
      <c r="AM196" s="2" t="str">
        <f>VESPUCIO!AL14</f>
        <v>-</v>
      </c>
      <c r="AN196" s="2" t="str">
        <f>VESPUCIO!AM14</f>
        <v>-</v>
      </c>
      <c r="AO196" s="2" t="str">
        <f>VESPUCIO!AN14</f>
        <v>-</v>
      </c>
      <c r="AP196" s="2">
        <f>VESPUCIO!AO14</f>
        <v>1</v>
      </c>
      <c r="AQ196" s="2">
        <f>VESPUCIO!AP14</f>
        <v>0</v>
      </c>
      <c r="AR196" s="2">
        <f>VESPUCIO!AQ14</f>
        <v>0</v>
      </c>
      <c r="AS196" s="2">
        <f>VESPUCIO!AR14</f>
        <v>0</v>
      </c>
      <c r="AT196" s="2">
        <f>VESPUCIO!AS14</f>
        <v>10</v>
      </c>
      <c r="AU196" s="2">
        <f>VESPUCIO!AT14</f>
        <v>4</v>
      </c>
      <c r="AV196" s="2">
        <f>VESPUCIO!AU14</f>
        <v>2</v>
      </c>
      <c r="AW196" s="2">
        <f>VESPUCIO!AV14</f>
        <v>11</v>
      </c>
      <c r="AX196" s="2">
        <f>VESPUCIO!AW14</f>
        <v>9</v>
      </c>
      <c r="AY196" s="2">
        <f>VESPUCIO!AX14</f>
        <v>7</v>
      </c>
      <c r="AZ196" s="2">
        <f>VESPUCIO!AY14</f>
        <v>15</v>
      </c>
      <c r="BA196" s="2">
        <f>VESPUCIO!AZ14</f>
        <v>14</v>
      </c>
      <c r="BB196" s="2">
        <f>VESPUCIO!BA14</f>
        <v>10</v>
      </c>
      <c r="BC196" s="2" t="str">
        <f>VESPUCIO!BB14</f>
        <v/>
      </c>
      <c r="BD196" s="2" t="str">
        <f>VESPUCIO!BC14</f>
        <v/>
      </c>
      <c r="BE196" s="2" t="str">
        <f>VESPUCIO!BD14</f>
        <v/>
      </c>
      <c r="BF196" s="2" t="str">
        <f>VESPUCIO!BE14</f>
        <v/>
      </c>
      <c r="BG196" s="2" t="str">
        <f>VESPUCIO!BF14</f>
        <v/>
      </c>
      <c r="BH196" s="2" t="str">
        <f>VESPUCIO!BY14</f>
        <v/>
      </c>
      <c r="BI196" s="2" t="str">
        <f>VESPUCIO!BZ14</f>
        <v/>
      </c>
      <c r="BJ196" s="2" t="str">
        <f>VESPUCIO!CA14</f>
        <v/>
      </c>
      <c r="BK196" s="2" t="str">
        <f>VESPUCIO!CB14</f>
        <v/>
      </c>
      <c r="BL196" s="2" t="str">
        <f>VESPUCIO!CC14</f>
        <v/>
      </c>
      <c r="BM196" s="2" t="str">
        <f>VESPUCIO!CD14</f>
        <v/>
      </c>
      <c r="BN196" s="2" t="str">
        <f>VESPUCIO!CE14</f>
        <v/>
      </c>
      <c r="BO196" s="2" t="str">
        <f>VESPUCIO!CF14</f>
        <v/>
      </c>
      <c r="BP196" s="2" t="str">
        <f>VESPUCIO!CG14</f>
        <v/>
      </c>
      <c r="BQ196" s="2" t="str">
        <f>VESPUCIO!CH14</f>
        <v/>
      </c>
      <c r="BR196" s="2" t="str">
        <f>VESPUCIO!CI14</f>
        <v/>
      </c>
      <c r="BS196" s="2" t="str">
        <f>VESPUCIO!CJ14</f>
        <v/>
      </c>
      <c r="BT196" s="2" t="str">
        <f>VESPUCIO!CK14</f>
        <v/>
      </c>
      <c r="BU196" s="2"/>
      <c r="BV196" s="2"/>
      <c r="BW196" s="2"/>
      <c r="BX196" s="2"/>
      <c r="BY196" s="2"/>
      <c r="BZ196" s="2"/>
      <c r="CA196" s="2"/>
      <c r="CB196" s="2"/>
      <c r="CC196" s="2"/>
    </row>
    <row r="197">
      <c r="A197" s="2"/>
      <c r="B197" s="2" t="str">
        <f>VESPUCIO!A15</f>
        <v>Vespucio</v>
      </c>
      <c r="C197" s="2" t="str">
        <f>VESPUCIO!B15</f>
        <v>Cafeteria</v>
      </c>
      <c r="D197" s="2" t="str">
        <f>VESPUCIO!C15</f>
        <v>Sobre Azucar x Caja (800 S) </v>
      </c>
      <c r="E197" s="2" t="str">
        <f>VESPUCIO!D15</f>
        <v/>
      </c>
      <c r="F197" s="2" t="str">
        <f>VESPUCIO!E15</f>
        <v/>
      </c>
      <c r="G197" s="2" t="str">
        <f>VESPUCIO!F15</f>
        <v/>
      </c>
      <c r="H197" s="2" t="str">
        <f>VESPUCIO!G15</f>
        <v/>
      </c>
      <c r="I197" s="2" t="str">
        <f>VESPUCIO!H15</f>
        <v/>
      </c>
      <c r="J197" s="2" t="str">
        <f>VESPUCIO!I15</f>
        <v/>
      </c>
      <c r="K197" s="2" t="str">
        <f>VESPUCIO!J15</f>
        <v/>
      </c>
      <c r="L197" s="2" t="str">
        <f>VESPUCIO!K15</f>
        <v/>
      </c>
      <c r="M197" s="2" t="str">
        <f>VESPUCIO!L15</f>
        <v/>
      </c>
      <c r="N197" s="2" t="str">
        <f>VESPUCIO!M15</f>
        <v/>
      </c>
      <c r="O197" s="2" t="str">
        <f>VESPUCIO!N15</f>
        <v/>
      </c>
      <c r="P197" s="2" t="str">
        <f>VESPUCIO!O15</f>
        <v/>
      </c>
      <c r="Q197" s="2" t="str">
        <f>VESPUCIO!P15</f>
        <v/>
      </c>
      <c r="R197" s="2" t="str">
        <f>VESPUCIO!Q15</f>
        <v/>
      </c>
      <c r="S197" s="2" t="str">
        <f>VESPUCIO!R15</f>
        <v/>
      </c>
      <c r="T197" s="2" t="str">
        <f>VESPUCIO!S15</f>
        <v/>
      </c>
      <c r="U197" s="2" t="str">
        <f>VESPUCIO!T15</f>
        <v/>
      </c>
      <c r="V197" s="2" t="str">
        <f>VESPUCIO!U15</f>
        <v/>
      </c>
      <c r="W197" s="2" t="str">
        <f>VESPUCIO!V15</f>
        <v/>
      </c>
      <c r="X197" s="2" t="str">
        <f>VESPUCIO!W15</f>
        <v/>
      </c>
      <c r="Y197" s="2" t="str">
        <f>VESPUCIO!X15</f>
        <v/>
      </c>
      <c r="Z197" s="2" t="str">
        <f>VESPUCIO!Y15</f>
        <v/>
      </c>
      <c r="AA197" s="2" t="str">
        <f>VESPUCIO!Z15</f>
        <v/>
      </c>
      <c r="AB197" s="2" t="str">
        <f>VESPUCIO!AA15</f>
        <v/>
      </c>
      <c r="AC197" s="2" t="str">
        <f>VESPUCIO!AB15</f>
        <v/>
      </c>
      <c r="AD197" s="2" t="str">
        <f>VESPUCIO!AC15</f>
        <v/>
      </c>
      <c r="AE197" s="2" t="str">
        <f>VESPUCIO!AD15</f>
        <v/>
      </c>
      <c r="AF197" s="2" t="str">
        <f>VESPUCIO!AE15</f>
        <v/>
      </c>
      <c r="AG197" s="2" t="str">
        <f>VESPUCIO!AF15</f>
        <v/>
      </c>
      <c r="AH197" s="2" t="str">
        <f>VESPUCIO!AG15</f>
        <v/>
      </c>
      <c r="AI197" s="2" t="str">
        <f>VESPUCIO!AH15</f>
        <v/>
      </c>
      <c r="AJ197" s="2" t="str">
        <f>VESPUCIO!AI15</f>
        <v/>
      </c>
      <c r="AK197" s="2" t="str">
        <f>VESPUCIO!AJ15</f>
        <v/>
      </c>
      <c r="AL197" s="2" t="str">
        <f>VESPUCIO!AK15</f>
        <v/>
      </c>
      <c r="AM197" s="2" t="str">
        <f>VESPUCIO!AL15</f>
        <v>-</v>
      </c>
      <c r="AN197" s="2" t="str">
        <f>VESPUCIO!AM15</f>
        <v>-</v>
      </c>
      <c r="AO197" s="2" t="str">
        <f>VESPUCIO!AN15</f>
        <v>-</v>
      </c>
      <c r="AP197" s="2">
        <f>VESPUCIO!AO15</f>
        <v>2</v>
      </c>
      <c r="AQ197" s="2">
        <f>VESPUCIO!AP15</f>
        <v>2</v>
      </c>
      <c r="AR197" s="2" t="str">
        <f>VESPUCIO!AQ15</f>
        <v>1 1/2</v>
      </c>
      <c r="AS197" s="2" t="str">
        <f>VESPUCIO!AR15</f>
        <v>1 1/2</v>
      </c>
      <c r="AT197" s="2" t="str">
        <f>VESPUCIO!AS15</f>
        <v>1 1/2</v>
      </c>
      <c r="AU197" s="2" t="str">
        <f>VESPUCIO!AT15</f>
        <v>1 1/2</v>
      </c>
      <c r="AV197" s="2" t="str">
        <f>VESPUCIO!AU15</f>
        <v>1 1/2</v>
      </c>
      <c r="AW197" s="2" t="str">
        <f>VESPUCIO!AV15</f>
        <v>1 1/2</v>
      </c>
      <c r="AX197" s="2" t="str">
        <f>VESPUCIO!AW15</f>
        <v>1 1/2</v>
      </c>
      <c r="AY197" s="2">
        <f>VESPUCIO!AX15</f>
        <v>1</v>
      </c>
      <c r="AZ197" s="2">
        <f>VESPUCIO!AY15</f>
        <v>1</v>
      </c>
      <c r="BA197" s="2">
        <f>VESPUCIO!AZ15</f>
        <v>1</v>
      </c>
      <c r="BB197" s="2" t="str">
        <f>VESPUCIO!BA15</f>
        <v>2 1/2</v>
      </c>
      <c r="BC197" s="2" t="str">
        <f>VESPUCIO!BB15</f>
        <v/>
      </c>
      <c r="BD197" s="2" t="str">
        <f>VESPUCIO!BC15</f>
        <v/>
      </c>
      <c r="BE197" s="2" t="str">
        <f>VESPUCIO!BD15</f>
        <v/>
      </c>
      <c r="BF197" s="2" t="str">
        <f>VESPUCIO!BE15</f>
        <v/>
      </c>
      <c r="BG197" s="2" t="str">
        <f>VESPUCIO!BF15</f>
        <v/>
      </c>
      <c r="BH197" s="2" t="str">
        <f>VESPUCIO!BY15</f>
        <v/>
      </c>
      <c r="BI197" s="2" t="str">
        <f>VESPUCIO!BZ15</f>
        <v/>
      </c>
      <c r="BJ197" s="2" t="str">
        <f>VESPUCIO!CA15</f>
        <v/>
      </c>
      <c r="BK197" s="2" t="str">
        <f>VESPUCIO!CB15</f>
        <v/>
      </c>
      <c r="BL197" s="2" t="str">
        <f>VESPUCIO!CC15</f>
        <v/>
      </c>
      <c r="BM197" s="2" t="str">
        <f>VESPUCIO!CD15</f>
        <v/>
      </c>
      <c r="BN197" s="2" t="str">
        <f>VESPUCIO!CE15</f>
        <v/>
      </c>
      <c r="BO197" s="2" t="str">
        <f>VESPUCIO!CF15</f>
        <v/>
      </c>
      <c r="BP197" s="2" t="str">
        <f>VESPUCIO!CG15</f>
        <v/>
      </c>
      <c r="BQ197" s="2" t="str">
        <f>VESPUCIO!CH15</f>
        <v/>
      </c>
      <c r="BR197" s="2" t="str">
        <f>VESPUCIO!CI15</f>
        <v/>
      </c>
      <c r="BS197" s="2" t="str">
        <f>VESPUCIO!CJ15</f>
        <v/>
      </c>
      <c r="BT197" s="2" t="str">
        <f>VESPUCIO!CK15</f>
        <v/>
      </c>
      <c r="BU197" s="2"/>
      <c r="BV197" s="2"/>
      <c r="BW197" s="2"/>
      <c r="BX197" s="2"/>
      <c r="BY197" s="2"/>
      <c r="BZ197" s="2"/>
      <c r="CA197" s="2"/>
      <c r="CB197" s="2"/>
      <c r="CC197" s="2"/>
    </row>
    <row r="198">
      <c r="A198" s="2"/>
      <c r="B198" s="2" t="str">
        <f>VESPUCIO!A16</f>
        <v>Vespucio</v>
      </c>
      <c r="C198" s="2" t="str">
        <f>VESPUCIO!B16</f>
        <v>Cafeteria</v>
      </c>
      <c r="D198" s="2" t="str">
        <f>VESPUCIO!C16</f>
        <v>Vinagre 1000 ml </v>
      </c>
      <c r="E198" s="2" t="str">
        <f>VESPUCIO!D16</f>
        <v/>
      </c>
      <c r="F198" s="2" t="str">
        <f>VESPUCIO!E16</f>
        <v/>
      </c>
      <c r="G198" s="2" t="str">
        <f>VESPUCIO!F16</f>
        <v/>
      </c>
      <c r="H198" s="2" t="str">
        <f>VESPUCIO!G16</f>
        <v/>
      </c>
      <c r="I198" s="2" t="str">
        <f>VESPUCIO!H16</f>
        <v/>
      </c>
      <c r="J198" s="2" t="str">
        <f>VESPUCIO!I16</f>
        <v/>
      </c>
      <c r="K198" s="2" t="str">
        <f>VESPUCIO!J16</f>
        <v/>
      </c>
      <c r="L198" s="2" t="str">
        <f>VESPUCIO!K16</f>
        <v/>
      </c>
      <c r="M198" s="2" t="str">
        <f>VESPUCIO!L16</f>
        <v/>
      </c>
      <c r="N198" s="2" t="str">
        <f>VESPUCIO!M16</f>
        <v/>
      </c>
      <c r="O198" s="2" t="str">
        <f>VESPUCIO!N16</f>
        <v/>
      </c>
      <c r="P198" s="2" t="str">
        <f>VESPUCIO!O16</f>
        <v/>
      </c>
      <c r="Q198" s="2" t="str">
        <f>VESPUCIO!P16</f>
        <v/>
      </c>
      <c r="R198" s="2" t="str">
        <f>VESPUCIO!Q16</f>
        <v/>
      </c>
      <c r="S198" s="2" t="str">
        <f>VESPUCIO!R16</f>
        <v/>
      </c>
      <c r="T198" s="2" t="str">
        <f>VESPUCIO!S16</f>
        <v/>
      </c>
      <c r="U198" s="2" t="str">
        <f>VESPUCIO!T16</f>
        <v/>
      </c>
      <c r="V198" s="2" t="str">
        <f>VESPUCIO!U16</f>
        <v/>
      </c>
      <c r="W198" s="2" t="str">
        <f>VESPUCIO!V16</f>
        <v/>
      </c>
      <c r="X198" s="2" t="str">
        <f>VESPUCIO!W16</f>
        <v/>
      </c>
      <c r="Y198" s="2" t="str">
        <f>VESPUCIO!X16</f>
        <v/>
      </c>
      <c r="Z198" s="2" t="str">
        <f>VESPUCIO!Y16</f>
        <v/>
      </c>
      <c r="AA198" s="2" t="str">
        <f>VESPUCIO!Z16</f>
        <v/>
      </c>
      <c r="AB198" s="2" t="str">
        <f>VESPUCIO!AA16</f>
        <v/>
      </c>
      <c r="AC198" s="2" t="str">
        <f>VESPUCIO!AB16</f>
        <v/>
      </c>
      <c r="AD198" s="2" t="str">
        <f>VESPUCIO!AC16</f>
        <v/>
      </c>
      <c r="AE198" s="2" t="str">
        <f>VESPUCIO!AD16</f>
        <v/>
      </c>
      <c r="AF198" s="2" t="str">
        <f>VESPUCIO!AE16</f>
        <v/>
      </c>
      <c r="AG198" s="2" t="str">
        <f>VESPUCIO!AF16</f>
        <v/>
      </c>
      <c r="AH198" s="2" t="str">
        <f>VESPUCIO!AG16</f>
        <v/>
      </c>
      <c r="AI198" s="2" t="str">
        <f>VESPUCIO!AH16</f>
        <v/>
      </c>
      <c r="AJ198" s="2" t="str">
        <f>VESPUCIO!AI16</f>
        <v/>
      </c>
      <c r="AK198" s="2" t="str">
        <f>VESPUCIO!AJ16</f>
        <v/>
      </c>
      <c r="AL198" s="2" t="str">
        <f>VESPUCIO!AK16</f>
        <v/>
      </c>
      <c r="AM198" s="2" t="str">
        <f>VESPUCIO!AL16</f>
        <v>-</v>
      </c>
      <c r="AN198" s="2" t="str">
        <f>VESPUCIO!AM16</f>
        <v>-</v>
      </c>
      <c r="AO198" s="2" t="str">
        <f>VESPUCIO!AN16</f>
        <v>-</v>
      </c>
      <c r="AP198" s="2">
        <f>VESPUCIO!AO16</f>
        <v>2</v>
      </c>
      <c r="AQ198" s="2">
        <f>VESPUCIO!AP16</f>
        <v>2</v>
      </c>
      <c r="AR198" s="2">
        <f>VESPUCIO!AQ16</f>
        <v>2</v>
      </c>
      <c r="AS198" s="2">
        <f>VESPUCIO!AR16</f>
        <v>2</v>
      </c>
      <c r="AT198" s="2">
        <f>VESPUCIO!AS16</f>
        <v>2</v>
      </c>
      <c r="AU198" s="2">
        <f>VESPUCIO!AT16</f>
        <v>2</v>
      </c>
      <c r="AV198" s="2">
        <f>VESPUCIO!AU16</f>
        <v>2</v>
      </c>
      <c r="AW198" s="2">
        <f>VESPUCIO!AV16</f>
        <v>2</v>
      </c>
      <c r="AX198" s="2">
        <f>VESPUCIO!AW16</f>
        <v>2</v>
      </c>
      <c r="AY198" s="2">
        <f>VESPUCIO!AX16</f>
        <v>2</v>
      </c>
      <c r="AZ198" s="2">
        <f>VESPUCIO!AY16</f>
        <v>2</v>
      </c>
      <c r="BA198" s="2">
        <f>VESPUCIO!AZ16</f>
        <v>2</v>
      </c>
      <c r="BB198" s="2">
        <f>VESPUCIO!BA16</f>
        <v>2</v>
      </c>
      <c r="BC198" s="2" t="str">
        <f>VESPUCIO!BB16</f>
        <v/>
      </c>
      <c r="BD198" s="2" t="str">
        <f>VESPUCIO!BC16</f>
        <v/>
      </c>
      <c r="BE198" s="2" t="str">
        <f>VESPUCIO!BD16</f>
        <v/>
      </c>
      <c r="BF198" s="2" t="str">
        <f>VESPUCIO!BE16</f>
        <v/>
      </c>
      <c r="BG198" s="2" t="str">
        <f>VESPUCIO!BF16</f>
        <v/>
      </c>
      <c r="BH198" s="2" t="str">
        <f>VESPUCIO!BY16</f>
        <v/>
      </c>
      <c r="BI198" s="2" t="str">
        <f>VESPUCIO!BZ16</f>
        <v/>
      </c>
      <c r="BJ198" s="2" t="str">
        <f>VESPUCIO!CA16</f>
        <v/>
      </c>
      <c r="BK198" s="2" t="str">
        <f>VESPUCIO!CB16</f>
        <v/>
      </c>
      <c r="BL198" s="2" t="str">
        <f>VESPUCIO!CC16</f>
        <v/>
      </c>
      <c r="BM198" s="2" t="str">
        <f>VESPUCIO!CD16</f>
        <v/>
      </c>
      <c r="BN198" s="2" t="str">
        <f>VESPUCIO!CE16</f>
        <v/>
      </c>
      <c r="BO198" s="2" t="str">
        <f>VESPUCIO!CF16</f>
        <v/>
      </c>
      <c r="BP198" s="2" t="str">
        <f>VESPUCIO!CG16</f>
        <v/>
      </c>
      <c r="BQ198" s="2" t="str">
        <f>VESPUCIO!CH16</f>
        <v/>
      </c>
      <c r="BR198" s="2" t="str">
        <f>VESPUCIO!CI16</f>
        <v/>
      </c>
      <c r="BS198" s="2" t="str">
        <f>VESPUCIO!CJ16</f>
        <v/>
      </c>
      <c r="BT198" s="2" t="str">
        <f>VESPUCIO!CK16</f>
        <v/>
      </c>
      <c r="BU198" s="2"/>
      <c r="BV198" s="2"/>
      <c r="BW198" s="2"/>
      <c r="BX198" s="2"/>
      <c r="BY198" s="2"/>
      <c r="BZ198" s="2"/>
      <c r="CA198" s="2"/>
      <c r="CB198" s="2"/>
      <c r="CC198" s="2"/>
    </row>
    <row r="199">
      <c r="A199" s="2"/>
      <c r="B199" s="2" t="str">
        <f>VESPUCIO!A17</f>
        <v>Vespucio</v>
      </c>
      <c r="C199" s="2" t="str">
        <f>VESPUCIO!B17</f>
        <v>Cafeteria</v>
      </c>
      <c r="D199" s="2" t="str">
        <f>VESPUCIO!C17</f>
        <v>Vinagre 500 ml </v>
      </c>
      <c r="E199" s="2" t="str">
        <f>VESPUCIO!D17</f>
        <v/>
      </c>
      <c r="F199" s="2" t="str">
        <f>VESPUCIO!E17</f>
        <v/>
      </c>
      <c r="G199" s="2" t="str">
        <f>VESPUCIO!F17</f>
        <v/>
      </c>
      <c r="H199" s="2" t="str">
        <f>VESPUCIO!G17</f>
        <v/>
      </c>
      <c r="I199" s="2" t="str">
        <f>VESPUCIO!H17</f>
        <v/>
      </c>
      <c r="J199" s="2" t="str">
        <f>VESPUCIO!I17</f>
        <v/>
      </c>
      <c r="K199" s="2" t="str">
        <f>VESPUCIO!J17</f>
        <v/>
      </c>
      <c r="L199" s="2" t="str">
        <f>VESPUCIO!K17</f>
        <v/>
      </c>
      <c r="M199" s="2" t="str">
        <f>VESPUCIO!L17</f>
        <v/>
      </c>
      <c r="N199" s="2" t="str">
        <f>VESPUCIO!M17</f>
        <v/>
      </c>
      <c r="O199" s="2" t="str">
        <f>VESPUCIO!N17</f>
        <v/>
      </c>
      <c r="P199" s="2" t="str">
        <f>VESPUCIO!O17</f>
        <v/>
      </c>
      <c r="Q199" s="2" t="str">
        <f>VESPUCIO!P17</f>
        <v/>
      </c>
      <c r="R199" s="2" t="str">
        <f>VESPUCIO!Q17</f>
        <v/>
      </c>
      <c r="S199" s="2" t="str">
        <f>VESPUCIO!R17</f>
        <v/>
      </c>
      <c r="T199" s="2" t="str">
        <f>VESPUCIO!S17</f>
        <v/>
      </c>
      <c r="U199" s="2" t="str">
        <f>VESPUCIO!T17</f>
        <v/>
      </c>
      <c r="V199" s="2" t="str">
        <f>VESPUCIO!U17</f>
        <v/>
      </c>
      <c r="W199" s="2" t="str">
        <f>VESPUCIO!V17</f>
        <v/>
      </c>
      <c r="X199" s="2" t="str">
        <f>VESPUCIO!W17</f>
        <v/>
      </c>
      <c r="Y199" s="2" t="str">
        <f>VESPUCIO!X17</f>
        <v/>
      </c>
      <c r="Z199" s="2" t="str">
        <f>VESPUCIO!Y17</f>
        <v/>
      </c>
      <c r="AA199" s="2" t="str">
        <f>VESPUCIO!Z17</f>
        <v/>
      </c>
      <c r="AB199" s="2" t="str">
        <f>VESPUCIO!AA17</f>
        <v/>
      </c>
      <c r="AC199" s="2" t="str">
        <f>VESPUCIO!AB17</f>
        <v/>
      </c>
      <c r="AD199" s="2" t="str">
        <f>VESPUCIO!AC17</f>
        <v/>
      </c>
      <c r="AE199" s="2" t="str">
        <f>VESPUCIO!AD17</f>
        <v/>
      </c>
      <c r="AF199" s="2" t="str">
        <f>VESPUCIO!AE17</f>
        <v/>
      </c>
      <c r="AG199" s="2" t="str">
        <f>VESPUCIO!AF17</f>
        <v/>
      </c>
      <c r="AH199" s="2" t="str">
        <f>VESPUCIO!AG17</f>
        <v/>
      </c>
      <c r="AI199" s="2" t="str">
        <f>VESPUCIO!AH17</f>
        <v/>
      </c>
      <c r="AJ199" s="2" t="str">
        <f>VESPUCIO!AI17</f>
        <v/>
      </c>
      <c r="AK199" s="2" t="str">
        <f>VESPUCIO!AJ17</f>
        <v/>
      </c>
      <c r="AL199" s="2" t="str">
        <f>VESPUCIO!AK17</f>
        <v/>
      </c>
      <c r="AM199" s="2" t="str">
        <f>VESPUCIO!AL17</f>
        <v>-</v>
      </c>
      <c r="AN199" s="2" t="str">
        <f>VESPUCIO!AM17</f>
        <v>-</v>
      </c>
      <c r="AO199" s="2" t="str">
        <f>VESPUCIO!AN17</f>
        <v>-</v>
      </c>
      <c r="AP199" s="2" t="str">
        <f>VESPUCIO!AO17</f>
        <v>5 Rosado / 3 Blanco</v>
      </c>
      <c r="AQ199" s="2" t="str">
        <f>VESPUCIO!AP17</f>
        <v>5 Rosado / 3 Blanco</v>
      </c>
      <c r="AR199" s="2" t="str">
        <f>VESPUCIO!AQ17</f>
        <v>5 Rosado / 3 Blanco</v>
      </c>
      <c r="AS199" s="2" t="str">
        <f>VESPUCIO!AR17</f>
        <v>5 Rosado / 3 Blanco</v>
      </c>
      <c r="AT199" s="2" t="str">
        <f>VESPUCIO!AS17</f>
        <v>3 Rosado / 1 Blanco</v>
      </c>
      <c r="AU199" s="2" t="str">
        <f>VESPUCIO!AT17</f>
        <v>3 Rosado / 1 Blanco</v>
      </c>
      <c r="AV199" s="2" t="str">
        <f>VESPUCIO!AU17</f>
        <v>3 Rosado / 1 Blanco</v>
      </c>
      <c r="AW199" s="2" t="str">
        <f>VESPUCIO!AV17</f>
        <v>3 Rosado / 1 Blanco</v>
      </c>
      <c r="AX199" s="2" t="str">
        <f>VESPUCIO!AW17</f>
        <v>3 Rosado / 1 Blanco</v>
      </c>
      <c r="AY199" s="2" t="str">
        <f>VESPUCIO!AX17</f>
        <v>3 Rosado / 1 Blanco</v>
      </c>
      <c r="AZ199" s="2" t="str">
        <f>VESPUCIO!AY17</f>
        <v>3 Rosado / 1 Blanco</v>
      </c>
      <c r="BA199" s="2" t="str">
        <f>VESPUCIO!AZ17</f>
        <v>3 Rosado / 1 Blanco</v>
      </c>
      <c r="BB199" s="2" t="str">
        <f>VESPUCIO!BA17</f>
        <v>3 Rosado / 1 Blanco</v>
      </c>
      <c r="BC199" s="2" t="str">
        <f>VESPUCIO!BB17</f>
        <v/>
      </c>
      <c r="BD199" s="2" t="str">
        <f>VESPUCIO!BC17</f>
        <v/>
      </c>
      <c r="BE199" s="2" t="str">
        <f>VESPUCIO!BD17</f>
        <v/>
      </c>
      <c r="BF199" s="2" t="str">
        <f>VESPUCIO!BE17</f>
        <v/>
      </c>
      <c r="BG199" s="2" t="str">
        <f>VESPUCIO!BF17</f>
        <v/>
      </c>
      <c r="BH199" s="2" t="str">
        <f>VESPUCIO!BY17</f>
        <v/>
      </c>
      <c r="BI199" s="2" t="str">
        <f>VESPUCIO!BZ17</f>
        <v/>
      </c>
      <c r="BJ199" s="2" t="str">
        <f>VESPUCIO!CA17</f>
        <v/>
      </c>
      <c r="BK199" s="2" t="str">
        <f>VESPUCIO!CB17</f>
        <v/>
      </c>
      <c r="BL199" s="2" t="str">
        <f>VESPUCIO!CC17</f>
        <v/>
      </c>
      <c r="BM199" s="2" t="str">
        <f>VESPUCIO!CD17</f>
        <v/>
      </c>
      <c r="BN199" s="2" t="str">
        <f>VESPUCIO!CE17</f>
        <v/>
      </c>
      <c r="BO199" s="2" t="str">
        <f>VESPUCIO!CF17</f>
        <v/>
      </c>
      <c r="BP199" s="2" t="str">
        <f>VESPUCIO!CG17</f>
        <v/>
      </c>
      <c r="BQ199" s="2" t="str">
        <f>VESPUCIO!CH17</f>
        <v/>
      </c>
      <c r="BR199" s="2" t="str">
        <f>VESPUCIO!CI17</f>
        <v/>
      </c>
      <c r="BS199" s="2" t="str">
        <f>VESPUCIO!CJ17</f>
        <v/>
      </c>
      <c r="BT199" s="2" t="str">
        <f>VESPUCIO!CK17</f>
        <v/>
      </c>
      <c r="BU199" s="2"/>
      <c r="BV199" s="2"/>
      <c r="BW199" s="2"/>
      <c r="BX199" s="2"/>
      <c r="BY199" s="2"/>
      <c r="BZ199" s="2"/>
      <c r="CA199" s="2"/>
      <c r="CB199" s="2"/>
      <c r="CC199" s="2"/>
    </row>
    <row r="200">
      <c r="A200" s="2"/>
      <c r="B200" s="2" t="str">
        <f>VESPUCIO!A18</f>
        <v>Vespucio</v>
      </c>
      <c r="C200" s="2" t="str">
        <f>VESPUCIO!B18</f>
        <v>Cafe Caribe</v>
      </c>
      <c r="D200" s="2" t="str">
        <f>VESPUCIO!C18</f>
        <v>Cafe Grano (KG)</v>
      </c>
      <c r="E200" s="2">
        <f>VESPUCIO!D18</f>
        <v>2</v>
      </c>
      <c r="F200" s="2" t="str">
        <f>VESPUCIO!E18</f>
        <v/>
      </c>
      <c r="G200" s="2">
        <f>VESPUCIO!F18</f>
        <v>0</v>
      </c>
      <c r="H200" s="2">
        <f>VESPUCIO!G18</f>
        <v>5</v>
      </c>
      <c r="I200" s="2">
        <f>VESPUCIO!H18</f>
        <v>3</v>
      </c>
      <c r="J200" s="2">
        <f>VESPUCIO!I18</f>
        <v>2</v>
      </c>
      <c r="K200" s="2" t="str">
        <f>VESPUCIO!J18</f>
        <v/>
      </c>
      <c r="L200" s="2" t="str">
        <f>VESPUCIO!K18</f>
        <v/>
      </c>
      <c r="M200" s="2">
        <f>VESPUCIO!L18</f>
        <v>6</v>
      </c>
      <c r="N200" s="2">
        <f>VESPUCIO!M18</f>
        <v>1</v>
      </c>
      <c r="O200" s="2">
        <f>VESPUCIO!N18</f>
        <v>16</v>
      </c>
      <c r="P200" s="2">
        <f>VESPUCIO!O18</f>
        <v>12</v>
      </c>
      <c r="Q200" s="2">
        <f>VESPUCIO!P18</f>
        <v>10</v>
      </c>
      <c r="R200" s="2">
        <f>VESPUCIO!Q18</f>
        <v>7.5</v>
      </c>
      <c r="S200" s="2">
        <f>VESPUCIO!R18</f>
        <v>10</v>
      </c>
      <c r="T200" s="2">
        <f>VESPUCIO!S18</f>
        <v>4</v>
      </c>
      <c r="U200" s="2">
        <f>VESPUCIO!T18</f>
        <v>9</v>
      </c>
      <c r="V200" s="2">
        <f>VESPUCIO!U18</f>
        <v>7</v>
      </c>
      <c r="W200" s="2">
        <f>VESPUCIO!V18</f>
        <v>13</v>
      </c>
      <c r="X200" s="2">
        <f>VESPUCIO!W18</f>
        <v>10</v>
      </c>
      <c r="Y200" s="2">
        <f>VESPUCIO!X18</f>
        <v>6</v>
      </c>
      <c r="Z200" s="2">
        <f>VESPUCIO!Y18</f>
        <v>2</v>
      </c>
      <c r="AA200" s="2">
        <f>VESPUCIO!Z18</f>
        <v>11</v>
      </c>
      <c r="AB200" s="2">
        <f>VESPUCIO!AA18</f>
        <v>8</v>
      </c>
      <c r="AC200" s="2">
        <f>VESPUCIO!AB18</f>
        <v>5</v>
      </c>
      <c r="AD200" s="2">
        <f>VESPUCIO!AC18</f>
        <v>3.5</v>
      </c>
      <c r="AE200" s="2">
        <f>VESPUCIO!AD18</f>
        <v>13</v>
      </c>
      <c r="AF200" s="2">
        <f>VESPUCIO!AE18</f>
        <v>10</v>
      </c>
      <c r="AG200" s="2">
        <f>VESPUCIO!AF18</f>
        <v>12.5</v>
      </c>
      <c r="AH200" s="2">
        <f>VESPUCIO!AG18</f>
        <v>8</v>
      </c>
      <c r="AI200" s="2">
        <f>VESPUCIO!AH18</f>
        <v>13.5</v>
      </c>
      <c r="AJ200" s="2">
        <f>VESPUCIO!AI18</f>
        <v>15</v>
      </c>
      <c r="AK200" s="2">
        <f>VESPUCIO!AJ18</f>
        <v>13</v>
      </c>
      <c r="AL200" s="2">
        <f>VESPUCIO!AK18</f>
        <v>21</v>
      </c>
      <c r="AM200" s="2">
        <f>VESPUCIO!AL18</f>
        <v>22</v>
      </c>
      <c r="AN200" s="2">
        <f>VESPUCIO!AM18</f>
        <v>18</v>
      </c>
      <c r="AO200" s="2">
        <f>VESPUCIO!AN18</f>
        <v>17</v>
      </c>
      <c r="AP200" s="2">
        <f>VESPUCIO!AO18</f>
        <v>13</v>
      </c>
      <c r="AQ200" s="2" t="str">
        <f>VESPUCIO!AP18</f>
        <v>11 1/2</v>
      </c>
      <c r="AR200" s="2" t="str">
        <f>VESPUCIO!AQ18</f>
        <v>9 1/2</v>
      </c>
      <c r="AS200" s="2" t="str">
        <f>VESPUCIO!AR18</f>
        <v>7 1/2</v>
      </c>
      <c r="AT200" s="2">
        <f>VESPUCIO!AS18</f>
        <v>7</v>
      </c>
      <c r="AU200" s="2">
        <f>VESPUCIO!AT18</f>
        <v>5</v>
      </c>
      <c r="AV200" s="2" t="str">
        <f>VESPUCIO!AU18</f>
        <v>13 1/2</v>
      </c>
      <c r="AW200" s="2">
        <f>VESPUCIO!AV18</f>
        <v>13</v>
      </c>
      <c r="AX200" s="2">
        <f>VESPUCIO!AW18</f>
        <v>12</v>
      </c>
      <c r="AY200" s="2" t="str">
        <f>VESPUCIO!AX18</f>
        <v>18 1/2</v>
      </c>
      <c r="AZ200" s="2" t="str">
        <f>VESPUCIO!AY18</f>
        <v>17 1/2</v>
      </c>
      <c r="BA200" s="2" t="str">
        <f>VESPUCIO!AZ18</f>
        <v>15 1/2</v>
      </c>
      <c r="BB200" s="2">
        <f>VESPUCIO!BA18</f>
        <v>13</v>
      </c>
      <c r="BC200" s="2" t="str">
        <f>VESPUCIO!BB18</f>
        <v/>
      </c>
      <c r="BD200" s="2" t="str">
        <f>VESPUCIO!BC18</f>
        <v/>
      </c>
      <c r="BE200" s="2" t="str">
        <f>VESPUCIO!BD18</f>
        <v/>
      </c>
      <c r="BF200" s="2" t="str">
        <f>VESPUCIO!BE18</f>
        <v/>
      </c>
      <c r="BG200" s="2" t="str">
        <f>VESPUCIO!BF18</f>
        <v/>
      </c>
      <c r="BH200" s="2" t="str">
        <f>VESPUCIO!BY18</f>
        <v/>
      </c>
      <c r="BI200" s="2" t="str">
        <f>VESPUCIO!BZ18</f>
        <v/>
      </c>
      <c r="BJ200" s="2" t="str">
        <f>VESPUCIO!CA18</f>
        <v/>
      </c>
      <c r="BK200" s="2" t="str">
        <f>VESPUCIO!CB18</f>
        <v/>
      </c>
      <c r="BL200" s="2" t="str">
        <f>VESPUCIO!CC18</f>
        <v/>
      </c>
      <c r="BM200" s="2" t="str">
        <f>VESPUCIO!CD18</f>
        <v/>
      </c>
      <c r="BN200" s="2" t="str">
        <f>VESPUCIO!CE18</f>
        <v/>
      </c>
      <c r="BO200" s="2" t="str">
        <f>VESPUCIO!CF18</f>
        <v/>
      </c>
      <c r="BP200" s="2" t="str">
        <f>VESPUCIO!CG18</f>
        <v/>
      </c>
      <c r="BQ200" s="2" t="str">
        <f>VESPUCIO!CH18</f>
        <v/>
      </c>
      <c r="BR200" s="2" t="str">
        <f>VESPUCIO!CI18</f>
        <v/>
      </c>
      <c r="BS200" s="2" t="str">
        <f>VESPUCIO!CJ18</f>
        <v/>
      </c>
      <c r="BT200" s="2" t="str">
        <f>VESPUCIO!CK18</f>
        <v/>
      </c>
      <c r="BU200" s="2"/>
      <c r="BV200" s="2"/>
      <c r="BW200" s="2"/>
      <c r="BX200" s="2"/>
      <c r="BY200" s="2"/>
      <c r="BZ200" s="2"/>
      <c r="CA200" s="2"/>
      <c r="CB200" s="2"/>
      <c r="CC200" s="2"/>
    </row>
    <row r="201">
      <c r="A201" s="2"/>
      <c r="B201" s="2" t="str">
        <f>VESPUCIO!A19</f>
        <v>Vespucio</v>
      </c>
      <c r="C201" s="2" t="str">
        <f>VESPUCIO!B19</f>
        <v>Aseo</v>
      </c>
      <c r="D201" s="2" t="str">
        <f>VESPUCIO!C19</f>
        <v>Aerosol </v>
      </c>
      <c r="E201" s="2" t="str">
        <f>VESPUCIO!D19</f>
        <v/>
      </c>
      <c r="F201" s="2" t="str">
        <f>VESPUCIO!E19</f>
        <v/>
      </c>
      <c r="G201" s="2" t="str">
        <f>VESPUCIO!F19</f>
        <v/>
      </c>
      <c r="H201" s="2" t="str">
        <f>VESPUCIO!G19</f>
        <v/>
      </c>
      <c r="I201" s="2" t="str">
        <f>VESPUCIO!H19</f>
        <v/>
      </c>
      <c r="J201" s="2" t="str">
        <f>VESPUCIO!I19</f>
        <v/>
      </c>
      <c r="K201" s="2" t="str">
        <f>VESPUCIO!J19</f>
        <v/>
      </c>
      <c r="L201" s="2" t="str">
        <f>VESPUCIO!K19</f>
        <v/>
      </c>
      <c r="M201" s="2" t="str">
        <f>VESPUCIO!L19</f>
        <v/>
      </c>
      <c r="N201" s="2" t="str">
        <f>VESPUCIO!M19</f>
        <v/>
      </c>
      <c r="O201" s="2" t="str">
        <f>VESPUCIO!N19</f>
        <v/>
      </c>
      <c r="P201" s="2" t="str">
        <f>VESPUCIO!O19</f>
        <v/>
      </c>
      <c r="Q201" s="2" t="str">
        <f>VESPUCIO!P19</f>
        <v/>
      </c>
      <c r="R201" s="2" t="str">
        <f>VESPUCIO!Q19</f>
        <v/>
      </c>
      <c r="S201" s="2" t="str">
        <f>VESPUCIO!R19</f>
        <v/>
      </c>
      <c r="T201" s="2" t="str">
        <f>VESPUCIO!S19</f>
        <v/>
      </c>
      <c r="U201" s="2" t="str">
        <f>VESPUCIO!T19</f>
        <v/>
      </c>
      <c r="V201" s="2" t="str">
        <f>VESPUCIO!U19</f>
        <v/>
      </c>
      <c r="W201" s="2" t="str">
        <f>VESPUCIO!V19</f>
        <v/>
      </c>
      <c r="X201" s="2" t="str">
        <f>VESPUCIO!W19</f>
        <v/>
      </c>
      <c r="Y201" s="2" t="str">
        <f>VESPUCIO!X19</f>
        <v/>
      </c>
      <c r="Z201" s="2" t="str">
        <f>VESPUCIO!Y19</f>
        <v/>
      </c>
      <c r="AA201" s="2" t="str">
        <f>VESPUCIO!Z19</f>
        <v/>
      </c>
      <c r="AB201" s="2" t="str">
        <f>VESPUCIO!AA19</f>
        <v/>
      </c>
      <c r="AC201" s="2" t="str">
        <f>VESPUCIO!AB19</f>
        <v/>
      </c>
      <c r="AD201" s="2" t="str">
        <f>VESPUCIO!AC19</f>
        <v/>
      </c>
      <c r="AE201" s="2" t="str">
        <f>VESPUCIO!AD19</f>
        <v/>
      </c>
      <c r="AF201" s="2" t="str">
        <f>VESPUCIO!AE19</f>
        <v/>
      </c>
      <c r="AG201" s="2" t="str">
        <f>VESPUCIO!AF19</f>
        <v/>
      </c>
      <c r="AH201" s="2" t="str">
        <f>VESPUCIO!AG19</f>
        <v/>
      </c>
      <c r="AI201" s="2" t="str">
        <f>VESPUCIO!AH19</f>
        <v/>
      </c>
      <c r="AJ201" s="2" t="str">
        <f>VESPUCIO!AI19</f>
        <v/>
      </c>
      <c r="AK201" s="2" t="str">
        <f>VESPUCIO!AJ19</f>
        <v/>
      </c>
      <c r="AL201" s="2" t="str">
        <f>VESPUCIO!AK19</f>
        <v/>
      </c>
      <c r="AM201" s="2" t="str">
        <f>VESPUCIO!AL19</f>
        <v>-</v>
      </c>
      <c r="AN201" s="2" t="str">
        <f>VESPUCIO!AM19</f>
        <v>-</v>
      </c>
      <c r="AO201" s="2" t="str">
        <f>VESPUCIO!AN19</f>
        <v>-</v>
      </c>
      <c r="AP201" s="2" t="str">
        <f>VESPUCIO!AO19</f>
        <v>-</v>
      </c>
      <c r="AQ201" s="2">
        <f>VESPUCIO!AP19</f>
        <v>8</v>
      </c>
      <c r="AR201" s="2">
        <f>VESPUCIO!AQ19</f>
        <v>7</v>
      </c>
      <c r="AS201" s="2">
        <f>VESPUCIO!AR19</f>
        <v>7</v>
      </c>
      <c r="AT201" s="2">
        <f>VESPUCIO!AS19</f>
        <v>7</v>
      </c>
      <c r="AU201" s="2">
        <f>VESPUCIO!AT19</f>
        <v>4</v>
      </c>
      <c r="AV201" s="2">
        <f>VESPUCIO!AU19</f>
        <v>3</v>
      </c>
      <c r="AW201" s="2">
        <f>VESPUCIO!AV19</f>
        <v>3</v>
      </c>
      <c r="AX201" s="2">
        <f>VESPUCIO!AW19</f>
        <v>3</v>
      </c>
      <c r="AY201" s="2">
        <f>VESPUCIO!AX19</f>
        <v>3</v>
      </c>
      <c r="AZ201" s="2">
        <f>VESPUCIO!AY19</f>
        <v>12</v>
      </c>
      <c r="BA201" s="2">
        <f>VESPUCIO!AZ19</f>
        <v>4</v>
      </c>
      <c r="BB201" s="2">
        <f>VESPUCIO!BA19</f>
        <v>8</v>
      </c>
      <c r="BC201" s="2" t="str">
        <f>VESPUCIO!BB19</f>
        <v/>
      </c>
      <c r="BD201" s="2" t="str">
        <f>VESPUCIO!BC19</f>
        <v/>
      </c>
      <c r="BE201" s="2" t="str">
        <f>VESPUCIO!BD19</f>
        <v/>
      </c>
      <c r="BF201" s="2" t="str">
        <f>VESPUCIO!BE19</f>
        <v/>
      </c>
      <c r="BG201" s="2" t="str">
        <f>VESPUCIO!BF19</f>
        <v/>
      </c>
      <c r="BH201" s="2" t="str">
        <f>VESPUCIO!BY19</f>
        <v/>
      </c>
      <c r="BI201" s="2" t="str">
        <f>VESPUCIO!BZ19</f>
        <v/>
      </c>
      <c r="BJ201" s="2" t="str">
        <f>VESPUCIO!CA19</f>
        <v/>
      </c>
      <c r="BK201" s="2" t="str">
        <f>VESPUCIO!CB19</f>
        <v/>
      </c>
      <c r="BL201" s="2" t="str">
        <f>VESPUCIO!CC19</f>
        <v/>
      </c>
      <c r="BM201" s="2" t="str">
        <f>VESPUCIO!CD19</f>
        <v/>
      </c>
      <c r="BN201" s="2" t="str">
        <f>VESPUCIO!CE19</f>
        <v/>
      </c>
      <c r="BO201" s="2" t="str">
        <f>VESPUCIO!CF19</f>
        <v/>
      </c>
      <c r="BP201" s="2" t="str">
        <f>VESPUCIO!CG19</f>
        <v/>
      </c>
      <c r="BQ201" s="2" t="str">
        <f>VESPUCIO!CH19</f>
        <v/>
      </c>
      <c r="BR201" s="2" t="str">
        <f>VESPUCIO!CI19</f>
        <v/>
      </c>
      <c r="BS201" s="2" t="str">
        <f>VESPUCIO!CJ19</f>
        <v/>
      </c>
      <c r="BT201" s="2" t="str">
        <f>VESPUCIO!CK19</f>
        <v/>
      </c>
      <c r="BU201" s="2"/>
      <c r="BV201" s="2"/>
      <c r="BW201" s="2"/>
      <c r="BX201" s="2"/>
      <c r="BY201" s="2"/>
      <c r="BZ201" s="2"/>
      <c r="CA201" s="2"/>
      <c r="CB201" s="2"/>
      <c r="CC201" s="2"/>
    </row>
    <row r="202">
      <c r="A202" s="2"/>
      <c r="B202" s="2" t="str">
        <f>VESPUCIO!A20</f>
        <v>Vespucio</v>
      </c>
      <c r="C202" s="2" t="str">
        <f>VESPUCIO!B20</f>
        <v>Aseo</v>
      </c>
      <c r="D202" s="2" t="str">
        <f>VESPUCIO!C20</f>
        <v>Antisarro x 5 L </v>
      </c>
      <c r="E202" s="2" t="str">
        <f>VESPUCIO!D20</f>
        <v/>
      </c>
      <c r="F202" s="2" t="str">
        <f>VESPUCIO!E20</f>
        <v/>
      </c>
      <c r="G202" s="2" t="str">
        <f>VESPUCIO!F20</f>
        <v/>
      </c>
      <c r="H202" s="2" t="str">
        <f>VESPUCIO!G20</f>
        <v/>
      </c>
      <c r="I202" s="2" t="str">
        <f>VESPUCIO!H20</f>
        <v/>
      </c>
      <c r="J202" s="2" t="str">
        <f>VESPUCIO!I20</f>
        <v/>
      </c>
      <c r="K202" s="2" t="str">
        <f>VESPUCIO!J20</f>
        <v/>
      </c>
      <c r="L202" s="2" t="str">
        <f>VESPUCIO!K20</f>
        <v/>
      </c>
      <c r="M202" s="2" t="str">
        <f>VESPUCIO!L20</f>
        <v/>
      </c>
      <c r="N202" s="2" t="str">
        <f>VESPUCIO!M20</f>
        <v/>
      </c>
      <c r="O202" s="2" t="str">
        <f>VESPUCIO!N20</f>
        <v/>
      </c>
      <c r="P202" s="2" t="str">
        <f>VESPUCIO!O20</f>
        <v/>
      </c>
      <c r="Q202" s="2" t="str">
        <f>VESPUCIO!P20</f>
        <v/>
      </c>
      <c r="R202" s="2" t="str">
        <f>VESPUCIO!Q20</f>
        <v/>
      </c>
      <c r="S202" s="2" t="str">
        <f>VESPUCIO!R20</f>
        <v/>
      </c>
      <c r="T202" s="2" t="str">
        <f>VESPUCIO!S20</f>
        <v/>
      </c>
      <c r="U202" s="2" t="str">
        <f>VESPUCIO!T20</f>
        <v/>
      </c>
      <c r="V202" s="2" t="str">
        <f>VESPUCIO!U20</f>
        <v/>
      </c>
      <c r="W202" s="2" t="str">
        <f>VESPUCIO!V20</f>
        <v/>
      </c>
      <c r="X202" s="2" t="str">
        <f>VESPUCIO!W20</f>
        <v/>
      </c>
      <c r="Y202" s="2" t="str">
        <f>VESPUCIO!X20</f>
        <v/>
      </c>
      <c r="Z202" s="2" t="str">
        <f>VESPUCIO!Y20</f>
        <v/>
      </c>
      <c r="AA202" s="2" t="str">
        <f>VESPUCIO!Z20</f>
        <v/>
      </c>
      <c r="AB202" s="2" t="str">
        <f>VESPUCIO!AA20</f>
        <v/>
      </c>
      <c r="AC202" s="2" t="str">
        <f>VESPUCIO!AB20</f>
        <v/>
      </c>
      <c r="AD202" s="2" t="str">
        <f>VESPUCIO!AC20</f>
        <v/>
      </c>
      <c r="AE202" s="2" t="str">
        <f>VESPUCIO!AD20</f>
        <v/>
      </c>
      <c r="AF202" s="2" t="str">
        <f>VESPUCIO!AE20</f>
        <v/>
      </c>
      <c r="AG202" s="2" t="str">
        <f>VESPUCIO!AF20</f>
        <v/>
      </c>
      <c r="AH202" s="2" t="str">
        <f>VESPUCIO!AG20</f>
        <v/>
      </c>
      <c r="AI202" s="2" t="str">
        <f>VESPUCIO!AH20</f>
        <v/>
      </c>
      <c r="AJ202" s="2" t="str">
        <f>VESPUCIO!AI20</f>
        <v/>
      </c>
      <c r="AK202" s="2" t="str">
        <f>VESPUCIO!AJ20</f>
        <v/>
      </c>
      <c r="AL202" s="2" t="str">
        <f>VESPUCIO!AK20</f>
        <v/>
      </c>
      <c r="AM202" s="2" t="str">
        <f>VESPUCIO!AL20</f>
        <v>-</v>
      </c>
      <c r="AN202" s="2" t="str">
        <f>VESPUCIO!AM20</f>
        <v>-</v>
      </c>
      <c r="AO202" s="2" t="str">
        <f>VESPUCIO!AN20</f>
        <v>-</v>
      </c>
      <c r="AP202" s="2" t="str">
        <f>VESPUCIO!AO20</f>
        <v>-</v>
      </c>
      <c r="AQ202" s="2">
        <f>VESPUCIO!AP20</f>
        <v>2</v>
      </c>
      <c r="AR202" s="2">
        <f>VESPUCIO!AQ20</f>
        <v>2</v>
      </c>
      <c r="AS202" s="2">
        <f>VESPUCIO!AR20</f>
        <v>2</v>
      </c>
      <c r="AT202" s="2">
        <f>VESPUCIO!AS20</f>
        <v>2</v>
      </c>
      <c r="AU202" s="2">
        <f>VESPUCIO!AT20</f>
        <v>2</v>
      </c>
      <c r="AV202" s="2">
        <f>VESPUCIO!AU20</f>
        <v>2</v>
      </c>
      <c r="AW202" s="2">
        <f>VESPUCIO!AV20</f>
        <v>2</v>
      </c>
      <c r="AX202" s="2">
        <f>VESPUCIO!AW20</f>
        <v>2</v>
      </c>
      <c r="AY202" s="2">
        <f>VESPUCIO!AX20</f>
        <v>1</v>
      </c>
      <c r="AZ202" s="2">
        <f>VESPUCIO!AY20</f>
        <v>1</v>
      </c>
      <c r="BA202" s="2">
        <f>VESPUCIO!AZ20</f>
        <v>2</v>
      </c>
      <c r="BB202" s="2">
        <f>VESPUCIO!BA20</f>
        <v>2</v>
      </c>
      <c r="BC202" s="2" t="str">
        <f>VESPUCIO!BB20</f>
        <v/>
      </c>
      <c r="BD202" s="2" t="str">
        <f>VESPUCIO!BC20</f>
        <v/>
      </c>
      <c r="BE202" s="2" t="str">
        <f>VESPUCIO!BD20</f>
        <v/>
      </c>
      <c r="BF202" s="2" t="str">
        <f>VESPUCIO!BE20</f>
        <v/>
      </c>
      <c r="BG202" s="2" t="str">
        <f>VESPUCIO!BF20</f>
        <v/>
      </c>
      <c r="BH202" s="2" t="str">
        <f>VESPUCIO!BY20</f>
        <v/>
      </c>
      <c r="BI202" s="2" t="str">
        <f>VESPUCIO!BZ20</f>
        <v/>
      </c>
      <c r="BJ202" s="2" t="str">
        <f>VESPUCIO!CA20</f>
        <v/>
      </c>
      <c r="BK202" s="2" t="str">
        <f>VESPUCIO!CB20</f>
        <v/>
      </c>
      <c r="BL202" s="2" t="str">
        <f>VESPUCIO!CC20</f>
        <v/>
      </c>
      <c r="BM202" s="2" t="str">
        <f>VESPUCIO!CD20</f>
        <v/>
      </c>
      <c r="BN202" s="2" t="str">
        <f>VESPUCIO!CE20</f>
        <v/>
      </c>
      <c r="BO202" s="2" t="str">
        <f>VESPUCIO!CF20</f>
        <v/>
      </c>
      <c r="BP202" s="2" t="str">
        <f>VESPUCIO!CG20</f>
        <v/>
      </c>
      <c r="BQ202" s="2" t="str">
        <f>VESPUCIO!CH20</f>
        <v/>
      </c>
      <c r="BR202" s="2" t="str">
        <f>VESPUCIO!CI20</f>
        <v/>
      </c>
      <c r="BS202" s="2" t="str">
        <f>VESPUCIO!CJ20</f>
        <v/>
      </c>
      <c r="BT202" s="2" t="str">
        <f>VESPUCIO!CK20</f>
        <v/>
      </c>
      <c r="BU202" s="2"/>
      <c r="BV202" s="2"/>
      <c r="BW202" s="2"/>
      <c r="BX202" s="2"/>
      <c r="BY202" s="2"/>
      <c r="BZ202" s="2"/>
      <c r="CA202" s="2"/>
      <c r="CB202" s="2"/>
      <c r="CC202" s="2"/>
    </row>
    <row r="203" ht="15.0" customHeight="1">
      <c r="A203" s="2"/>
      <c r="B203" s="2" t="str">
        <f>VESPUCIO!A21</f>
        <v>Vespucio</v>
      </c>
      <c r="C203" s="2" t="str">
        <f>VESPUCIO!B21</f>
        <v>Aseo</v>
      </c>
      <c r="D203" s="2" t="str">
        <f>VESPUCIO!C21</f>
        <v>Bolsas Basura 50x70</v>
      </c>
      <c r="E203" s="2" t="str">
        <f>VESPUCIO!D21</f>
        <v/>
      </c>
      <c r="F203" s="2" t="str">
        <f>VESPUCIO!E21</f>
        <v/>
      </c>
      <c r="G203" s="2" t="str">
        <f>VESPUCIO!F21</f>
        <v/>
      </c>
      <c r="H203" s="2" t="str">
        <f>VESPUCIO!G21</f>
        <v/>
      </c>
      <c r="I203" s="2" t="str">
        <f>VESPUCIO!H21</f>
        <v/>
      </c>
      <c r="J203" s="2" t="str">
        <f>VESPUCIO!I21</f>
        <v/>
      </c>
      <c r="K203" s="2" t="str">
        <f>VESPUCIO!J21</f>
        <v/>
      </c>
      <c r="L203" s="2" t="str">
        <f>VESPUCIO!K21</f>
        <v/>
      </c>
      <c r="M203" s="2" t="str">
        <f>VESPUCIO!L21</f>
        <v/>
      </c>
      <c r="N203" s="2" t="str">
        <f>VESPUCIO!M21</f>
        <v/>
      </c>
      <c r="O203" s="2" t="str">
        <f>VESPUCIO!N21</f>
        <v/>
      </c>
      <c r="P203" s="2" t="str">
        <f>VESPUCIO!O21</f>
        <v/>
      </c>
      <c r="Q203" s="2" t="str">
        <f>VESPUCIO!P21</f>
        <v/>
      </c>
      <c r="R203" s="2" t="str">
        <f>VESPUCIO!Q21</f>
        <v/>
      </c>
      <c r="S203" s="2" t="str">
        <f>VESPUCIO!R21</f>
        <v>-</v>
      </c>
      <c r="T203" s="2" t="str">
        <f>VESPUCIO!S21</f>
        <v>-</v>
      </c>
      <c r="U203" s="2" t="str">
        <f>VESPUCIO!T21</f>
        <v>-</v>
      </c>
      <c r="V203" s="2" t="str">
        <f>VESPUCIO!U21</f>
        <v>-</v>
      </c>
      <c r="W203" s="2" t="str">
        <f>VESPUCIO!V21</f>
        <v>-</v>
      </c>
      <c r="X203" s="2" t="str">
        <f>VESPUCIO!W21</f>
        <v>-</v>
      </c>
      <c r="Y203" s="2" t="str">
        <f>VESPUCIO!X21</f>
        <v>-</v>
      </c>
      <c r="Z203" s="2" t="str">
        <f>VESPUCIO!Y21</f>
        <v>-</v>
      </c>
      <c r="AA203" s="2" t="str">
        <f>VESPUCIO!Z21</f>
        <v>-</v>
      </c>
      <c r="AB203" s="2" t="str">
        <f>VESPUCIO!AA21</f>
        <v>-</v>
      </c>
      <c r="AC203" s="2" t="str">
        <f>VESPUCIO!AB21</f>
        <v>-</v>
      </c>
      <c r="AD203" s="2" t="str">
        <f>VESPUCIO!AC21</f>
        <v>-</v>
      </c>
      <c r="AE203" s="2">
        <f>VESPUCIO!AD21</f>
        <v>45</v>
      </c>
      <c r="AF203" s="2" t="str">
        <f>VESPUCIO!AE21</f>
        <v>pequeña: 13
mediana 8
grande: 20</v>
      </c>
      <c r="AG203" s="2">
        <f>VESPUCIO!AF21</f>
        <v>12</v>
      </c>
      <c r="AH203" s="2">
        <f>VESPUCIO!AG21</f>
        <v>12</v>
      </c>
      <c r="AI203" s="2">
        <f>VESPUCIO!AH21</f>
        <v>24</v>
      </c>
      <c r="AJ203" s="2">
        <f>VESPUCIO!AI21</f>
        <v>23</v>
      </c>
      <c r="AK203" s="2">
        <f>VESPUCIO!AJ21</f>
        <v>22</v>
      </c>
      <c r="AL203" s="2">
        <f>VESPUCIO!AK21</f>
        <v>21</v>
      </c>
      <c r="AM203" s="2">
        <f>VESPUCIO!AL21</f>
        <v>17</v>
      </c>
      <c r="AN203" s="2">
        <f>VESPUCIO!AM21</f>
        <v>15</v>
      </c>
      <c r="AO203" s="2">
        <f>VESPUCIO!AN21</f>
        <v>9</v>
      </c>
      <c r="AP203" s="2">
        <f>VESPUCIO!AO21</f>
        <v>0</v>
      </c>
      <c r="AQ203" s="2">
        <f>VESPUCIO!AP21</f>
        <v>0</v>
      </c>
      <c r="AR203" s="2">
        <f>VESPUCIO!AQ21</f>
        <v>0</v>
      </c>
      <c r="AS203" s="2">
        <f>VESPUCIO!AR21</f>
        <v>0</v>
      </c>
      <c r="AT203" s="2">
        <f>VESPUCIO!AS21</f>
        <v>20</v>
      </c>
      <c r="AU203" s="2">
        <f>VESPUCIO!AT21</f>
        <v>15</v>
      </c>
      <c r="AV203" s="2">
        <f>VESPUCIO!AU21</f>
        <v>11</v>
      </c>
      <c r="AW203" s="2">
        <f>VESPUCIO!AV21</f>
        <v>9</v>
      </c>
      <c r="AX203" s="2">
        <f>VESPUCIO!AW21</f>
        <v>4</v>
      </c>
      <c r="AY203" s="2">
        <f>VESPUCIO!AX21</f>
        <v>1</v>
      </c>
      <c r="AZ203" s="2">
        <f>VESPUCIO!AY21</f>
        <v>10</v>
      </c>
      <c r="BA203" s="2">
        <f>VESPUCIO!AZ21</f>
        <v>2</v>
      </c>
      <c r="BB203" s="2">
        <f>VESPUCIO!BA21</f>
        <v>3</v>
      </c>
      <c r="BC203" s="2" t="str">
        <f>VESPUCIO!BB21</f>
        <v/>
      </c>
      <c r="BD203" s="2" t="str">
        <f>VESPUCIO!BC21</f>
        <v/>
      </c>
      <c r="BE203" s="2" t="str">
        <f>VESPUCIO!BD21</f>
        <v/>
      </c>
      <c r="BF203" s="2" t="str">
        <f>VESPUCIO!BE21</f>
        <v/>
      </c>
      <c r="BG203" s="2" t="str">
        <f>VESPUCIO!BF21</f>
        <v/>
      </c>
      <c r="BH203" s="2" t="str">
        <f>VESPUCIO!BY21</f>
        <v/>
      </c>
      <c r="BI203" s="2" t="str">
        <f>VESPUCIO!BZ21</f>
        <v/>
      </c>
      <c r="BJ203" s="2" t="str">
        <f>VESPUCIO!CA21</f>
        <v/>
      </c>
      <c r="BK203" s="2" t="str">
        <f>VESPUCIO!CB21</f>
        <v/>
      </c>
      <c r="BL203" s="2" t="str">
        <f>VESPUCIO!CC21</f>
        <v/>
      </c>
      <c r="BM203" s="2" t="str">
        <f>VESPUCIO!CD21</f>
        <v/>
      </c>
      <c r="BN203" s="2" t="str">
        <f>VESPUCIO!CE21</f>
        <v/>
      </c>
      <c r="BO203" s="2" t="str">
        <f>VESPUCIO!CF21</f>
        <v/>
      </c>
      <c r="BP203" s="2" t="str">
        <f>VESPUCIO!CG21</f>
        <v/>
      </c>
      <c r="BQ203" s="2" t="str">
        <f>VESPUCIO!CH21</f>
        <v/>
      </c>
      <c r="BR203" s="2" t="str">
        <f>VESPUCIO!CI21</f>
        <v/>
      </c>
      <c r="BS203" s="2" t="str">
        <f>VESPUCIO!CJ21</f>
        <v/>
      </c>
      <c r="BT203" s="2" t="str">
        <f>VESPUCIO!CK21</f>
        <v/>
      </c>
      <c r="BU203" s="2"/>
      <c r="BV203" s="2"/>
      <c r="BW203" s="2"/>
      <c r="BX203" s="2"/>
      <c r="BY203" s="2"/>
      <c r="BZ203" s="2"/>
      <c r="CA203" s="2"/>
      <c r="CB203" s="2"/>
      <c r="CC203" s="2"/>
    </row>
    <row r="204">
      <c r="A204" s="2"/>
      <c r="B204" s="2" t="str">
        <f>VESPUCIO!A22</f>
        <v>Vespucio</v>
      </c>
      <c r="C204" s="2" t="str">
        <f>VESPUCIO!B22</f>
        <v>Aseo</v>
      </c>
      <c r="D204" s="2" t="str">
        <f>VESPUCIO!C22</f>
        <v>Bolsas Basura 70x90</v>
      </c>
      <c r="E204" s="2" t="str">
        <f>VESPUCIO!D22</f>
        <v/>
      </c>
      <c r="F204" s="2" t="str">
        <f>VESPUCIO!E22</f>
        <v/>
      </c>
      <c r="G204" s="2" t="str">
        <f>VESPUCIO!F22</f>
        <v/>
      </c>
      <c r="H204" s="2" t="str">
        <f>VESPUCIO!G22</f>
        <v/>
      </c>
      <c r="I204" s="2" t="str">
        <f>VESPUCIO!H22</f>
        <v/>
      </c>
      <c r="J204" s="2" t="str">
        <f>VESPUCIO!I22</f>
        <v/>
      </c>
      <c r="K204" s="2" t="str">
        <f>VESPUCIO!J22</f>
        <v/>
      </c>
      <c r="L204" s="2" t="str">
        <f>VESPUCIO!K22</f>
        <v/>
      </c>
      <c r="M204" s="2" t="str">
        <f>VESPUCIO!L22</f>
        <v/>
      </c>
      <c r="N204" s="2" t="str">
        <f>VESPUCIO!M22</f>
        <v/>
      </c>
      <c r="O204" s="2" t="str">
        <f>VESPUCIO!N22</f>
        <v/>
      </c>
      <c r="P204" s="2" t="str">
        <f>VESPUCIO!O22</f>
        <v/>
      </c>
      <c r="Q204" s="2" t="str">
        <f>VESPUCIO!P22</f>
        <v/>
      </c>
      <c r="R204" s="2" t="str">
        <f>VESPUCIO!Q22</f>
        <v/>
      </c>
      <c r="S204" s="2" t="str">
        <f>VESPUCIO!R22</f>
        <v/>
      </c>
      <c r="T204" s="2" t="str">
        <f>VESPUCIO!S22</f>
        <v/>
      </c>
      <c r="U204" s="2" t="str">
        <f>VESPUCIO!T22</f>
        <v/>
      </c>
      <c r="V204" s="2" t="str">
        <f>VESPUCIO!U22</f>
        <v/>
      </c>
      <c r="W204" s="2" t="str">
        <f>VESPUCIO!V22</f>
        <v/>
      </c>
      <c r="X204" s="2" t="str">
        <f>VESPUCIO!W22</f>
        <v/>
      </c>
      <c r="Y204" s="2" t="str">
        <f>VESPUCIO!X22</f>
        <v/>
      </c>
      <c r="Z204" s="2" t="str">
        <f>VESPUCIO!Y22</f>
        <v/>
      </c>
      <c r="AA204" s="2" t="str">
        <f>VESPUCIO!Z22</f>
        <v/>
      </c>
      <c r="AB204" s="2" t="str">
        <f>VESPUCIO!AA22</f>
        <v/>
      </c>
      <c r="AC204" s="2" t="str">
        <f>VESPUCIO!AB22</f>
        <v/>
      </c>
      <c r="AD204" s="2" t="str">
        <f>VESPUCIO!AC22</f>
        <v/>
      </c>
      <c r="AE204" s="2" t="str">
        <f>VESPUCIO!AD22</f>
        <v/>
      </c>
      <c r="AF204" s="2" t="str">
        <f>VESPUCIO!AE22</f>
        <v/>
      </c>
      <c r="AG204" s="2">
        <f>VESPUCIO!AF22</f>
        <v>19</v>
      </c>
      <c r="AH204" s="2">
        <f>VESPUCIO!AG22</f>
        <v>18</v>
      </c>
      <c r="AI204" s="2">
        <f>VESPUCIO!AH22</f>
        <v>27</v>
      </c>
      <c r="AJ204" s="2">
        <f>VESPUCIO!AI22</f>
        <v>25</v>
      </c>
      <c r="AK204" s="2">
        <f>VESPUCIO!AJ22</f>
        <v>21</v>
      </c>
      <c r="AL204" s="2">
        <f>VESPUCIO!AK22</f>
        <v>20</v>
      </c>
      <c r="AM204" s="2">
        <f>VESPUCIO!AL22</f>
        <v>28</v>
      </c>
      <c r="AN204" s="2">
        <f>VESPUCIO!AM22</f>
        <v>27</v>
      </c>
      <c r="AO204" s="2">
        <f>VESPUCIO!AN22</f>
        <v>26</v>
      </c>
      <c r="AP204" s="2">
        <f>VESPUCIO!AO22</f>
        <v>22</v>
      </c>
      <c r="AQ204" s="2">
        <f>VESPUCIO!AP22</f>
        <v>10</v>
      </c>
      <c r="AR204" s="2">
        <f>VESPUCIO!AQ22</f>
        <v>10</v>
      </c>
      <c r="AS204" s="2">
        <f>VESPUCIO!AR22</f>
        <v>4</v>
      </c>
      <c r="AT204" s="2">
        <f>VESPUCIO!AS22</f>
        <v>13</v>
      </c>
      <c r="AU204" s="2">
        <f>VESPUCIO!AT22</f>
        <v>12</v>
      </c>
      <c r="AV204" s="2">
        <f>VESPUCIO!AU22</f>
        <v>12</v>
      </c>
      <c r="AW204" s="2">
        <f>VESPUCIO!AV22</f>
        <v>11</v>
      </c>
      <c r="AX204" s="2">
        <f>VESPUCIO!AW22</f>
        <v>8</v>
      </c>
      <c r="AY204" s="2">
        <f>VESPUCIO!AX22</f>
        <v>7</v>
      </c>
      <c r="AZ204" s="2">
        <f>VESPUCIO!AY22</f>
        <v>10</v>
      </c>
      <c r="BA204" s="2">
        <f>VESPUCIO!AZ22</f>
        <v>8</v>
      </c>
      <c r="BB204" s="2">
        <f>VESPUCIO!BA22</f>
        <v>9</v>
      </c>
      <c r="BC204" s="2" t="str">
        <f>VESPUCIO!BB22</f>
        <v/>
      </c>
      <c r="BD204" s="2" t="str">
        <f>VESPUCIO!BC22</f>
        <v/>
      </c>
      <c r="BE204" s="2" t="str">
        <f>VESPUCIO!BD22</f>
        <v/>
      </c>
      <c r="BF204" s="2" t="str">
        <f>VESPUCIO!BE22</f>
        <v/>
      </c>
      <c r="BG204" s="2" t="str">
        <f>VESPUCIO!BF22</f>
        <v/>
      </c>
      <c r="BH204" s="2" t="str">
        <f>VESPUCIO!BY22</f>
        <v/>
      </c>
      <c r="BI204" s="2" t="str">
        <f>VESPUCIO!BZ22</f>
        <v/>
      </c>
      <c r="BJ204" s="2" t="str">
        <f>VESPUCIO!CA22</f>
        <v/>
      </c>
      <c r="BK204" s="2" t="str">
        <f>VESPUCIO!CB22</f>
        <v/>
      </c>
      <c r="BL204" s="2" t="str">
        <f>VESPUCIO!CC22</f>
        <v/>
      </c>
      <c r="BM204" s="2" t="str">
        <f>VESPUCIO!CD22</f>
        <v/>
      </c>
      <c r="BN204" s="2" t="str">
        <f>VESPUCIO!CE22</f>
        <v/>
      </c>
      <c r="BO204" s="2" t="str">
        <f>VESPUCIO!CF22</f>
        <v/>
      </c>
      <c r="BP204" s="2" t="str">
        <f>VESPUCIO!CG22</f>
        <v/>
      </c>
      <c r="BQ204" s="2" t="str">
        <f>VESPUCIO!CH22</f>
        <v/>
      </c>
      <c r="BR204" s="2" t="str">
        <f>VESPUCIO!CI22</f>
        <v/>
      </c>
      <c r="BS204" s="2" t="str">
        <f>VESPUCIO!CJ22</f>
        <v/>
      </c>
      <c r="BT204" s="2" t="str">
        <f>VESPUCIO!CK22</f>
        <v/>
      </c>
      <c r="BU204" s="2"/>
      <c r="BV204" s="2"/>
      <c r="BW204" s="2"/>
      <c r="BX204" s="2"/>
      <c r="BY204" s="2"/>
      <c r="BZ204" s="2"/>
      <c r="CA204" s="2"/>
      <c r="CB204" s="2"/>
      <c r="CC204" s="2"/>
    </row>
    <row r="205">
      <c r="A205" s="2"/>
      <c r="B205" s="2" t="str">
        <f>VESPUCIO!A23</f>
        <v>Vespucio</v>
      </c>
      <c r="C205" s="2" t="str">
        <f>VESPUCIO!B23</f>
        <v>Aseo</v>
      </c>
      <c r="D205" s="2" t="str">
        <f>VESPUCIO!C23</f>
        <v>Bolsas Basura 80x110</v>
      </c>
      <c r="E205" s="2" t="str">
        <f>VESPUCIO!D23</f>
        <v/>
      </c>
      <c r="F205" s="2" t="str">
        <f>VESPUCIO!E23</f>
        <v/>
      </c>
      <c r="G205" s="2" t="str">
        <f>VESPUCIO!F23</f>
        <v/>
      </c>
      <c r="H205" s="2" t="str">
        <f>VESPUCIO!G23</f>
        <v/>
      </c>
      <c r="I205" s="2" t="str">
        <f>VESPUCIO!H23</f>
        <v/>
      </c>
      <c r="J205" s="2" t="str">
        <f>VESPUCIO!I23</f>
        <v/>
      </c>
      <c r="K205" s="2" t="str">
        <f>VESPUCIO!J23</f>
        <v/>
      </c>
      <c r="L205" s="2" t="str">
        <f>VESPUCIO!K23</f>
        <v/>
      </c>
      <c r="M205" s="2" t="str">
        <f>VESPUCIO!L23</f>
        <v/>
      </c>
      <c r="N205" s="2" t="str">
        <f>VESPUCIO!M23</f>
        <v/>
      </c>
      <c r="O205" s="2" t="str">
        <f>VESPUCIO!N23</f>
        <v/>
      </c>
      <c r="P205" s="2" t="str">
        <f>VESPUCIO!O23</f>
        <v/>
      </c>
      <c r="Q205" s="2" t="str">
        <f>VESPUCIO!P23</f>
        <v/>
      </c>
      <c r="R205" s="2" t="str">
        <f>VESPUCIO!Q23</f>
        <v/>
      </c>
      <c r="S205" s="2" t="str">
        <f>VESPUCIO!R23</f>
        <v/>
      </c>
      <c r="T205" s="2" t="str">
        <f>VESPUCIO!S23</f>
        <v/>
      </c>
      <c r="U205" s="2" t="str">
        <f>VESPUCIO!T23</f>
        <v/>
      </c>
      <c r="V205" s="2" t="str">
        <f>VESPUCIO!U23</f>
        <v/>
      </c>
      <c r="W205" s="2" t="str">
        <f>VESPUCIO!V23</f>
        <v/>
      </c>
      <c r="X205" s="2" t="str">
        <f>VESPUCIO!W23</f>
        <v/>
      </c>
      <c r="Y205" s="2" t="str">
        <f>VESPUCIO!X23</f>
        <v/>
      </c>
      <c r="Z205" s="2" t="str">
        <f>VESPUCIO!Y23</f>
        <v/>
      </c>
      <c r="AA205" s="2" t="str">
        <f>VESPUCIO!Z23</f>
        <v/>
      </c>
      <c r="AB205" s="2" t="str">
        <f>VESPUCIO!AA23</f>
        <v/>
      </c>
      <c r="AC205" s="2" t="str">
        <f>VESPUCIO!AB23</f>
        <v/>
      </c>
      <c r="AD205" s="2" t="str">
        <f>VESPUCIO!AC23</f>
        <v/>
      </c>
      <c r="AE205" s="2" t="str">
        <f>VESPUCIO!AD23</f>
        <v/>
      </c>
      <c r="AF205" s="2" t="str">
        <f>VESPUCIO!AE23</f>
        <v/>
      </c>
      <c r="AG205" s="2">
        <f>VESPUCIO!AF23</f>
        <v>8</v>
      </c>
      <c r="AH205" s="2">
        <f>VESPUCIO!AG23</f>
        <v>7</v>
      </c>
      <c r="AI205" s="2">
        <f>VESPUCIO!AH23</f>
        <v>4</v>
      </c>
      <c r="AJ205" s="2">
        <f>VESPUCIO!AI23</f>
        <v>3</v>
      </c>
      <c r="AK205" s="2">
        <f>VESPUCIO!AJ23</f>
        <v>3</v>
      </c>
      <c r="AL205" s="2">
        <f>VESPUCIO!AK23</f>
        <v>3</v>
      </c>
      <c r="AM205" s="2">
        <f>VESPUCIO!AL23</f>
        <v>3</v>
      </c>
      <c r="AN205" s="2">
        <f>VESPUCIO!AM23</f>
        <v>1</v>
      </c>
      <c r="AO205" s="2">
        <f>VESPUCIO!AN23</f>
        <v>1</v>
      </c>
      <c r="AP205" s="2">
        <f>VESPUCIO!AO23</f>
        <v>10</v>
      </c>
      <c r="AQ205" s="2">
        <f>VESPUCIO!AP23</f>
        <v>7</v>
      </c>
      <c r="AR205" s="2">
        <f>VESPUCIO!AQ23</f>
        <v>6</v>
      </c>
      <c r="AS205" s="2">
        <f>VESPUCIO!AR23</f>
        <v>6</v>
      </c>
      <c r="AT205" s="2">
        <f>VESPUCIO!AS23</f>
        <v>6</v>
      </c>
      <c r="AU205" s="2">
        <f>VESPUCIO!AT23</f>
        <v>4</v>
      </c>
      <c r="AV205" s="2">
        <f>VESPUCIO!AU23</f>
        <v>4</v>
      </c>
      <c r="AW205" s="2">
        <f>VESPUCIO!AV23</f>
        <v>3</v>
      </c>
      <c r="AX205" s="2">
        <f>VESPUCIO!AW23</f>
        <v>1</v>
      </c>
      <c r="AY205" s="2">
        <f>VESPUCIO!AX23</f>
        <v>0</v>
      </c>
      <c r="AZ205" s="2">
        <f>VESPUCIO!AY23</f>
        <v>10</v>
      </c>
      <c r="BA205" s="2">
        <f>VESPUCIO!AZ23</f>
        <v>5</v>
      </c>
      <c r="BB205" s="2">
        <f>VESPUCIO!BA23</f>
        <v>11</v>
      </c>
      <c r="BC205" s="2" t="str">
        <f>VESPUCIO!BB23</f>
        <v/>
      </c>
      <c r="BD205" s="2" t="str">
        <f>VESPUCIO!BC23</f>
        <v/>
      </c>
      <c r="BE205" s="2" t="str">
        <f>VESPUCIO!BD23</f>
        <v/>
      </c>
      <c r="BF205" s="2" t="str">
        <f>VESPUCIO!BE23</f>
        <v/>
      </c>
      <c r="BG205" s="2" t="str">
        <f>VESPUCIO!BF23</f>
        <v/>
      </c>
      <c r="BH205" s="2" t="str">
        <f>VESPUCIO!BY23</f>
        <v/>
      </c>
      <c r="BI205" s="2" t="str">
        <f>VESPUCIO!BZ23</f>
        <v/>
      </c>
      <c r="BJ205" s="2" t="str">
        <f>VESPUCIO!CA23</f>
        <v/>
      </c>
      <c r="BK205" s="2" t="str">
        <f>VESPUCIO!CB23</f>
        <v/>
      </c>
      <c r="BL205" s="2" t="str">
        <f>VESPUCIO!CC23</f>
        <v/>
      </c>
      <c r="BM205" s="2" t="str">
        <f>VESPUCIO!CD23</f>
        <v/>
      </c>
      <c r="BN205" s="2" t="str">
        <f>VESPUCIO!CE23</f>
        <v/>
      </c>
      <c r="BO205" s="2" t="str">
        <f>VESPUCIO!CF23</f>
        <v/>
      </c>
      <c r="BP205" s="2" t="str">
        <f>VESPUCIO!CG23</f>
        <v/>
      </c>
      <c r="BQ205" s="2" t="str">
        <f>VESPUCIO!CH23</f>
        <v/>
      </c>
      <c r="BR205" s="2" t="str">
        <f>VESPUCIO!CI23</f>
        <v/>
      </c>
      <c r="BS205" s="2" t="str">
        <f>VESPUCIO!CJ23</f>
        <v/>
      </c>
      <c r="BT205" s="2" t="str">
        <f>VESPUCIO!CK23</f>
        <v/>
      </c>
      <c r="BU205" s="2"/>
      <c r="BV205" s="2"/>
      <c r="BW205" s="2"/>
      <c r="BX205" s="2"/>
      <c r="BY205" s="2"/>
      <c r="BZ205" s="2"/>
      <c r="CA205" s="2"/>
      <c r="CB205" s="2"/>
      <c r="CC205" s="2"/>
    </row>
    <row r="206">
      <c r="A206" s="2"/>
      <c r="B206" s="2" t="str">
        <f>VESPUCIO!A24</f>
        <v>Vespucio</v>
      </c>
      <c r="C206" s="2" t="str">
        <f>VESPUCIO!B24</f>
        <v>Aseo</v>
      </c>
      <c r="D206" s="2" t="str">
        <f>VESPUCIO!C24</f>
        <v>Cloro Gel</v>
      </c>
      <c r="E206" s="2" t="str">
        <f>VESPUCIO!D24</f>
        <v/>
      </c>
      <c r="F206" s="2" t="str">
        <f>VESPUCIO!E24</f>
        <v/>
      </c>
      <c r="G206" s="2" t="str">
        <f>VESPUCIO!F24</f>
        <v/>
      </c>
      <c r="H206" s="2" t="str">
        <f>VESPUCIO!G24</f>
        <v/>
      </c>
      <c r="I206" s="2" t="str">
        <f>VESPUCIO!H24</f>
        <v/>
      </c>
      <c r="J206" s="2" t="str">
        <f>VESPUCIO!I24</f>
        <v/>
      </c>
      <c r="K206" s="2" t="str">
        <f>VESPUCIO!J24</f>
        <v/>
      </c>
      <c r="L206" s="2" t="str">
        <f>VESPUCIO!K24</f>
        <v/>
      </c>
      <c r="M206" s="2" t="str">
        <f>VESPUCIO!L24</f>
        <v/>
      </c>
      <c r="N206" s="2" t="str">
        <f>VESPUCIO!M24</f>
        <v/>
      </c>
      <c r="O206" s="2" t="str">
        <f>VESPUCIO!N24</f>
        <v/>
      </c>
      <c r="P206" s="2" t="str">
        <f>VESPUCIO!O24</f>
        <v/>
      </c>
      <c r="Q206" s="2" t="str">
        <f>VESPUCIO!P24</f>
        <v/>
      </c>
      <c r="R206" s="2" t="str">
        <f>VESPUCIO!Q24</f>
        <v/>
      </c>
      <c r="S206" s="2" t="str">
        <f>VESPUCIO!R24</f>
        <v>-</v>
      </c>
      <c r="T206" s="2" t="str">
        <f>VESPUCIO!S24</f>
        <v>-</v>
      </c>
      <c r="U206" s="2" t="str">
        <f>VESPUCIO!T24</f>
        <v>-</v>
      </c>
      <c r="V206" s="2" t="str">
        <f>VESPUCIO!U24</f>
        <v>-</v>
      </c>
      <c r="W206" s="2" t="str">
        <f>VESPUCIO!V24</f>
        <v>-</v>
      </c>
      <c r="X206" s="2" t="str">
        <f>VESPUCIO!W24</f>
        <v>-</v>
      </c>
      <c r="Y206" s="2" t="str">
        <f>VESPUCIO!X24</f>
        <v>-</v>
      </c>
      <c r="Z206" s="2" t="str">
        <f>VESPUCIO!Y24</f>
        <v>-</v>
      </c>
      <c r="AA206" s="2" t="str">
        <f>VESPUCIO!Z24</f>
        <v>-</v>
      </c>
      <c r="AB206" s="2" t="str">
        <f>VESPUCIO!AA24</f>
        <v>-</v>
      </c>
      <c r="AC206" s="2" t="str">
        <f>VESPUCIO!AB24</f>
        <v>-</v>
      </c>
      <c r="AD206" s="2" t="str">
        <f>VESPUCIO!AC24</f>
        <v>-</v>
      </c>
      <c r="AE206" s="2">
        <f>VESPUCIO!AD24</f>
        <v>2</v>
      </c>
      <c r="AF206" s="2">
        <f>VESPUCIO!AE24</f>
        <v>2</v>
      </c>
      <c r="AG206" s="2">
        <f>VESPUCIO!AF24</f>
        <v>1</v>
      </c>
      <c r="AH206" s="2">
        <f>VESPUCIO!AG24</f>
        <v>1</v>
      </c>
      <c r="AI206" s="2">
        <f>VESPUCIO!AH24</f>
        <v>0</v>
      </c>
      <c r="AJ206" s="2">
        <f>VESPUCIO!AI24</f>
        <v>1</v>
      </c>
      <c r="AK206" s="2">
        <f>VESPUCIO!AJ24</f>
        <v>1</v>
      </c>
      <c r="AL206" s="2">
        <f>VESPUCIO!AK24</f>
        <v>1</v>
      </c>
      <c r="AM206" s="2">
        <f>VESPUCIO!AL24</f>
        <v>1</v>
      </c>
      <c r="AN206" s="2">
        <f>VESPUCIO!AM24</f>
        <v>1</v>
      </c>
      <c r="AO206" s="2">
        <f>VESPUCIO!AN24</f>
        <v>0</v>
      </c>
      <c r="AP206" s="2">
        <f>VESPUCIO!AO24</f>
        <v>1</v>
      </c>
      <c r="AQ206" s="2">
        <f>VESPUCIO!AP24</f>
        <v>1</v>
      </c>
      <c r="AR206" s="2">
        <f>VESPUCIO!AQ24</f>
        <v>1</v>
      </c>
      <c r="AS206" s="2">
        <f>VESPUCIO!AR24</f>
        <v>0</v>
      </c>
      <c r="AT206" s="2">
        <f>VESPUCIO!AS24</f>
        <v>2</v>
      </c>
      <c r="AU206" s="2">
        <f>VESPUCIO!AT24</f>
        <v>1</v>
      </c>
      <c r="AV206" s="2">
        <f>VESPUCIO!AU24</f>
        <v>1</v>
      </c>
      <c r="AW206" s="2">
        <f>VESPUCIO!AV24</f>
        <v>2</v>
      </c>
      <c r="AX206" s="2">
        <f>VESPUCIO!AW24</f>
        <v>2</v>
      </c>
      <c r="AY206" s="2">
        <f>VESPUCIO!AX24</f>
        <v>2</v>
      </c>
      <c r="AZ206" s="2">
        <f>VESPUCIO!AY24</f>
        <v>3</v>
      </c>
      <c r="BA206" s="2">
        <f>VESPUCIO!AZ24</f>
        <v>3</v>
      </c>
      <c r="BB206" s="2">
        <f>VESPUCIO!BA24</f>
        <v>3</v>
      </c>
      <c r="BC206" s="2" t="str">
        <f>VESPUCIO!BB24</f>
        <v/>
      </c>
      <c r="BD206" s="2" t="str">
        <f>VESPUCIO!BC24</f>
        <v/>
      </c>
      <c r="BE206" s="2" t="str">
        <f>VESPUCIO!BD24</f>
        <v/>
      </c>
      <c r="BF206" s="2" t="str">
        <f>VESPUCIO!BE24</f>
        <v/>
      </c>
      <c r="BG206" s="2" t="str">
        <f>VESPUCIO!BF24</f>
        <v/>
      </c>
      <c r="BH206" s="2" t="str">
        <f>VESPUCIO!BY24</f>
        <v/>
      </c>
      <c r="BI206" s="2" t="str">
        <f>VESPUCIO!BZ24</f>
        <v/>
      </c>
      <c r="BJ206" s="2" t="str">
        <f>VESPUCIO!CA24</f>
        <v/>
      </c>
      <c r="BK206" s="2" t="str">
        <f>VESPUCIO!CB24</f>
        <v/>
      </c>
      <c r="BL206" s="2" t="str">
        <f>VESPUCIO!CC24</f>
        <v/>
      </c>
      <c r="BM206" s="2" t="str">
        <f>VESPUCIO!CD24</f>
        <v/>
      </c>
      <c r="BN206" s="2" t="str">
        <f>VESPUCIO!CE24</f>
        <v/>
      </c>
      <c r="BO206" s="2" t="str">
        <f>VESPUCIO!CF24</f>
        <v/>
      </c>
      <c r="BP206" s="2" t="str">
        <f>VESPUCIO!CG24</f>
        <v/>
      </c>
      <c r="BQ206" s="2" t="str">
        <f>VESPUCIO!CH24</f>
        <v/>
      </c>
      <c r="BR206" s="2" t="str">
        <f>VESPUCIO!CI24</f>
        <v/>
      </c>
      <c r="BS206" s="2" t="str">
        <f>VESPUCIO!CJ24</f>
        <v/>
      </c>
      <c r="BT206" s="2" t="str">
        <f>VESPUCIO!CK24</f>
        <v/>
      </c>
      <c r="BU206" s="2"/>
      <c r="BV206" s="2"/>
      <c r="BW206" s="2"/>
      <c r="BX206" s="2"/>
      <c r="BY206" s="2"/>
      <c r="BZ206" s="2"/>
      <c r="CA206" s="2"/>
      <c r="CB206" s="2"/>
      <c r="CC206" s="2"/>
    </row>
    <row r="207">
      <c r="A207" s="2"/>
      <c r="B207" s="2" t="str">
        <f>VESPUCIO!A25</f>
        <v>Vespucio</v>
      </c>
      <c r="C207" s="2" t="str">
        <f>VESPUCIO!B25</f>
        <v>Aseo</v>
      </c>
      <c r="D207" s="2" t="str">
        <f>VESPUCIO!C25</f>
        <v>Esponja 4U</v>
      </c>
      <c r="E207" s="2" t="str">
        <f>VESPUCIO!D25</f>
        <v/>
      </c>
      <c r="F207" s="2" t="str">
        <f>VESPUCIO!E25</f>
        <v/>
      </c>
      <c r="G207" s="2" t="str">
        <f>VESPUCIO!F25</f>
        <v/>
      </c>
      <c r="H207" s="2" t="str">
        <f>VESPUCIO!G25</f>
        <v/>
      </c>
      <c r="I207" s="2" t="str">
        <f>VESPUCIO!H25</f>
        <v/>
      </c>
      <c r="J207" s="2" t="str">
        <f>VESPUCIO!I25</f>
        <v/>
      </c>
      <c r="K207" s="2" t="str">
        <f>VESPUCIO!J25</f>
        <v/>
      </c>
      <c r="L207" s="2" t="str">
        <f>VESPUCIO!K25</f>
        <v/>
      </c>
      <c r="M207" s="2" t="str">
        <f>VESPUCIO!L25</f>
        <v/>
      </c>
      <c r="N207" s="2" t="str">
        <f>VESPUCIO!M25</f>
        <v/>
      </c>
      <c r="O207" s="2" t="str">
        <f>VESPUCIO!N25</f>
        <v/>
      </c>
      <c r="P207" s="2" t="str">
        <f>VESPUCIO!O25</f>
        <v/>
      </c>
      <c r="Q207" s="2" t="str">
        <f>VESPUCIO!P25</f>
        <v/>
      </c>
      <c r="R207" s="2" t="str">
        <f>VESPUCIO!Q25</f>
        <v/>
      </c>
      <c r="S207" s="2" t="str">
        <f>VESPUCIO!R25</f>
        <v>-</v>
      </c>
      <c r="T207" s="2" t="str">
        <f>VESPUCIO!S25</f>
        <v>-</v>
      </c>
      <c r="U207" s="2" t="str">
        <f>VESPUCIO!T25</f>
        <v>-</v>
      </c>
      <c r="V207" s="2" t="str">
        <f>VESPUCIO!U25</f>
        <v>-</v>
      </c>
      <c r="W207" s="2" t="str">
        <f>VESPUCIO!V25</f>
        <v>-</v>
      </c>
      <c r="X207" s="2" t="str">
        <f>VESPUCIO!W25</f>
        <v>-</v>
      </c>
      <c r="Y207" s="2" t="str">
        <f>VESPUCIO!X25</f>
        <v>-</v>
      </c>
      <c r="Z207" s="2" t="str">
        <f>VESPUCIO!Y25</f>
        <v>-</v>
      </c>
      <c r="AA207" s="2" t="str">
        <f>VESPUCIO!Z25</f>
        <v>-</v>
      </c>
      <c r="AB207" s="2" t="str">
        <f>VESPUCIO!AA25</f>
        <v>-</v>
      </c>
      <c r="AC207" s="2" t="str">
        <f>VESPUCIO!AB25</f>
        <v>-</v>
      </c>
      <c r="AD207" s="2" t="str">
        <f>VESPUCIO!AC25</f>
        <v>-</v>
      </c>
      <c r="AE207" s="2">
        <f>VESPUCIO!AD25</f>
        <v>2</v>
      </c>
      <c r="AF207" s="2">
        <f>VESPUCIO!AE25</f>
        <v>1</v>
      </c>
      <c r="AG207" s="2">
        <f>VESPUCIO!AF25</f>
        <v>5</v>
      </c>
      <c r="AH207" s="2">
        <f>VESPUCIO!AG25</f>
        <v>3</v>
      </c>
      <c r="AI207" s="2">
        <f>VESPUCIO!AH25</f>
        <v>1</v>
      </c>
      <c r="AJ207" s="2">
        <f>VESPUCIO!AI25</f>
        <v>2</v>
      </c>
      <c r="AK207" s="2">
        <f>VESPUCIO!AJ25</f>
        <v>2</v>
      </c>
      <c r="AL207" s="2">
        <f>VESPUCIO!AK25</f>
        <v>2</v>
      </c>
      <c r="AM207" s="2">
        <f>VESPUCIO!AL25</f>
        <v>2</v>
      </c>
      <c r="AN207" s="2">
        <f>VESPUCIO!AM25</f>
        <v>2</v>
      </c>
      <c r="AO207" s="2">
        <f>VESPUCIO!AN25</f>
        <v>1</v>
      </c>
      <c r="AP207" s="2" t="str">
        <f>VESPUCIO!AO25</f>
        <v>2 1/2</v>
      </c>
      <c r="AQ207" s="2" t="str">
        <f>VESPUCIO!AP25</f>
        <v>2 1/2</v>
      </c>
      <c r="AR207" s="2" t="str">
        <f>VESPUCIO!AQ25</f>
        <v>2 1/2</v>
      </c>
      <c r="AS207" s="2" t="str">
        <f>VESPUCIO!AR25</f>
        <v>1 1/2</v>
      </c>
      <c r="AT207" s="2" t="str">
        <f>VESPUCIO!AS25</f>
        <v>3 1/2</v>
      </c>
      <c r="AU207" s="2" t="str">
        <f>VESPUCIO!AT25</f>
        <v>3 1/2</v>
      </c>
      <c r="AV207" s="2">
        <f>VESPUCIO!AU25</f>
        <v>3</v>
      </c>
      <c r="AW207" s="2">
        <f>VESPUCIO!AV25</f>
        <v>3</v>
      </c>
      <c r="AX207" s="2" t="str">
        <f>VESPUCIO!AW25</f>
        <v>2 1/2</v>
      </c>
      <c r="AY207" s="2" t="str">
        <f>VESPUCIO!AX25</f>
        <v>1 1/2</v>
      </c>
      <c r="AZ207" s="2" t="str">
        <f>VESPUCIO!AY25</f>
        <v>3 1/2</v>
      </c>
      <c r="BA207" s="2">
        <f>VESPUCIO!AZ25</f>
        <v>3</v>
      </c>
      <c r="BB207" s="2" t="str">
        <f>VESPUCIO!BA25</f>
        <v>2 1/2</v>
      </c>
      <c r="BC207" s="2" t="str">
        <f>VESPUCIO!BB25</f>
        <v/>
      </c>
      <c r="BD207" s="2" t="str">
        <f>VESPUCIO!BC25</f>
        <v/>
      </c>
      <c r="BE207" s="2" t="str">
        <f>VESPUCIO!BD25</f>
        <v/>
      </c>
      <c r="BF207" s="2" t="str">
        <f>VESPUCIO!BE25</f>
        <v/>
      </c>
      <c r="BG207" s="2" t="str">
        <f>VESPUCIO!BF25</f>
        <v/>
      </c>
      <c r="BH207" s="2" t="str">
        <f>VESPUCIO!BY25</f>
        <v/>
      </c>
      <c r="BI207" s="2" t="str">
        <f>VESPUCIO!BZ25</f>
        <v/>
      </c>
      <c r="BJ207" s="2" t="str">
        <f>VESPUCIO!CA25</f>
        <v/>
      </c>
      <c r="BK207" s="2" t="str">
        <f>VESPUCIO!CB25</f>
        <v/>
      </c>
      <c r="BL207" s="2" t="str">
        <f>VESPUCIO!CC25</f>
        <v/>
      </c>
      <c r="BM207" s="2" t="str">
        <f>VESPUCIO!CD25</f>
        <v/>
      </c>
      <c r="BN207" s="2" t="str">
        <f>VESPUCIO!CE25</f>
        <v/>
      </c>
      <c r="BO207" s="2" t="str">
        <f>VESPUCIO!CF25</f>
        <v/>
      </c>
      <c r="BP207" s="2" t="str">
        <f>VESPUCIO!CG25</f>
        <v/>
      </c>
      <c r="BQ207" s="2" t="str">
        <f>VESPUCIO!CH25</f>
        <v/>
      </c>
      <c r="BR207" s="2" t="str">
        <f>VESPUCIO!CI25</f>
        <v/>
      </c>
      <c r="BS207" s="2" t="str">
        <f>VESPUCIO!CJ25</f>
        <v/>
      </c>
      <c r="BT207" s="2" t="str">
        <f>VESPUCIO!CK25</f>
        <v/>
      </c>
      <c r="BU207" s="2"/>
      <c r="BV207" s="2"/>
      <c r="BW207" s="2"/>
      <c r="BX207" s="2"/>
      <c r="BY207" s="2"/>
      <c r="BZ207" s="2"/>
      <c r="CA207" s="2"/>
      <c r="CB207" s="2"/>
      <c r="CC207" s="2"/>
    </row>
    <row r="208">
      <c r="A208" s="2"/>
      <c r="B208" s="2" t="str">
        <f>VESPUCIO!A26</f>
        <v>Vespucio</v>
      </c>
      <c r="C208" s="2" t="str">
        <f>VESPUCIO!B26</f>
        <v>Aseo</v>
      </c>
      <c r="D208" s="2" t="str">
        <f>VESPUCIO!C26</f>
        <v>Guantes </v>
      </c>
      <c r="E208" s="2" t="str">
        <f>VESPUCIO!D26</f>
        <v/>
      </c>
      <c r="F208" s="2" t="str">
        <f>VESPUCIO!E26</f>
        <v/>
      </c>
      <c r="G208" s="2" t="str">
        <f>VESPUCIO!F26</f>
        <v/>
      </c>
      <c r="H208" s="2" t="str">
        <f>VESPUCIO!G26</f>
        <v/>
      </c>
      <c r="I208" s="2" t="str">
        <f>VESPUCIO!H26</f>
        <v/>
      </c>
      <c r="J208" s="2" t="str">
        <f>VESPUCIO!I26</f>
        <v/>
      </c>
      <c r="K208" s="2" t="str">
        <f>VESPUCIO!J26</f>
        <v/>
      </c>
      <c r="L208" s="2" t="str">
        <f>VESPUCIO!K26</f>
        <v/>
      </c>
      <c r="M208" s="2" t="str">
        <f>VESPUCIO!L26</f>
        <v/>
      </c>
      <c r="N208" s="2" t="str">
        <f>VESPUCIO!M26</f>
        <v/>
      </c>
      <c r="O208" s="2" t="str">
        <f>VESPUCIO!N26</f>
        <v/>
      </c>
      <c r="P208" s="2" t="str">
        <f>VESPUCIO!O26</f>
        <v/>
      </c>
      <c r="Q208" s="2" t="str">
        <f>VESPUCIO!P26</f>
        <v/>
      </c>
      <c r="R208" s="2" t="str">
        <f>VESPUCIO!Q26</f>
        <v/>
      </c>
      <c r="S208" s="2" t="str">
        <f>VESPUCIO!R26</f>
        <v/>
      </c>
      <c r="T208" s="2" t="str">
        <f>VESPUCIO!S26</f>
        <v/>
      </c>
      <c r="U208" s="2" t="str">
        <f>VESPUCIO!T26</f>
        <v/>
      </c>
      <c r="V208" s="2" t="str">
        <f>VESPUCIO!U26</f>
        <v/>
      </c>
      <c r="W208" s="2" t="str">
        <f>VESPUCIO!V26</f>
        <v/>
      </c>
      <c r="X208" s="2" t="str">
        <f>VESPUCIO!W26</f>
        <v/>
      </c>
      <c r="Y208" s="2" t="str">
        <f>VESPUCIO!X26</f>
        <v/>
      </c>
      <c r="Z208" s="2" t="str">
        <f>VESPUCIO!Y26</f>
        <v/>
      </c>
      <c r="AA208" s="2" t="str">
        <f>VESPUCIO!Z26</f>
        <v/>
      </c>
      <c r="AB208" s="2" t="str">
        <f>VESPUCIO!AA26</f>
        <v/>
      </c>
      <c r="AC208" s="2" t="str">
        <f>VESPUCIO!AB26</f>
        <v/>
      </c>
      <c r="AD208" s="2" t="str">
        <f>VESPUCIO!AC26</f>
        <v/>
      </c>
      <c r="AE208" s="2" t="str">
        <f>VESPUCIO!AD26</f>
        <v/>
      </c>
      <c r="AF208" s="2" t="str">
        <f>VESPUCIO!AE26</f>
        <v/>
      </c>
      <c r="AG208" s="2" t="str">
        <f>VESPUCIO!AF26</f>
        <v/>
      </c>
      <c r="AH208" s="2" t="str">
        <f>VESPUCIO!AG26</f>
        <v/>
      </c>
      <c r="AI208" s="2" t="str">
        <f>VESPUCIO!AH26</f>
        <v/>
      </c>
      <c r="AJ208" s="2" t="str">
        <f>VESPUCIO!AI26</f>
        <v/>
      </c>
      <c r="AK208" s="2" t="str">
        <f>VESPUCIO!AJ26</f>
        <v/>
      </c>
      <c r="AL208" s="2" t="str">
        <f>VESPUCIO!AK26</f>
        <v/>
      </c>
      <c r="AM208" s="2" t="str">
        <f>VESPUCIO!AL26</f>
        <v>-</v>
      </c>
      <c r="AN208" s="2" t="str">
        <f>VESPUCIO!AM26</f>
        <v>-</v>
      </c>
      <c r="AO208" s="2" t="str">
        <f>VESPUCIO!AN26</f>
        <v>-</v>
      </c>
      <c r="AP208" s="2" t="str">
        <f>VESPUCIO!AO26</f>
        <v>-</v>
      </c>
      <c r="AQ208" s="2">
        <f>VESPUCIO!AP26</f>
        <v>4</v>
      </c>
      <c r="AR208" s="2">
        <f>VESPUCIO!AQ26</f>
        <v>4</v>
      </c>
      <c r="AS208" s="2">
        <f>VESPUCIO!AR26</f>
        <v>2</v>
      </c>
      <c r="AT208" s="2">
        <f>VESPUCIO!AS26</f>
        <v>6</v>
      </c>
      <c r="AU208" s="2">
        <f>VESPUCIO!AT26</f>
        <v>6</v>
      </c>
      <c r="AV208" s="2">
        <f>VESPUCIO!AU26</f>
        <v>5</v>
      </c>
      <c r="AW208" s="2">
        <f>VESPUCIO!AV26</f>
        <v>4</v>
      </c>
      <c r="AX208" s="2">
        <f>VESPUCIO!AW26</f>
        <v>4</v>
      </c>
      <c r="AY208" s="2">
        <f>VESPUCIO!AX26</f>
        <v>4</v>
      </c>
      <c r="AZ208" s="2">
        <f>VESPUCIO!AY26</f>
        <v>10</v>
      </c>
      <c r="BA208" s="2">
        <f>VESPUCIO!AZ26</f>
        <v>8</v>
      </c>
      <c r="BB208" s="2">
        <f>VESPUCIO!BA26</f>
        <v>7</v>
      </c>
      <c r="BC208" s="2" t="str">
        <f>VESPUCIO!BB26</f>
        <v/>
      </c>
      <c r="BD208" s="2" t="str">
        <f>VESPUCIO!BC26</f>
        <v/>
      </c>
      <c r="BE208" s="2" t="str">
        <f>VESPUCIO!BD26</f>
        <v/>
      </c>
      <c r="BF208" s="2" t="str">
        <f>VESPUCIO!BE26</f>
        <v/>
      </c>
      <c r="BG208" s="2" t="str">
        <f>VESPUCIO!BF26</f>
        <v/>
      </c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</row>
    <row r="209">
      <c r="A209" s="2"/>
      <c r="B209" s="2" t="str">
        <f>VESPUCIO!A27</f>
        <v>Vespucio</v>
      </c>
      <c r="C209" s="2" t="str">
        <f>VESPUCIO!B27</f>
        <v>Aseo</v>
      </c>
      <c r="D209" s="2" t="str">
        <f>VESPUCIO!C27</f>
        <v>Jabon Liquido x 5L</v>
      </c>
      <c r="E209" s="2" t="str">
        <f>VESPUCIO!D27</f>
        <v/>
      </c>
      <c r="F209" s="2" t="str">
        <f>VESPUCIO!E27</f>
        <v/>
      </c>
      <c r="G209" s="2" t="str">
        <f>VESPUCIO!F27</f>
        <v/>
      </c>
      <c r="H209" s="2" t="str">
        <f>VESPUCIO!G27</f>
        <v/>
      </c>
      <c r="I209" s="2" t="str">
        <f>VESPUCIO!H27</f>
        <v/>
      </c>
      <c r="J209" s="2" t="str">
        <f>VESPUCIO!I27</f>
        <v/>
      </c>
      <c r="K209" s="2" t="str">
        <f>VESPUCIO!J27</f>
        <v/>
      </c>
      <c r="L209" s="2" t="str">
        <f>VESPUCIO!K27</f>
        <v/>
      </c>
      <c r="M209" s="2" t="str">
        <f>VESPUCIO!L27</f>
        <v/>
      </c>
      <c r="N209" s="2" t="str">
        <f>VESPUCIO!M27</f>
        <v/>
      </c>
      <c r="O209" s="2" t="str">
        <f>VESPUCIO!N27</f>
        <v/>
      </c>
      <c r="P209" s="2" t="str">
        <f>VESPUCIO!O27</f>
        <v/>
      </c>
      <c r="Q209" s="2" t="str">
        <f>VESPUCIO!P27</f>
        <v/>
      </c>
      <c r="R209" s="2" t="str">
        <f>VESPUCIO!Q27</f>
        <v/>
      </c>
      <c r="S209" s="2" t="str">
        <f>VESPUCIO!R27</f>
        <v/>
      </c>
      <c r="T209" s="2" t="str">
        <f>VESPUCIO!S27</f>
        <v/>
      </c>
      <c r="U209" s="2" t="str">
        <f>VESPUCIO!T27</f>
        <v/>
      </c>
      <c r="V209" s="2" t="str">
        <f>VESPUCIO!U27</f>
        <v/>
      </c>
      <c r="W209" s="2" t="str">
        <f>VESPUCIO!V27</f>
        <v/>
      </c>
      <c r="X209" s="2" t="str">
        <f>VESPUCIO!W27</f>
        <v/>
      </c>
      <c r="Y209" s="2" t="str">
        <f>VESPUCIO!X27</f>
        <v/>
      </c>
      <c r="Z209" s="2" t="str">
        <f>VESPUCIO!Y27</f>
        <v/>
      </c>
      <c r="AA209" s="2" t="str">
        <f>VESPUCIO!Z27</f>
        <v/>
      </c>
      <c r="AB209" s="2" t="str">
        <f>VESPUCIO!AA27</f>
        <v/>
      </c>
      <c r="AC209" s="2" t="str">
        <f>VESPUCIO!AB27</f>
        <v/>
      </c>
      <c r="AD209" s="2" t="str">
        <f>VESPUCIO!AC27</f>
        <v/>
      </c>
      <c r="AE209" s="2" t="str">
        <f>VESPUCIO!AD27</f>
        <v/>
      </c>
      <c r="AF209" s="2" t="str">
        <f>VESPUCIO!AE27</f>
        <v/>
      </c>
      <c r="AG209" s="2" t="str">
        <f>VESPUCIO!AF27</f>
        <v/>
      </c>
      <c r="AH209" s="2" t="str">
        <f>VESPUCIO!AG27</f>
        <v/>
      </c>
      <c r="AI209" s="2" t="str">
        <f>VESPUCIO!AH27</f>
        <v/>
      </c>
      <c r="AJ209" s="2" t="str">
        <f>VESPUCIO!AI27</f>
        <v/>
      </c>
      <c r="AK209" s="2" t="str">
        <f>VESPUCIO!AJ27</f>
        <v/>
      </c>
      <c r="AL209" s="2" t="str">
        <f>VESPUCIO!AK27</f>
        <v/>
      </c>
      <c r="AM209" s="2" t="str">
        <f>VESPUCIO!AL27</f>
        <v>-</v>
      </c>
      <c r="AN209" s="2" t="str">
        <f>VESPUCIO!AM27</f>
        <v>-</v>
      </c>
      <c r="AO209" s="2" t="str">
        <f>VESPUCIO!AN27</f>
        <v>-</v>
      </c>
      <c r="AP209" s="2" t="str">
        <f>VESPUCIO!AO27</f>
        <v>-</v>
      </c>
      <c r="AQ209" s="2">
        <f>VESPUCIO!AP27</f>
        <v>3</v>
      </c>
      <c r="AR209" s="2">
        <f>VESPUCIO!AQ27</f>
        <v>3</v>
      </c>
      <c r="AS209" s="2">
        <f>VESPUCIO!AR27</f>
        <v>3</v>
      </c>
      <c r="AT209" s="2">
        <f>VESPUCIO!AS27</f>
        <v>3</v>
      </c>
      <c r="AU209" s="2">
        <f>VESPUCIO!AT27</f>
        <v>3</v>
      </c>
      <c r="AV209" s="2">
        <f>VESPUCIO!AU27</f>
        <v>3</v>
      </c>
      <c r="AW209" s="2">
        <f>VESPUCIO!AV27</f>
        <v>3</v>
      </c>
      <c r="AX209" s="2">
        <f>VESPUCIO!AW27</f>
        <v>3</v>
      </c>
      <c r="AY209" s="2">
        <f>VESPUCIO!AX27</f>
        <v>3</v>
      </c>
      <c r="AZ209" s="2">
        <f>VESPUCIO!AY27</f>
        <v>2</v>
      </c>
      <c r="BA209" s="2">
        <f>VESPUCIO!AZ27</f>
        <v>2</v>
      </c>
      <c r="BB209" s="2">
        <f>VESPUCIO!BA27</f>
        <v>2</v>
      </c>
      <c r="BC209" s="2" t="str">
        <f>VESPUCIO!BB27</f>
        <v/>
      </c>
      <c r="BD209" s="2" t="str">
        <f>VESPUCIO!BC27</f>
        <v/>
      </c>
      <c r="BE209" s="2" t="str">
        <f>VESPUCIO!BD27</f>
        <v/>
      </c>
      <c r="BF209" s="2" t="str">
        <f>VESPUCIO!BE27</f>
        <v/>
      </c>
      <c r="BG209" s="2" t="str">
        <f>VESPUCIO!BF27</f>
        <v/>
      </c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</row>
    <row r="210">
      <c r="A210" s="2"/>
      <c r="B210" s="2" t="str">
        <f>VESPUCIO!A28</f>
        <v>Vespucio</v>
      </c>
      <c r="C210" s="2" t="str">
        <f>VESPUCIO!B28</f>
        <v>Aseo</v>
      </c>
      <c r="D210" s="2" t="str">
        <f>VESPUCIO!C28</f>
        <v>Jabon Lavaloza x 5L</v>
      </c>
      <c r="E210" s="2" t="str">
        <f>VESPUCIO!D28</f>
        <v/>
      </c>
      <c r="F210" s="2" t="str">
        <f>VESPUCIO!E28</f>
        <v/>
      </c>
      <c r="G210" s="2" t="str">
        <f>VESPUCIO!F28</f>
        <v/>
      </c>
      <c r="H210" s="2" t="str">
        <f>VESPUCIO!G28</f>
        <v/>
      </c>
      <c r="I210" s="2" t="str">
        <f>VESPUCIO!H28</f>
        <v/>
      </c>
      <c r="J210" s="2" t="str">
        <f>VESPUCIO!I28</f>
        <v/>
      </c>
      <c r="K210" s="2" t="str">
        <f>VESPUCIO!J28</f>
        <v/>
      </c>
      <c r="L210" s="2" t="str">
        <f>VESPUCIO!K28</f>
        <v/>
      </c>
      <c r="M210" s="2" t="str">
        <f>VESPUCIO!L28</f>
        <v/>
      </c>
      <c r="N210" s="2" t="str">
        <f>VESPUCIO!M28</f>
        <v/>
      </c>
      <c r="O210" s="2" t="str">
        <f>VESPUCIO!N28</f>
        <v/>
      </c>
      <c r="P210" s="2" t="str">
        <f>VESPUCIO!O28</f>
        <v/>
      </c>
      <c r="Q210" s="2" t="str">
        <f>VESPUCIO!P28</f>
        <v/>
      </c>
      <c r="R210" s="2" t="str">
        <f>VESPUCIO!Q28</f>
        <v/>
      </c>
      <c r="S210" s="2" t="str">
        <f>VESPUCIO!R28</f>
        <v/>
      </c>
      <c r="T210" s="2" t="str">
        <f>VESPUCIO!S28</f>
        <v/>
      </c>
      <c r="U210" s="2" t="str">
        <f>VESPUCIO!T28</f>
        <v/>
      </c>
      <c r="V210" s="2" t="str">
        <f>VESPUCIO!U28</f>
        <v/>
      </c>
      <c r="W210" s="2" t="str">
        <f>VESPUCIO!V28</f>
        <v/>
      </c>
      <c r="X210" s="2" t="str">
        <f>VESPUCIO!W28</f>
        <v/>
      </c>
      <c r="Y210" s="2" t="str">
        <f>VESPUCIO!X28</f>
        <v/>
      </c>
      <c r="Z210" s="2" t="str">
        <f>VESPUCIO!Y28</f>
        <v/>
      </c>
      <c r="AA210" s="2" t="str">
        <f>VESPUCIO!Z28</f>
        <v/>
      </c>
      <c r="AB210" s="2" t="str">
        <f>VESPUCIO!AA28</f>
        <v/>
      </c>
      <c r="AC210" s="2" t="str">
        <f>VESPUCIO!AB28</f>
        <v/>
      </c>
      <c r="AD210" s="2" t="str">
        <f>VESPUCIO!AC28</f>
        <v/>
      </c>
      <c r="AE210" s="2" t="str">
        <f>VESPUCIO!AD28</f>
        <v/>
      </c>
      <c r="AF210" s="2" t="str">
        <f>VESPUCIO!AE28</f>
        <v/>
      </c>
      <c r="AG210" s="2" t="str">
        <f>VESPUCIO!AF28</f>
        <v/>
      </c>
      <c r="AH210" s="2" t="str">
        <f>VESPUCIO!AG28</f>
        <v/>
      </c>
      <c r="AI210" s="2" t="str">
        <f>VESPUCIO!AH28</f>
        <v/>
      </c>
      <c r="AJ210" s="2" t="str">
        <f>VESPUCIO!AI28</f>
        <v/>
      </c>
      <c r="AK210" s="2" t="str">
        <f>VESPUCIO!AJ28</f>
        <v/>
      </c>
      <c r="AL210" s="2" t="str">
        <f>VESPUCIO!AK28</f>
        <v/>
      </c>
      <c r="AM210" s="2" t="str">
        <f>VESPUCIO!AL28</f>
        <v/>
      </c>
      <c r="AN210" s="2" t="str">
        <f>VESPUCIO!AM28</f>
        <v/>
      </c>
      <c r="AO210" s="2" t="str">
        <f>VESPUCIO!AN28</f>
        <v/>
      </c>
      <c r="AP210" s="2" t="str">
        <f>VESPUCIO!AO28</f>
        <v/>
      </c>
      <c r="AQ210" s="2">
        <f>VESPUCIO!AP28</f>
        <v>3</v>
      </c>
      <c r="AR210" s="2">
        <f>VESPUCIO!AQ28</f>
        <v>3</v>
      </c>
      <c r="AS210" s="2">
        <f>VESPUCIO!AR28</f>
        <v>3</v>
      </c>
      <c r="AT210" s="2">
        <f>VESPUCIO!AS28</f>
        <v>3</v>
      </c>
      <c r="AU210" s="2">
        <f>VESPUCIO!AT28</f>
        <v>3</v>
      </c>
      <c r="AV210" s="2">
        <f>VESPUCIO!AU28</f>
        <v>3</v>
      </c>
      <c r="AW210" s="2">
        <f>VESPUCIO!AV28</f>
        <v>3</v>
      </c>
      <c r="AX210" s="2">
        <f>VESPUCIO!AW28</f>
        <v>3</v>
      </c>
      <c r="AY210" s="2">
        <f>VESPUCIO!AX28</f>
        <v>3</v>
      </c>
      <c r="AZ210" s="2">
        <f>VESPUCIO!AY28</f>
        <v>3</v>
      </c>
      <c r="BA210" s="2">
        <f>VESPUCIO!AZ28</f>
        <v>3</v>
      </c>
      <c r="BB210" s="2">
        <f>VESPUCIO!BA28</f>
        <v>3</v>
      </c>
      <c r="BC210" s="2" t="str">
        <f>VESPUCIO!BB28</f>
        <v/>
      </c>
      <c r="BD210" s="2" t="str">
        <f>VESPUCIO!BC28</f>
        <v/>
      </c>
      <c r="BE210" s="2" t="str">
        <f>VESPUCIO!BD28</f>
        <v/>
      </c>
      <c r="BF210" s="2" t="str">
        <f>VESPUCIO!BE28</f>
        <v/>
      </c>
      <c r="BG210" s="2" t="str">
        <f>VESPUCIO!BF28</f>
        <v/>
      </c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</row>
    <row r="211">
      <c r="A211" s="2"/>
      <c r="B211" s="2" t="str">
        <f>VESPUCIO!A29</f>
        <v>Vespucio</v>
      </c>
      <c r="C211" s="2" t="str">
        <f>VESPUCIO!B29</f>
        <v>Aseo</v>
      </c>
      <c r="D211" s="2" t="str">
        <f>VESPUCIO!C29</f>
        <v>Antigrasa x 5L</v>
      </c>
      <c r="E211" s="2" t="str">
        <f>VESPUCIO!D29</f>
        <v/>
      </c>
      <c r="F211" s="2" t="str">
        <f>VESPUCIO!E29</f>
        <v/>
      </c>
      <c r="G211" s="2" t="str">
        <f>VESPUCIO!F29</f>
        <v/>
      </c>
      <c r="H211" s="2" t="str">
        <f>VESPUCIO!G29</f>
        <v/>
      </c>
      <c r="I211" s="2" t="str">
        <f>VESPUCIO!H29</f>
        <v/>
      </c>
      <c r="J211" s="2" t="str">
        <f>VESPUCIO!I29</f>
        <v/>
      </c>
      <c r="K211" s="2" t="str">
        <f>VESPUCIO!J29</f>
        <v/>
      </c>
      <c r="L211" s="2" t="str">
        <f>VESPUCIO!K29</f>
        <v/>
      </c>
      <c r="M211" s="2" t="str">
        <f>VESPUCIO!L29</f>
        <v/>
      </c>
      <c r="N211" s="2" t="str">
        <f>VESPUCIO!M29</f>
        <v/>
      </c>
      <c r="O211" s="2" t="str">
        <f>VESPUCIO!N29</f>
        <v/>
      </c>
      <c r="P211" s="2" t="str">
        <f>VESPUCIO!O29</f>
        <v/>
      </c>
      <c r="Q211" s="2" t="str">
        <f>VESPUCIO!P29</f>
        <v/>
      </c>
      <c r="R211" s="2" t="str">
        <f>VESPUCIO!Q29</f>
        <v/>
      </c>
      <c r="S211" s="2" t="str">
        <f>VESPUCIO!R29</f>
        <v/>
      </c>
      <c r="T211" s="2" t="str">
        <f>VESPUCIO!S29</f>
        <v/>
      </c>
      <c r="U211" s="2" t="str">
        <f>VESPUCIO!T29</f>
        <v/>
      </c>
      <c r="V211" s="2" t="str">
        <f>VESPUCIO!U29</f>
        <v/>
      </c>
      <c r="W211" s="2" t="str">
        <f>VESPUCIO!V29</f>
        <v/>
      </c>
      <c r="X211" s="2" t="str">
        <f>VESPUCIO!W29</f>
        <v/>
      </c>
      <c r="Y211" s="2" t="str">
        <f>VESPUCIO!X29</f>
        <v/>
      </c>
      <c r="Z211" s="2" t="str">
        <f>VESPUCIO!Y29</f>
        <v/>
      </c>
      <c r="AA211" s="2" t="str">
        <f>VESPUCIO!Z29</f>
        <v/>
      </c>
      <c r="AB211" s="2" t="str">
        <f>VESPUCIO!AA29</f>
        <v/>
      </c>
      <c r="AC211" s="2" t="str">
        <f>VESPUCIO!AB29</f>
        <v/>
      </c>
      <c r="AD211" s="2" t="str">
        <f>VESPUCIO!AC29</f>
        <v/>
      </c>
      <c r="AE211" s="2" t="str">
        <f>VESPUCIO!AD29</f>
        <v/>
      </c>
      <c r="AF211" s="2" t="str">
        <f>VESPUCIO!AE29</f>
        <v/>
      </c>
      <c r="AG211" s="2" t="str">
        <f>VESPUCIO!AF29</f>
        <v/>
      </c>
      <c r="AH211" s="2" t="str">
        <f>VESPUCIO!AG29</f>
        <v/>
      </c>
      <c r="AI211" s="2" t="str">
        <f>VESPUCIO!AH29</f>
        <v/>
      </c>
      <c r="AJ211" s="2" t="str">
        <f>VESPUCIO!AI29</f>
        <v/>
      </c>
      <c r="AK211" s="2" t="str">
        <f>VESPUCIO!AJ29</f>
        <v/>
      </c>
      <c r="AL211" s="2" t="str">
        <f>VESPUCIO!AK29</f>
        <v/>
      </c>
      <c r="AM211" s="2" t="str">
        <f>VESPUCIO!AL29</f>
        <v/>
      </c>
      <c r="AN211" s="2" t="str">
        <f>VESPUCIO!AM29</f>
        <v/>
      </c>
      <c r="AO211" s="2" t="str">
        <f>VESPUCIO!AN29</f>
        <v/>
      </c>
      <c r="AP211" s="2" t="str">
        <f>VESPUCIO!AO29</f>
        <v/>
      </c>
      <c r="AQ211" s="2">
        <f>VESPUCIO!AP29</f>
        <v>2</v>
      </c>
      <c r="AR211" s="2">
        <f>VESPUCIO!AQ29</f>
        <v>2</v>
      </c>
      <c r="AS211" s="2">
        <f>VESPUCIO!AR29</f>
        <v>2</v>
      </c>
      <c r="AT211" s="2">
        <f>VESPUCIO!AS29</f>
        <v>2</v>
      </c>
      <c r="AU211" s="2">
        <f>VESPUCIO!AT29</f>
        <v>2</v>
      </c>
      <c r="AV211" s="2">
        <f>VESPUCIO!AU29</f>
        <v>2</v>
      </c>
      <c r="AW211" s="2">
        <f>VESPUCIO!AV29</f>
        <v>2</v>
      </c>
      <c r="AX211" s="2">
        <f>VESPUCIO!AW29</f>
        <v>2</v>
      </c>
      <c r="AY211" s="2">
        <f>VESPUCIO!AX29</f>
        <v>2</v>
      </c>
      <c r="AZ211" s="2">
        <f>VESPUCIO!AY29</f>
        <v>2</v>
      </c>
      <c r="BA211" s="2">
        <f>VESPUCIO!AZ29</f>
        <v>2</v>
      </c>
      <c r="BB211" s="2">
        <f>VESPUCIO!BA29</f>
        <v>2</v>
      </c>
      <c r="BC211" s="2" t="str">
        <f>VESPUCIO!BB29</f>
        <v/>
      </c>
      <c r="BD211" s="2" t="str">
        <f>VESPUCIO!BC29</f>
        <v/>
      </c>
      <c r="BE211" s="2" t="str">
        <f>VESPUCIO!BD29</f>
        <v/>
      </c>
      <c r="BF211" s="2" t="str">
        <f>VESPUCIO!BE29</f>
        <v/>
      </c>
      <c r="BG211" s="2" t="str">
        <f>VESPUCIO!BF29</f>
        <v/>
      </c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</row>
    <row r="212">
      <c r="A212" s="2"/>
      <c r="B212" s="2" t="str">
        <f>VESPUCIO!A30</f>
        <v>Vespucio</v>
      </c>
      <c r="C212" s="2" t="str">
        <f>VESPUCIO!B30</f>
        <v>Aseo</v>
      </c>
      <c r="D212" s="2" t="str">
        <f>VESPUCIO!C30</f>
        <v>Lavavajillas</v>
      </c>
      <c r="E212" s="2" t="str">
        <f>VESPUCIO!D30</f>
        <v/>
      </c>
      <c r="F212" s="2" t="str">
        <f>VESPUCIO!E30</f>
        <v/>
      </c>
      <c r="G212" s="2" t="str">
        <f>VESPUCIO!F30</f>
        <v/>
      </c>
      <c r="H212" s="2" t="str">
        <f>VESPUCIO!G30</f>
        <v/>
      </c>
      <c r="I212" s="2" t="str">
        <f>VESPUCIO!H30</f>
        <v/>
      </c>
      <c r="J212" s="2" t="str">
        <f>VESPUCIO!I30</f>
        <v/>
      </c>
      <c r="K212" s="2" t="str">
        <f>VESPUCIO!J30</f>
        <v/>
      </c>
      <c r="L212" s="2" t="str">
        <f>VESPUCIO!K30</f>
        <v/>
      </c>
      <c r="M212" s="2" t="str">
        <f>VESPUCIO!L30</f>
        <v/>
      </c>
      <c r="N212" s="2" t="str">
        <f>VESPUCIO!M30</f>
        <v/>
      </c>
      <c r="O212" s="2" t="str">
        <f>VESPUCIO!N30</f>
        <v/>
      </c>
      <c r="P212" s="2" t="str">
        <f>VESPUCIO!O30</f>
        <v/>
      </c>
      <c r="Q212" s="2" t="str">
        <f>VESPUCIO!P30</f>
        <v/>
      </c>
      <c r="R212" s="2" t="str">
        <f>VESPUCIO!Q30</f>
        <v/>
      </c>
      <c r="S212" s="2" t="str">
        <f>VESPUCIO!R30</f>
        <v/>
      </c>
      <c r="T212" s="2" t="str">
        <f>VESPUCIO!S30</f>
        <v/>
      </c>
      <c r="U212" s="2" t="str">
        <f>VESPUCIO!T30</f>
        <v/>
      </c>
      <c r="V212" s="2" t="str">
        <f>VESPUCIO!U30</f>
        <v/>
      </c>
      <c r="W212" s="2" t="str">
        <f>VESPUCIO!V30</f>
        <v/>
      </c>
      <c r="X212" s="2" t="str">
        <f>VESPUCIO!W30</f>
        <v/>
      </c>
      <c r="Y212" s="2" t="str">
        <f>VESPUCIO!X30</f>
        <v/>
      </c>
      <c r="Z212" s="2" t="str">
        <f>VESPUCIO!Y30</f>
        <v/>
      </c>
      <c r="AA212" s="2" t="str">
        <f>VESPUCIO!Z30</f>
        <v/>
      </c>
      <c r="AB212" s="2" t="str">
        <f>VESPUCIO!AA30</f>
        <v/>
      </c>
      <c r="AC212" s="2" t="str">
        <f>VESPUCIO!AB30</f>
        <v/>
      </c>
      <c r="AD212" s="2" t="str">
        <f>VESPUCIO!AC30</f>
        <v/>
      </c>
      <c r="AE212" s="2" t="str">
        <f>VESPUCIO!AD30</f>
        <v/>
      </c>
      <c r="AF212" s="2" t="str">
        <f>VESPUCIO!AE30</f>
        <v/>
      </c>
      <c r="AG212" s="2" t="str">
        <f>VESPUCIO!AF30</f>
        <v/>
      </c>
      <c r="AH212" s="2" t="str">
        <f>VESPUCIO!AG30</f>
        <v/>
      </c>
      <c r="AI212" s="2" t="str">
        <f>VESPUCIO!AH30</f>
        <v/>
      </c>
      <c r="AJ212" s="2" t="str">
        <f>VESPUCIO!AI30</f>
        <v/>
      </c>
      <c r="AK212" s="2" t="str">
        <f>VESPUCIO!AJ30</f>
        <v/>
      </c>
      <c r="AL212" s="2" t="str">
        <f>VESPUCIO!AK30</f>
        <v/>
      </c>
      <c r="AM212" s="2" t="str">
        <f>VESPUCIO!AL30</f>
        <v>-</v>
      </c>
      <c r="AN212" s="2" t="str">
        <f>VESPUCIO!AM30</f>
        <v>-</v>
      </c>
      <c r="AO212" s="2" t="str">
        <f>VESPUCIO!AN30</f>
        <v>-</v>
      </c>
      <c r="AP212" s="2" t="str">
        <f>VESPUCIO!AO30</f>
        <v>-</v>
      </c>
      <c r="AQ212" s="2">
        <f>VESPUCIO!AP30</f>
        <v>13</v>
      </c>
      <c r="AR212" s="2">
        <f>VESPUCIO!AQ30</f>
        <v>13</v>
      </c>
      <c r="AS212" s="2">
        <f>VESPUCIO!AR30</f>
        <v>13</v>
      </c>
      <c r="AT212" s="2">
        <f>VESPUCIO!AS30</f>
        <v>13</v>
      </c>
      <c r="AU212" s="2">
        <f>VESPUCIO!AT30</f>
        <v>13</v>
      </c>
      <c r="AV212" s="2">
        <f>VESPUCIO!AU30</f>
        <v>13</v>
      </c>
      <c r="AW212" s="2">
        <f>VESPUCIO!AV30</f>
        <v>13</v>
      </c>
      <c r="AX212" s="2">
        <f>VESPUCIO!AW30</f>
        <v>13</v>
      </c>
      <c r="AY212" s="2">
        <f>VESPUCIO!AX30</f>
        <v>13</v>
      </c>
      <c r="AZ212" s="2">
        <f>VESPUCIO!AY30</f>
        <v>13</v>
      </c>
      <c r="BA212" s="2">
        <f>VESPUCIO!AZ30</f>
        <v>12</v>
      </c>
      <c r="BB212" s="2">
        <f>VESPUCIO!BA30</f>
        <v>12</v>
      </c>
      <c r="BC212" s="2" t="str">
        <f>VESPUCIO!BB30</f>
        <v/>
      </c>
      <c r="BD212" s="2" t="str">
        <f>VESPUCIO!BC30</f>
        <v/>
      </c>
      <c r="BE212" s="2" t="str">
        <f>VESPUCIO!BD30</f>
        <v/>
      </c>
      <c r="BF212" s="2" t="str">
        <f>VESPUCIO!BE30</f>
        <v/>
      </c>
      <c r="BG212" s="2" t="str">
        <f>VESPUCIO!BF30</f>
        <v/>
      </c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</row>
    <row r="213">
      <c r="A213" s="2"/>
      <c r="B213" s="2" t="str">
        <f>VESPUCIO!A31</f>
        <v>Vespucio</v>
      </c>
      <c r="C213" s="2" t="str">
        <f>VESPUCIO!B31</f>
        <v>Aseo</v>
      </c>
      <c r="D213" s="2" t="str">
        <f>VESPUCIO!C31</f>
        <v>Limpia Piso</v>
      </c>
      <c r="E213" s="2" t="str">
        <f>VESPUCIO!D31</f>
        <v/>
      </c>
      <c r="F213" s="2" t="str">
        <f>VESPUCIO!E31</f>
        <v/>
      </c>
      <c r="G213" s="2" t="str">
        <f>VESPUCIO!F31</f>
        <v/>
      </c>
      <c r="H213" s="2" t="str">
        <f>VESPUCIO!G31</f>
        <v/>
      </c>
      <c r="I213" s="2" t="str">
        <f>VESPUCIO!H31</f>
        <v/>
      </c>
      <c r="J213" s="2" t="str">
        <f>VESPUCIO!I31</f>
        <v/>
      </c>
      <c r="K213" s="2" t="str">
        <f>VESPUCIO!J31</f>
        <v/>
      </c>
      <c r="L213" s="2" t="str">
        <f>VESPUCIO!K31</f>
        <v/>
      </c>
      <c r="M213" s="2" t="str">
        <f>VESPUCIO!L31</f>
        <v/>
      </c>
      <c r="N213" s="2" t="str">
        <f>VESPUCIO!M31</f>
        <v/>
      </c>
      <c r="O213" s="2" t="str">
        <f>VESPUCIO!N31</f>
        <v/>
      </c>
      <c r="P213" s="2" t="str">
        <f>VESPUCIO!O31</f>
        <v/>
      </c>
      <c r="Q213" s="2" t="str">
        <f>VESPUCIO!P31</f>
        <v/>
      </c>
      <c r="R213" s="2" t="str">
        <f>VESPUCIO!Q31</f>
        <v/>
      </c>
      <c r="S213" s="2" t="str">
        <f>VESPUCIO!R31</f>
        <v>-</v>
      </c>
      <c r="T213" s="2" t="str">
        <f>VESPUCIO!S31</f>
        <v>-</v>
      </c>
      <c r="U213" s="2" t="str">
        <f>VESPUCIO!T31</f>
        <v>-</v>
      </c>
      <c r="V213" s="2" t="str">
        <f>VESPUCIO!U31</f>
        <v>-</v>
      </c>
      <c r="W213" s="2" t="str">
        <f>VESPUCIO!V31</f>
        <v>-</v>
      </c>
      <c r="X213" s="2" t="str">
        <f>VESPUCIO!W31</f>
        <v>-</v>
      </c>
      <c r="Y213" s="2" t="str">
        <f>VESPUCIO!X31</f>
        <v>-</v>
      </c>
      <c r="Z213" s="2" t="str">
        <f>VESPUCIO!Y31</f>
        <v>-</v>
      </c>
      <c r="AA213" s="2" t="str">
        <f>VESPUCIO!Z31</f>
        <v>-</v>
      </c>
      <c r="AB213" s="2" t="str">
        <f>VESPUCIO!AA31</f>
        <v>-</v>
      </c>
      <c r="AC213" s="2" t="str">
        <f>VESPUCIO!AB31</f>
        <v>-</v>
      </c>
      <c r="AD213" s="2" t="str">
        <f>VESPUCIO!AC31</f>
        <v>-</v>
      </c>
      <c r="AE213" s="2">
        <f>VESPUCIO!AD31</f>
        <v>2</v>
      </c>
      <c r="AF213" s="2">
        <f>VESPUCIO!AE31</f>
        <v>2</v>
      </c>
      <c r="AG213" s="2">
        <f>VESPUCIO!AF31</f>
        <v>1</v>
      </c>
      <c r="AH213" s="2">
        <f>VESPUCIO!AG31</f>
        <v>1</v>
      </c>
      <c r="AI213" s="2">
        <f>VESPUCIO!AH31</f>
        <v>0</v>
      </c>
      <c r="AJ213" s="2">
        <f>VESPUCIO!AI31</f>
        <v>1</v>
      </c>
      <c r="AK213" s="2">
        <f>VESPUCIO!AJ31</f>
        <v>1</v>
      </c>
      <c r="AL213" s="2">
        <f>VESPUCIO!AK31</f>
        <v>1</v>
      </c>
      <c r="AM213" s="2">
        <f>VESPUCIO!AL31</f>
        <v>1</v>
      </c>
      <c r="AN213" s="2">
        <f>VESPUCIO!AM31</f>
        <v>1</v>
      </c>
      <c r="AO213" s="2">
        <f>VESPUCIO!AN31</f>
        <v>0</v>
      </c>
      <c r="AP213" s="2">
        <f>VESPUCIO!AO31</f>
        <v>1</v>
      </c>
      <c r="AQ213" s="2">
        <f>VESPUCIO!AP31</f>
        <v>0</v>
      </c>
      <c r="AR213" s="2">
        <f>VESPUCIO!AQ31</f>
        <v>0</v>
      </c>
      <c r="AS213" s="2">
        <f>VESPUCIO!AR31</f>
        <v>0</v>
      </c>
      <c r="AT213" s="2">
        <f>VESPUCIO!AS31</f>
        <v>2</v>
      </c>
      <c r="AU213" s="2">
        <f>VESPUCIO!AT31</f>
        <v>0</v>
      </c>
      <c r="AV213" s="2">
        <f>VESPUCIO!AU31</f>
        <v>0</v>
      </c>
      <c r="AW213" s="2">
        <f>VESPUCIO!AV31</f>
        <v>2</v>
      </c>
      <c r="AX213" s="2">
        <f>VESPUCIO!AW31</f>
        <v>2</v>
      </c>
      <c r="AY213" s="2">
        <f>VESPUCIO!AX31</f>
        <v>2</v>
      </c>
      <c r="AZ213" s="2">
        <f>VESPUCIO!AY31</f>
        <v>2</v>
      </c>
      <c r="BA213" s="2">
        <f>VESPUCIO!AZ31</f>
        <v>2</v>
      </c>
      <c r="BB213" s="2">
        <f>VESPUCIO!BA31</f>
        <v>2</v>
      </c>
      <c r="BC213" s="2" t="str">
        <f>VESPUCIO!BB31</f>
        <v/>
      </c>
      <c r="BD213" s="2" t="str">
        <f>VESPUCIO!BC31</f>
        <v/>
      </c>
      <c r="BE213" s="2" t="str">
        <f>VESPUCIO!BD31</f>
        <v/>
      </c>
      <c r="BF213" s="2" t="str">
        <f>VESPUCIO!BE31</f>
        <v/>
      </c>
      <c r="BG213" s="2" t="str">
        <f>VESPUCIO!BF31</f>
        <v/>
      </c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</row>
    <row r="214">
      <c r="A214" s="2"/>
      <c r="B214" s="2" t="str">
        <f>VESPUCIO!A32</f>
        <v>Vespucio</v>
      </c>
      <c r="C214" s="2" t="str">
        <f>VESPUCIO!B32</f>
        <v>Aseo</v>
      </c>
      <c r="D214" s="2" t="str">
        <f>VESPUCIO!C32</f>
        <v>Limpia Vidrios</v>
      </c>
      <c r="E214" s="2" t="str">
        <f>VESPUCIO!D32</f>
        <v/>
      </c>
      <c r="F214" s="2" t="str">
        <f>VESPUCIO!E32</f>
        <v/>
      </c>
      <c r="G214" s="2" t="str">
        <f>VESPUCIO!F32</f>
        <v/>
      </c>
      <c r="H214" s="2" t="str">
        <f>VESPUCIO!G32</f>
        <v/>
      </c>
      <c r="I214" s="2" t="str">
        <f>VESPUCIO!H32</f>
        <v/>
      </c>
      <c r="J214" s="2" t="str">
        <f>VESPUCIO!I32</f>
        <v/>
      </c>
      <c r="K214" s="2" t="str">
        <f>VESPUCIO!J32</f>
        <v/>
      </c>
      <c r="L214" s="2" t="str">
        <f>VESPUCIO!K32</f>
        <v/>
      </c>
      <c r="M214" s="2" t="str">
        <f>VESPUCIO!L32</f>
        <v/>
      </c>
      <c r="N214" s="2" t="str">
        <f>VESPUCIO!M32</f>
        <v/>
      </c>
      <c r="O214" s="2" t="str">
        <f>VESPUCIO!N32</f>
        <v/>
      </c>
      <c r="P214" s="2" t="str">
        <f>VESPUCIO!O32</f>
        <v/>
      </c>
      <c r="Q214" s="2" t="str">
        <f>VESPUCIO!P32</f>
        <v/>
      </c>
      <c r="R214" s="2" t="str">
        <f>VESPUCIO!Q32</f>
        <v/>
      </c>
      <c r="S214" s="2" t="str">
        <f>VESPUCIO!R32</f>
        <v/>
      </c>
      <c r="T214" s="2" t="str">
        <f>VESPUCIO!S32</f>
        <v/>
      </c>
      <c r="U214" s="2" t="str">
        <f>VESPUCIO!T32</f>
        <v/>
      </c>
      <c r="V214" s="2" t="str">
        <f>VESPUCIO!U32</f>
        <v/>
      </c>
      <c r="W214" s="2" t="str">
        <f>VESPUCIO!V32</f>
        <v/>
      </c>
      <c r="X214" s="2" t="str">
        <f>VESPUCIO!W32</f>
        <v/>
      </c>
      <c r="Y214" s="2" t="str">
        <f>VESPUCIO!X32</f>
        <v/>
      </c>
      <c r="Z214" s="2" t="str">
        <f>VESPUCIO!Y32</f>
        <v/>
      </c>
      <c r="AA214" s="2" t="str">
        <f>VESPUCIO!Z32</f>
        <v/>
      </c>
      <c r="AB214" s="2" t="str">
        <f>VESPUCIO!AA32</f>
        <v/>
      </c>
      <c r="AC214" s="2" t="str">
        <f>VESPUCIO!AB32</f>
        <v/>
      </c>
      <c r="AD214" s="2" t="str">
        <f>VESPUCIO!AC32</f>
        <v/>
      </c>
      <c r="AE214" s="2" t="str">
        <f>VESPUCIO!AD32</f>
        <v/>
      </c>
      <c r="AF214" s="2" t="str">
        <f>VESPUCIO!AE32</f>
        <v/>
      </c>
      <c r="AG214" s="2" t="str">
        <f>VESPUCIO!AF32</f>
        <v/>
      </c>
      <c r="AH214" s="2" t="str">
        <f>VESPUCIO!AG32</f>
        <v/>
      </c>
      <c r="AI214" s="2" t="str">
        <f>VESPUCIO!AH32</f>
        <v/>
      </c>
      <c r="AJ214" s="2" t="str">
        <f>VESPUCIO!AI32</f>
        <v/>
      </c>
      <c r="AK214" s="2" t="str">
        <f>VESPUCIO!AJ32</f>
        <v/>
      </c>
      <c r="AL214" s="2" t="str">
        <f>VESPUCIO!AK32</f>
        <v/>
      </c>
      <c r="AM214" s="2" t="str">
        <f>VESPUCIO!AL32</f>
        <v>-</v>
      </c>
      <c r="AN214" s="2" t="str">
        <f>VESPUCIO!AM32</f>
        <v>-</v>
      </c>
      <c r="AO214" s="2">
        <f>VESPUCIO!AN32</f>
        <v>3</v>
      </c>
      <c r="AP214" s="2">
        <f>VESPUCIO!AO32</f>
        <v>3</v>
      </c>
      <c r="AQ214" s="2">
        <f>VESPUCIO!AP32</f>
        <v>3</v>
      </c>
      <c r="AR214" s="2">
        <f>VESPUCIO!AQ32</f>
        <v>3</v>
      </c>
      <c r="AS214" s="2">
        <f>VESPUCIO!AR32</f>
        <v>3</v>
      </c>
      <c r="AT214" s="2">
        <f>VESPUCIO!AS32</f>
        <v>3</v>
      </c>
      <c r="AU214" s="2">
        <f>VESPUCIO!AT32</f>
        <v>2</v>
      </c>
      <c r="AV214" s="2">
        <f>VESPUCIO!AU32</f>
        <v>2</v>
      </c>
      <c r="AW214" s="2">
        <f>VESPUCIO!AV32</f>
        <v>2</v>
      </c>
      <c r="AX214" s="2">
        <f>VESPUCIO!AW32</f>
        <v>2</v>
      </c>
      <c r="AY214" s="2">
        <f>VESPUCIO!AX32</f>
        <v>2</v>
      </c>
      <c r="AZ214" s="2">
        <f>VESPUCIO!AY32</f>
        <v>2</v>
      </c>
      <c r="BA214" s="2">
        <f>VESPUCIO!AZ32</f>
        <v>2</v>
      </c>
      <c r="BB214" s="2">
        <f>VESPUCIO!BA32</f>
        <v>2</v>
      </c>
      <c r="BC214" s="2" t="str">
        <f>VESPUCIO!BB32</f>
        <v/>
      </c>
      <c r="BD214" s="2" t="str">
        <f>VESPUCIO!BC32</f>
        <v/>
      </c>
      <c r="BE214" s="2" t="str">
        <f>VESPUCIO!BD32</f>
        <v/>
      </c>
      <c r="BF214" s="2" t="str">
        <f>VESPUCIO!BE32</f>
        <v/>
      </c>
      <c r="BG214" s="2" t="str">
        <f>VESPUCIO!BF32</f>
        <v/>
      </c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</row>
    <row r="215">
      <c r="A215" s="2"/>
      <c r="B215" s="2" t="str">
        <f>VESPUCIO!A33</f>
        <v>Vespucio</v>
      </c>
      <c r="C215" s="2" t="str">
        <f>VESPUCIO!B33</f>
        <v>Aseo</v>
      </c>
      <c r="D215" s="2" t="str">
        <f>VESPUCIO!C33</f>
        <v>Lisoform</v>
      </c>
      <c r="E215" s="2" t="str">
        <f>VESPUCIO!D33</f>
        <v/>
      </c>
      <c r="F215" s="2" t="str">
        <f>VESPUCIO!E33</f>
        <v/>
      </c>
      <c r="G215" s="2" t="str">
        <f>VESPUCIO!F33</f>
        <v/>
      </c>
      <c r="H215" s="2" t="str">
        <f>VESPUCIO!G33</f>
        <v/>
      </c>
      <c r="I215" s="2" t="str">
        <f>VESPUCIO!H33</f>
        <v/>
      </c>
      <c r="J215" s="2" t="str">
        <f>VESPUCIO!I33</f>
        <v/>
      </c>
      <c r="K215" s="2" t="str">
        <f>VESPUCIO!J33</f>
        <v/>
      </c>
      <c r="L215" s="2" t="str">
        <f>VESPUCIO!K33</f>
        <v/>
      </c>
      <c r="M215" s="2" t="str">
        <f>VESPUCIO!L33</f>
        <v/>
      </c>
      <c r="N215" s="2" t="str">
        <f>VESPUCIO!M33</f>
        <v/>
      </c>
      <c r="O215" s="2" t="str">
        <f>VESPUCIO!N33</f>
        <v/>
      </c>
      <c r="P215" s="2" t="str">
        <f>VESPUCIO!O33</f>
        <v/>
      </c>
      <c r="Q215" s="2" t="str">
        <f>VESPUCIO!P33</f>
        <v/>
      </c>
      <c r="R215" s="2" t="str">
        <f>VESPUCIO!Q33</f>
        <v/>
      </c>
      <c r="S215" s="2" t="str">
        <f>VESPUCIO!R33</f>
        <v/>
      </c>
      <c r="T215" s="2" t="str">
        <f>VESPUCIO!S33</f>
        <v/>
      </c>
      <c r="U215" s="2" t="str">
        <f>VESPUCIO!T33</f>
        <v/>
      </c>
      <c r="V215" s="2" t="str">
        <f>VESPUCIO!U33</f>
        <v/>
      </c>
      <c r="W215" s="2" t="str">
        <f>VESPUCIO!V33</f>
        <v/>
      </c>
      <c r="X215" s="2" t="str">
        <f>VESPUCIO!W33</f>
        <v/>
      </c>
      <c r="Y215" s="2" t="str">
        <f>VESPUCIO!X33</f>
        <v/>
      </c>
      <c r="Z215" s="2" t="str">
        <f>VESPUCIO!Y33</f>
        <v/>
      </c>
      <c r="AA215" s="2" t="str">
        <f>VESPUCIO!Z33</f>
        <v/>
      </c>
      <c r="AB215" s="2" t="str">
        <f>VESPUCIO!AA33</f>
        <v/>
      </c>
      <c r="AC215" s="2" t="str">
        <f>VESPUCIO!AB33</f>
        <v/>
      </c>
      <c r="AD215" s="2" t="str">
        <f>VESPUCIO!AC33</f>
        <v/>
      </c>
      <c r="AE215" s="2" t="str">
        <f>VESPUCIO!AD33</f>
        <v/>
      </c>
      <c r="AF215" s="2" t="str">
        <f>VESPUCIO!AE33</f>
        <v/>
      </c>
      <c r="AG215" s="2" t="str">
        <f>VESPUCIO!AF33</f>
        <v/>
      </c>
      <c r="AH215" s="2" t="str">
        <f>VESPUCIO!AG33</f>
        <v/>
      </c>
      <c r="AI215" s="2" t="str">
        <f>VESPUCIO!AH33</f>
        <v/>
      </c>
      <c r="AJ215" s="2" t="str">
        <f>VESPUCIO!AI33</f>
        <v/>
      </c>
      <c r="AK215" s="2" t="str">
        <f>VESPUCIO!AJ33</f>
        <v/>
      </c>
      <c r="AL215" s="2" t="str">
        <f>VESPUCIO!AK33</f>
        <v/>
      </c>
      <c r="AM215" s="2" t="str">
        <f>VESPUCIO!AL33</f>
        <v>-</v>
      </c>
      <c r="AN215" s="2" t="str">
        <f>VESPUCIO!AM33</f>
        <v>-</v>
      </c>
      <c r="AO215" s="2" t="str">
        <f>VESPUCIO!AN33</f>
        <v>-</v>
      </c>
      <c r="AP215" s="2" t="str">
        <f>VESPUCIO!AO33</f>
        <v>-</v>
      </c>
      <c r="AQ215" s="2">
        <f>VESPUCIO!AP33</f>
        <v>3</v>
      </c>
      <c r="AR215" s="2">
        <f>VESPUCIO!AQ33</f>
        <v>3</v>
      </c>
      <c r="AS215" s="2">
        <f>VESPUCIO!AR33</f>
        <v>3</v>
      </c>
      <c r="AT215" s="2">
        <f>VESPUCIO!AS33</f>
        <v>3</v>
      </c>
      <c r="AU215" s="2">
        <f>VESPUCIO!AT33</f>
        <v>2</v>
      </c>
      <c r="AV215" s="2">
        <f>VESPUCIO!AU33</f>
        <v>1</v>
      </c>
      <c r="AW215" s="2">
        <f>VESPUCIO!AV33</f>
        <v>1</v>
      </c>
      <c r="AX215" s="2">
        <f>VESPUCIO!AW33</f>
        <v>1</v>
      </c>
      <c r="AY215" s="2">
        <f>VESPUCIO!AX33</f>
        <v>0</v>
      </c>
      <c r="AZ215" s="2">
        <f>VESPUCIO!AY33</f>
        <v>0</v>
      </c>
      <c r="BA215" s="2">
        <f>VESPUCIO!AZ33</f>
        <v>0</v>
      </c>
      <c r="BB215" s="2">
        <f>VESPUCIO!BA33</f>
        <v>0</v>
      </c>
      <c r="BC215" s="2" t="str">
        <f>VESPUCIO!BB33</f>
        <v/>
      </c>
      <c r="BD215" s="2" t="str">
        <f>VESPUCIO!BC33</f>
        <v/>
      </c>
      <c r="BE215" s="2" t="str">
        <f>VESPUCIO!BD33</f>
        <v/>
      </c>
      <c r="BF215" s="2" t="str">
        <f>VESPUCIO!BE33</f>
        <v/>
      </c>
      <c r="BG215" s="2" t="str">
        <f>VESPUCIO!BF33</f>
        <v/>
      </c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</row>
    <row r="216">
      <c r="A216" s="2"/>
      <c r="B216" s="2" t="str">
        <f>VESPUCIO!A34</f>
        <v>Vespucio</v>
      </c>
      <c r="C216" s="2" t="str">
        <f>VESPUCIO!B34</f>
        <v>Aseo</v>
      </c>
      <c r="D216" s="2" t="str">
        <f>VESPUCIO!C34</f>
        <v>Lustra Muebles </v>
      </c>
      <c r="E216" s="2" t="str">
        <f>VESPUCIO!D34</f>
        <v/>
      </c>
      <c r="F216" s="2" t="str">
        <f>VESPUCIO!E34</f>
        <v/>
      </c>
      <c r="G216" s="2" t="str">
        <f>VESPUCIO!F34</f>
        <v/>
      </c>
      <c r="H216" s="2" t="str">
        <f>VESPUCIO!G34</f>
        <v/>
      </c>
      <c r="I216" s="2" t="str">
        <f>VESPUCIO!H34</f>
        <v/>
      </c>
      <c r="J216" s="2" t="str">
        <f>VESPUCIO!I34</f>
        <v/>
      </c>
      <c r="K216" s="2" t="str">
        <f>VESPUCIO!J34</f>
        <v/>
      </c>
      <c r="L216" s="2" t="str">
        <f>VESPUCIO!K34</f>
        <v/>
      </c>
      <c r="M216" s="2" t="str">
        <f>VESPUCIO!L34</f>
        <v/>
      </c>
      <c r="N216" s="2" t="str">
        <f>VESPUCIO!M34</f>
        <v/>
      </c>
      <c r="O216" s="2" t="str">
        <f>VESPUCIO!N34</f>
        <v/>
      </c>
      <c r="P216" s="2" t="str">
        <f>VESPUCIO!O34</f>
        <v/>
      </c>
      <c r="Q216" s="2" t="str">
        <f>VESPUCIO!P34</f>
        <v/>
      </c>
      <c r="R216" s="2" t="str">
        <f>VESPUCIO!Q34</f>
        <v/>
      </c>
      <c r="S216" s="2" t="str">
        <f>VESPUCIO!R34</f>
        <v/>
      </c>
      <c r="T216" s="2" t="str">
        <f>VESPUCIO!S34</f>
        <v/>
      </c>
      <c r="U216" s="2" t="str">
        <f>VESPUCIO!T34</f>
        <v/>
      </c>
      <c r="V216" s="2" t="str">
        <f>VESPUCIO!U34</f>
        <v/>
      </c>
      <c r="W216" s="2" t="str">
        <f>VESPUCIO!V34</f>
        <v/>
      </c>
      <c r="X216" s="2" t="str">
        <f>VESPUCIO!W34</f>
        <v/>
      </c>
      <c r="Y216" s="2" t="str">
        <f>VESPUCIO!X34</f>
        <v/>
      </c>
      <c r="Z216" s="2" t="str">
        <f>VESPUCIO!Y34</f>
        <v/>
      </c>
      <c r="AA216" s="2" t="str">
        <f>VESPUCIO!Z34</f>
        <v/>
      </c>
      <c r="AB216" s="2" t="str">
        <f>VESPUCIO!AA34</f>
        <v/>
      </c>
      <c r="AC216" s="2" t="str">
        <f>VESPUCIO!AB34</f>
        <v/>
      </c>
      <c r="AD216" s="2" t="str">
        <f>VESPUCIO!AC34</f>
        <v/>
      </c>
      <c r="AE216" s="2" t="str">
        <f>VESPUCIO!AD34</f>
        <v/>
      </c>
      <c r="AF216" s="2" t="str">
        <f>VESPUCIO!AE34</f>
        <v/>
      </c>
      <c r="AG216" s="2" t="str">
        <f>VESPUCIO!AF34</f>
        <v/>
      </c>
      <c r="AH216" s="2" t="str">
        <f>VESPUCIO!AG34</f>
        <v/>
      </c>
      <c r="AI216" s="2" t="str">
        <f>VESPUCIO!AH34</f>
        <v/>
      </c>
      <c r="AJ216" s="2" t="str">
        <f>VESPUCIO!AI34</f>
        <v/>
      </c>
      <c r="AK216" s="2" t="str">
        <f>VESPUCIO!AJ34</f>
        <v/>
      </c>
      <c r="AL216" s="2" t="str">
        <f>VESPUCIO!AK34</f>
        <v/>
      </c>
      <c r="AM216" s="2" t="str">
        <f>VESPUCIO!AL34</f>
        <v>-</v>
      </c>
      <c r="AN216" s="2" t="str">
        <f>VESPUCIO!AM34</f>
        <v>-</v>
      </c>
      <c r="AO216" s="2" t="str">
        <f>VESPUCIO!AN34</f>
        <v>-</v>
      </c>
      <c r="AP216" s="2" t="str">
        <f>VESPUCIO!AO34</f>
        <v>-</v>
      </c>
      <c r="AQ216" s="2">
        <f>VESPUCIO!AP34</f>
        <v>4</v>
      </c>
      <c r="AR216" s="2">
        <f>VESPUCIO!AQ34</f>
        <v>4</v>
      </c>
      <c r="AS216" s="2">
        <f>VESPUCIO!AR34</f>
        <v>4</v>
      </c>
      <c r="AT216" s="2">
        <f>VESPUCIO!AS34</f>
        <v>4</v>
      </c>
      <c r="AU216" s="2">
        <f>VESPUCIO!AT34</f>
        <v>4</v>
      </c>
      <c r="AV216" s="2">
        <f>VESPUCIO!AU34</f>
        <v>4</v>
      </c>
      <c r="AW216" s="2">
        <f>VESPUCIO!AV34</f>
        <v>4</v>
      </c>
      <c r="AX216" s="2">
        <f>VESPUCIO!AW34</f>
        <v>4</v>
      </c>
      <c r="AY216" s="2">
        <f>VESPUCIO!AX34</f>
        <v>4</v>
      </c>
      <c r="AZ216" s="2">
        <f>VESPUCIO!AY34</f>
        <v>4</v>
      </c>
      <c r="BA216" s="2">
        <f>VESPUCIO!AZ34</f>
        <v>4</v>
      </c>
      <c r="BB216" s="2">
        <f>VESPUCIO!BA34</f>
        <v>4</v>
      </c>
      <c r="BC216" s="2" t="str">
        <f>VESPUCIO!BB34</f>
        <v/>
      </c>
      <c r="BD216" s="2" t="str">
        <f>VESPUCIO!BC34</f>
        <v/>
      </c>
      <c r="BE216" s="2" t="str">
        <f>VESPUCIO!BD34</f>
        <v/>
      </c>
      <c r="BF216" s="2" t="str">
        <f>VESPUCIO!BE34</f>
        <v/>
      </c>
      <c r="BG216" s="2" t="str">
        <f>VESPUCIO!BF34</f>
        <v/>
      </c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</row>
    <row r="217">
      <c r="A217" s="2"/>
      <c r="B217" s="2" t="str">
        <f>VESPUCIO!A35</f>
        <v>Vespucio</v>
      </c>
      <c r="C217" s="2" t="str">
        <f>VESPUCIO!B35</f>
        <v>Aseo</v>
      </c>
      <c r="D217" s="2" t="str">
        <f>VESPUCIO!C35</f>
        <v>Mopa Avion</v>
      </c>
      <c r="E217" s="2" t="str">
        <f>VESPUCIO!D35</f>
        <v/>
      </c>
      <c r="F217" s="2" t="str">
        <f>VESPUCIO!E35</f>
        <v/>
      </c>
      <c r="G217" s="2" t="str">
        <f>VESPUCIO!F35</f>
        <v/>
      </c>
      <c r="H217" s="2" t="str">
        <f>VESPUCIO!G35</f>
        <v/>
      </c>
      <c r="I217" s="2" t="str">
        <f>VESPUCIO!H35</f>
        <v/>
      </c>
      <c r="J217" s="2" t="str">
        <f>VESPUCIO!I35</f>
        <v/>
      </c>
      <c r="K217" s="2" t="str">
        <f>VESPUCIO!J35</f>
        <v/>
      </c>
      <c r="L217" s="2" t="str">
        <f>VESPUCIO!K35</f>
        <v/>
      </c>
      <c r="M217" s="2" t="str">
        <f>VESPUCIO!L35</f>
        <v/>
      </c>
      <c r="N217" s="2" t="str">
        <f>VESPUCIO!M35</f>
        <v/>
      </c>
      <c r="O217" s="2" t="str">
        <f>VESPUCIO!N35</f>
        <v/>
      </c>
      <c r="P217" s="2" t="str">
        <f>VESPUCIO!O35</f>
        <v/>
      </c>
      <c r="Q217" s="2" t="str">
        <f>VESPUCIO!P35</f>
        <v/>
      </c>
      <c r="R217" s="2" t="str">
        <f>VESPUCIO!Q35</f>
        <v/>
      </c>
      <c r="S217" s="2" t="str">
        <f>VESPUCIO!R35</f>
        <v/>
      </c>
      <c r="T217" s="2" t="str">
        <f>VESPUCIO!S35</f>
        <v/>
      </c>
      <c r="U217" s="2" t="str">
        <f>VESPUCIO!T35</f>
        <v/>
      </c>
      <c r="V217" s="2" t="str">
        <f>VESPUCIO!U35</f>
        <v/>
      </c>
      <c r="W217" s="2" t="str">
        <f>VESPUCIO!V35</f>
        <v/>
      </c>
      <c r="X217" s="2" t="str">
        <f>VESPUCIO!W35</f>
        <v/>
      </c>
      <c r="Y217" s="2" t="str">
        <f>VESPUCIO!X35</f>
        <v/>
      </c>
      <c r="Z217" s="2" t="str">
        <f>VESPUCIO!Y35</f>
        <v/>
      </c>
      <c r="AA217" s="2" t="str">
        <f>VESPUCIO!Z35</f>
        <v/>
      </c>
      <c r="AB217" s="2" t="str">
        <f>VESPUCIO!AA35</f>
        <v/>
      </c>
      <c r="AC217" s="2" t="str">
        <f>VESPUCIO!AB35</f>
        <v/>
      </c>
      <c r="AD217" s="2" t="str">
        <f>VESPUCIO!AC35</f>
        <v/>
      </c>
      <c r="AE217" s="2" t="str">
        <f>VESPUCIO!AD35</f>
        <v/>
      </c>
      <c r="AF217" s="2" t="str">
        <f>VESPUCIO!AE35</f>
        <v/>
      </c>
      <c r="AG217" s="2" t="str">
        <f>VESPUCIO!AF35</f>
        <v/>
      </c>
      <c r="AH217" s="2" t="str">
        <f>VESPUCIO!AG35</f>
        <v/>
      </c>
      <c r="AI217" s="2" t="str">
        <f>VESPUCIO!AH35</f>
        <v/>
      </c>
      <c r="AJ217" s="2" t="str">
        <f>VESPUCIO!AI35</f>
        <v/>
      </c>
      <c r="AK217" s="2" t="str">
        <f>VESPUCIO!AJ35</f>
        <v/>
      </c>
      <c r="AL217" s="2" t="str">
        <f>VESPUCIO!AK35</f>
        <v/>
      </c>
      <c r="AM217" s="2" t="str">
        <f>VESPUCIO!AL35</f>
        <v>-</v>
      </c>
      <c r="AN217" s="2" t="str">
        <f>VESPUCIO!AM35</f>
        <v>-</v>
      </c>
      <c r="AO217" s="2" t="str">
        <f>VESPUCIO!AN35</f>
        <v>-</v>
      </c>
      <c r="AP217" s="2">
        <f>VESPUCIO!AO35</f>
        <v>3</v>
      </c>
      <c r="AQ217" s="2">
        <f>VESPUCIO!AP35</f>
        <v>3</v>
      </c>
      <c r="AR217" s="2">
        <f>VESPUCIO!AQ35</f>
        <v>3</v>
      </c>
      <c r="AS217" s="2">
        <f>VESPUCIO!AR35</f>
        <v>3</v>
      </c>
      <c r="AT217" s="2">
        <f>VESPUCIO!AS35</f>
        <v>1</v>
      </c>
      <c r="AU217" s="2">
        <f>VESPUCIO!AT35</f>
        <v>1</v>
      </c>
      <c r="AV217" s="2">
        <f>VESPUCIO!AU35</f>
        <v>1</v>
      </c>
      <c r="AW217" s="2">
        <f>VESPUCIO!AV35</f>
        <v>1</v>
      </c>
      <c r="AX217" s="2">
        <f>VESPUCIO!AW35</f>
        <v>1</v>
      </c>
      <c r="AY217" s="2">
        <f>VESPUCIO!AX35</f>
        <v>1</v>
      </c>
      <c r="AZ217" s="2">
        <f>VESPUCIO!AY35</f>
        <v>1</v>
      </c>
      <c r="BA217" s="2">
        <f>VESPUCIO!AZ35</f>
        <v>1</v>
      </c>
      <c r="BB217" s="2">
        <f>VESPUCIO!BA35</f>
        <v>1</v>
      </c>
      <c r="BC217" s="2" t="str">
        <f>VESPUCIO!BB35</f>
        <v/>
      </c>
      <c r="BD217" s="2" t="str">
        <f>VESPUCIO!BC35</f>
        <v/>
      </c>
      <c r="BE217" s="2" t="str">
        <f>VESPUCIO!BD35</f>
        <v/>
      </c>
      <c r="BF217" s="2" t="str">
        <f>VESPUCIO!BE35</f>
        <v/>
      </c>
      <c r="BG217" s="2" t="str">
        <f>VESPUCIO!BF35</f>
        <v/>
      </c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</row>
    <row r="218">
      <c r="A218" s="2"/>
      <c r="B218" s="2" t="str">
        <f>VESPUCIO!A36</f>
        <v>Vespucio</v>
      </c>
      <c r="C218" s="2" t="str">
        <f>VESPUCIO!B36</f>
        <v>Aseo</v>
      </c>
      <c r="D218" s="2" t="str">
        <f>VESPUCIO!C36</f>
        <v>Mopa Humeda</v>
      </c>
      <c r="E218" s="2" t="str">
        <f>VESPUCIO!D36</f>
        <v/>
      </c>
      <c r="F218" s="2" t="str">
        <f>VESPUCIO!E36</f>
        <v/>
      </c>
      <c r="G218" s="2" t="str">
        <f>VESPUCIO!F36</f>
        <v/>
      </c>
      <c r="H218" s="2" t="str">
        <f>VESPUCIO!G36</f>
        <v/>
      </c>
      <c r="I218" s="2" t="str">
        <f>VESPUCIO!H36</f>
        <v/>
      </c>
      <c r="J218" s="2" t="str">
        <f>VESPUCIO!I36</f>
        <v/>
      </c>
      <c r="K218" s="2" t="str">
        <f>VESPUCIO!J36</f>
        <v/>
      </c>
      <c r="L218" s="2" t="str">
        <f>VESPUCIO!K36</f>
        <v/>
      </c>
      <c r="M218" s="2" t="str">
        <f>VESPUCIO!L36</f>
        <v/>
      </c>
      <c r="N218" s="2" t="str">
        <f>VESPUCIO!M36</f>
        <v/>
      </c>
      <c r="O218" s="2" t="str">
        <f>VESPUCIO!N36</f>
        <v/>
      </c>
      <c r="P218" s="2" t="str">
        <f>VESPUCIO!O36</f>
        <v/>
      </c>
      <c r="Q218" s="2" t="str">
        <f>VESPUCIO!P36</f>
        <v/>
      </c>
      <c r="R218" s="2" t="str">
        <f>VESPUCIO!Q36</f>
        <v/>
      </c>
      <c r="S218" s="2" t="str">
        <f>VESPUCIO!R36</f>
        <v/>
      </c>
      <c r="T218" s="2" t="str">
        <f>VESPUCIO!S36</f>
        <v/>
      </c>
      <c r="U218" s="2" t="str">
        <f>VESPUCIO!T36</f>
        <v/>
      </c>
      <c r="V218" s="2" t="str">
        <f>VESPUCIO!U36</f>
        <v/>
      </c>
      <c r="W218" s="2" t="str">
        <f>VESPUCIO!V36</f>
        <v/>
      </c>
      <c r="X218" s="2" t="str">
        <f>VESPUCIO!W36</f>
        <v/>
      </c>
      <c r="Y218" s="2" t="str">
        <f>VESPUCIO!X36</f>
        <v/>
      </c>
      <c r="Z218" s="2" t="str">
        <f>VESPUCIO!Y36</f>
        <v/>
      </c>
      <c r="AA218" s="2" t="str">
        <f>VESPUCIO!Z36</f>
        <v/>
      </c>
      <c r="AB218" s="2" t="str">
        <f>VESPUCIO!AA36</f>
        <v/>
      </c>
      <c r="AC218" s="2" t="str">
        <f>VESPUCIO!AB36</f>
        <v/>
      </c>
      <c r="AD218" s="2" t="str">
        <f>VESPUCIO!AC36</f>
        <v/>
      </c>
      <c r="AE218" s="2" t="str">
        <f>VESPUCIO!AD36</f>
        <v/>
      </c>
      <c r="AF218" s="2" t="str">
        <f>VESPUCIO!AE36</f>
        <v/>
      </c>
      <c r="AG218" s="2" t="str">
        <f>VESPUCIO!AF36</f>
        <v/>
      </c>
      <c r="AH218" s="2" t="str">
        <f>VESPUCIO!AG36</f>
        <v/>
      </c>
      <c r="AI218" s="2" t="str">
        <f>VESPUCIO!AH36</f>
        <v/>
      </c>
      <c r="AJ218" s="2" t="str">
        <f>VESPUCIO!AI36</f>
        <v/>
      </c>
      <c r="AK218" s="2" t="str">
        <f>VESPUCIO!AJ36</f>
        <v/>
      </c>
      <c r="AL218" s="2" t="str">
        <f>VESPUCIO!AK36</f>
        <v/>
      </c>
      <c r="AM218" s="2" t="str">
        <f>VESPUCIO!AL36</f>
        <v>-</v>
      </c>
      <c r="AN218" s="2" t="str">
        <f>VESPUCIO!AM36</f>
        <v>-</v>
      </c>
      <c r="AO218" s="2" t="str">
        <f>VESPUCIO!AN36</f>
        <v>-</v>
      </c>
      <c r="AP218" s="2">
        <f>VESPUCIO!AO36</f>
        <v>2</v>
      </c>
      <c r="AQ218" s="2">
        <f>VESPUCIO!AP36</f>
        <v>2</v>
      </c>
      <c r="AR218" s="2">
        <f>VESPUCIO!AQ36</f>
        <v>2</v>
      </c>
      <c r="AS218" s="2">
        <f>VESPUCIO!AR36</f>
        <v>2</v>
      </c>
      <c r="AT218" s="2">
        <f>VESPUCIO!AS36</f>
        <v>1</v>
      </c>
      <c r="AU218" s="2">
        <f>VESPUCIO!AT36</f>
        <v>0</v>
      </c>
      <c r="AV218" s="2">
        <f>VESPUCIO!AU36</f>
        <v>0</v>
      </c>
      <c r="AW218" s="2">
        <f>VESPUCIO!AV36</f>
        <v>0</v>
      </c>
      <c r="AX218" s="2">
        <f>VESPUCIO!AW36</f>
        <v>0</v>
      </c>
      <c r="AY218" s="2">
        <f>VESPUCIO!AX36</f>
        <v>0</v>
      </c>
      <c r="AZ218" s="2">
        <f>VESPUCIO!AY36</f>
        <v>0</v>
      </c>
      <c r="BA218" s="2">
        <f>VESPUCIO!AZ36</f>
        <v>0</v>
      </c>
      <c r="BB218" s="2">
        <f>VESPUCIO!BA36</f>
        <v>0</v>
      </c>
      <c r="BC218" s="2" t="str">
        <f>VESPUCIO!BB36</f>
        <v/>
      </c>
      <c r="BD218" s="2" t="str">
        <f>VESPUCIO!BC36</f>
        <v/>
      </c>
      <c r="BE218" s="2" t="str">
        <f>VESPUCIO!BD36</f>
        <v/>
      </c>
      <c r="BF218" s="2" t="str">
        <f>VESPUCIO!BE36</f>
        <v/>
      </c>
      <c r="BG218" s="2" t="str">
        <f>VESPUCIO!BF36</f>
        <v/>
      </c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</row>
    <row r="219">
      <c r="A219" s="2"/>
      <c r="B219" s="2" t="str">
        <f>VESPUCIO!A37</f>
        <v>Vespucio</v>
      </c>
      <c r="C219" s="2" t="str">
        <f>VESPUCIO!B37</f>
        <v>Aseo</v>
      </c>
      <c r="D219" s="2" t="str">
        <f>VESPUCIO!C37</f>
        <v>Mopa Redonda</v>
      </c>
      <c r="E219" s="2" t="str">
        <f>VESPUCIO!D37</f>
        <v/>
      </c>
      <c r="F219" s="2" t="str">
        <f>VESPUCIO!E37</f>
        <v/>
      </c>
      <c r="G219" s="2" t="str">
        <f>VESPUCIO!F37</f>
        <v/>
      </c>
      <c r="H219" s="2" t="str">
        <f>VESPUCIO!G37</f>
        <v/>
      </c>
      <c r="I219" s="2" t="str">
        <f>VESPUCIO!H37</f>
        <v/>
      </c>
      <c r="J219" s="2" t="str">
        <f>VESPUCIO!I37</f>
        <v/>
      </c>
      <c r="K219" s="2" t="str">
        <f>VESPUCIO!J37</f>
        <v/>
      </c>
      <c r="L219" s="2" t="str">
        <f>VESPUCIO!K37</f>
        <v/>
      </c>
      <c r="M219" s="2" t="str">
        <f>VESPUCIO!L37</f>
        <v/>
      </c>
      <c r="N219" s="2" t="str">
        <f>VESPUCIO!M37</f>
        <v/>
      </c>
      <c r="O219" s="2" t="str">
        <f>VESPUCIO!N37</f>
        <v/>
      </c>
      <c r="P219" s="2" t="str">
        <f>VESPUCIO!O37</f>
        <v/>
      </c>
      <c r="Q219" s="2" t="str">
        <f>VESPUCIO!P37</f>
        <v/>
      </c>
      <c r="R219" s="2" t="str">
        <f>VESPUCIO!Q37</f>
        <v/>
      </c>
      <c r="S219" s="2" t="str">
        <f>VESPUCIO!R37</f>
        <v>-</v>
      </c>
      <c r="T219" s="2" t="str">
        <f>VESPUCIO!S37</f>
        <v>-</v>
      </c>
      <c r="U219" s="2" t="str">
        <f>VESPUCIO!T37</f>
        <v>-</v>
      </c>
      <c r="V219" s="2" t="str">
        <f>VESPUCIO!U37</f>
        <v>-</v>
      </c>
      <c r="W219" s="2" t="str">
        <f>VESPUCIO!V37</f>
        <v>-</v>
      </c>
      <c r="X219" s="2" t="str">
        <f>VESPUCIO!W37</f>
        <v>-</v>
      </c>
      <c r="Y219" s="2" t="str">
        <f>VESPUCIO!X37</f>
        <v>-</v>
      </c>
      <c r="Z219" s="2" t="str">
        <f>VESPUCIO!Y37</f>
        <v>-</v>
      </c>
      <c r="AA219" s="2" t="str">
        <f>VESPUCIO!Z37</f>
        <v>-</v>
      </c>
      <c r="AB219" s="2" t="str">
        <f>VESPUCIO!AA37</f>
        <v>-</v>
      </c>
      <c r="AC219" s="2" t="str">
        <f>VESPUCIO!AB37</f>
        <v>-</v>
      </c>
      <c r="AD219" s="2" t="str">
        <f>VESPUCIO!AC37</f>
        <v>-</v>
      </c>
      <c r="AE219" s="2">
        <f>VESPUCIO!AD37</f>
        <v>6</v>
      </c>
      <c r="AF219" s="2">
        <f>VESPUCIO!AE37</f>
        <v>5</v>
      </c>
      <c r="AG219" s="2">
        <f>VESPUCIO!AF37</f>
        <v>5</v>
      </c>
      <c r="AH219" s="2">
        <f>VESPUCIO!AG37</f>
        <v>5</v>
      </c>
      <c r="AI219" s="2">
        <f>VESPUCIO!AH37</f>
        <v>3</v>
      </c>
      <c r="AJ219" s="2">
        <f>VESPUCIO!AI37</f>
        <v>5</v>
      </c>
      <c r="AK219" s="2">
        <f>VESPUCIO!AJ37</f>
        <v>4</v>
      </c>
      <c r="AL219" s="2">
        <f>VESPUCIO!AK37</f>
        <v>4</v>
      </c>
      <c r="AM219" s="2">
        <f>VESPUCIO!AL37</f>
        <v>4</v>
      </c>
      <c r="AN219" s="2">
        <f>VESPUCIO!AM37</f>
        <v>4</v>
      </c>
      <c r="AO219" s="2">
        <f>VESPUCIO!AN37</f>
        <v>3</v>
      </c>
      <c r="AP219" s="2">
        <f>VESPUCIO!AO37</f>
        <v>4</v>
      </c>
      <c r="AQ219" s="2">
        <f>VESPUCIO!AP37</f>
        <v>1</v>
      </c>
      <c r="AR219" s="2">
        <f>VESPUCIO!AQ37</f>
        <v>1</v>
      </c>
      <c r="AS219" s="2">
        <f>VESPUCIO!AR37</f>
        <v>0</v>
      </c>
      <c r="AT219" s="2">
        <f>VESPUCIO!AS37</f>
        <v>4</v>
      </c>
      <c r="AU219" s="2">
        <f>VESPUCIO!AT37</f>
        <v>4</v>
      </c>
      <c r="AV219" s="2">
        <f>VESPUCIO!AU37</f>
        <v>3</v>
      </c>
      <c r="AW219" s="2">
        <f>VESPUCIO!AV37</f>
        <v>3</v>
      </c>
      <c r="AX219" s="2">
        <f>VESPUCIO!AW37</f>
        <v>2</v>
      </c>
      <c r="AY219" s="2">
        <f>VESPUCIO!AX37</f>
        <v>0</v>
      </c>
      <c r="AZ219" s="2">
        <f>VESPUCIO!AY37</f>
        <v>0</v>
      </c>
      <c r="BA219" s="2">
        <f>VESPUCIO!AZ37</f>
        <v>0</v>
      </c>
      <c r="BB219" s="2">
        <f>VESPUCIO!BA37</f>
        <v>4</v>
      </c>
      <c r="BC219" s="2" t="str">
        <f>VESPUCIO!BB37</f>
        <v/>
      </c>
      <c r="BD219" s="2" t="str">
        <f>VESPUCIO!BC37</f>
        <v/>
      </c>
      <c r="BE219" s="2" t="str">
        <f>VESPUCIO!BD37</f>
        <v/>
      </c>
      <c r="BF219" s="2" t="str">
        <f>VESPUCIO!BE37</f>
        <v/>
      </c>
      <c r="BG219" s="2" t="str">
        <f>VESPUCIO!BF37</f>
        <v/>
      </c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</row>
    <row r="220">
      <c r="A220" s="2"/>
      <c r="B220" s="2" t="str">
        <f>VESPUCIO!A38</f>
        <v>Vespucio</v>
      </c>
      <c r="C220" s="2" t="str">
        <f>VESPUCIO!B38</f>
        <v>Aseo</v>
      </c>
      <c r="D220" s="2" t="str">
        <f>VESPUCIO!C38</f>
        <v>Paño Esponja x 6Uni. </v>
      </c>
      <c r="E220" s="2" t="str">
        <f>VESPUCIO!D38</f>
        <v/>
      </c>
      <c r="F220" s="2" t="str">
        <f>VESPUCIO!E38</f>
        <v/>
      </c>
      <c r="G220" s="2" t="str">
        <f>VESPUCIO!F38</f>
        <v/>
      </c>
      <c r="H220" s="2" t="str">
        <f>VESPUCIO!G38</f>
        <v/>
      </c>
      <c r="I220" s="2" t="str">
        <f>VESPUCIO!H38</f>
        <v/>
      </c>
      <c r="J220" s="2" t="str">
        <f>VESPUCIO!I38</f>
        <v/>
      </c>
      <c r="K220" s="2" t="str">
        <f>VESPUCIO!J38</f>
        <v/>
      </c>
      <c r="L220" s="2" t="str">
        <f>VESPUCIO!K38</f>
        <v/>
      </c>
      <c r="M220" s="2" t="str">
        <f>VESPUCIO!L38</f>
        <v/>
      </c>
      <c r="N220" s="2" t="str">
        <f>VESPUCIO!M38</f>
        <v/>
      </c>
      <c r="O220" s="2" t="str">
        <f>VESPUCIO!N38</f>
        <v/>
      </c>
      <c r="P220" s="2" t="str">
        <f>VESPUCIO!O38</f>
        <v/>
      </c>
      <c r="Q220" s="2" t="str">
        <f>VESPUCIO!P38</f>
        <v/>
      </c>
      <c r="R220" s="2" t="str">
        <f>VESPUCIO!Q38</f>
        <v/>
      </c>
      <c r="S220" s="2" t="str">
        <f>VESPUCIO!R38</f>
        <v/>
      </c>
      <c r="T220" s="2" t="str">
        <f>VESPUCIO!S38</f>
        <v/>
      </c>
      <c r="U220" s="2" t="str">
        <f>VESPUCIO!T38</f>
        <v/>
      </c>
      <c r="V220" s="2" t="str">
        <f>VESPUCIO!U38</f>
        <v/>
      </c>
      <c r="W220" s="2" t="str">
        <f>VESPUCIO!V38</f>
        <v/>
      </c>
      <c r="X220" s="2" t="str">
        <f>VESPUCIO!W38</f>
        <v/>
      </c>
      <c r="Y220" s="2" t="str">
        <f>VESPUCIO!X38</f>
        <v/>
      </c>
      <c r="Z220" s="2" t="str">
        <f>VESPUCIO!Y38</f>
        <v/>
      </c>
      <c r="AA220" s="2" t="str">
        <f>VESPUCIO!Z38</f>
        <v/>
      </c>
      <c r="AB220" s="2" t="str">
        <f>VESPUCIO!AA38</f>
        <v/>
      </c>
      <c r="AC220" s="2" t="str">
        <f>VESPUCIO!AB38</f>
        <v/>
      </c>
      <c r="AD220" s="2" t="str">
        <f>VESPUCIO!AC38</f>
        <v/>
      </c>
      <c r="AE220" s="2" t="str">
        <f>VESPUCIO!AD38</f>
        <v/>
      </c>
      <c r="AF220" s="2" t="str">
        <f>VESPUCIO!AE38</f>
        <v/>
      </c>
      <c r="AG220" s="2" t="str">
        <f>VESPUCIO!AF38</f>
        <v/>
      </c>
      <c r="AH220" s="2" t="str">
        <f>VESPUCIO!AG38</f>
        <v/>
      </c>
      <c r="AI220" s="2" t="str">
        <f>VESPUCIO!AH38</f>
        <v/>
      </c>
      <c r="AJ220" s="2" t="str">
        <f>VESPUCIO!AI38</f>
        <v/>
      </c>
      <c r="AK220" s="2" t="str">
        <f>VESPUCIO!AJ38</f>
        <v/>
      </c>
      <c r="AL220" s="2" t="str">
        <f>VESPUCIO!AK38</f>
        <v/>
      </c>
      <c r="AM220" s="2" t="str">
        <f>VESPUCIO!AL38</f>
        <v>-</v>
      </c>
      <c r="AN220" s="2" t="str">
        <f>VESPUCIO!AM38</f>
        <v>-</v>
      </c>
      <c r="AO220" s="2" t="str">
        <f>VESPUCIO!AN38</f>
        <v>-</v>
      </c>
      <c r="AP220" s="2" t="str">
        <f>VESPUCIO!AO38</f>
        <v>-</v>
      </c>
      <c r="AQ220" s="2">
        <f>VESPUCIO!AP38</f>
        <v>5</v>
      </c>
      <c r="AR220" s="2">
        <f>VESPUCIO!AQ38</f>
        <v>5</v>
      </c>
      <c r="AS220" s="2">
        <f>VESPUCIO!AR38</f>
        <v>5</v>
      </c>
      <c r="AT220" s="2">
        <f>VESPUCIO!AS38</f>
        <v>5</v>
      </c>
      <c r="AU220" s="2">
        <f>VESPUCIO!AT38</f>
        <v>5</v>
      </c>
      <c r="AV220" s="2">
        <f>VESPUCIO!AU38</f>
        <v>5</v>
      </c>
      <c r="AW220" s="2">
        <f>VESPUCIO!AV38</f>
        <v>5</v>
      </c>
      <c r="AX220" s="2">
        <f>VESPUCIO!AW38</f>
        <v>5</v>
      </c>
      <c r="AY220" s="2">
        <f>VESPUCIO!AX38</f>
        <v>5</v>
      </c>
      <c r="AZ220" s="2">
        <f>VESPUCIO!AY38</f>
        <v>5</v>
      </c>
      <c r="BA220" s="2">
        <f>VESPUCIO!AZ38</f>
        <v>4</v>
      </c>
      <c r="BB220" s="2">
        <f>VESPUCIO!BA38</f>
        <v>4</v>
      </c>
      <c r="BC220" s="2" t="str">
        <f>VESPUCIO!BB38</f>
        <v/>
      </c>
      <c r="BD220" s="2" t="str">
        <f>VESPUCIO!BC38</f>
        <v/>
      </c>
      <c r="BE220" s="2" t="str">
        <f>VESPUCIO!BD38</f>
        <v/>
      </c>
      <c r="BF220" s="2" t="str">
        <f>VESPUCIO!BE38</f>
        <v/>
      </c>
      <c r="BG220" s="2" t="str">
        <f>VESPUCIO!BF38</f>
        <v/>
      </c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</row>
    <row r="221">
      <c r="A221" s="2"/>
      <c r="B221" s="2" t="str">
        <f>VESPUCIO!A39</f>
        <v>Vespucio</v>
      </c>
      <c r="C221" s="2" t="str">
        <f>VESPUCIO!B39</f>
        <v>Aseo</v>
      </c>
      <c r="D221" s="2" t="str">
        <f>VESPUCIO!C39</f>
        <v>Papel Higienico (UN)</v>
      </c>
      <c r="E221" s="2">
        <f>VESPUCIO!D39</f>
        <v>38</v>
      </c>
      <c r="F221" s="2" t="str">
        <f>VESPUCIO!E39</f>
        <v/>
      </c>
      <c r="G221" s="2">
        <f>VESPUCIO!F39</f>
        <v>34</v>
      </c>
      <c r="H221" s="2">
        <f>VESPUCIO!G39</f>
        <v>63</v>
      </c>
      <c r="I221" s="2">
        <f>VESPUCIO!H39</f>
        <v>60</v>
      </c>
      <c r="J221" s="2">
        <f>VESPUCIO!I39</f>
        <v>60</v>
      </c>
      <c r="K221" s="2" t="str">
        <f>VESPUCIO!J39</f>
        <v/>
      </c>
      <c r="L221" s="2" t="str">
        <f>VESPUCIO!K39</f>
        <v/>
      </c>
      <c r="M221" s="2">
        <f>VESPUCIO!L39</f>
        <v>22</v>
      </c>
      <c r="N221" s="2">
        <f>VESPUCIO!M39</f>
        <v>36</v>
      </c>
      <c r="O221" s="2">
        <f>VESPUCIO!N39</f>
        <v>32</v>
      </c>
      <c r="P221" s="2">
        <f>VESPUCIO!O39</f>
        <v>19</v>
      </c>
      <c r="Q221" s="2">
        <f>VESPUCIO!P39</f>
        <v>18</v>
      </c>
      <c r="R221" s="2">
        <f>VESPUCIO!Q39</f>
        <v>13</v>
      </c>
      <c r="S221" s="2">
        <f>VESPUCIO!R39</f>
        <v>8</v>
      </c>
      <c r="T221" s="2">
        <f>VESPUCIO!S39</f>
        <v>4</v>
      </c>
      <c r="U221" s="2">
        <f>VESPUCIO!T39</f>
        <v>16</v>
      </c>
      <c r="V221" s="2">
        <f>VESPUCIO!U39</f>
        <v>12</v>
      </c>
      <c r="W221" s="2">
        <f>VESPUCIO!V39</f>
        <v>32</v>
      </c>
      <c r="X221" s="2">
        <f>VESPUCIO!W39</f>
        <v>24</v>
      </c>
      <c r="Y221" s="2">
        <f>VESPUCIO!X39</f>
        <v>20</v>
      </c>
      <c r="Z221" s="2">
        <f>VESPUCIO!Y39</f>
        <v>12</v>
      </c>
      <c r="AA221" s="2">
        <f>VESPUCIO!Z39</f>
        <v>15</v>
      </c>
      <c r="AB221" s="2">
        <f>VESPUCIO!AA39</f>
        <v>13</v>
      </c>
      <c r="AC221" s="2">
        <f>VESPUCIO!AB39</f>
        <v>10</v>
      </c>
      <c r="AD221" s="2">
        <f>VESPUCIO!AC39</f>
        <v>7</v>
      </c>
      <c r="AE221" s="2">
        <f>VESPUCIO!AD39</f>
        <v>28</v>
      </c>
      <c r="AF221" s="2">
        <f>VESPUCIO!AE39</f>
        <v>26</v>
      </c>
      <c r="AG221" s="2">
        <f>VESPUCIO!AF39</f>
        <v>28</v>
      </c>
      <c r="AH221" s="2">
        <f>VESPUCIO!AG39</f>
        <v>28</v>
      </c>
      <c r="AI221" s="2">
        <f>VESPUCIO!AH39</f>
        <v>24</v>
      </c>
      <c r="AJ221" s="2">
        <f>VESPUCIO!AI39</f>
        <v>26</v>
      </c>
      <c r="AK221" s="2">
        <f>VESPUCIO!AJ39</f>
        <v>26</v>
      </c>
      <c r="AL221" s="2">
        <f>VESPUCIO!AK39</f>
        <v>24</v>
      </c>
      <c r="AM221" s="2">
        <f>VESPUCIO!AL39</f>
        <v>20</v>
      </c>
      <c r="AN221" s="2">
        <f>VESPUCIO!AM39</f>
        <v>20</v>
      </c>
      <c r="AO221" s="2">
        <f>VESPUCIO!AN39</f>
        <v>16</v>
      </c>
      <c r="AP221" s="2">
        <f>VESPUCIO!AO39</f>
        <v>38</v>
      </c>
      <c r="AQ221" s="2">
        <f>VESPUCIO!AP39</f>
        <v>40</v>
      </c>
      <c r="AR221" s="2">
        <f>VESPUCIO!AQ39</f>
        <v>38</v>
      </c>
      <c r="AS221" s="2">
        <f>VESPUCIO!AR39</f>
        <v>35</v>
      </c>
      <c r="AT221" s="2">
        <f>VESPUCIO!AS39</f>
        <v>33</v>
      </c>
      <c r="AU221" s="2">
        <f>VESPUCIO!AT39</f>
        <v>31</v>
      </c>
      <c r="AV221" s="2">
        <f>VESPUCIO!AU39</f>
        <v>30</v>
      </c>
      <c r="AW221" s="2">
        <f>VESPUCIO!AV39</f>
        <v>27</v>
      </c>
      <c r="AX221" s="2">
        <f>VESPUCIO!AW39</f>
        <v>25</v>
      </c>
      <c r="AY221" s="2">
        <f>VESPUCIO!AX39</f>
        <v>19</v>
      </c>
      <c r="AZ221" s="2">
        <f>VESPUCIO!AY39</f>
        <v>36</v>
      </c>
      <c r="BA221" s="2">
        <f>VESPUCIO!AZ39</f>
        <v>32</v>
      </c>
      <c r="BB221" s="2">
        <f>VESPUCIO!BA39</f>
        <v>26</v>
      </c>
      <c r="BC221" s="2" t="str">
        <f>VESPUCIO!BB39</f>
        <v/>
      </c>
      <c r="BD221" s="2" t="str">
        <f>VESPUCIO!BC39</f>
        <v/>
      </c>
      <c r="BE221" s="2" t="str">
        <f>VESPUCIO!BD39</f>
        <v/>
      </c>
      <c r="BF221" s="2" t="str">
        <f>VESPUCIO!BE39</f>
        <v/>
      </c>
      <c r="BG221" s="2" t="str">
        <f>VESPUCIO!BF39</f>
        <v/>
      </c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</row>
    <row r="222">
      <c r="A222" s="2"/>
      <c r="B222" s="2" t="str">
        <f>VESPUCIO!A40</f>
        <v>Vespucio</v>
      </c>
      <c r="C222" s="2" t="str">
        <f>VESPUCIO!B40</f>
        <v>Aseo</v>
      </c>
      <c r="D222" s="2" t="str">
        <f>VESPUCIO!C40</f>
        <v>Toalla de Papel Jumbo (UN)</v>
      </c>
      <c r="E222" s="2">
        <f>VESPUCIO!D40</f>
        <v>11</v>
      </c>
      <c r="F222" s="2" t="str">
        <f>VESPUCIO!E40</f>
        <v/>
      </c>
      <c r="G222" s="2">
        <f>VESPUCIO!F40</f>
        <v>40</v>
      </c>
      <c r="H222" s="2">
        <f>VESPUCIO!G40</f>
        <v>20</v>
      </c>
      <c r="I222" s="2">
        <f>VESPUCIO!H40</f>
        <v>20</v>
      </c>
      <c r="J222" s="2">
        <f>VESPUCIO!I40</f>
        <v>16</v>
      </c>
      <c r="K222" s="2" t="str">
        <f>VESPUCIO!J40</f>
        <v/>
      </c>
      <c r="L222" s="2" t="str">
        <f>VESPUCIO!K40</f>
        <v/>
      </c>
      <c r="M222" s="2">
        <f>VESPUCIO!L40</f>
        <v>0</v>
      </c>
      <c r="N222" s="2">
        <f>VESPUCIO!M40</f>
        <v>14</v>
      </c>
      <c r="O222" s="2">
        <f>VESPUCIO!N40</f>
        <v>6</v>
      </c>
      <c r="P222" s="2">
        <f>VESPUCIO!O40</f>
        <v>0</v>
      </c>
      <c r="Q222" s="2">
        <f>VESPUCIO!P40</f>
        <v>12</v>
      </c>
      <c r="R222" s="2">
        <f>VESPUCIO!Q40</f>
        <v>9</v>
      </c>
      <c r="S222" s="2">
        <f>VESPUCIO!R40</f>
        <v>3</v>
      </c>
      <c r="T222" s="2">
        <f>VESPUCIO!S40</f>
        <v>0</v>
      </c>
      <c r="U222" s="2">
        <f>VESPUCIO!T40</f>
        <v>4</v>
      </c>
      <c r="V222" s="2">
        <f>VESPUCIO!U40</f>
        <v>2</v>
      </c>
      <c r="W222" s="2">
        <f>VESPUCIO!V40</f>
        <v>12</v>
      </c>
      <c r="X222" s="2">
        <f>VESPUCIO!W40</f>
        <v>8</v>
      </c>
      <c r="Y222" s="2">
        <f>VESPUCIO!X40</f>
        <v>0</v>
      </c>
      <c r="Z222" s="2">
        <f>VESPUCIO!Y40</f>
        <v>0</v>
      </c>
      <c r="AA222" s="2">
        <f>VESPUCIO!Z40</f>
        <v>12</v>
      </c>
      <c r="AB222" s="2">
        <f>VESPUCIO!AA40</f>
        <v>8</v>
      </c>
      <c r="AC222" s="2">
        <f>VESPUCIO!AB40</f>
        <v>5</v>
      </c>
      <c r="AD222" s="2">
        <f>VESPUCIO!AC40</f>
        <v>2</v>
      </c>
      <c r="AE222" s="2">
        <f>VESPUCIO!AD40</f>
        <v>16</v>
      </c>
      <c r="AF222" s="2">
        <f>VESPUCIO!AE40</f>
        <v>9</v>
      </c>
      <c r="AG222" s="2">
        <f>VESPUCIO!AF40</f>
        <v>8</v>
      </c>
      <c r="AH222" s="2">
        <f>VESPUCIO!AG40</f>
        <v>5</v>
      </c>
      <c r="AI222" s="2">
        <f>VESPUCIO!AH40</f>
        <v>0</v>
      </c>
      <c r="AJ222" s="2">
        <f>VESPUCIO!AI40</f>
        <v>4</v>
      </c>
      <c r="AK222" s="2">
        <f>VESPUCIO!AJ40</f>
        <v>4</v>
      </c>
      <c r="AL222" s="2">
        <f>VESPUCIO!AK40</f>
        <v>2</v>
      </c>
      <c r="AM222" s="2">
        <f>VESPUCIO!AL40</f>
        <v>0</v>
      </c>
      <c r="AN222" s="2">
        <f>VESPUCIO!AM40</f>
        <v>0</v>
      </c>
      <c r="AO222" s="2">
        <f>VESPUCIO!AN40</f>
        <v>0</v>
      </c>
      <c r="AP222" s="2">
        <f>VESPUCIO!AO40</f>
        <v>9</v>
      </c>
      <c r="AQ222" s="2">
        <f>VESPUCIO!AP40</f>
        <v>7</v>
      </c>
      <c r="AR222" s="2">
        <f>VESPUCIO!AQ40</f>
        <v>7</v>
      </c>
      <c r="AS222" s="2">
        <f>VESPUCIO!AR40</f>
        <v>4</v>
      </c>
      <c r="AT222" s="2">
        <f>VESPUCIO!AS40</f>
        <v>3</v>
      </c>
      <c r="AU222" s="2">
        <f>VESPUCIO!AT40</f>
        <v>2</v>
      </c>
      <c r="AV222" s="2">
        <f>VESPUCIO!AU40</f>
        <v>0</v>
      </c>
      <c r="AW222" s="2">
        <f>VESPUCIO!AV40</f>
        <v>16</v>
      </c>
      <c r="AX222" s="2">
        <f>VESPUCIO!AW40</f>
        <v>13</v>
      </c>
      <c r="AY222" s="2">
        <f>VESPUCIO!AX40</f>
        <v>9</v>
      </c>
      <c r="AZ222" s="2">
        <f>VESPUCIO!AY40</f>
        <v>16</v>
      </c>
      <c r="BA222" s="2">
        <f>VESPUCIO!AZ40</f>
        <v>13</v>
      </c>
      <c r="BB222" s="2">
        <f>VESPUCIO!BA40</f>
        <v>4</v>
      </c>
      <c r="BC222" s="2" t="str">
        <f>VESPUCIO!BB40</f>
        <v/>
      </c>
      <c r="BD222" s="2" t="str">
        <f>VESPUCIO!BC40</f>
        <v/>
      </c>
      <c r="BE222" s="2" t="str">
        <f>VESPUCIO!BD40</f>
        <v/>
      </c>
      <c r="BF222" s="2" t="str">
        <f>VESPUCIO!BE40</f>
        <v/>
      </c>
      <c r="BG222" s="2" t="str">
        <f>VESPUCIO!BF40</f>
        <v/>
      </c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</row>
    <row r="223">
      <c r="A223" s="2"/>
      <c r="B223" s="2" t="str">
        <f>VESPUCIO!A41</f>
        <v>Vespucio</v>
      </c>
      <c r="C223" s="2" t="str">
        <f>VESPUCIO!B41</f>
        <v>Aseo</v>
      </c>
      <c r="D223" s="2" t="str">
        <f>VESPUCIO!C41</f>
        <v>Trapo Amarillo Uni.</v>
      </c>
      <c r="E223" s="2" t="str">
        <f>VESPUCIO!D41</f>
        <v/>
      </c>
      <c r="F223" s="2" t="str">
        <f>VESPUCIO!E41</f>
        <v/>
      </c>
      <c r="G223" s="2" t="str">
        <f>VESPUCIO!F41</f>
        <v/>
      </c>
      <c r="H223" s="2" t="str">
        <f>VESPUCIO!G41</f>
        <v/>
      </c>
      <c r="I223" s="2" t="str">
        <f>VESPUCIO!H41</f>
        <v/>
      </c>
      <c r="J223" s="2" t="str">
        <f>VESPUCIO!I41</f>
        <v/>
      </c>
      <c r="K223" s="2" t="str">
        <f>VESPUCIO!J41</f>
        <v/>
      </c>
      <c r="L223" s="2" t="str">
        <f>VESPUCIO!K41</f>
        <v/>
      </c>
      <c r="M223" s="2" t="str">
        <f>VESPUCIO!L41</f>
        <v/>
      </c>
      <c r="N223" s="2" t="str">
        <f>VESPUCIO!M41</f>
        <v/>
      </c>
      <c r="O223" s="2" t="str">
        <f>VESPUCIO!N41</f>
        <v/>
      </c>
      <c r="P223" s="2" t="str">
        <f>VESPUCIO!O41</f>
        <v/>
      </c>
      <c r="Q223" s="2" t="str">
        <f>VESPUCIO!P41</f>
        <v/>
      </c>
      <c r="R223" s="2" t="str">
        <f>VESPUCIO!Q41</f>
        <v/>
      </c>
      <c r="S223" s="2" t="str">
        <f>VESPUCIO!R41</f>
        <v/>
      </c>
      <c r="T223" s="2" t="str">
        <f>VESPUCIO!S41</f>
        <v/>
      </c>
      <c r="U223" s="2" t="str">
        <f>VESPUCIO!T41</f>
        <v/>
      </c>
      <c r="V223" s="2" t="str">
        <f>VESPUCIO!U41</f>
        <v/>
      </c>
      <c r="W223" s="2" t="str">
        <f>VESPUCIO!V41</f>
        <v/>
      </c>
      <c r="X223" s="2" t="str">
        <f>VESPUCIO!W41</f>
        <v/>
      </c>
      <c r="Y223" s="2" t="str">
        <f>VESPUCIO!X41</f>
        <v/>
      </c>
      <c r="Z223" s="2" t="str">
        <f>VESPUCIO!Y41</f>
        <v/>
      </c>
      <c r="AA223" s="2" t="str">
        <f>VESPUCIO!Z41</f>
        <v/>
      </c>
      <c r="AB223" s="2" t="str">
        <f>VESPUCIO!AA41</f>
        <v/>
      </c>
      <c r="AC223" s="2" t="str">
        <f>VESPUCIO!AB41</f>
        <v/>
      </c>
      <c r="AD223" s="2" t="str">
        <f>VESPUCIO!AC41</f>
        <v/>
      </c>
      <c r="AE223" s="2" t="str">
        <f>VESPUCIO!AD41</f>
        <v/>
      </c>
      <c r="AF223" s="2" t="str">
        <f>VESPUCIO!AE41</f>
        <v/>
      </c>
      <c r="AG223" s="2" t="str">
        <f>VESPUCIO!AF41</f>
        <v/>
      </c>
      <c r="AH223" s="2" t="str">
        <f>VESPUCIO!AG41</f>
        <v/>
      </c>
      <c r="AI223" s="2" t="str">
        <f>VESPUCIO!AH41</f>
        <v/>
      </c>
      <c r="AJ223" s="2" t="str">
        <f>VESPUCIO!AI41</f>
        <v/>
      </c>
      <c r="AK223" s="2" t="str">
        <f>VESPUCIO!AJ41</f>
        <v/>
      </c>
      <c r="AL223" s="2" t="str">
        <f>VESPUCIO!AK41</f>
        <v/>
      </c>
      <c r="AM223" s="2" t="str">
        <f>VESPUCIO!AL41</f>
        <v>-</v>
      </c>
      <c r="AN223" s="2" t="str">
        <f>VESPUCIO!AM41</f>
        <v>-</v>
      </c>
      <c r="AO223" s="2" t="str">
        <f>VESPUCIO!AN41</f>
        <v>-</v>
      </c>
      <c r="AP223" s="2" t="str">
        <f>VESPUCIO!AO41</f>
        <v>-</v>
      </c>
      <c r="AQ223" s="2">
        <f>VESPUCIO!AP41</f>
        <v>6</v>
      </c>
      <c r="AR223" s="2">
        <f>VESPUCIO!AQ41</f>
        <v>6</v>
      </c>
      <c r="AS223" s="2">
        <f>VESPUCIO!AR41</f>
        <v>6</v>
      </c>
      <c r="AT223" s="2">
        <f>VESPUCIO!AS41</f>
        <v>3</v>
      </c>
      <c r="AU223" s="2">
        <f>VESPUCIO!AT41</f>
        <v>2</v>
      </c>
      <c r="AV223" s="2">
        <f>VESPUCIO!AU41</f>
        <v>1</v>
      </c>
      <c r="AW223" s="2">
        <f>VESPUCIO!AV41</f>
        <v>15</v>
      </c>
      <c r="AX223" s="2">
        <f>VESPUCIO!AW41</f>
        <v>15</v>
      </c>
      <c r="AY223" s="2">
        <f>VESPUCIO!AX41</f>
        <v>14</v>
      </c>
      <c r="AZ223" s="2">
        <f>VESPUCIO!AY41</f>
        <v>12</v>
      </c>
      <c r="BA223" s="2">
        <f>VESPUCIO!AZ41</f>
        <v>11</v>
      </c>
      <c r="BB223" s="2">
        <f>VESPUCIO!BA41</f>
        <v>10</v>
      </c>
      <c r="BC223" s="2" t="str">
        <f>VESPUCIO!BB41</f>
        <v/>
      </c>
      <c r="BD223" s="2" t="str">
        <f>VESPUCIO!BC41</f>
        <v/>
      </c>
      <c r="BE223" s="2" t="str">
        <f>VESPUCIO!BD41</f>
        <v/>
      </c>
      <c r="BF223" s="2" t="str">
        <f>VESPUCIO!BE41</f>
        <v/>
      </c>
      <c r="BG223" s="2" t="str">
        <f>VESPUCIO!BF41</f>
        <v/>
      </c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</row>
    <row r="224">
      <c r="A224" s="2"/>
      <c r="B224" s="2" t="str">
        <f>VESPUCIO!A42</f>
        <v>Vespucio</v>
      </c>
      <c r="C224" s="2" t="str">
        <f>VESPUCIO!B42</f>
        <v>Aseo</v>
      </c>
      <c r="D224" s="2" t="str">
        <f>VESPUCIO!C42</f>
        <v>Trapo Azul Uni. </v>
      </c>
      <c r="E224" s="2" t="str">
        <f>VESPUCIO!D42</f>
        <v/>
      </c>
      <c r="F224" s="2" t="str">
        <f>VESPUCIO!E42</f>
        <v/>
      </c>
      <c r="G224" s="2" t="str">
        <f>VESPUCIO!F42</f>
        <v/>
      </c>
      <c r="H224" s="2" t="str">
        <f>VESPUCIO!G42</f>
        <v/>
      </c>
      <c r="I224" s="2" t="str">
        <f>VESPUCIO!H42</f>
        <v/>
      </c>
      <c r="J224" s="2" t="str">
        <f>VESPUCIO!I42</f>
        <v/>
      </c>
      <c r="K224" s="2" t="str">
        <f>VESPUCIO!J42</f>
        <v/>
      </c>
      <c r="L224" s="2" t="str">
        <f>VESPUCIO!K42</f>
        <v/>
      </c>
      <c r="M224" s="2" t="str">
        <f>VESPUCIO!L42</f>
        <v/>
      </c>
      <c r="N224" s="2" t="str">
        <f>VESPUCIO!M42</f>
        <v/>
      </c>
      <c r="O224" s="2" t="str">
        <f>VESPUCIO!N42</f>
        <v/>
      </c>
      <c r="P224" s="2" t="str">
        <f>VESPUCIO!O42</f>
        <v/>
      </c>
      <c r="Q224" s="2" t="str">
        <f>VESPUCIO!P42</f>
        <v/>
      </c>
      <c r="R224" s="2" t="str">
        <f>VESPUCIO!Q42</f>
        <v/>
      </c>
      <c r="S224" s="2" t="str">
        <f>VESPUCIO!R42</f>
        <v/>
      </c>
      <c r="T224" s="2" t="str">
        <f>VESPUCIO!S42</f>
        <v/>
      </c>
      <c r="U224" s="2" t="str">
        <f>VESPUCIO!T42</f>
        <v/>
      </c>
      <c r="V224" s="2" t="str">
        <f>VESPUCIO!U42</f>
        <v/>
      </c>
      <c r="W224" s="2" t="str">
        <f>VESPUCIO!V42</f>
        <v/>
      </c>
      <c r="X224" s="2" t="str">
        <f>VESPUCIO!W42</f>
        <v/>
      </c>
      <c r="Y224" s="2" t="str">
        <f>VESPUCIO!X42</f>
        <v/>
      </c>
      <c r="Z224" s="2" t="str">
        <f>VESPUCIO!Y42</f>
        <v/>
      </c>
      <c r="AA224" s="2" t="str">
        <f>VESPUCIO!Z42</f>
        <v/>
      </c>
      <c r="AB224" s="2" t="str">
        <f>VESPUCIO!AA42</f>
        <v/>
      </c>
      <c r="AC224" s="2" t="str">
        <f>VESPUCIO!AB42</f>
        <v/>
      </c>
      <c r="AD224" s="2" t="str">
        <f>VESPUCIO!AC42</f>
        <v/>
      </c>
      <c r="AE224" s="2" t="str">
        <f>VESPUCIO!AD42</f>
        <v/>
      </c>
      <c r="AF224" s="2" t="str">
        <f>VESPUCIO!AE42</f>
        <v/>
      </c>
      <c r="AG224" s="2" t="str">
        <f>VESPUCIO!AF42</f>
        <v/>
      </c>
      <c r="AH224" s="2" t="str">
        <f>VESPUCIO!AG42</f>
        <v/>
      </c>
      <c r="AI224" s="2" t="str">
        <f>VESPUCIO!AH42</f>
        <v/>
      </c>
      <c r="AJ224" s="2" t="str">
        <f>VESPUCIO!AI42</f>
        <v/>
      </c>
      <c r="AK224" s="2" t="str">
        <f>VESPUCIO!AJ42</f>
        <v/>
      </c>
      <c r="AL224" s="2" t="str">
        <f>VESPUCIO!AK42</f>
        <v/>
      </c>
      <c r="AM224" s="2" t="str">
        <f>VESPUCIO!AL42</f>
        <v>-</v>
      </c>
      <c r="AN224" s="2" t="str">
        <f>VESPUCIO!AM42</f>
        <v>-</v>
      </c>
      <c r="AO224" s="2" t="str">
        <f>VESPUCIO!AN42</f>
        <v>-</v>
      </c>
      <c r="AP224" s="2" t="str">
        <f>VESPUCIO!AO42</f>
        <v>-</v>
      </c>
      <c r="AQ224" s="2">
        <f>VESPUCIO!AP42</f>
        <v>12</v>
      </c>
      <c r="AR224" s="2">
        <f>VESPUCIO!AQ42</f>
        <v>12</v>
      </c>
      <c r="AS224" s="2">
        <f>VESPUCIO!AR42</f>
        <v>11</v>
      </c>
      <c r="AT224" s="2">
        <f>VESPUCIO!AS42</f>
        <v>11</v>
      </c>
      <c r="AU224" s="2">
        <f>VESPUCIO!AT42</f>
        <v>9</v>
      </c>
      <c r="AV224" s="2">
        <f>VESPUCIO!AU42</f>
        <v>8</v>
      </c>
      <c r="AW224" s="2">
        <f>VESPUCIO!AV42</f>
        <v>7</v>
      </c>
      <c r="AX224" s="2">
        <f>VESPUCIO!AW42</f>
        <v>7</v>
      </c>
      <c r="AY224" s="2">
        <f>VESPUCIO!AX42</f>
        <v>6</v>
      </c>
      <c r="AZ224" s="2">
        <f>VESPUCIO!AY42</f>
        <v>21</v>
      </c>
      <c r="BA224" s="2">
        <f>VESPUCIO!AZ42</f>
        <v>17</v>
      </c>
      <c r="BB224" s="2">
        <f>VESPUCIO!BA42</f>
        <v>17</v>
      </c>
      <c r="BC224" s="2" t="str">
        <f>VESPUCIO!BB42</f>
        <v/>
      </c>
      <c r="BD224" s="2" t="str">
        <f>VESPUCIO!BC42</f>
        <v/>
      </c>
      <c r="BE224" s="2" t="str">
        <f>VESPUCIO!BD42</f>
        <v/>
      </c>
      <c r="BF224" s="2" t="str">
        <f>VESPUCIO!BE42</f>
        <v/>
      </c>
      <c r="BG224" s="2" t="str">
        <f>VESPUCIO!BF42</f>
        <v/>
      </c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</row>
    <row r="226">
      <c r="A226" s="2"/>
      <c r="B226" s="2" t="str">
        <f>KENNEDY!A2</f>
        <v/>
      </c>
      <c r="C226" s="2" t="str">
        <f>KENNEDY!B2</f>
        <v/>
      </c>
      <c r="D226" s="14" t="str">
        <f>KENNEDY!C2</f>
        <v/>
      </c>
      <c r="E226" s="14">
        <f>KENNEDY!D2</f>
        <v>45811</v>
      </c>
      <c r="F226" s="14">
        <f>KENNEDY!E2</f>
        <v>45817</v>
      </c>
      <c r="G226" s="14">
        <f>KENNEDY!F2</f>
        <v>45824</v>
      </c>
      <c r="H226" s="14">
        <f>KENNEDY!G2</f>
        <v>45831</v>
      </c>
      <c r="I226" s="14">
        <f>KENNEDY!H2</f>
        <v>45838</v>
      </c>
      <c r="J226" s="14">
        <f>KENNEDY!I2</f>
        <v>45845</v>
      </c>
      <c r="K226" s="14">
        <f>KENNEDY!J2</f>
        <v>45852</v>
      </c>
      <c r="L226" s="14">
        <f>KENNEDY!K2</f>
        <v>45859</v>
      </c>
      <c r="M226" s="14">
        <f>KENNEDY!L2</f>
        <v>45866</v>
      </c>
      <c r="N226" s="14">
        <f>KENNEDY!M2</f>
        <v>45873</v>
      </c>
      <c r="O226" s="14">
        <f>KENNEDY!N2</f>
        <v>45880</v>
      </c>
      <c r="P226" s="14">
        <f>KENNEDY!O2</f>
        <v>45887</v>
      </c>
      <c r="Q226" s="14">
        <f>KENNEDY!P2</f>
        <v>45894</v>
      </c>
      <c r="R226" s="14">
        <f>KENNEDY!Q2</f>
        <v>45901</v>
      </c>
      <c r="S226" s="14">
        <f>KENNEDY!R2</f>
        <v>45908</v>
      </c>
      <c r="T226" s="14">
        <f>KENNEDY!S2</f>
        <v>45915</v>
      </c>
      <c r="U226" s="14">
        <f>KENNEDY!T2</f>
        <v>45922</v>
      </c>
      <c r="V226" s="14">
        <f>KENNEDY!U2</f>
        <v>45929</v>
      </c>
      <c r="W226" s="14">
        <f>KENNEDY!V2</f>
        <v>45936</v>
      </c>
      <c r="X226" s="14">
        <f>KENNEDY!W2</f>
        <v>45957</v>
      </c>
      <c r="Y226" s="14">
        <f>KENNEDY!X2</f>
        <v>45964</v>
      </c>
      <c r="Z226" s="14">
        <f>KENNEDY!Y2</f>
        <v>45971</v>
      </c>
      <c r="AA226" s="14">
        <f>KENNEDY!Z2</f>
        <v>45978</v>
      </c>
      <c r="AB226" s="14">
        <f>KENNEDY!AA2</f>
        <v>45986</v>
      </c>
      <c r="AC226" s="14">
        <f>KENNEDY!AB2</f>
        <v>45988</v>
      </c>
      <c r="AD226" s="14">
        <f>KENNEDY!AC2</f>
        <v>45995</v>
      </c>
      <c r="AE226" s="14">
        <f>KENNEDY!AD2</f>
        <v>46000</v>
      </c>
      <c r="AF226" s="14">
        <f>KENNEDY!AE2</f>
        <v>46002</v>
      </c>
      <c r="AG226" s="14">
        <f>KENNEDY!AF2</f>
        <v>46006</v>
      </c>
      <c r="AH226" s="14">
        <f>KENNEDY!AG2</f>
        <v>46020</v>
      </c>
      <c r="AI226" s="14">
        <f>KENNEDY!AH2</f>
        <v>46027</v>
      </c>
      <c r="AJ226" s="14">
        <f>KENNEDY!AI2</f>
        <v>46030</v>
      </c>
      <c r="AK226" s="14">
        <f>KENNEDY!AJ2</f>
        <v>46034</v>
      </c>
      <c r="AL226" s="14">
        <f>KENNEDY!AK2</f>
        <v>46037</v>
      </c>
      <c r="AM226" s="14">
        <f>KENNEDY!AL2</f>
        <v>46041</v>
      </c>
      <c r="AN226" s="14">
        <f>KENNEDY!AM2</f>
        <v>46044</v>
      </c>
      <c r="AO226" s="14">
        <f>KENNEDY!AN2</f>
        <v>46051</v>
      </c>
      <c r="AP226" s="14">
        <f>KENNEDY!AO2</f>
        <v>46055</v>
      </c>
      <c r="AQ226" s="14">
        <f>KENNEDY!AP2</f>
        <v>46062</v>
      </c>
      <c r="AR226" s="14">
        <f>KENNEDY!AQ2</f>
        <v>46065</v>
      </c>
      <c r="AS226" s="14">
        <f>KENNEDY!AR2</f>
        <v>46069</v>
      </c>
      <c r="AT226" s="14">
        <f>KENNEDY!AS2</f>
        <v>46072</v>
      </c>
      <c r="AU226" s="14">
        <f>KENNEDY!AT2</f>
        <v>46076</v>
      </c>
      <c r="AV226" s="14">
        <f>KENNEDY!AU2</f>
        <v>46083</v>
      </c>
      <c r="AW226" s="14">
        <f>KENNEDY!AV2</f>
        <v>46090</v>
      </c>
      <c r="AX226" s="14">
        <f>KENNEDY!AW2</f>
        <v>46100</v>
      </c>
      <c r="AY226" s="14">
        <f>KENNEDY!AX2</f>
        <v>46104</v>
      </c>
      <c r="AZ226" s="14" t="str">
        <f>KENNEDY!AY2</f>
        <v/>
      </c>
      <c r="BA226" s="14" t="str">
        <f>KENNEDY!AZ2</f>
        <v/>
      </c>
      <c r="BB226" s="14" t="str">
        <f>KENNEDY!BA2</f>
        <v/>
      </c>
      <c r="BC226" s="2" t="str">
        <f>KENNEDY!BB2</f>
        <v/>
      </c>
      <c r="BD226" s="2" t="str">
        <f>KENNEDY!BC2</f>
        <v/>
      </c>
      <c r="BE226" s="2" t="str">
        <f>KENNEDY!BO2</f>
        <v/>
      </c>
      <c r="BF226" s="2" t="str">
        <f>KENNEDY!BP2</f>
        <v/>
      </c>
      <c r="BG226" s="2" t="str">
        <f>KENNEDY!BQ2</f>
        <v/>
      </c>
      <c r="BH226" s="2" t="str">
        <f>KENNEDY!BR2</f>
        <v/>
      </c>
      <c r="BI226" s="2" t="str">
        <f>KENNEDY!BS2</f>
        <v/>
      </c>
      <c r="BJ226" s="2" t="str">
        <f>KENNEDY!BT2</f>
        <v/>
      </c>
      <c r="BK226" s="2" t="str">
        <f>KENNEDY!BU2</f>
        <v/>
      </c>
      <c r="BL226" s="2" t="str">
        <f>KENNEDY!BV2</f>
        <v/>
      </c>
      <c r="BM226" s="2" t="str">
        <f>KENNEDY!BW2</f>
        <v/>
      </c>
      <c r="BN226" s="2" t="str">
        <f>KENNEDY!BX2</f>
        <v/>
      </c>
      <c r="BO226" s="2" t="str">
        <f>KENNEDY!BY2</f>
        <v/>
      </c>
      <c r="BP226" s="2" t="str">
        <f>KENNEDY!BZ2</f>
        <v/>
      </c>
      <c r="BQ226" s="2" t="str">
        <f>KENNEDY!CA2</f>
        <v/>
      </c>
      <c r="BR226" s="2" t="str">
        <f>KENNEDY!CB2</f>
        <v/>
      </c>
      <c r="BS226" s="2" t="str">
        <f>KENNEDY!CC2</f>
        <v/>
      </c>
      <c r="BT226" s="2" t="str">
        <f>KENNEDY!CD2</f>
        <v/>
      </c>
      <c r="BU226" s="2"/>
      <c r="BV226" s="2"/>
      <c r="BW226" s="2"/>
      <c r="BX226" s="2"/>
      <c r="BY226" s="2"/>
      <c r="BZ226" s="2"/>
      <c r="CA226" s="2"/>
      <c r="CB226" s="2"/>
      <c r="CC226" s="2"/>
    </row>
    <row r="227">
      <c r="A227" s="2"/>
      <c r="B227" s="2" t="str">
        <f>KENNEDY!A3</f>
        <v>Sede</v>
      </c>
      <c r="C227" s="2" t="str">
        <f>KENNEDY!B3</f>
        <v>Proveedor</v>
      </c>
      <c r="D227" s="2" t="str">
        <f>KENNEDY!C3</f>
        <v>Producto</v>
      </c>
      <c r="E227" s="2" t="str">
        <f>KENNEDY!D3</f>
        <v>Stock Actual</v>
      </c>
      <c r="F227" s="2" t="str">
        <f>KENNEDY!E3</f>
        <v>Stock Actual</v>
      </c>
      <c r="G227" s="2" t="str">
        <f>KENNEDY!F3</f>
        <v>Stock Actual</v>
      </c>
      <c r="H227" s="2" t="str">
        <f>KENNEDY!G3</f>
        <v>Stock Actual</v>
      </c>
      <c r="I227" s="2" t="str">
        <f>KENNEDY!H3</f>
        <v>Stock Actual</v>
      </c>
      <c r="J227" s="2" t="str">
        <f>KENNEDY!I3</f>
        <v>Stock Actual</v>
      </c>
      <c r="K227" s="2" t="str">
        <f>KENNEDY!J3</f>
        <v>Stock Actual</v>
      </c>
      <c r="L227" s="2" t="str">
        <f>KENNEDY!K3</f>
        <v>Stock Actual</v>
      </c>
      <c r="M227" s="2" t="str">
        <f>KENNEDY!L3</f>
        <v>Stock Actual</v>
      </c>
      <c r="N227" s="2" t="str">
        <f>KENNEDY!M3</f>
        <v>Stock Actual</v>
      </c>
      <c r="O227" s="2" t="str">
        <f>KENNEDY!N3</f>
        <v>Stock Actual</v>
      </c>
      <c r="P227" s="2" t="str">
        <f>KENNEDY!O3</f>
        <v>Stock Actual</v>
      </c>
      <c r="Q227" s="2" t="str">
        <f>KENNEDY!P3</f>
        <v>Stock Actual</v>
      </c>
      <c r="R227" s="2" t="str">
        <f>KENNEDY!Q3</f>
        <v>Stock Actual</v>
      </c>
      <c r="S227" s="2" t="str">
        <f>KENNEDY!R3</f>
        <v>Stock Actual</v>
      </c>
      <c r="T227" s="2" t="str">
        <f>KENNEDY!S3</f>
        <v>Stock Actual</v>
      </c>
      <c r="U227" s="2" t="str">
        <f>KENNEDY!T3</f>
        <v>Stock Actual</v>
      </c>
      <c r="V227" s="2" t="str">
        <f>KENNEDY!U3</f>
        <v>Stock Actual</v>
      </c>
      <c r="W227" s="2" t="str">
        <f>KENNEDY!V3</f>
        <v>Stock Actual</v>
      </c>
      <c r="X227" s="2" t="str">
        <f>KENNEDY!W3</f>
        <v>Stock Actual</v>
      </c>
      <c r="Y227" s="2" t="str">
        <f>KENNEDY!X3</f>
        <v>Stock Actual</v>
      </c>
      <c r="Z227" s="2" t="str">
        <f>KENNEDY!Y3</f>
        <v>Stock Actual</v>
      </c>
      <c r="AA227" s="2" t="str">
        <f>KENNEDY!Z3</f>
        <v>Stock Actual</v>
      </c>
      <c r="AB227" s="2" t="str">
        <f>KENNEDY!AA3</f>
        <v>Stock Actual</v>
      </c>
      <c r="AC227" s="2" t="str">
        <f>KENNEDY!AB3</f>
        <v>Stock Actual</v>
      </c>
      <c r="AD227" s="2" t="str">
        <f>KENNEDY!AC3</f>
        <v>Stock Actual</v>
      </c>
      <c r="AE227" s="2" t="str">
        <f>KENNEDY!AD3</f>
        <v>Stock Actual</v>
      </c>
      <c r="AF227" s="2" t="str">
        <f>KENNEDY!AE3</f>
        <v>Stock Actual</v>
      </c>
      <c r="AG227" s="2" t="str">
        <f>KENNEDY!AF3</f>
        <v>Stock Actual</v>
      </c>
      <c r="AH227" s="2" t="str">
        <f>KENNEDY!AG3</f>
        <v>Stock Actual</v>
      </c>
      <c r="AI227" s="2" t="str">
        <f>KENNEDY!AH3</f>
        <v>Stock Actual</v>
      </c>
      <c r="AJ227" s="2" t="str">
        <f>KENNEDY!AI3</f>
        <v>Stock Actual</v>
      </c>
      <c r="AK227" s="2" t="str">
        <f>KENNEDY!AJ3</f>
        <v>Stock Actual</v>
      </c>
      <c r="AL227" s="2" t="str">
        <f>KENNEDY!AK3</f>
        <v>Stock Actual</v>
      </c>
      <c r="AM227" s="2" t="str">
        <f>KENNEDY!AL3</f>
        <v>Stock Actual</v>
      </c>
      <c r="AN227" s="2" t="str">
        <f>KENNEDY!AM3</f>
        <v>Stock Actual</v>
      </c>
      <c r="AO227" s="2" t="str">
        <f>KENNEDY!AN3</f>
        <v>Stock Actual</v>
      </c>
      <c r="AP227" s="2" t="str">
        <f>KENNEDY!AO3</f>
        <v>Stock Actual</v>
      </c>
      <c r="AQ227" s="2" t="str">
        <f>KENNEDY!AP3</f>
        <v>Stock Actual</v>
      </c>
      <c r="AR227" s="2" t="str">
        <f>KENNEDY!AQ3</f>
        <v>Stock Actual</v>
      </c>
      <c r="AS227" s="2" t="str">
        <f>KENNEDY!AR3</f>
        <v>Stock Actual</v>
      </c>
      <c r="AT227" s="2" t="str">
        <f>KENNEDY!AS3</f>
        <v>Stock Actual</v>
      </c>
      <c r="AU227" s="2" t="str">
        <f>KENNEDY!AT3</f>
        <v>Stock Actual</v>
      </c>
      <c r="AV227" s="2" t="str">
        <f>KENNEDY!AU3</f>
        <v>Stock Actual</v>
      </c>
      <c r="AW227" s="2" t="str">
        <f>KENNEDY!AV3</f>
        <v>Stock Actual</v>
      </c>
      <c r="AX227" s="2" t="str">
        <f>KENNEDY!AW3</f>
        <v>Stock Actual</v>
      </c>
      <c r="AY227" s="2" t="str">
        <f>KENNEDY!AX3</f>
        <v>Stock actual</v>
      </c>
      <c r="AZ227" s="2" t="str">
        <f>KENNEDY!AY3</f>
        <v/>
      </c>
      <c r="BA227" s="2" t="str">
        <f>KENNEDY!AZ3</f>
        <v/>
      </c>
      <c r="BB227" s="2" t="str">
        <f>KENNEDY!BA3</f>
        <v/>
      </c>
      <c r="BC227" s="2" t="str">
        <f>KENNEDY!BB3</f>
        <v/>
      </c>
      <c r="BD227" s="2" t="str">
        <f>KENNEDY!BC3</f>
        <v/>
      </c>
      <c r="BE227" s="2" t="str">
        <f>KENNEDY!BJ3</f>
        <v/>
      </c>
      <c r="BF227" s="2" t="str">
        <f>KENNEDY!BK3</f>
        <v/>
      </c>
      <c r="BG227" s="2" t="str">
        <f>KENNEDY!BL3</f>
        <v/>
      </c>
      <c r="BH227" s="2" t="str">
        <f>KENNEDY!BM3</f>
        <v/>
      </c>
      <c r="BI227" s="2" t="str">
        <f>KENNEDY!BN3</f>
        <v/>
      </c>
      <c r="BJ227" s="2" t="str">
        <f>KENNEDY!BO3</f>
        <v/>
      </c>
      <c r="BK227" s="2" t="str">
        <f>KENNEDY!BP3</f>
        <v/>
      </c>
      <c r="BL227" s="2" t="str">
        <f>KENNEDY!BQ3</f>
        <v/>
      </c>
      <c r="BM227" s="2" t="str">
        <f>KENNEDY!BR3</f>
        <v/>
      </c>
      <c r="BN227" s="2" t="str">
        <f>KENNEDY!BS3</f>
        <v/>
      </c>
      <c r="BO227" s="2" t="str">
        <f>KENNEDY!BT3</f>
        <v/>
      </c>
      <c r="BP227" s="2" t="str">
        <f>KENNEDY!BU3</f>
        <v/>
      </c>
      <c r="BQ227" s="2" t="str">
        <f>KENNEDY!BV3</f>
        <v/>
      </c>
      <c r="BR227" s="2" t="str">
        <f>KENNEDY!BW3</f>
        <v/>
      </c>
      <c r="BS227" s="2" t="str">
        <f>KENNEDY!BX3</f>
        <v/>
      </c>
      <c r="BT227" s="2" t="str">
        <f>KENNEDY!BY3</f>
        <v/>
      </c>
      <c r="BU227" s="2"/>
      <c r="BV227" s="2"/>
      <c r="BW227" s="2"/>
      <c r="BX227" s="2"/>
      <c r="BY227" s="2"/>
      <c r="BZ227" s="2"/>
      <c r="CA227" s="2"/>
      <c r="CB227" s="2"/>
      <c r="CC227" s="2"/>
    </row>
    <row r="228">
      <c r="A228" s="2"/>
      <c r="B228" s="2" t="str">
        <f>KENNEDY!A4</f>
        <v>Kennedy</v>
      </c>
      <c r="C228" s="2" t="str">
        <f>KENNEDY!B4</f>
        <v>Cafe Caribe</v>
      </c>
      <c r="D228" s="2" t="str">
        <f>KENNEDY!C4</f>
        <v>Cafe Grano (KG)</v>
      </c>
      <c r="E228" s="2" t="str">
        <f>KENNEDY!D4</f>
        <v/>
      </c>
      <c r="F228" s="2" t="str">
        <f>KENNEDY!E4</f>
        <v/>
      </c>
      <c r="G228" s="2" t="str">
        <f>KENNEDY!F4</f>
        <v/>
      </c>
      <c r="H228" s="2">
        <f>KENNEDY!G4</f>
        <v>40</v>
      </c>
      <c r="I228" s="2" t="str">
        <f>KENNEDY!H4</f>
        <v/>
      </c>
      <c r="J228" s="2" t="str">
        <f>KENNEDY!I4</f>
        <v/>
      </c>
      <c r="K228" s="2" t="str">
        <f>KENNEDY!J4</f>
        <v/>
      </c>
      <c r="L228" s="2" t="str">
        <f>KENNEDY!K4</f>
        <v/>
      </c>
      <c r="M228" s="2" t="str">
        <f>KENNEDY!L4</f>
        <v/>
      </c>
      <c r="N228" s="2" t="str">
        <f>KENNEDY!M4</f>
        <v>11,5kg</v>
      </c>
      <c r="O228" s="2">
        <f>KENNEDY!N4</f>
        <v>0</v>
      </c>
      <c r="P228" s="2">
        <f>KENNEDY!O4</f>
        <v>21</v>
      </c>
      <c r="Q228" s="2">
        <f>KENNEDY!P4</f>
        <v>0</v>
      </c>
      <c r="R228" s="2" t="str">
        <f>KENNEDY!Q4</f>
        <v>31kg</v>
      </c>
      <c r="S228" s="2" t="str">
        <f>KENNEDY!R4</f>
        <v>11 kg</v>
      </c>
      <c r="T228" s="2" t="str">
        <f>KENNEDY!S4</f>
        <v>12kg</v>
      </c>
      <c r="U228" s="2" t="str">
        <f>KENNEDY!T4</f>
        <v>8kg</v>
      </c>
      <c r="V228" s="2" t="str">
        <f>KENNEDY!U4</f>
        <v>5kg</v>
      </c>
      <c r="W228" s="2" t="str">
        <f>KENNEDY!V4</f>
        <v/>
      </c>
      <c r="X228" s="2" t="str">
        <f>KENNEDY!W4</f>
        <v>10 kg</v>
      </c>
      <c r="Y228" s="2" t="str">
        <f>KENNEDY!X4</f>
        <v>5 kg</v>
      </c>
      <c r="Z228" s="2" t="str">
        <f>KENNEDY!Y4</f>
        <v>9 ,5 kg</v>
      </c>
      <c r="AA228" s="2">
        <f>KENNEDY!Z4</f>
        <v>2.5</v>
      </c>
      <c r="AB228" s="2">
        <f>KENNEDY!AA4</f>
        <v>15</v>
      </c>
      <c r="AC228" s="2">
        <f>KENNEDY!AB4</f>
        <v>8</v>
      </c>
      <c r="AD228" s="2" t="str">
        <f>KENNEDY!AC4</f>
        <v>11,5 Kg</v>
      </c>
      <c r="AE228" s="2" t="str">
        <f>KENNEDY!AD4</f>
        <v>7,5 Kg</v>
      </c>
      <c r="AF228" s="2" t="str">
        <f>KENNEDY!AE4</f>
        <v>7,5 Kg</v>
      </c>
      <c r="AG228" s="2" t="str">
        <f>KENNEDY!AF4</f>
        <v>0 Kg</v>
      </c>
      <c r="AH228" s="2" t="str">
        <f>KENNEDY!AG4</f>
        <v>9,5Kg</v>
      </c>
      <c r="AI228" s="2" t="str">
        <f>KENNEDY!AH4</f>
        <v>6,5 Kg</v>
      </c>
      <c r="AJ228" s="2" t="str">
        <f>KENNEDY!AI4</f>
        <v>2,Kg</v>
      </c>
      <c r="AK228" s="2" t="str">
        <f>KENNEDY!AJ4</f>
        <v>14,Kg</v>
      </c>
      <c r="AL228" s="2" t="str">
        <f>KENNEDY!AK4</f>
        <v>9,Kg</v>
      </c>
      <c r="AM228" s="2" t="str">
        <f>KENNEDY!AL4</f>
        <v>7,Kg</v>
      </c>
      <c r="AN228" s="2" t="str">
        <f>KENNEDY!AM4</f>
        <v>1.5,Kg</v>
      </c>
      <c r="AO228" s="2" t="str">
        <f>KENNEDY!AN4</f>
        <v>0,Kg</v>
      </c>
      <c r="AP228" s="2" t="str">
        <f>KENNEDY!AO4</f>
        <v>10,Kg</v>
      </c>
      <c r="AQ228" s="2" t="str">
        <f>KENNEDY!AP4</f>
        <v>2,5 Kg</v>
      </c>
      <c r="AR228" s="2" t="str">
        <f>KENNEDY!AQ4</f>
        <v>0 Kg</v>
      </c>
      <c r="AS228" s="2" t="str">
        <f>KENNEDY!AR4</f>
        <v>12,5  Kg</v>
      </c>
      <c r="AT228" s="2" t="str">
        <f>KENNEDY!AS4</f>
        <v>8   Kg</v>
      </c>
      <c r="AU228" s="2" t="str">
        <f>KENNEDY!AT4</f>
        <v>5,5   Kg</v>
      </c>
      <c r="AV228" s="2" t="str">
        <f>KENNEDY!AU4</f>
        <v> Kg</v>
      </c>
      <c r="AW228" s="2" t="str">
        <f>KENNEDY!AV4</f>
        <v>12 Kg</v>
      </c>
      <c r="AX228" s="2" t="str">
        <f>KENNEDY!AW4</f>
        <v>20  kg</v>
      </c>
      <c r="AY228" s="2" t="str">
        <f>KENNEDY!AX4</f>
        <v>10 Kg</v>
      </c>
      <c r="AZ228" s="2" t="str">
        <f>KENNEDY!AY4</f>
        <v/>
      </c>
      <c r="BA228" s="2" t="str">
        <f>KENNEDY!AZ4</f>
        <v/>
      </c>
      <c r="BB228" s="2" t="str">
        <f>KENNEDY!BA4</f>
        <v/>
      </c>
      <c r="BC228" s="2" t="str">
        <f>KENNEDY!BB4</f>
        <v/>
      </c>
      <c r="BD228" s="2" t="str">
        <f>KENNEDY!BC4</f>
        <v/>
      </c>
      <c r="BE228" s="2" t="str">
        <f>KENNEDY!BJ4</f>
        <v/>
      </c>
      <c r="BF228" s="2" t="str">
        <f>KENNEDY!BK4</f>
        <v/>
      </c>
      <c r="BG228" s="2" t="str">
        <f>KENNEDY!BL4</f>
        <v/>
      </c>
      <c r="BH228" s="2" t="str">
        <f>KENNEDY!BM4</f>
        <v/>
      </c>
      <c r="BI228" s="2" t="str">
        <f>KENNEDY!BN4</f>
        <v/>
      </c>
      <c r="BJ228" s="2" t="str">
        <f>KENNEDY!BO4</f>
        <v/>
      </c>
      <c r="BK228" s="2" t="str">
        <f>KENNEDY!BP4</f>
        <v/>
      </c>
      <c r="BL228" s="2" t="str">
        <f>KENNEDY!BQ4</f>
        <v/>
      </c>
      <c r="BM228" s="2" t="str">
        <f>KENNEDY!BR4</f>
        <v/>
      </c>
      <c r="BN228" s="2" t="str">
        <f>KENNEDY!BS4</f>
        <v/>
      </c>
      <c r="BO228" s="2" t="str">
        <f>KENNEDY!BT4</f>
        <v/>
      </c>
      <c r="BP228" s="2" t="str">
        <f>KENNEDY!BU4</f>
        <v/>
      </c>
      <c r="BQ228" s="2" t="str">
        <f>KENNEDY!BV4</f>
        <v/>
      </c>
      <c r="BR228" s="2" t="str">
        <f>KENNEDY!BW4</f>
        <v/>
      </c>
      <c r="BS228" s="2" t="str">
        <f>KENNEDY!BX4</f>
        <v/>
      </c>
      <c r="BT228" s="2" t="str">
        <f>KENNEDY!BY4</f>
        <v/>
      </c>
      <c r="BU228" s="2"/>
      <c r="BV228" s="2"/>
      <c r="BW228" s="2"/>
      <c r="BX228" s="2"/>
      <c r="BY228" s="2"/>
      <c r="BZ228" s="2"/>
      <c r="CA228" s="2"/>
      <c r="CB228" s="2"/>
      <c r="CC228" s="2"/>
    </row>
    <row r="229">
      <c r="A229" s="2"/>
      <c r="B229" s="2" t="str">
        <f>KENNEDY!A5</f>
        <v>Kennedy</v>
      </c>
      <c r="C229" s="2" t="str">
        <f>KENNEDY!B5</f>
        <v>Cafeteria</v>
      </c>
      <c r="D229" s="2" t="str">
        <f>KENNEDY!C5</f>
        <v>Toalla de Papel Jumbo (UN)</v>
      </c>
      <c r="E229" s="2" t="str">
        <f>KENNEDY!D5</f>
        <v/>
      </c>
      <c r="F229" s="2" t="str">
        <f>KENNEDY!E5</f>
        <v/>
      </c>
      <c r="G229" s="2" t="str">
        <f>KENNEDY!F5</f>
        <v/>
      </c>
      <c r="H229" s="2">
        <f>KENNEDY!G5</f>
        <v>6</v>
      </c>
      <c r="I229" s="2" t="str">
        <f>KENNEDY!H5</f>
        <v/>
      </c>
      <c r="J229" s="2" t="str">
        <f>KENNEDY!I5</f>
        <v/>
      </c>
      <c r="K229" s="2" t="str">
        <f>KENNEDY!J5</f>
        <v/>
      </c>
      <c r="L229" s="2" t="str">
        <f>KENNEDY!K5</f>
        <v/>
      </c>
      <c r="M229" s="2" t="str">
        <f>KENNEDY!L5</f>
        <v/>
      </c>
      <c r="N229" s="2">
        <f>KENNEDY!M5</f>
        <v>0</v>
      </c>
      <c r="O229" s="2">
        <f>KENNEDY!N5</f>
        <v>0</v>
      </c>
      <c r="P229" s="2">
        <f>KENNEDY!O5</f>
        <v>13</v>
      </c>
      <c r="Q229" s="2">
        <f>KENNEDY!P5</f>
        <v>13</v>
      </c>
      <c r="R229" s="2">
        <f>KENNEDY!Q5</f>
        <v>8</v>
      </c>
      <c r="S229" s="2">
        <f>KENNEDY!R5</f>
        <v>19</v>
      </c>
      <c r="T229" s="2">
        <f>KENNEDY!S5</f>
        <v>11</v>
      </c>
      <c r="U229" s="2">
        <f>KENNEDY!T5</f>
        <v>0</v>
      </c>
      <c r="V229" s="2">
        <f>KENNEDY!U5</f>
        <v>0</v>
      </c>
      <c r="W229" s="2">
        <f>KENNEDY!V5</f>
        <v>0</v>
      </c>
      <c r="X229" s="2">
        <f>KENNEDY!W5</f>
        <v>4</v>
      </c>
      <c r="Y229" s="2">
        <f>KENNEDY!X5</f>
        <v>0</v>
      </c>
      <c r="Z229" s="2">
        <f>KENNEDY!Y5</f>
        <v>17</v>
      </c>
      <c r="AA229" s="2">
        <f>KENNEDY!Z5</f>
        <v>2</v>
      </c>
      <c r="AB229" s="2">
        <f>KENNEDY!AA5</f>
        <v>2</v>
      </c>
      <c r="AC229" s="2">
        <f>KENNEDY!AB5</f>
        <v>0</v>
      </c>
      <c r="AD229" s="2">
        <f>KENNEDY!AC5</f>
        <v>4</v>
      </c>
      <c r="AE229" s="2">
        <f>KENNEDY!AD5</f>
        <v>0</v>
      </c>
      <c r="AF229" s="2">
        <f>KENNEDY!AE5</f>
        <v>0</v>
      </c>
      <c r="AG229" s="2">
        <f>KENNEDY!AF5</f>
        <v>0</v>
      </c>
      <c r="AH229" s="2">
        <f>KENNEDY!AG5</f>
        <v>6</v>
      </c>
      <c r="AI229" s="2">
        <f>KENNEDY!AH5</f>
        <v>0</v>
      </c>
      <c r="AJ229" s="2">
        <f>KENNEDY!AI5</f>
        <v>0</v>
      </c>
      <c r="AK229" s="2">
        <f>KENNEDY!AJ5</f>
        <v>0</v>
      </c>
      <c r="AL229" s="2">
        <f>KENNEDY!AK5</f>
        <v>0</v>
      </c>
      <c r="AM229" s="2">
        <f>KENNEDY!AL5</f>
        <v>0</v>
      </c>
      <c r="AN229" s="2">
        <f>KENNEDY!AM5</f>
        <v>0</v>
      </c>
      <c r="AO229" s="2">
        <f>KENNEDY!AN5</f>
        <v>0</v>
      </c>
      <c r="AP229" s="2">
        <f>KENNEDY!AO5</f>
        <v>6</v>
      </c>
      <c r="AQ229" s="2">
        <f>KENNEDY!AP5</f>
        <v>20</v>
      </c>
      <c r="AR229" s="2">
        <f>KENNEDY!AQ5</f>
        <v>16</v>
      </c>
      <c r="AS229" s="2">
        <f>KENNEDY!AR5</f>
        <v>12</v>
      </c>
      <c r="AT229" s="2">
        <f>KENNEDY!AS5</f>
        <v>22</v>
      </c>
      <c r="AU229" s="2">
        <f>KENNEDY!AT5</f>
        <v>16</v>
      </c>
      <c r="AV229" s="2">
        <f>KENNEDY!AU5</f>
        <v>4</v>
      </c>
      <c r="AW229" s="2">
        <f>KENNEDY!AV5</f>
        <v>0</v>
      </c>
      <c r="AX229" s="2">
        <f>KENNEDY!AW5</f>
        <v>4</v>
      </c>
      <c r="AY229" s="2">
        <f>KENNEDY!AX5</f>
        <v>30</v>
      </c>
      <c r="AZ229" s="2" t="str">
        <f>KENNEDY!AY5</f>
        <v/>
      </c>
      <c r="BA229" s="2" t="str">
        <f>KENNEDY!AZ5</f>
        <v/>
      </c>
      <c r="BB229" s="2" t="str">
        <f>KENNEDY!BA5</f>
        <v/>
      </c>
      <c r="BC229" s="2" t="str">
        <f>KENNEDY!BB5</f>
        <v/>
      </c>
      <c r="BD229" s="2" t="str">
        <f>KENNEDY!BC5</f>
        <v/>
      </c>
      <c r="BE229" s="2" t="str">
        <f>KENNEDY!BJ5</f>
        <v/>
      </c>
      <c r="BF229" s="2" t="str">
        <f>KENNEDY!BK5</f>
        <v/>
      </c>
      <c r="BG229" s="2" t="str">
        <f>KENNEDY!BL5</f>
        <v/>
      </c>
      <c r="BH229" s="2" t="str">
        <f>KENNEDY!BM5</f>
        <v/>
      </c>
      <c r="BI229" s="2" t="str">
        <f>KENNEDY!BN5</f>
        <v/>
      </c>
      <c r="BJ229" s="2" t="str">
        <f>KENNEDY!BO5</f>
        <v/>
      </c>
      <c r="BK229" s="2" t="str">
        <f>KENNEDY!BP5</f>
        <v/>
      </c>
      <c r="BL229" s="2" t="str">
        <f>KENNEDY!BQ5</f>
        <v/>
      </c>
      <c r="BM229" s="2" t="str">
        <f>KENNEDY!BR5</f>
        <v/>
      </c>
      <c r="BN229" s="2" t="str">
        <f>KENNEDY!BS5</f>
        <v/>
      </c>
      <c r="BO229" s="2" t="str">
        <f>KENNEDY!BT5</f>
        <v/>
      </c>
      <c r="BP229" s="2" t="str">
        <f>KENNEDY!BU5</f>
        <v/>
      </c>
      <c r="BQ229" s="2" t="str">
        <f>KENNEDY!BV5</f>
        <v/>
      </c>
      <c r="BR229" s="2" t="str">
        <f>KENNEDY!BW5</f>
        <v/>
      </c>
      <c r="BS229" s="2" t="str">
        <f>KENNEDY!BX5</f>
        <v/>
      </c>
      <c r="BT229" s="2" t="str">
        <f>KENNEDY!BY5</f>
        <v/>
      </c>
      <c r="BU229" s="2"/>
      <c r="BV229" s="2"/>
      <c r="BW229" s="2"/>
      <c r="BX229" s="2"/>
      <c r="BY229" s="2"/>
      <c r="BZ229" s="2"/>
      <c r="CA229" s="2"/>
      <c r="CB229" s="2"/>
      <c r="CC229" s="2"/>
    </row>
    <row r="230">
      <c r="A230" s="2"/>
      <c r="B230" s="2" t="str">
        <f>KENNEDY!A6</f>
        <v>Kennedy</v>
      </c>
      <c r="C230" s="2" t="str">
        <f>KENNEDY!B6</f>
        <v>Cafeteria</v>
      </c>
      <c r="D230" s="2" t="str">
        <f>KENNEDY!C6</f>
        <v>Papel Higienico (UN)</v>
      </c>
      <c r="E230" s="2" t="str">
        <f>KENNEDY!D6</f>
        <v/>
      </c>
      <c r="F230" s="2" t="str">
        <f>KENNEDY!E6</f>
        <v/>
      </c>
      <c r="G230" s="2" t="str">
        <f>KENNEDY!F6</f>
        <v/>
      </c>
      <c r="H230" s="2">
        <f>KENNEDY!G6</f>
        <v>16</v>
      </c>
      <c r="I230" s="2" t="str">
        <f>KENNEDY!H6</f>
        <v/>
      </c>
      <c r="J230" s="2" t="str">
        <f>KENNEDY!I6</f>
        <v/>
      </c>
      <c r="K230" s="2" t="str">
        <f>KENNEDY!J6</f>
        <v/>
      </c>
      <c r="L230" s="2" t="str">
        <f>KENNEDY!K6</f>
        <v/>
      </c>
      <c r="M230" s="2" t="str">
        <f>KENNEDY!L6</f>
        <v/>
      </c>
      <c r="N230" s="2">
        <f>KENNEDY!M6</f>
        <v>20</v>
      </c>
      <c r="O230" s="2">
        <f>KENNEDY!N6</f>
        <v>0</v>
      </c>
      <c r="P230" s="2">
        <f>KENNEDY!O6</f>
        <v>20</v>
      </c>
      <c r="Q230" s="2">
        <f>KENNEDY!P6</f>
        <v>0</v>
      </c>
      <c r="R230" s="2">
        <f>KENNEDY!Q6</f>
        <v>40</v>
      </c>
      <c r="S230" s="2">
        <f>KENNEDY!R6</f>
        <v>52</v>
      </c>
      <c r="T230" s="2">
        <f>KENNEDY!S6</f>
        <v>42</v>
      </c>
      <c r="U230" s="2">
        <f>KENNEDY!T6</f>
        <v>24</v>
      </c>
      <c r="V230" s="2">
        <f>KENNEDY!U6</f>
        <v>20</v>
      </c>
      <c r="W230" s="2">
        <f>KENNEDY!V6</f>
        <v>0</v>
      </c>
      <c r="X230" s="2">
        <f>KENNEDY!W6</f>
        <v>36</v>
      </c>
      <c r="Y230" s="2">
        <f>KENNEDY!X6</f>
        <v>28</v>
      </c>
      <c r="Z230" s="2">
        <f>KENNEDY!Y6</f>
        <v>56</v>
      </c>
      <c r="AA230" s="2">
        <f>KENNEDY!Z6</f>
        <v>48</v>
      </c>
      <c r="AB230" s="2">
        <f>KENNEDY!AA6</f>
        <v>44</v>
      </c>
      <c r="AC230" s="2">
        <f>KENNEDY!AB6</f>
        <v>32</v>
      </c>
      <c r="AD230" s="2">
        <f>KENNEDY!AC6</f>
        <v>32</v>
      </c>
      <c r="AE230" s="2">
        <f>KENNEDY!AD6</f>
        <v>28</v>
      </c>
      <c r="AF230" s="2">
        <f>KENNEDY!AE6</f>
        <v>24</v>
      </c>
      <c r="AG230" s="2">
        <f>KENNEDY!AF6</f>
        <v>8</v>
      </c>
      <c r="AH230" s="2">
        <f>KENNEDY!AG6</f>
        <v>32</v>
      </c>
      <c r="AI230" s="2">
        <f>KENNEDY!AH6</f>
        <v>16</v>
      </c>
      <c r="AJ230" s="2">
        <f>KENNEDY!AI6</f>
        <v>8</v>
      </c>
      <c r="AK230" s="2">
        <f>KENNEDY!AJ6</f>
        <v>4</v>
      </c>
      <c r="AL230" s="2">
        <f>KENNEDY!AK6</f>
        <v>20</v>
      </c>
      <c r="AM230" s="2">
        <f>KENNEDY!AL6</f>
        <v>6</v>
      </c>
      <c r="AN230" s="2">
        <f>KENNEDY!AM6</f>
        <v>28</v>
      </c>
      <c r="AO230" s="2">
        <f>KENNEDY!AN6</f>
        <v>2</v>
      </c>
      <c r="AP230" s="2">
        <f>KENNEDY!AO6</f>
        <v>28</v>
      </c>
      <c r="AQ230" s="2">
        <f>KENNEDY!AP6</f>
        <v>48</v>
      </c>
      <c r="AR230" s="2">
        <f>KENNEDY!AQ6</f>
        <v>42</v>
      </c>
      <c r="AS230" s="2">
        <f>KENNEDY!AR6</f>
        <v>28</v>
      </c>
      <c r="AT230" s="2">
        <f>KENNEDY!AS6</f>
        <v>44</v>
      </c>
      <c r="AU230" s="2">
        <f>KENNEDY!AT6</f>
        <v>32</v>
      </c>
      <c r="AV230" s="2">
        <f>KENNEDY!AU6</f>
        <v>22</v>
      </c>
      <c r="AW230" s="2">
        <f>KENNEDY!AV6</f>
        <v>0</v>
      </c>
      <c r="AX230" s="2">
        <f>KENNEDY!AW6</f>
        <v>5</v>
      </c>
      <c r="AY230" s="2">
        <f>KENNEDY!AX6</f>
        <v>36</v>
      </c>
      <c r="AZ230" s="2" t="str">
        <f>KENNEDY!AY6</f>
        <v/>
      </c>
      <c r="BA230" s="2" t="str">
        <f>KENNEDY!AZ6</f>
        <v/>
      </c>
      <c r="BB230" s="2" t="str">
        <f>KENNEDY!BA6</f>
        <v/>
      </c>
      <c r="BC230" s="2" t="str">
        <f>KENNEDY!BB6</f>
        <v/>
      </c>
      <c r="BD230" s="2" t="str">
        <f>KENNEDY!BC6</f>
        <v/>
      </c>
      <c r="BE230" s="2" t="str">
        <f>KENNEDY!BJ6</f>
        <v/>
      </c>
      <c r="BF230" s="2" t="str">
        <f>KENNEDY!BK6</f>
        <v/>
      </c>
      <c r="BG230" s="2" t="str">
        <f>KENNEDY!BL6</f>
        <v/>
      </c>
      <c r="BH230" s="2" t="str">
        <f>KENNEDY!BM6</f>
        <v/>
      </c>
      <c r="BI230" s="2" t="str">
        <f>KENNEDY!BN6</f>
        <v/>
      </c>
      <c r="BJ230" s="2" t="str">
        <f>KENNEDY!BO6</f>
        <v/>
      </c>
      <c r="BK230" s="2" t="str">
        <f>KENNEDY!BP6</f>
        <v/>
      </c>
      <c r="BL230" s="2" t="str">
        <f>KENNEDY!BQ6</f>
        <v/>
      </c>
      <c r="BM230" s="2" t="str">
        <f>KENNEDY!BR6</f>
        <v/>
      </c>
      <c r="BN230" s="2" t="str">
        <f>KENNEDY!BS6</f>
        <v/>
      </c>
      <c r="BO230" s="2" t="str">
        <f>KENNEDY!BT6</f>
        <v/>
      </c>
      <c r="BP230" s="2" t="str">
        <f>KENNEDY!BU6</f>
        <v/>
      </c>
      <c r="BQ230" s="2" t="str">
        <f>KENNEDY!BV6</f>
        <v/>
      </c>
      <c r="BR230" s="2" t="str">
        <f>KENNEDY!BW6</f>
        <v/>
      </c>
      <c r="BS230" s="2" t="str">
        <f>KENNEDY!BX6</f>
        <v/>
      </c>
      <c r="BT230" s="2" t="str">
        <f>KENNEDY!BY6</f>
        <v/>
      </c>
      <c r="BU230" s="2"/>
      <c r="BV230" s="2"/>
      <c r="BW230" s="2"/>
      <c r="BX230" s="2"/>
      <c r="BY230" s="2"/>
      <c r="BZ230" s="2"/>
      <c r="CA230" s="2"/>
      <c r="CB230" s="2"/>
      <c r="CC230" s="2"/>
    </row>
    <row r="231" ht="15.0" customHeight="1">
      <c r="A231" s="2"/>
      <c r="B231" s="2" t="str">
        <f>KENNEDY!A7</f>
        <v>Kennedy</v>
      </c>
      <c r="C231" s="2" t="str">
        <f>KENNEDY!B7</f>
        <v>Cafeteria</v>
      </c>
      <c r="D231" s="2" t="str">
        <f>KENNEDY!C7</f>
        <v>Resma Papel Fotocopia (UN)</v>
      </c>
      <c r="E231" s="2">
        <f>KENNEDY!D7</f>
        <v>0</v>
      </c>
      <c r="F231" s="2">
        <f>KENNEDY!E7</f>
        <v>0</v>
      </c>
      <c r="G231" s="2">
        <f>KENNEDY!F7</f>
        <v>0</v>
      </c>
      <c r="H231" s="2">
        <f>KENNEDY!G7</f>
        <v>0</v>
      </c>
      <c r="I231" s="2" t="str">
        <f>KENNEDY!H7</f>
        <v/>
      </c>
      <c r="J231" s="2" t="str">
        <f>KENNEDY!I7</f>
        <v/>
      </c>
      <c r="K231" s="2" t="str">
        <f>KENNEDY!J7</f>
        <v/>
      </c>
      <c r="L231" s="2" t="str">
        <f>KENNEDY!K7</f>
        <v/>
      </c>
      <c r="M231" s="2" t="str">
        <f>KENNEDY!L7</f>
        <v/>
      </c>
      <c r="N231" s="2">
        <f>KENNEDY!M7</f>
        <v>0</v>
      </c>
      <c r="O231" s="2">
        <f>KENNEDY!N7</f>
        <v>0</v>
      </c>
      <c r="P231" s="2" t="str">
        <f>KENNEDY!O7</f>
        <v>4 CARTA/ 33 OFICIO</v>
      </c>
      <c r="Q231" s="2" t="str">
        <f>KENNEDY!P7</f>
        <v>33 oficio </v>
      </c>
      <c r="R231" s="2" t="str">
        <f>KENNEDY!Q7</f>
        <v>6 / 33 OF</v>
      </c>
      <c r="S231" s="2" t="str">
        <f>KENNEDY!R7</f>
        <v>8/29 oficio</v>
      </c>
      <c r="T231" s="2" t="str">
        <f>KENNEDY!S7</f>
        <v>5/28 of</v>
      </c>
      <c r="U231" s="2" t="str">
        <f>KENNEDY!T7</f>
        <v>4/ 28</v>
      </c>
      <c r="V231" s="2" t="str">
        <f>KENNEDY!U7</f>
        <v>3/ 28</v>
      </c>
      <c r="W231" s="2" t="str">
        <f>KENNEDY!V7</f>
        <v>3/22</v>
      </c>
      <c r="X231" s="2" t="str">
        <f>KENNEDY!W7</f>
        <v>2/22</v>
      </c>
      <c r="Y231" s="2" t="str">
        <f>KENNEDY!X7</f>
        <v>2/22</v>
      </c>
      <c r="Z231" s="2" t="str">
        <f>KENNEDY!Y7</f>
        <v>2 carta/ 22 oficio</v>
      </c>
      <c r="AA231" s="2" t="str">
        <f>KENNEDY!Z7</f>
        <v>1 carta/ 20 of</v>
      </c>
      <c r="AB231" s="2" t="str">
        <f>KENNEDY!AA7</f>
        <v>carta: 1
oficio 33
A3 75: 9</v>
      </c>
      <c r="AC231" s="2" t="str">
        <f>KENNEDY!AB7</f>
        <v>carta: 0
oficio 33
A3 75: 9</v>
      </c>
      <c r="AD231" s="2" t="str">
        <f>KENNEDY!AC7</f>
        <v>carta: 0
oficio 33
A3 75: 9</v>
      </c>
      <c r="AE231" s="2" t="str">
        <f>KENNEDY!AD7</f>
        <v>carta: 0
oficio 33
A3 75: 9</v>
      </c>
      <c r="AF231" s="2" t="str">
        <f>KENNEDY!AE7</f>
        <v>carta: 0
oficio 33
A3 75: 8</v>
      </c>
      <c r="AG231" s="2" t="str">
        <f>KENNEDY!AF7</f>
        <v>carta: 0
oficio 33
A3 75: 8</v>
      </c>
      <c r="AH231" s="2" t="str">
        <f>KENNEDY!AG7</f>
        <v>carta: 4
oficio27
A3 75: 6</v>
      </c>
      <c r="AI231" s="2" t="str">
        <f>KENNEDY!AH7</f>
        <v>carta: 4
oficio27
A3 75: 6</v>
      </c>
      <c r="AJ231" s="2" t="str">
        <f>KENNEDY!AI7</f>
        <v>carta: 4
oficio27
A3 75: 6</v>
      </c>
      <c r="AK231" s="2" t="str">
        <f>KENNEDY!AJ7</f>
        <v>carta: 4
oficio27
A3 75: 6</v>
      </c>
      <c r="AL231" s="2" t="str">
        <f>KENNEDY!AK7</f>
        <v>carta: 2
oficio27
A3 75: 6</v>
      </c>
      <c r="AM231" s="2" t="str">
        <f>KENNEDY!AL7</f>
        <v>carta: 2
oficio27
A3 75: 6</v>
      </c>
      <c r="AN231" s="2" t="str">
        <f>KENNEDY!AM7</f>
        <v>carta: 2
oficio27
A3 75: 6</v>
      </c>
      <c r="AO231" s="2" t="str">
        <f>KENNEDY!AN7</f>
        <v>carta: 2
oficio27
A3 75: 6</v>
      </c>
      <c r="AP231" s="2" t="str">
        <f>KENNEDY!AO7</f>
        <v>carta:0
oficio27
A3 75: 6</v>
      </c>
      <c r="AQ231" s="2" t="str">
        <f>KENNEDY!AP7</f>
        <v>carta:0
oficio27
A3 75: 6</v>
      </c>
      <c r="AR231" s="2" t="str">
        <f>KENNEDY!AQ7</f>
        <v>carta:0
oficio27
A3 75: 6</v>
      </c>
      <c r="AS231" s="2" t="str">
        <f>KENNEDY!AR7</f>
        <v>carta:0
oficio27
A3 75: 6</v>
      </c>
      <c r="AT231" s="2" t="str">
        <f>KENNEDY!AS7</f>
        <v>carta:0
oficio27
A3 75: 6</v>
      </c>
      <c r="AU231" s="2" t="str">
        <f>KENNEDY!AT7</f>
        <v>carta:0
oficio27
A3 75: 6</v>
      </c>
      <c r="AV231" s="2" t="str">
        <f>KENNEDY!AU7</f>
        <v>carta:0
oficio27
A3 75: 6</v>
      </c>
      <c r="AW231" s="2" t="str">
        <f>KENNEDY!AV7</f>
        <v>carta: 13
oficio:24
A3 75: 8</v>
      </c>
      <c r="AX231" s="2" t="str">
        <f>KENNEDY!AW7</f>
        <v>carta: 4
oficio:29
A3 75: 8</v>
      </c>
      <c r="AY231" s="2" t="str">
        <f>KENNEDY!AX7</f>
        <v>carta: 6
oficio:29
A3 75: 8</v>
      </c>
      <c r="AZ231" s="2" t="str">
        <f>KENNEDY!AY7</f>
        <v/>
      </c>
      <c r="BA231" s="2" t="str">
        <f>KENNEDY!AZ7</f>
        <v/>
      </c>
      <c r="BB231" s="2" t="str">
        <f>KENNEDY!BA7</f>
        <v/>
      </c>
      <c r="BC231" s="2" t="str">
        <f>KENNEDY!BB7</f>
        <v/>
      </c>
      <c r="BD231" s="2" t="str">
        <f>KENNEDY!BC7</f>
        <v/>
      </c>
      <c r="BE231" s="2" t="str">
        <f>KENNEDY!BJ7</f>
        <v/>
      </c>
      <c r="BF231" s="2" t="str">
        <f>KENNEDY!BK7</f>
        <v/>
      </c>
      <c r="BG231" s="2" t="str">
        <f>KENNEDY!BL7</f>
        <v/>
      </c>
      <c r="BH231" s="2" t="str">
        <f>KENNEDY!BM7</f>
        <v/>
      </c>
      <c r="BI231" s="2" t="str">
        <f>KENNEDY!BN7</f>
        <v/>
      </c>
      <c r="BJ231" s="2" t="str">
        <f>KENNEDY!BO7</f>
        <v/>
      </c>
      <c r="BK231" s="2" t="str">
        <f>KENNEDY!BP7</f>
        <v/>
      </c>
      <c r="BL231" s="2" t="str">
        <f>KENNEDY!BQ7</f>
        <v/>
      </c>
      <c r="BM231" s="2" t="str">
        <f>KENNEDY!BR7</f>
        <v/>
      </c>
      <c r="BN231" s="2" t="str">
        <f>KENNEDY!BS7</f>
        <v/>
      </c>
      <c r="BO231" s="2" t="str">
        <f>KENNEDY!BT7</f>
        <v/>
      </c>
      <c r="BP231" s="2" t="str">
        <f>KENNEDY!BU7</f>
        <v/>
      </c>
      <c r="BQ231" s="2" t="str">
        <f>KENNEDY!BV7</f>
        <v/>
      </c>
      <c r="BR231" s="2" t="str">
        <f>KENNEDY!BW7</f>
        <v/>
      </c>
      <c r="BS231" s="2" t="str">
        <f>KENNEDY!BX7</f>
        <v/>
      </c>
      <c r="BT231" s="2" t="str">
        <f>KENNEDY!BY7</f>
        <v/>
      </c>
      <c r="BU231" s="2"/>
      <c r="BV231" s="2"/>
      <c r="BW231" s="2"/>
      <c r="BX231" s="2"/>
      <c r="BY231" s="2"/>
      <c r="BZ231" s="2"/>
      <c r="CA231" s="2"/>
      <c r="CB231" s="2"/>
      <c r="CC231" s="2"/>
    </row>
    <row r="232">
      <c r="A232" s="2"/>
      <c r="B232" s="2" t="str">
        <f>KENNEDY!A8</f>
        <v>Kennedy</v>
      </c>
      <c r="C232" s="2" t="str">
        <f>KENNEDY!B8</f>
        <v>Cafeteria</v>
      </c>
      <c r="D232" s="2" t="str">
        <f>KENNEDY!C8</f>
        <v>Leche liquida</v>
      </c>
      <c r="E232" s="2" t="str">
        <f>KENNEDY!D8</f>
        <v/>
      </c>
      <c r="F232" s="2" t="str">
        <f>KENNEDY!E8</f>
        <v/>
      </c>
      <c r="G232" s="2" t="str">
        <f>KENNEDY!F8</f>
        <v/>
      </c>
      <c r="H232" s="2" t="str">
        <f>KENNEDY!G8</f>
        <v/>
      </c>
      <c r="I232" s="2" t="str">
        <f>KENNEDY!H8</f>
        <v/>
      </c>
      <c r="J232" s="2" t="str">
        <f>KENNEDY!I8</f>
        <v/>
      </c>
      <c r="K232" s="2" t="str">
        <f>KENNEDY!J8</f>
        <v/>
      </c>
      <c r="L232" s="2" t="str">
        <f>KENNEDY!K8</f>
        <v/>
      </c>
      <c r="M232" s="2" t="str">
        <f>KENNEDY!L8</f>
        <v/>
      </c>
      <c r="N232" s="2" t="str">
        <f>KENNEDY!M8</f>
        <v/>
      </c>
      <c r="O232" s="2" t="str">
        <f>KENNEDY!N8</f>
        <v/>
      </c>
      <c r="P232" s="2" t="str">
        <f>KENNEDY!O8</f>
        <v/>
      </c>
      <c r="Q232" s="2" t="str">
        <f>KENNEDY!P8</f>
        <v/>
      </c>
      <c r="R232" s="2" t="str">
        <f>KENNEDY!Q8</f>
        <v>-</v>
      </c>
      <c r="S232" s="2" t="str">
        <f>KENNEDY!R8</f>
        <v>-</v>
      </c>
      <c r="T232" s="2" t="str">
        <f>KENNEDY!S8</f>
        <v>-</v>
      </c>
      <c r="U232" s="2" t="str">
        <f>KENNEDY!T8</f>
        <v>-</v>
      </c>
      <c r="V232" s="2" t="str">
        <f>KENNEDY!U8</f>
        <v>-</v>
      </c>
      <c r="W232" s="2" t="str">
        <f>KENNEDY!V8</f>
        <v>-</v>
      </c>
      <c r="X232" s="2" t="str">
        <f>KENNEDY!W8</f>
        <v>-</v>
      </c>
      <c r="Y232" s="2">
        <f>KENNEDY!X8</f>
        <v>0</v>
      </c>
      <c r="Z232" s="2" t="str">
        <f>KENNEDY!Y8</f>
        <v/>
      </c>
      <c r="AA232" s="2">
        <f>KENNEDY!Z8</f>
        <v>4</v>
      </c>
      <c r="AB232" s="2">
        <f>KENNEDY!AA8</f>
        <v>17</v>
      </c>
      <c r="AC232" s="2">
        <f>KENNEDY!AB8</f>
        <v>9</v>
      </c>
      <c r="AD232" s="2">
        <f>KENNEDY!AC8</f>
        <v>0</v>
      </c>
      <c r="AE232" s="2">
        <f>KENNEDY!AD8</f>
        <v>0</v>
      </c>
      <c r="AF232" s="2">
        <f>KENNEDY!AE8</f>
        <v>0</v>
      </c>
      <c r="AG232" s="2">
        <f>KENNEDY!AF8</f>
        <v>0</v>
      </c>
      <c r="AH232" s="2">
        <f>KENNEDY!AG8</f>
        <v>0</v>
      </c>
      <c r="AI232" s="2">
        <f>KENNEDY!AH8</f>
        <v>0</v>
      </c>
      <c r="AJ232" s="2">
        <f>KENNEDY!AI8</f>
        <v>0</v>
      </c>
      <c r="AK232" s="2">
        <f>KENNEDY!AJ8</f>
        <v>0</v>
      </c>
      <c r="AL232" s="2">
        <f>KENNEDY!AK8</f>
        <v>0</v>
      </c>
      <c r="AM232" s="2">
        <f>KENNEDY!AL8</f>
        <v>0</v>
      </c>
      <c r="AN232" s="2">
        <f>KENNEDY!AM8</f>
        <v>42</v>
      </c>
      <c r="AO232" s="2">
        <f>KENNEDY!AN8</f>
        <v>38</v>
      </c>
      <c r="AP232" s="2">
        <f>KENNEDY!AO8</f>
        <v>18</v>
      </c>
      <c r="AQ232" s="2">
        <f>KENNEDY!AP8</f>
        <v>8</v>
      </c>
      <c r="AR232" s="2">
        <f>KENNEDY!AQ8</f>
        <v>0</v>
      </c>
      <c r="AS232" s="2">
        <f>KENNEDY!AR8</f>
        <v>0</v>
      </c>
      <c r="AT232" s="2">
        <f>KENNEDY!AS8</f>
        <v>16</v>
      </c>
      <c r="AU232" s="2">
        <f>KENNEDY!AT8</f>
        <v>7</v>
      </c>
      <c r="AV232" s="2" t="str">
        <f>KENNEDY!AU8</f>
        <v/>
      </c>
      <c r="AW232" s="2">
        <f>KENNEDY!AV8</f>
        <v>0</v>
      </c>
      <c r="AX232" s="2">
        <f>KENNEDY!AW8</f>
        <v>15</v>
      </c>
      <c r="AY232" s="2">
        <f>KENNEDY!AX8</f>
        <v>0</v>
      </c>
      <c r="AZ232" s="2" t="str">
        <f>KENNEDY!AY8</f>
        <v/>
      </c>
      <c r="BA232" s="2" t="str">
        <f>KENNEDY!AZ8</f>
        <v/>
      </c>
      <c r="BB232" s="2" t="str">
        <f>KENNEDY!BA8</f>
        <v/>
      </c>
      <c r="BC232" s="2" t="str">
        <f>KENNEDY!BB8</f>
        <v/>
      </c>
      <c r="BD232" s="2" t="str">
        <f>KENNEDY!BC8</f>
        <v/>
      </c>
      <c r="BE232" s="2" t="str">
        <f>KENNEDY!BJ8</f>
        <v/>
      </c>
      <c r="BF232" s="2" t="str">
        <f>KENNEDY!BK8</f>
        <v/>
      </c>
      <c r="BG232" s="2" t="str">
        <f>KENNEDY!BL8</f>
        <v/>
      </c>
      <c r="BH232" s="2" t="str">
        <f>KENNEDY!BM8</f>
        <v/>
      </c>
      <c r="BI232" s="2" t="str">
        <f>KENNEDY!BN8</f>
        <v/>
      </c>
      <c r="BJ232" s="2" t="str">
        <f>KENNEDY!BO8</f>
        <v/>
      </c>
      <c r="BK232" s="2" t="str">
        <f>KENNEDY!BP8</f>
        <v/>
      </c>
      <c r="BL232" s="2" t="str">
        <f>KENNEDY!BQ8</f>
        <v/>
      </c>
      <c r="BM232" s="2" t="str">
        <f>KENNEDY!BR8</f>
        <v/>
      </c>
      <c r="BN232" s="2" t="str">
        <f>KENNEDY!BS8</f>
        <v/>
      </c>
      <c r="BO232" s="2" t="str">
        <f>KENNEDY!BT8</f>
        <v/>
      </c>
      <c r="BP232" s="2" t="str">
        <f>KENNEDY!BU8</f>
        <v/>
      </c>
      <c r="BQ232" s="2" t="str">
        <f>KENNEDY!BV8</f>
        <v/>
      </c>
      <c r="BR232" s="2" t="str">
        <f>KENNEDY!BW8</f>
        <v/>
      </c>
      <c r="BS232" s="2" t="str">
        <f>KENNEDY!BX8</f>
        <v/>
      </c>
      <c r="BT232" s="2" t="str">
        <f>KENNEDY!BY8</f>
        <v/>
      </c>
      <c r="BU232" s="2"/>
      <c r="BV232" s="2"/>
      <c r="BW232" s="2"/>
      <c r="BX232" s="2"/>
      <c r="BY232" s="2"/>
      <c r="BZ232" s="2"/>
      <c r="CA232" s="2"/>
      <c r="CB232" s="2"/>
      <c r="CC232" s="2"/>
    </row>
    <row r="233">
      <c r="A233" s="2"/>
      <c r="B233" s="2" t="str">
        <f>KENNEDY!A10</f>
        <v>Kennedy</v>
      </c>
      <c r="C233" s="2" t="str">
        <f>KENNEDY!B10</f>
        <v>Cafeteria</v>
      </c>
      <c r="D233" s="2" t="str">
        <f>KENNEDY!C10</f>
        <v>Endulzante</v>
      </c>
      <c r="E233" s="2" t="str">
        <f>KENNEDY!D10</f>
        <v/>
      </c>
      <c r="F233" s="2" t="str">
        <f>KENNEDY!E10</f>
        <v/>
      </c>
      <c r="G233" s="2" t="str">
        <f>KENNEDY!F10</f>
        <v/>
      </c>
      <c r="H233" s="2" t="str">
        <f>KENNEDY!G10</f>
        <v/>
      </c>
      <c r="I233" s="2" t="str">
        <f>KENNEDY!H10</f>
        <v/>
      </c>
      <c r="J233" s="2" t="str">
        <f>KENNEDY!I10</f>
        <v/>
      </c>
      <c r="K233" s="2" t="str">
        <f>KENNEDY!J10</f>
        <v/>
      </c>
      <c r="L233" s="2" t="str">
        <f>KENNEDY!K10</f>
        <v/>
      </c>
      <c r="M233" s="2" t="str">
        <f>KENNEDY!L10</f>
        <v/>
      </c>
      <c r="N233" s="2" t="str">
        <f>KENNEDY!M10</f>
        <v/>
      </c>
      <c r="O233" s="2" t="str">
        <f>KENNEDY!N10</f>
        <v/>
      </c>
      <c r="P233" s="2" t="str">
        <f>KENNEDY!O10</f>
        <v/>
      </c>
      <c r="Q233" s="2" t="str">
        <f>KENNEDY!P10</f>
        <v/>
      </c>
      <c r="R233" s="2" t="str">
        <f>KENNEDY!Q10</f>
        <v>-</v>
      </c>
      <c r="S233" s="2" t="str">
        <f>KENNEDY!R10</f>
        <v>-</v>
      </c>
      <c r="T233" s="2" t="str">
        <f>KENNEDY!S10</f>
        <v>-</v>
      </c>
      <c r="U233" s="2" t="str">
        <f>KENNEDY!T10</f>
        <v>-</v>
      </c>
      <c r="V233" s="2" t="str">
        <f>KENNEDY!U10</f>
        <v>-</v>
      </c>
      <c r="W233" s="2" t="str">
        <f>KENNEDY!V10</f>
        <v>-</v>
      </c>
      <c r="X233" s="2" t="str">
        <f>KENNEDY!W10</f>
        <v>-</v>
      </c>
      <c r="Y233" s="2">
        <f>KENNEDY!X10</f>
        <v>0</v>
      </c>
      <c r="Z233" s="2" t="str">
        <f>KENNEDY!Y10</f>
        <v/>
      </c>
      <c r="AA233" s="2">
        <f>KENNEDY!Z10</f>
        <v>0</v>
      </c>
      <c r="AB233" s="2">
        <f>KENNEDY!AA10</f>
        <v>4</v>
      </c>
      <c r="AC233" s="2">
        <f>KENNEDY!AB10</f>
        <v>3</v>
      </c>
      <c r="AD233" s="2">
        <f>KENNEDY!AC10</f>
        <v>4</v>
      </c>
      <c r="AE233" s="2">
        <f>KENNEDY!AD10</f>
        <v>2</v>
      </c>
      <c r="AF233" s="2">
        <f>KENNEDY!AE10</f>
        <v>2</v>
      </c>
      <c r="AG233" s="2" t="str">
        <f>KENNEDY!AF10</f>
        <v/>
      </c>
      <c r="AH233" s="2" t="str">
        <f>KENNEDY!AG10</f>
        <v/>
      </c>
      <c r="AI233" s="2">
        <f>KENNEDY!AH10</f>
        <v>3</v>
      </c>
      <c r="AJ233" s="2">
        <f>KENNEDY!AI10</f>
        <v>3</v>
      </c>
      <c r="AK233" s="2">
        <f>KENNEDY!AJ10</f>
        <v>3</v>
      </c>
      <c r="AL233" s="2">
        <f>KENNEDY!AK10</f>
        <v>3</v>
      </c>
      <c r="AM233" s="2">
        <f>KENNEDY!AL10</f>
        <v>2</v>
      </c>
      <c r="AN233" s="2">
        <f>KENNEDY!AM10</f>
        <v>6</v>
      </c>
      <c r="AO233" s="2">
        <f>KENNEDY!AN10</f>
        <v>6</v>
      </c>
      <c r="AP233" s="2">
        <f>KENNEDY!AO10</f>
        <v>2</v>
      </c>
      <c r="AQ233" s="2">
        <f>KENNEDY!AP10</f>
        <v>2</v>
      </c>
      <c r="AR233" s="2">
        <f>KENNEDY!AQ10</f>
        <v>0</v>
      </c>
      <c r="AS233" s="2">
        <f>KENNEDY!AR10</f>
        <v>0</v>
      </c>
      <c r="AT233" s="2">
        <f>KENNEDY!AS10</f>
        <v>0</v>
      </c>
      <c r="AU233" s="2" t="str">
        <f>KENNEDY!AT9</f>
        <v/>
      </c>
      <c r="AV233" s="2" t="str">
        <f>KENNEDY!AU9</f>
        <v/>
      </c>
      <c r="AW233" s="2" t="str">
        <f>KENNEDY!AV9</f>
        <v/>
      </c>
      <c r="AX233" s="2" t="str">
        <f>KENNEDY!AW9</f>
        <v/>
      </c>
      <c r="AY233" s="2" t="str">
        <f>KENNEDY!AX9</f>
        <v/>
      </c>
      <c r="AZ233" s="2" t="str">
        <f>KENNEDY!AY9</f>
        <v/>
      </c>
      <c r="BA233" s="2" t="str">
        <f>KENNEDY!AZ9</f>
        <v/>
      </c>
      <c r="BB233" s="2" t="str">
        <f>KENNEDY!BA9</f>
        <v/>
      </c>
      <c r="BC233" s="2" t="str">
        <f>KENNEDY!BB9</f>
        <v/>
      </c>
      <c r="BD233" s="2" t="str">
        <f>KENNEDY!BC9</f>
        <v/>
      </c>
      <c r="BE233" s="2" t="str">
        <f>KENNEDY!BJ10</f>
        <v/>
      </c>
      <c r="BF233" s="2" t="str">
        <f>KENNEDY!BK10</f>
        <v/>
      </c>
      <c r="BG233" s="2" t="str">
        <f>KENNEDY!BL10</f>
        <v/>
      </c>
      <c r="BH233" s="2" t="str">
        <f>KENNEDY!BM10</f>
        <v/>
      </c>
      <c r="BI233" s="2" t="str">
        <f>KENNEDY!BN10</f>
        <v/>
      </c>
      <c r="BJ233" s="2" t="str">
        <f>KENNEDY!BO10</f>
        <v/>
      </c>
      <c r="BK233" s="2" t="str">
        <f>KENNEDY!BP10</f>
        <v/>
      </c>
      <c r="BL233" s="2" t="str">
        <f>KENNEDY!BQ10</f>
        <v/>
      </c>
      <c r="BM233" s="2" t="str">
        <f>KENNEDY!BR10</f>
        <v/>
      </c>
      <c r="BN233" s="2" t="str">
        <f>KENNEDY!BS10</f>
        <v/>
      </c>
      <c r="BO233" s="2" t="str">
        <f>KENNEDY!BT10</f>
        <v/>
      </c>
      <c r="BP233" s="2" t="str">
        <f>KENNEDY!BU10</f>
        <v/>
      </c>
      <c r="BQ233" s="2" t="str">
        <f>KENNEDY!BV10</f>
        <v/>
      </c>
      <c r="BR233" s="2" t="str">
        <f>KENNEDY!BW10</f>
        <v/>
      </c>
      <c r="BS233" s="2" t="str">
        <f>KENNEDY!BX10</f>
        <v/>
      </c>
      <c r="BT233" s="2" t="str">
        <f>KENNEDY!BY10</f>
        <v/>
      </c>
      <c r="BU233" s="2"/>
      <c r="BV233" s="2"/>
      <c r="BW233" s="2"/>
      <c r="BX233" s="2"/>
      <c r="BY233" s="2"/>
      <c r="BZ233" s="2"/>
      <c r="CA233" s="2"/>
      <c r="CB233" s="2"/>
      <c r="CC233" s="2"/>
    </row>
    <row r="234">
      <c r="A234" s="2"/>
      <c r="B234" s="2" t="str">
        <f>KENNEDY!A11</f>
        <v>Kennedy</v>
      </c>
      <c r="C234" s="2" t="str">
        <f>KENNEDY!B11</f>
        <v>Cafeteria</v>
      </c>
      <c r="D234" s="2" t="str">
        <f>KENNEDY!C11</f>
        <v>Servilletas</v>
      </c>
      <c r="E234" s="2" t="str">
        <f>KENNEDY!D11</f>
        <v/>
      </c>
      <c r="F234" s="2" t="str">
        <f>KENNEDY!E11</f>
        <v/>
      </c>
      <c r="G234" s="2" t="str">
        <f>KENNEDY!F11</f>
        <v/>
      </c>
      <c r="H234" s="2" t="str">
        <f>KENNEDY!G11</f>
        <v/>
      </c>
      <c r="I234" s="2" t="str">
        <f>KENNEDY!H11</f>
        <v/>
      </c>
      <c r="J234" s="2" t="str">
        <f>KENNEDY!I11</f>
        <v/>
      </c>
      <c r="K234" s="2" t="str">
        <f>KENNEDY!J11</f>
        <v/>
      </c>
      <c r="L234" s="2" t="str">
        <f>KENNEDY!K11</f>
        <v/>
      </c>
      <c r="M234" s="2" t="str">
        <f>KENNEDY!L11</f>
        <v/>
      </c>
      <c r="N234" s="2" t="str">
        <f>KENNEDY!M11</f>
        <v/>
      </c>
      <c r="O234" s="2" t="str">
        <f>KENNEDY!N11</f>
        <v/>
      </c>
      <c r="P234" s="2" t="str">
        <f>KENNEDY!O11</f>
        <v/>
      </c>
      <c r="Q234" s="2" t="str">
        <f>KENNEDY!P11</f>
        <v/>
      </c>
      <c r="R234" s="2" t="str">
        <f>KENNEDY!Q11</f>
        <v/>
      </c>
      <c r="S234" s="2" t="str">
        <f>KENNEDY!R11</f>
        <v/>
      </c>
      <c r="T234" s="2" t="str">
        <f>KENNEDY!S11</f>
        <v/>
      </c>
      <c r="U234" s="2" t="str">
        <f>KENNEDY!T11</f>
        <v/>
      </c>
      <c r="V234" s="2" t="str">
        <f>KENNEDY!U11</f>
        <v/>
      </c>
      <c r="W234" s="2" t="str">
        <f>KENNEDY!V11</f>
        <v/>
      </c>
      <c r="X234" s="2" t="str">
        <f>KENNEDY!W11</f>
        <v/>
      </c>
      <c r="Y234" s="2" t="str">
        <f>KENNEDY!X11</f>
        <v/>
      </c>
      <c r="Z234" s="2" t="str">
        <f>KENNEDY!Y11</f>
        <v/>
      </c>
      <c r="AA234" s="2" t="str">
        <f>KENNEDY!Z11</f>
        <v/>
      </c>
      <c r="AB234" s="2" t="str">
        <f>KENNEDY!AA11</f>
        <v/>
      </c>
      <c r="AC234" s="2" t="str">
        <f>KENNEDY!AB11</f>
        <v/>
      </c>
      <c r="AD234" s="2" t="str">
        <f>KENNEDY!AC11</f>
        <v/>
      </c>
      <c r="AE234" s="2" t="str">
        <f>KENNEDY!AD11</f>
        <v/>
      </c>
      <c r="AF234" s="2" t="str">
        <f>KENNEDY!AE11</f>
        <v/>
      </c>
      <c r="AG234" s="2" t="str">
        <f>KENNEDY!AF11</f>
        <v/>
      </c>
      <c r="AH234" s="2" t="str">
        <f>KENNEDY!AG11</f>
        <v/>
      </c>
      <c r="AI234" s="2" t="str">
        <f>KENNEDY!AH11</f>
        <v/>
      </c>
      <c r="AJ234" s="2" t="str">
        <f>KENNEDY!AI11</f>
        <v/>
      </c>
      <c r="AK234" s="2">
        <f>KENNEDY!AJ11</f>
        <v>10</v>
      </c>
      <c r="AL234" s="2">
        <f>KENNEDY!AK11</f>
        <v>9</v>
      </c>
      <c r="AM234" s="2">
        <f>KENNEDY!AL11</f>
        <v>8</v>
      </c>
      <c r="AN234" s="2">
        <f>KENNEDY!AM11</f>
        <v>7</v>
      </c>
      <c r="AO234" s="2">
        <f>KENNEDY!AN11</f>
        <v>6</v>
      </c>
      <c r="AP234" s="2">
        <f>KENNEDY!AO11</f>
        <v>5</v>
      </c>
      <c r="AQ234" s="2">
        <f>KENNEDY!AP11</f>
        <v>4</v>
      </c>
      <c r="AR234" s="2">
        <f>KENNEDY!AQ11</f>
        <v>3</v>
      </c>
      <c r="AS234" s="2">
        <f>KENNEDY!AR11</f>
        <v>3</v>
      </c>
      <c r="AT234" s="2">
        <f>KENNEDY!AS11</f>
        <v>3</v>
      </c>
      <c r="AU234" s="2">
        <f>KENNEDY!AT10</f>
        <v>0</v>
      </c>
      <c r="AV234" s="2" t="str">
        <f>KENNEDY!AU10</f>
        <v/>
      </c>
      <c r="AW234" s="2">
        <f>KENNEDY!AV10</f>
        <v>0</v>
      </c>
      <c r="AX234" s="2">
        <f>KENNEDY!AW10</f>
        <v>6</v>
      </c>
      <c r="AY234" s="2">
        <f>KENNEDY!AX10</f>
        <v>1</v>
      </c>
      <c r="AZ234" s="2" t="str">
        <f>KENNEDY!AY10</f>
        <v/>
      </c>
      <c r="BA234" s="2" t="str">
        <f>KENNEDY!AZ10</f>
        <v/>
      </c>
      <c r="BB234" s="2" t="str">
        <f>KENNEDY!BA10</f>
        <v/>
      </c>
      <c r="BC234" s="2" t="str">
        <f>KENNEDY!BB10</f>
        <v/>
      </c>
      <c r="BD234" s="2" t="str">
        <f>KENNEDY!BC10</f>
        <v/>
      </c>
      <c r="BE234" s="2" t="str">
        <f>KENNEDY!BJ11</f>
        <v/>
      </c>
      <c r="BF234" s="2" t="str">
        <f>KENNEDY!BK11</f>
        <v/>
      </c>
      <c r="BG234" s="2" t="str">
        <f>KENNEDY!BL11</f>
        <v/>
      </c>
      <c r="BH234" s="2" t="str">
        <f>KENNEDY!BM11</f>
        <v/>
      </c>
      <c r="BI234" s="2" t="str">
        <f>KENNEDY!BN11</f>
        <v/>
      </c>
      <c r="BJ234" s="2" t="str">
        <f>KENNEDY!BO11</f>
        <v/>
      </c>
      <c r="BK234" s="2" t="str">
        <f>KENNEDY!BP11</f>
        <v/>
      </c>
      <c r="BL234" s="2" t="str">
        <f>KENNEDY!BQ11</f>
        <v/>
      </c>
      <c r="BM234" s="2" t="str">
        <f>KENNEDY!BR11</f>
        <v/>
      </c>
      <c r="BN234" s="2" t="str">
        <f>KENNEDY!BS11</f>
        <v/>
      </c>
      <c r="BO234" s="2" t="str">
        <f>KENNEDY!BT11</f>
        <v/>
      </c>
      <c r="BP234" s="2" t="str">
        <f>KENNEDY!BU11</f>
        <v/>
      </c>
      <c r="BQ234" s="2" t="str">
        <f>KENNEDY!BV11</f>
        <v/>
      </c>
      <c r="BR234" s="2" t="str">
        <f>KENNEDY!BW11</f>
        <v/>
      </c>
      <c r="BS234" s="2" t="str">
        <f>KENNEDY!BX11</f>
        <v/>
      </c>
      <c r="BT234" s="2" t="str">
        <f>KENNEDY!BY11</f>
        <v/>
      </c>
      <c r="BU234" s="2"/>
      <c r="BV234" s="2"/>
      <c r="BW234" s="2"/>
      <c r="BX234" s="2"/>
      <c r="BY234" s="2"/>
      <c r="BZ234" s="2"/>
      <c r="CA234" s="2"/>
      <c r="CB234" s="2"/>
      <c r="CC234" s="2"/>
    </row>
    <row r="235">
      <c r="A235" s="2"/>
      <c r="B235" s="2" t="str">
        <f>KENNEDY!A12</f>
        <v>Kennedy</v>
      </c>
      <c r="C235" s="2" t="str">
        <f>KENNEDY!B12</f>
        <v>Cafeteria</v>
      </c>
      <c r="D235" s="2" t="str">
        <f>KENNEDY!C12</f>
        <v>Papel Interfoliado</v>
      </c>
      <c r="E235" s="2" t="str">
        <f>KENNEDY!D12</f>
        <v/>
      </c>
      <c r="F235" s="2" t="str">
        <f>KENNEDY!E12</f>
        <v/>
      </c>
      <c r="G235" s="2" t="str">
        <f>KENNEDY!F12</f>
        <v/>
      </c>
      <c r="H235" s="2" t="str">
        <f>KENNEDY!G12</f>
        <v/>
      </c>
      <c r="I235" s="2" t="str">
        <f>KENNEDY!H12</f>
        <v/>
      </c>
      <c r="J235" s="2" t="str">
        <f>KENNEDY!I12</f>
        <v/>
      </c>
      <c r="K235" s="2" t="str">
        <f>KENNEDY!J12</f>
        <v/>
      </c>
      <c r="L235" s="2" t="str">
        <f>KENNEDY!K12</f>
        <v/>
      </c>
      <c r="M235" s="2" t="str">
        <f>KENNEDY!L12</f>
        <v/>
      </c>
      <c r="N235" s="2" t="str">
        <f>KENNEDY!M12</f>
        <v/>
      </c>
      <c r="O235" s="2" t="str">
        <f>KENNEDY!N12</f>
        <v/>
      </c>
      <c r="P235" s="2" t="str">
        <f>KENNEDY!O12</f>
        <v/>
      </c>
      <c r="Q235" s="2" t="str">
        <f>KENNEDY!P12</f>
        <v/>
      </c>
      <c r="R235" s="2" t="str">
        <f>KENNEDY!Q12</f>
        <v/>
      </c>
      <c r="S235" s="2" t="str">
        <f>KENNEDY!R12</f>
        <v/>
      </c>
      <c r="T235" s="2" t="str">
        <f>KENNEDY!S12</f>
        <v/>
      </c>
      <c r="U235" s="2" t="str">
        <f>KENNEDY!T12</f>
        <v/>
      </c>
      <c r="V235" s="2" t="str">
        <f>KENNEDY!U12</f>
        <v/>
      </c>
      <c r="W235" s="2" t="str">
        <f>KENNEDY!V12</f>
        <v/>
      </c>
      <c r="X235" s="2" t="str">
        <f>KENNEDY!W12</f>
        <v/>
      </c>
      <c r="Y235" s="2" t="str">
        <f>KENNEDY!X12</f>
        <v/>
      </c>
      <c r="Z235" s="2" t="str">
        <f>KENNEDY!Y12</f>
        <v/>
      </c>
      <c r="AA235" s="2" t="str">
        <f>KENNEDY!Z12</f>
        <v/>
      </c>
      <c r="AB235" s="2" t="str">
        <f>KENNEDY!AA12</f>
        <v/>
      </c>
      <c r="AC235" s="2" t="str">
        <f>KENNEDY!AB12</f>
        <v/>
      </c>
      <c r="AD235" s="2" t="str">
        <f>KENNEDY!AC12</f>
        <v/>
      </c>
      <c r="AE235" s="2" t="str">
        <f>KENNEDY!AD12</f>
        <v/>
      </c>
      <c r="AF235" s="2" t="str">
        <f>KENNEDY!AE12</f>
        <v/>
      </c>
      <c r="AG235" s="2" t="str">
        <f>KENNEDY!AF12</f>
        <v/>
      </c>
      <c r="AH235" s="2" t="str">
        <f>KENNEDY!AG12</f>
        <v/>
      </c>
      <c r="AI235" s="2" t="str">
        <f>KENNEDY!AH12</f>
        <v/>
      </c>
      <c r="AJ235" s="2" t="str">
        <f>KENNEDY!AI12</f>
        <v/>
      </c>
      <c r="AK235" s="2">
        <f>KENNEDY!AJ12</f>
        <v>0</v>
      </c>
      <c r="AL235" s="2">
        <f>KENNEDY!AK12</f>
        <v>0</v>
      </c>
      <c r="AM235" s="2">
        <f>KENNEDY!AL12</f>
        <v>0</v>
      </c>
      <c r="AN235" s="2">
        <f>KENNEDY!AM12</f>
        <v>0</v>
      </c>
      <c r="AO235" s="2">
        <f>KENNEDY!AN12</f>
        <v>0</v>
      </c>
      <c r="AP235" s="2">
        <f>KENNEDY!AO12</f>
        <v>0</v>
      </c>
      <c r="AQ235" s="2">
        <f>KENNEDY!AP12</f>
        <v>0</v>
      </c>
      <c r="AR235" s="2">
        <f>KENNEDY!AQ12</f>
        <v>0</v>
      </c>
      <c r="AS235" s="2">
        <f>KENNEDY!AR12</f>
        <v>0</v>
      </c>
      <c r="AT235" s="2" t="str">
        <f>KENNEDY!AS12</f>
        <v/>
      </c>
      <c r="AU235" s="2">
        <f>KENNEDY!AT11</f>
        <v>14</v>
      </c>
      <c r="AV235" s="2">
        <f>KENNEDY!AU11</f>
        <v>7</v>
      </c>
      <c r="AW235" s="2">
        <f>KENNEDY!AV11</f>
        <v>1</v>
      </c>
      <c r="AX235" s="2">
        <f>KENNEDY!AW11</f>
        <v>20</v>
      </c>
      <c r="AY235" s="2">
        <f>KENNEDY!AX11</f>
        <v>25</v>
      </c>
      <c r="AZ235" s="2" t="str">
        <f>KENNEDY!AY11</f>
        <v/>
      </c>
      <c r="BA235" s="2" t="str">
        <f>KENNEDY!AZ11</f>
        <v/>
      </c>
      <c r="BB235" s="2" t="str">
        <f>KENNEDY!BA11</f>
        <v/>
      </c>
      <c r="BC235" s="2" t="str">
        <f>KENNEDY!BB11</f>
        <v/>
      </c>
      <c r="BD235" s="2" t="str">
        <f>KENNEDY!BC11</f>
        <v/>
      </c>
      <c r="BE235" s="2" t="str">
        <f>KENNEDY!BJ13</f>
        <v/>
      </c>
      <c r="BF235" s="2" t="str">
        <f>KENNEDY!BK13</f>
        <v/>
      </c>
      <c r="BG235" s="2" t="str">
        <f>KENNEDY!BL13</f>
        <v/>
      </c>
      <c r="BH235" s="2" t="str">
        <f>KENNEDY!BM13</f>
        <v/>
      </c>
      <c r="BI235" s="2" t="str">
        <f>KENNEDY!BN13</f>
        <v/>
      </c>
      <c r="BJ235" s="2" t="str">
        <f>KENNEDY!BO13</f>
        <v/>
      </c>
      <c r="BK235" s="2" t="str">
        <f>KENNEDY!BP13</f>
        <v/>
      </c>
      <c r="BL235" s="2" t="str">
        <f>KENNEDY!BQ13</f>
        <v/>
      </c>
      <c r="BM235" s="2" t="str">
        <f>KENNEDY!BR13</f>
        <v/>
      </c>
      <c r="BN235" s="2" t="str">
        <f>KENNEDY!BS13</f>
        <v/>
      </c>
      <c r="BO235" s="2" t="str">
        <f>KENNEDY!BT13</f>
        <v/>
      </c>
      <c r="BP235" s="2" t="str">
        <f>KENNEDY!BU13</f>
        <v/>
      </c>
      <c r="BQ235" s="2" t="str">
        <f>KENNEDY!BV13</f>
        <v/>
      </c>
      <c r="BR235" s="2" t="str">
        <f>KENNEDY!BW13</f>
        <v/>
      </c>
      <c r="BS235" s="2" t="str">
        <f>KENNEDY!BX13</f>
        <v/>
      </c>
      <c r="BT235" s="2" t="str">
        <f>KENNEDY!BY13</f>
        <v/>
      </c>
      <c r="BU235" s="2"/>
      <c r="BV235" s="2"/>
      <c r="BW235" s="2"/>
      <c r="BX235" s="2"/>
      <c r="BY235" s="2"/>
      <c r="BZ235" s="2"/>
      <c r="CA235" s="2"/>
      <c r="CB235" s="2"/>
      <c r="CC235" s="2"/>
    </row>
    <row r="236" ht="15.0" customHeight="1">
      <c r="A236" s="2"/>
      <c r="B236" s="2" t="str">
        <f>KENNEDY!A13</f>
        <v>Kennedy</v>
      </c>
      <c r="C236" s="2" t="str">
        <f>KENNEDY!B13</f>
        <v>Aseo</v>
      </c>
      <c r="D236" s="2" t="str">
        <f>KENNEDY!C13</f>
        <v>Cloro Gel</v>
      </c>
      <c r="E236" s="2" t="str">
        <f>KENNEDY!D13</f>
        <v/>
      </c>
      <c r="F236" s="2" t="str">
        <f>KENNEDY!E13</f>
        <v/>
      </c>
      <c r="G236" s="2" t="str">
        <f>KENNEDY!F13</f>
        <v/>
      </c>
      <c r="H236" s="2" t="str">
        <f>KENNEDY!G13</f>
        <v/>
      </c>
      <c r="I236" s="2" t="str">
        <f>KENNEDY!H13</f>
        <v/>
      </c>
      <c r="J236" s="2" t="str">
        <f>KENNEDY!I13</f>
        <v/>
      </c>
      <c r="K236" s="2" t="str">
        <f>KENNEDY!J13</f>
        <v/>
      </c>
      <c r="L236" s="2" t="str">
        <f>KENNEDY!K13</f>
        <v/>
      </c>
      <c r="M236" s="2" t="str">
        <f>KENNEDY!L13</f>
        <v/>
      </c>
      <c r="N236" s="2" t="str">
        <f>KENNEDY!M13</f>
        <v/>
      </c>
      <c r="O236" s="2" t="str">
        <f>KENNEDY!N13</f>
        <v/>
      </c>
      <c r="P236" s="2" t="str">
        <f>KENNEDY!O13</f>
        <v/>
      </c>
      <c r="Q236" s="2" t="str">
        <f>KENNEDY!P13</f>
        <v/>
      </c>
      <c r="R236" s="2" t="str">
        <f>KENNEDY!Q13</f>
        <v>-</v>
      </c>
      <c r="S236" s="2" t="str">
        <f>KENNEDY!R13</f>
        <v>-</v>
      </c>
      <c r="T236" s="2" t="str">
        <f>KENNEDY!S13</f>
        <v>-</v>
      </c>
      <c r="U236" s="2" t="str">
        <f>KENNEDY!T13</f>
        <v>-</v>
      </c>
      <c r="V236" s="2" t="str">
        <f>KENNEDY!U13</f>
        <v>-</v>
      </c>
      <c r="W236" s="2" t="str">
        <f>KENNEDY!V13</f>
        <v>-</v>
      </c>
      <c r="X236" s="2" t="str">
        <f>KENNEDY!W13</f>
        <v>-</v>
      </c>
      <c r="Y236" s="2" t="str">
        <f>KENNEDY!X13</f>
        <v>-</v>
      </c>
      <c r="Z236" s="2" t="str">
        <f>KENNEDY!Y13</f>
        <v/>
      </c>
      <c r="AA236" s="2">
        <f>KENNEDY!Z13</f>
        <v>0</v>
      </c>
      <c r="AB236" s="2">
        <f>KENNEDY!AA13</f>
        <v>2</v>
      </c>
      <c r="AC236" s="2">
        <f>KENNEDY!AB13</f>
        <v>2</v>
      </c>
      <c r="AD236" s="2">
        <f>KENNEDY!AC13</f>
        <v>4</v>
      </c>
      <c r="AE236" s="2">
        <f>KENNEDY!AD13</f>
        <v>4</v>
      </c>
      <c r="AF236" s="2">
        <f>KENNEDY!AE13</f>
        <v>4</v>
      </c>
      <c r="AG236" s="2">
        <f>KENNEDY!AF13</f>
        <v>2</v>
      </c>
      <c r="AH236" s="2">
        <f>KENNEDY!AG13</f>
        <v>4</v>
      </c>
      <c r="AI236" s="2">
        <f>KENNEDY!AH13</f>
        <v>3</v>
      </c>
      <c r="AJ236" s="2">
        <f>KENNEDY!AI13</f>
        <v>1</v>
      </c>
      <c r="AK236" s="2">
        <f>KENNEDY!AJ13</f>
        <v>0</v>
      </c>
      <c r="AL236" s="2">
        <f>KENNEDY!AK13</f>
        <v>0</v>
      </c>
      <c r="AM236" s="2">
        <f>KENNEDY!AL13</f>
        <v>0</v>
      </c>
      <c r="AN236" s="2">
        <f>KENNEDY!AM13</f>
        <v>0</v>
      </c>
      <c r="AO236" s="2">
        <f>KENNEDY!AN13</f>
        <v>0</v>
      </c>
      <c r="AP236" s="2">
        <f>KENNEDY!AO13</f>
        <v>0</v>
      </c>
      <c r="AQ236" s="2">
        <f>KENNEDY!AP13</f>
        <v>2</v>
      </c>
      <c r="AR236" s="2">
        <f>KENNEDY!AQ13</f>
        <v>2</v>
      </c>
      <c r="AS236" s="2">
        <f>KENNEDY!AR13</f>
        <v>1</v>
      </c>
      <c r="AT236" s="2">
        <f>KENNEDY!AS13</f>
        <v>4</v>
      </c>
      <c r="AU236" s="2">
        <f>KENNEDY!AT12</f>
        <v>2</v>
      </c>
      <c r="AV236" s="2">
        <f>KENNEDY!AU12</f>
        <v>0</v>
      </c>
      <c r="AW236" s="2">
        <f>KENNEDY!AV12</f>
        <v>0</v>
      </c>
      <c r="AX236" s="2">
        <f>KENNEDY!AW12</f>
        <v>4</v>
      </c>
      <c r="AY236" s="2">
        <f>KENNEDY!AX12</f>
        <v>0</v>
      </c>
      <c r="AZ236" s="2" t="str">
        <f>KENNEDY!AY12</f>
        <v/>
      </c>
      <c r="BA236" s="2" t="str">
        <f>KENNEDY!AZ12</f>
        <v/>
      </c>
      <c r="BB236" s="2" t="str">
        <f>KENNEDY!BA12</f>
        <v/>
      </c>
      <c r="BC236" s="2" t="str">
        <f>KENNEDY!BB12</f>
        <v/>
      </c>
      <c r="BD236" s="2" t="str">
        <f>KENNEDY!BC12</f>
        <v/>
      </c>
      <c r="BE236" s="2" t="str">
        <f>KENNEDY!BJ14</f>
        <v/>
      </c>
      <c r="BF236" s="2" t="str">
        <f>KENNEDY!BK14</f>
        <v/>
      </c>
      <c r="BG236" s="2" t="str">
        <f>KENNEDY!BL14</f>
        <v/>
      </c>
      <c r="BH236" s="2" t="str">
        <f>KENNEDY!BM14</f>
        <v/>
      </c>
      <c r="BI236" s="2" t="str">
        <f>KENNEDY!BN14</f>
        <v/>
      </c>
      <c r="BJ236" s="2" t="str">
        <f>KENNEDY!BO14</f>
        <v/>
      </c>
      <c r="BK236" s="2" t="str">
        <f>KENNEDY!BP14</f>
        <v/>
      </c>
      <c r="BL236" s="2" t="str">
        <f>KENNEDY!BQ14</f>
        <v/>
      </c>
      <c r="BM236" s="2" t="str">
        <f>KENNEDY!BR14</f>
        <v/>
      </c>
      <c r="BN236" s="2" t="str">
        <f>KENNEDY!BS14</f>
        <v/>
      </c>
      <c r="BO236" s="2" t="str">
        <f>KENNEDY!BT14</f>
        <v/>
      </c>
      <c r="BP236" s="2" t="str">
        <f>KENNEDY!BU14</f>
        <v/>
      </c>
      <c r="BQ236" s="2" t="str">
        <f>KENNEDY!BV14</f>
        <v/>
      </c>
      <c r="BR236" s="2" t="str">
        <f>KENNEDY!BW14</f>
        <v/>
      </c>
      <c r="BS236" s="2" t="str">
        <f>KENNEDY!BX14</f>
        <v/>
      </c>
      <c r="BT236" s="2" t="str">
        <f>KENNEDY!BY14</f>
        <v/>
      </c>
      <c r="BU236" s="2"/>
      <c r="BV236" s="2"/>
      <c r="BW236" s="2"/>
      <c r="BX236" s="2"/>
      <c r="BY236" s="2"/>
      <c r="BZ236" s="2"/>
      <c r="CA236" s="2"/>
      <c r="CB236" s="2"/>
      <c r="CC236" s="2"/>
    </row>
    <row r="237" ht="17.25" customHeight="1">
      <c r="A237" s="2"/>
      <c r="B237" s="2" t="str">
        <f>KENNEDY!A14</f>
        <v>Kennedy</v>
      </c>
      <c r="C237" s="2" t="str">
        <f>KENNEDY!B14</f>
        <v>Aseo</v>
      </c>
      <c r="D237" s="2" t="str">
        <f>KENNEDY!C14</f>
        <v>Limpia Piso</v>
      </c>
      <c r="E237" s="2" t="str">
        <f>KENNEDY!D14</f>
        <v/>
      </c>
      <c r="F237" s="2" t="str">
        <f>KENNEDY!E14</f>
        <v/>
      </c>
      <c r="G237" s="2" t="str">
        <f>KENNEDY!F14</f>
        <v/>
      </c>
      <c r="H237" s="2" t="str">
        <f>KENNEDY!G14</f>
        <v/>
      </c>
      <c r="I237" s="2" t="str">
        <f>KENNEDY!H14</f>
        <v/>
      </c>
      <c r="J237" s="2" t="str">
        <f>KENNEDY!I14</f>
        <v/>
      </c>
      <c r="K237" s="2" t="str">
        <f>KENNEDY!J14</f>
        <v/>
      </c>
      <c r="L237" s="2" t="str">
        <f>KENNEDY!K14</f>
        <v/>
      </c>
      <c r="M237" s="2" t="str">
        <f>KENNEDY!L14</f>
        <v/>
      </c>
      <c r="N237" s="2" t="str">
        <f>KENNEDY!M14</f>
        <v/>
      </c>
      <c r="O237" s="2" t="str">
        <f>KENNEDY!N14</f>
        <v/>
      </c>
      <c r="P237" s="2" t="str">
        <f>KENNEDY!O14</f>
        <v/>
      </c>
      <c r="Q237" s="2" t="str">
        <f>KENNEDY!P14</f>
        <v/>
      </c>
      <c r="R237" s="2" t="str">
        <f>KENNEDY!Q14</f>
        <v>-</v>
      </c>
      <c r="S237" s="2" t="str">
        <f>KENNEDY!R14</f>
        <v>-</v>
      </c>
      <c r="T237" s="2" t="str">
        <f>KENNEDY!S14</f>
        <v>-</v>
      </c>
      <c r="U237" s="2" t="str">
        <f>KENNEDY!T14</f>
        <v>-</v>
      </c>
      <c r="V237" s="2" t="str">
        <f>KENNEDY!U14</f>
        <v>-</v>
      </c>
      <c r="W237" s="2" t="str">
        <f>KENNEDY!V14</f>
        <v>-</v>
      </c>
      <c r="X237" s="2" t="str">
        <f>KENNEDY!W14</f>
        <v>-</v>
      </c>
      <c r="Y237" s="2" t="str">
        <f>KENNEDY!X14</f>
        <v>-</v>
      </c>
      <c r="Z237" s="2" t="str">
        <f>KENNEDY!Y14</f>
        <v/>
      </c>
      <c r="AA237" s="2">
        <f>KENNEDY!Z14</f>
        <v>0</v>
      </c>
      <c r="AB237" s="2">
        <f>KENNEDY!AA14</f>
        <v>2</v>
      </c>
      <c r="AC237" s="2" t="str">
        <f>KENNEDY!AB14</f>
        <v/>
      </c>
      <c r="AD237" s="2">
        <f>KENNEDY!AC14</f>
        <v>4</v>
      </c>
      <c r="AE237" s="2">
        <f>KENNEDY!AD14</f>
        <v>4</v>
      </c>
      <c r="AF237" s="2">
        <f>KENNEDY!AE14</f>
        <v>3</v>
      </c>
      <c r="AG237" s="2">
        <f>KENNEDY!AF14</f>
        <v>2</v>
      </c>
      <c r="AH237" s="2">
        <f>KENNEDY!AG14</f>
        <v>4</v>
      </c>
      <c r="AI237" s="2">
        <f>KENNEDY!AH14</f>
        <v>4</v>
      </c>
      <c r="AJ237" s="2">
        <f>KENNEDY!AI14</f>
        <v>3</v>
      </c>
      <c r="AK237" s="2">
        <f>KENNEDY!AJ14</f>
        <v>0</v>
      </c>
      <c r="AL237" s="2">
        <f>KENNEDY!AK14</f>
        <v>0</v>
      </c>
      <c r="AM237" s="2">
        <f>KENNEDY!AL14</f>
        <v>0</v>
      </c>
      <c r="AN237" s="2">
        <f>KENNEDY!AM14</f>
        <v>0</v>
      </c>
      <c r="AO237" s="2">
        <f>KENNEDY!AN14</f>
        <v>0</v>
      </c>
      <c r="AP237" s="2">
        <f>KENNEDY!AO14</f>
        <v>0</v>
      </c>
      <c r="AQ237" s="2">
        <f>KENNEDY!AP14</f>
        <v>3</v>
      </c>
      <c r="AR237" s="2">
        <f>KENNEDY!AQ14</f>
        <v>3</v>
      </c>
      <c r="AS237" s="2">
        <f>KENNEDY!AR14</f>
        <v>2</v>
      </c>
      <c r="AT237" s="2">
        <f>KENNEDY!AS14</f>
        <v>5</v>
      </c>
      <c r="AU237" s="2">
        <f>KENNEDY!AT13</f>
        <v>3</v>
      </c>
      <c r="AV237" s="2">
        <f>KENNEDY!AU13</f>
        <v>3</v>
      </c>
      <c r="AW237" s="2">
        <f>KENNEDY!AV13</f>
        <v>3</v>
      </c>
      <c r="AX237" s="2">
        <f>KENNEDY!AW13</f>
        <v>4</v>
      </c>
      <c r="AY237" s="2">
        <f>KENNEDY!AX13</f>
        <v>3</v>
      </c>
      <c r="AZ237" s="2" t="str">
        <f>KENNEDY!AY13</f>
        <v/>
      </c>
      <c r="BA237" s="2" t="str">
        <f>KENNEDY!AZ13</f>
        <v/>
      </c>
      <c r="BB237" s="2" t="str">
        <f>KENNEDY!BA13</f>
        <v/>
      </c>
      <c r="BC237" s="2" t="str">
        <f>KENNEDY!BB13</f>
        <v/>
      </c>
      <c r="BD237" s="2" t="str">
        <f>KENNEDY!BC13</f>
        <v/>
      </c>
      <c r="BE237" s="2" t="str">
        <f>KENNEDY!BJ15</f>
        <v/>
      </c>
      <c r="BF237" s="2" t="str">
        <f>KENNEDY!BK15</f>
        <v/>
      </c>
      <c r="BG237" s="2" t="str">
        <f>KENNEDY!BL15</f>
        <v/>
      </c>
      <c r="BH237" s="2" t="str">
        <f>KENNEDY!BM15</f>
        <v/>
      </c>
      <c r="BI237" s="2" t="str">
        <f>KENNEDY!BN15</f>
        <v/>
      </c>
      <c r="BJ237" s="2" t="str">
        <f>KENNEDY!BO15</f>
        <v/>
      </c>
      <c r="BK237" s="2" t="str">
        <f>KENNEDY!BP15</f>
        <v/>
      </c>
      <c r="BL237" s="2" t="str">
        <f>KENNEDY!BQ15</f>
        <v/>
      </c>
      <c r="BM237" s="2" t="str">
        <f>KENNEDY!BR15</f>
        <v/>
      </c>
      <c r="BN237" s="2" t="str">
        <f>KENNEDY!BS15</f>
        <v/>
      </c>
      <c r="BO237" s="2" t="str">
        <f>KENNEDY!BT15</f>
        <v/>
      </c>
      <c r="BP237" s="2" t="str">
        <f>KENNEDY!BU15</f>
        <v/>
      </c>
      <c r="BQ237" s="2" t="str">
        <f>KENNEDY!BV15</f>
        <v/>
      </c>
      <c r="BR237" s="2" t="str">
        <f>KENNEDY!BW15</f>
        <v/>
      </c>
      <c r="BS237" s="2" t="str">
        <f>KENNEDY!BX15</f>
        <v/>
      </c>
      <c r="BT237" s="2" t="str">
        <f>KENNEDY!BY15</f>
        <v/>
      </c>
      <c r="BU237" s="2"/>
      <c r="BV237" s="2"/>
      <c r="BW237" s="2"/>
      <c r="BX237" s="2"/>
      <c r="BY237" s="2"/>
      <c r="BZ237" s="2"/>
      <c r="CA237" s="2"/>
      <c r="CB237" s="2"/>
      <c r="CC237" s="2"/>
    </row>
    <row r="238" ht="17.25" customHeight="1">
      <c r="A238" s="2"/>
      <c r="B238" s="2" t="str">
        <f>KENNEDY!A15</f>
        <v>Kennedy</v>
      </c>
      <c r="C238" s="2" t="str">
        <f>KENNEDY!B15</f>
        <v>Aseo</v>
      </c>
      <c r="D238" s="2" t="str">
        <f>KENNEDY!C15</f>
        <v>Bolsas Basura 50x70</v>
      </c>
      <c r="E238" s="2" t="str">
        <f>KENNEDY!D15</f>
        <v/>
      </c>
      <c r="F238" s="2" t="str">
        <f>KENNEDY!E15</f>
        <v/>
      </c>
      <c r="G238" s="2" t="str">
        <f>KENNEDY!F15</f>
        <v/>
      </c>
      <c r="H238" s="2" t="str">
        <f>KENNEDY!G15</f>
        <v/>
      </c>
      <c r="I238" s="2" t="str">
        <f>KENNEDY!H15</f>
        <v/>
      </c>
      <c r="J238" s="2" t="str">
        <f>KENNEDY!I15</f>
        <v/>
      </c>
      <c r="K238" s="2" t="str">
        <f>KENNEDY!J15</f>
        <v/>
      </c>
      <c r="L238" s="2" t="str">
        <f>KENNEDY!K15</f>
        <v/>
      </c>
      <c r="M238" s="2" t="str">
        <f>KENNEDY!L15</f>
        <v/>
      </c>
      <c r="N238" s="2" t="str">
        <f>KENNEDY!M15</f>
        <v/>
      </c>
      <c r="O238" s="2" t="str">
        <f>KENNEDY!N15</f>
        <v/>
      </c>
      <c r="P238" s="2" t="str">
        <f>KENNEDY!O15</f>
        <v/>
      </c>
      <c r="Q238" s="2" t="str">
        <f>KENNEDY!P15</f>
        <v/>
      </c>
      <c r="R238" s="2" t="str">
        <f>KENNEDY!Q15</f>
        <v>-</v>
      </c>
      <c r="S238" s="2" t="str">
        <f>KENNEDY!R15</f>
        <v>-</v>
      </c>
      <c r="T238" s="2" t="str">
        <f>KENNEDY!S15</f>
        <v>-</v>
      </c>
      <c r="U238" s="2" t="str">
        <f>KENNEDY!T15</f>
        <v>-</v>
      </c>
      <c r="V238" s="2" t="str">
        <f>KENNEDY!U15</f>
        <v>-</v>
      </c>
      <c r="W238" s="2" t="str">
        <f>KENNEDY!V15</f>
        <v>-</v>
      </c>
      <c r="X238" s="2" t="str">
        <f>KENNEDY!W15</f>
        <v>-</v>
      </c>
      <c r="Y238" s="2" t="str">
        <f>KENNEDY!X15</f>
        <v>-</v>
      </c>
      <c r="Z238" s="2" t="str">
        <f>KENNEDY!Y15</f>
        <v/>
      </c>
      <c r="AA238" s="2">
        <f>KENNEDY!Z15</f>
        <v>7</v>
      </c>
      <c r="AB238" s="2" t="str">
        <f>KENNEDY!AA15</f>
        <v>pequeña: 8
mediana 4
grande: 2</v>
      </c>
      <c r="AC238" s="2" t="str">
        <f>KENNEDY!AB15</f>
        <v>pequeña: 8
mediana 10
grande: 2</v>
      </c>
      <c r="AD238" s="2" t="str">
        <f>KENNEDY!AC15</f>
        <v>pequeña: 21
mediana 4
grande: 16</v>
      </c>
      <c r="AE238" s="2" t="str">
        <f>KENNEDY!AD15</f>
        <v>pequeña: 13
mediana 0
grande: 16</v>
      </c>
      <c r="AF238" s="2">
        <f>KENNEDY!AE15</f>
        <v>22</v>
      </c>
      <c r="AG238" s="2">
        <f>KENNEDY!AF15</f>
        <v>11</v>
      </c>
      <c r="AH238" s="2">
        <f>KENNEDY!AG15</f>
        <v>16</v>
      </c>
      <c r="AI238" s="2">
        <f>KENNEDY!AH15</f>
        <v>15</v>
      </c>
      <c r="AJ238" s="2">
        <f>KENNEDY!AI15</f>
        <v>15</v>
      </c>
      <c r="AK238" s="2">
        <f>KENNEDY!AJ15</f>
        <v>0</v>
      </c>
      <c r="AL238" s="2">
        <f>KENNEDY!AK15</f>
        <v>0</v>
      </c>
      <c r="AM238" s="2">
        <f>KENNEDY!AL15</f>
        <v>0</v>
      </c>
      <c r="AN238" s="2">
        <f>KENNEDY!AM15</f>
        <v>12</v>
      </c>
      <c r="AO238" s="2">
        <f>KENNEDY!AN15</f>
        <v>5</v>
      </c>
      <c r="AP238" s="2">
        <f>KENNEDY!AO15</f>
        <v>10</v>
      </c>
      <c r="AQ238" s="2">
        <f>KENNEDY!AP15</f>
        <v>16</v>
      </c>
      <c r="AR238" s="2">
        <f>KENNEDY!AQ15</f>
        <v>8</v>
      </c>
      <c r="AS238" s="2">
        <f>KENNEDY!AR15</f>
        <v>5</v>
      </c>
      <c r="AT238" s="2">
        <f>KENNEDY!AS15</f>
        <v>20</v>
      </c>
      <c r="AU238" s="2">
        <f>KENNEDY!AT14</f>
        <v>0</v>
      </c>
      <c r="AV238" s="2">
        <f>KENNEDY!AU14</f>
        <v>0</v>
      </c>
      <c r="AW238" s="2">
        <f>KENNEDY!AV14</f>
        <v>0</v>
      </c>
      <c r="AX238" s="2">
        <f>KENNEDY!AW14</f>
        <v>4</v>
      </c>
      <c r="AY238" s="2">
        <f>KENNEDY!AX14</f>
        <v>2</v>
      </c>
      <c r="AZ238" s="2" t="str">
        <f>KENNEDY!AY14</f>
        <v/>
      </c>
      <c r="BA238" s="2" t="str">
        <f>KENNEDY!AZ14</f>
        <v/>
      </c>
      <c r="BB238" s="2" t="str">
        <f>KENNEDY!BA14</f>
        <v/>
      </c>
      <c r="BC238" s="2" t="str">
        <f>KENNEDY!BB14</f>
        <v/>
      </c>
      <c r="BD238" s="2" t="str">
        <f>KENNEDY!BC14</f>
        <v/>
      </c>
      <c r="BE238" s="2" t="str">
        <f>KENNEDY!BJ16</f>
        <v/>
      </c>
      <c r="BF238" s="2" t="str">
        <f>KENNEDY!BK16</f>
        <v/>
      </c>
      <c r="BG238" s="2" t="str">
        <f>KENNEDY!BL16</f>
        <v/>
      </c>
      <c r="BH238" s="2" t="str">
        <f>KENNEDY!BM16</f>
        <v/>
      </c>
      <c r="BI238" s="2" t="str">
        <f>KENNEDY!BN16</f>
        <v/>
      </c>
      <c r="BJ238" s="2" t="str">
        <f>KENNEDY!BO16</f>
        <v/>
      </c>
      <c r="BK238" s="2" t="str">
        <f>KENNEDY!BP16</f>
        <v/>
      </c>
      <c r="BL238" s="2" t="str">
        <f>KENNEDY!BQ16</f>
        <v/>
      </c>
      <c r="BM238" s="2" t="str">
        <f>KENNEDY!BR16</f>
        <v/>
      </c>
      <c r="BN238" s="2" t="str">
        <f>KENNEDY!BS16</f>
        <v/>
      </c>
      <c r="BO238" s="2" t="str">
        <f>KENNEDY!BT16</f>
        <v/>
      </c>
      <c r="BP238" s="2" t="str">
        <f>KENNEDY!BU16</f>
        <v/>
      </c>
      <c r="BQ238" s="2" t="str">
        <f>KENNEDY!BV16</f>
        <v/>
      </c>
      <c r="BR238" s="2" t="str">
        <f>KENNEDY!BW16</f>
        <v/>
      </c>
      <c r="BS238" s="2" t="str">
        <f>KENNEDY!BX16</f>
        <v/>
      </c>
      <c r="BT238" s="2" t="str">
        <f>KENNEDY!BY16</f>
        <v/>
      </c>
      <c r="BU238" s="2"/>
      <c r="BV238" s="2"/>
      <c r="BW238" s="2"/>
      <c r="BX238" s="2"/>
      <c r="BY238" s="2"/>
      <c r="BZ238" s="2"/>
      <c r="CA238" s="2"/>
      <c r="CB238" s="2"/>
      <c r="CC238" s="2"/>
    </row>
    <row r="239">
      <c r="A239" s="2"/>
      <c r="B239" s="2" t="str">
        <f>KENNEDY!A16</f>
        <v>Kennedy</v>
      </c>
      <c r="C239" s="2" t="str">
        <f>KENNEDY!B16</f>
        <v>Aseo</v>
      </c>
      <c r="D239" s="2" t="str">
        <f>KENNEDY!C16</f>
        <v>Bolsas Basura 70x90</v>
      </c>
      <c r="E239" s="2" t="str">
        <f>KENNEDY!D16</f>
        <v/>
      </c>
      <c r="F239" s="2" t="str">
        <f>KENNEDY!E16</f>
        <v/>
      </c>
      <c r="G239" s="2" t="str">
        <f>KENNEDY!F16</f>
        <v/>
      </c>
      <c r="H239" s="2" t="str">
        <f>KENNEDY!G16</f>
        <v/>
      </c>
      <c r="I239" s="2" t="str">
        <f>KENNEDY!H16</f>
        <v/>
      </c>
      <c r="J239" s="2" t="str">
        <f>KENNEDY!I16</f>
        <v/>
      </c>
      <c r="K239" s="2" t="str">
        <f>KENNEDY!J16</f>
        <v/>
      </c>
      <c r="L239" s="2" t="str">
        <f>KENNEDY!K16</f>
        <v/>
      </c>
      <c r="M239" s="2" t="str">
        <f>KENNEDY!L16</f>
        <v/>
      </c>
      <c r="N239" s="2" t="str">
        <f>KENNEDY!M16</f>
        <v/>
      </c>
      <c r="O239" s="2" t="str">
        <f>KENNEDY!N16</f>
        <v/>
      </c>
      <c r="P239" s="2" t="str">
        <f>KENNEDY!O16</f>
        <v/>
      </c>
      <c r="Q239" s="2" t="str">
        <f>KENNEDY!P16</f>
        <v/>
      </c>
      <c r="R239" s="2" t="str">
        <f>KENNEDY!Q16</f>
        <v/>
      </c>
      <c r="S239" s="2" t="str">
        <f>KENNEDY!R16</f>
        <v/>
      </c>
      <c r="T239" s="2" t="str">
        <f>KENNEDY!S16</f>
        <v/>
      </c>
      <c r="U239" s="2" t="str">
        <f>KENNEDY!T16</f>
        <v/>
      </c>
      <c r="V239" s="2" t="str">
        <f>KENNEDY!U16</f>
        <v/>
      </c>
      <c r="W239" s="2" t="str">
        <f>KENNEDY!V16</f>
        <v/>
      </c>
      <c r="X239" s="2" t="str">
        <f>KENNEDY!W16</f>
        <v/>
      </c>
      <c r="Y239" s="2" t="str">
        <f>KENNEDY!X16</f>
        <v/>
      </c>
      <c r="Z239" s="2" t="str">
        <f>KENNEDY!Y16</f>
        <v/>
      </c>
      <c r="AA239" s="2" t="str">
        <f>KENNEDY!Z16</f>
        <v/>
      </c>
      <c r="AB239" s="2" t="str">
        <f>KENNEDY!AA16</f>
        <v/>
      </c>
      <c r="AC239" s="2" t="str">
        <f>KENNEDY!AB16</f>
        <v/>
      </c>
      <c r="AD239" s="2" t="str">
        <f>KENNEDY!AC16</f>
        <v/>
      </c>
      <c r="AE239" s="2" t="str">
        <f>KENNEDY!AD16</f>
        <v/>
      </c>
      <c r="AF239" s="2">
        <f>KENNEDY!AE16</f>
        <v>0</v>
      </c>
      <c r="AG239" s="2">
        <f>KENNEDY!AF16</f>
        <v>0</v>
      </c>
      <c r="AH239" s="2">
        <f>KENNEDY!AG16</f>
        <v>10</v>
      </c>
      <c r="AI239" s="2">
        <f>KENNEDY!AH16</f>
        <v>8</v>
      </c>
      <c r="AJ239" s="2">
        <f>KENNEDY!AI16</f>
        <v>8</v>
      </c>
      <c r="AK239" s="2">
        <f>KENNEDY!AJ16</f>
        <v>0</v>
      </c>
      <c r="AL239" s="2">
        <f>KENNEDY!AK16</f>
        <v>0</v>
      </c>
      <c r="AM239" s="2">
        <f>KENNEDY!AL16</f>
        <v>0</v>
      </c>
      <c r="AN239" s="2">
        <f>KENNEDY!AM16</f>
        <v>11</v>
      </c>
      <c r="AO239" s="2">
        <f>KENNEDY!AN16</f>
        <v>8</v>
      </c>
      <c r="AP239" s="2">
        <f>KENNEDY!AO16</f>
        <v>1</v>
      </c>
      <c r="AQ239" s="2">
        <f>KENNEDY!AP16</f>
        <v>0</v>
      </c>
      <c r="AR239" s="2">
        <f>KENNEDY!AQ16</f>
        <v>0</v>
      </c>
      <c r="AS239" s="2">
        <f>KENNEDY!AR16</f>
        <v>0</v>
      </c>
      <c r="AT239" s="2">
        <f>KENNEDY!AS16</f>
        <v>3</v>
      </c>
      <c r="AU239" s="2">
        <f>KENNEDY!AT15</f>
        <v>15</v>
      </c>
      <c r="AV239" s="2" t="str">
        <f>KENNEDY!AU15</f>
        <v/>
      </c>
      <c r="AW239" s="2">
        <f>KENNEDY!AV15</f>
        <v>0</v>
      </c>
      <c r="AX239" s="2">
        <f>KENNEDY!AW15</f>
        <v>17</v>
      </c>
      <c r="AY239" s="2">
        <f>KENNEDY!AX15</f>
        <v>0</v>
      </c>
      <c r="AZ239" s="2" t="str">
        <f>KENNEDY!AY15</f>
        <v/>
      </c>
      <c r="BA239" s="2" t="str">
        <f>KENNEDY!AZ15</f>
        <v/>
      </c>
      <c r="BB239" s="2" t="str">
        <f>KENNEDY!BA15</f>
        <v/>
      </c>
      <c r="BC239" s="2" t="str">
        <f>KENNEDY!BB15</f>
        <v/>
      </c>
      <c r="BD239" s="2" t="str">
        <f>KENNEDY!BC15</f>
        <v/>
      </c>
      <c r="BE239" s="2" t="str">
        <f>KENNEDY!BJ17</f>
        <v/>
      </c>
      <c r="BF239" s="2" t="str">
        <f>KENNEDY!BK17</f>
        <v/>
      </c>
      <c r="BG239" s="2" t="str">
        <f>KENNEDY!BL17</f>
        <v/>
      </c>
      <c r="BH239" s="2" t="str">
        <f>KENNEDY!BM17</f>
        <v/>
      </c>
      <c r="BI239" s="2" t="str">
        <f>KENNEDY!BN17</f>
        <v/>
      </c>
      <c r="BJ239" s="2" t="str">
        <f>KENNEDY!BO17</f>
        <v/>
      </c>
      <c r="BK239" s="2" t="str">
        <f>KENNEDY!BP17</f>
        <v/>
      </c>
      <c r="BL239" s="2" t="str">
        <f>KENNEDY!BQ17</f>
        <v/>
      </c>
      <c r="BM239" s="2" t="str">
        <f>KENNEDY!BR17</f>
        <v/>
      </c>
      <c r="BN239" s="2" t="str">
        <f>KENNEDY!BS17</f>
        <v/>
      </c>
      <c r="BO239" s="2" t="str">
        <f>KENNEDY!BT17</f>
        <v/>
      </c>
      <c r="BP239" s="2" t="str">
        <f>KENNEDY!BU17</f>
        <v/>
      </c>
      <c r="BQ239" s="2" t="str">
        <f>KENNEDY!BV17</f>
        <v/>
      </c>
      <c r="BR239" s="2" t="str">
        <f>KENNEDY!BW17</f>
        <v/>
      </c>
      <c r="BS239" s="2" t="str">
        <f>KENNEDY!BX17</f>
        <v/>
      </c>
      <c r="BT239" s="2" t="str">
        <f>KENNEDY!BY17</f>
        <v/>
      </c>
      <c r="BU239" s="2"/>
      <c r="BV239" s="2"/>
      <c r="BW239" s="2"/>
      <c r="BX239" s="2"/>
      <c r="BY239" s="2"/>
      <c r="BZ239" s="2"/>
      <c r="CA239" s="2"/>
      <c r="CB239" s="2"/>
      <c r="CC239" s="2"/>
    </row>
    <row r="240">
      <c r="A240" s="2"/>
      <c r="B240" s="2" t="str">
        <f>KENNEDY!A17</f>
        <v>Kennedy</v>
      </c>
      <c r="C240" s="2" t="str">
        <f>KENNEDY!B17</f>
        <v>Aseo</v>
      </c>
      <c r="D240" s="2" t="str">
        <f>KENNEDY!C17</f>
        <v>Bolsas Basura 80x110</v>
      </c>
      <c r="E240" s="2" t="str">
        <f>KENNEDY!D17</f>
        <v/>
      </c>
      <c r="F240" s="2" t="str">
        <f>KENNEDY!E17</f>
        <v/>
      </c>
      <c r="G240" s="2" t="str">
        <f>KENNEDY!F17</f>
        <v/>
      </c>
      <c r="H240" s="2" t="str">
        <f>KENNEDY!G17</f>
        <v/>
      </c>
      <c r="I240" s="2" t="str">
        <f>KENNEDY!H17</f>
        <v/>
      </c>
      <c r="J240" s="2" t="str">
        <f>KENNEDY!I17</f>
        <v/>
      </c>
      <c r="K240" s="2" t="str">
        <f>KENNEDY!J17</f>
        <v/>
      </c>
      <c r="L240" s="2" t="str">
        <f>KENNEDY!K17</f>
        <v/>
      </c>
      <c r="M240" s="2" t="str">
        <f>KENNEDY!L17</f>
        <v/>
      </c>
      <c r="N240" s="2" t="str">
        <f>KENNEDY!M17</f>
        <v/>
      </c>
      <c r="O240" s="2" t="str">
        <f>KENNEDY!N17</f>
        <v/>
      </c>
      <c r="P240" s="2" t="str">
        <f>KENNEDY!O17</f>
        <v/>
      </c>
      <c r="Q240" s="2" t="str">
        <f>KENNEDY!P17</f>
        <v/>
      </c>
      <c r="R240" s="2" t="str">
        <f>KENNEDY!Q17</f>
        <v/>
      </c>
      <c r="S240" s="2" t="str">
        <f>KENNEDY!R17</f>
        <v/>
      </c>
      <c r="T240" s="2" t="str">
        <f>KENNEDY!S17</f>
        <v/>
      </c>
      <c r="U240" s="2" t="str">
        <f>KENNEDY!T17</f>
        <v/>
      </c>
      <c r="V240" s="2" t="str">
        <f>KENNEDY!U17</f>
        <v/>
      </c>
      <c r="W240" s="2" t="str">
        <f>KENNEDY!V17</f>
        <v/>
      </c>
      <c r="X240" s="2" t="str">
        <f>KENNEDY!W17</f>
        <v/>
      </c>
      <c r="Y240" s="2" t="str">
        <f>KENNEDY!X17</f>
        <v/>
      </c>
      <c r="Z240" s="2" t="str">
        <f>KENNEDY!Y17</f>
        <v/>
      </c>
      <c r="AA240" s="2" t="str">
        <f>KENNEDY!Z17</f>
        <v/>
      </c>
      <c r="AB240" s="2" t="str">
        <f>KENNEDY!AA17</f>
        <v/>
      </c>
      <c r="AC240" s="2" t="str">
        <f>KENNEDY!AB17</f>
        <v/>
      </c>
      <c r="AD240" s="2" t="str">
        <f>KENNEDY!AC17</f>
        <v/>
      </c>
      <c r="AE240" s="2" t="str">
        <f>KENNEDY!AD17</f>
        <v/>
      </c>
      <c r="AF240" s="2">
        <f>KENNEDY!AE17</f>
        <v>12</v>
      </c>
      <c r="AG240" s="2">
        <f>KENNEDY!AF17</f>
        <v>2</v>
      </c>
      <c r="AH240" s="2">
        <f>KENNEDY!AG17</f>
        <v>14</v>
      </c>
      <c r="AI240" s="2">
        <f>KENNEDY!AH17</f>
        <v>14</v>
      </c>
      <c r="AJ240" s="2">
        <f>KENNEDY!AI17</f>
        <v>14</v>
      </c>
      <c r="AK240" s="2">
        <f>KENNEDY!AJ17</f>
        <v>4</v>
      </c>
      <c r="AL240" s="2">
        <f>KENNEDY!AK17</f>
        <v>1</v>
      </c>
      <c r="AM240" s="2">
        <f>KENNEDY!AL17</f>
        <v>1</v>
      </c>
      <c r="AN240" s="2">
        <f>KENNEDY!AM17</f>
        <v>7</v>
      </c>
      <c r="AO240" s="2">
        <f>KENNEDY!AN17</f>
        <v>7</v>
      </c>
      <c r="AP240" s="2">
        <f>KENNEDY!AO17</f>
        <v>12</v>
      </c>
      <c r="AQ240" s="2">
        <f>KENNEDY!AP17</f>
        <v>18</v>
      </c>
      <c r="AR240" s="2">
        <f>KENNEDY!AQ17</f>
        <v>14</v>
      </c>
      <c r="AS240" s="2">
        <f>KENNEDY!AR17</f>
        <v>14</v>
      </c>
      <c r="AT240" s="2">
        <f>KENNEDY!AS17</f>
        <v>20</v>
      </c>
      <c r="AU240" s="2">
        <f>KENNEDY!AT16</f>
        <v>0</v>
      </c>
      <c r="AV240" s="2" t="str">
        <f>KENNEDY!AU16</f>
        <v/>
      </c>
      <c r="AW240" s="2">
        <f>KENNEDY!AV16</f>
        <v>0</v>
      </c>
      <c r="AX240" s="2">
        <f>KENNEDY!AW16</f>
        <v>0</v>
      </c>
      <c r="AY240" s="2">
        <f>KENNEDY!AX16</f>
        <v>0</v>
      </c>
      <c r="AZ240" s="2" t="str">
        <f>KENNEDY!AY16</f>
        <v/>
      </c>
      <c r="BA240" s="2" t="str">
        <f>KENNEDY!AZ16</f>
        <v/>
      </c>
      <c r="BB240" s="2" t="str">
        <f>KENNEDY!BA16</f>
        <v/>
      </c>
      <c r="BC240" s="2" t="str">
        <f>KENNEDY!BB16</f>
        <v/>
      </c>
      <c r="BD240" s="2" t="str">
        <f>KENNEDY!BC16</f>
        <v/>
      </c>
      <c r="BE240" s="2" t="str">
        <f>KENNEDY!BJ18</f>
        <v/>
      </c>
      <c r="BF240" s="2" t="str">
        <f>KENNEDY!BK18</f>
        <v/>
      </c>
      <c r="BG240" s="2" t="str">
        <f>KENNEDY!BL18</f>
        <v/>
      </c>
      <c r="BH240" s="2" t="str">
        <f>KENNEDY!BM18</f>
        <v/>
      </c>
      <c r="BI240" s="2" t="str">
        <f>KENNEDY!BN18</f>
        <v/>
      </c>
      <c r="BJ240" s="2" t="str">
        <f>KENNEDY!BO18</f>
        <v/>
      </c>
      <c r="BK240" s="2" t="str">
        <f>KENNEDY!BP18</f>
        <v/>
      </c>
      <c r="BL240" s="2" t="str">
        <f>KENNEDY!BQ18</f>
        <v/>
      </c>
      <c r="BM240" s="2" t="str">
        <f>KENNEDY!BR18</f>
        <v/>
      </c>
      <c r="BN240" s="2" t="str">
        <f>KENNEDY!BS18</f>
        <v/>
      </c>
      <c r="BO240" s="2" t="str">
        <f>KENNEDY!BT18</f>
        <v/>
      </c>
      <c r="BP240" s="2" t="str">
        <f>KENNEDY!BU18</f>
        <v/>
      </c>
      <c r="BQ240" s="2" t="str">
        <f>KENNEDY!BV18</f>
        <v/>
      </c>
      <c r="BR240" s="2" t="str">
        <f>KENNEDY!BW18</f>
        <v/>
      </c>
      <c r="BS240" s="2" t="str">
        <f>KENNEDY!BX18</f>
        <v/>
      </c>
      <c r="BT240" s="2" t="str">
        <f>KENNEDY!BY18</f>
        <v/>
      </c>
      <c r="BU240" s="2"/>
      <c r="BV240" s="2"/>
      <c r="BW240" s="2"/>
      <c r="BX240" s="2"/>
      <c r="BY240" s="2"/>
      <c r="BZ240" s="2"/>
      <c r="CA240" s="2"/>
      <c r="CB240" s="2"/>
      <c r="CC240" s="2"/>
    </row>
    <row r="241">
      <c r="A241" s="2"/>
      <c r="B241" s="2" t="str">
        <f>KENNEDY!A18</f>
        <v>Kennedy</v>
      </c>
      <c r="C241" s="2" t="str">
        <f>KENNEDY!B18</f>
        <v>Aseo</v>
      </c>
      <c r="D241" s="2" t="str">
        <f>KENNEDY!C18</f>
        <v>Esponja 4U</v>
      </c>
      <c r="E241" s="2" t="str">
        <f>KENNEDY!D18</f>
        <v/>
      </c>
      <c r="F241" s="2" t="str">
        <f>KENNEDY!E18</f>
        <v/>
      </c>
      <c r="G241" s="2" t="str">
        <f>KENNEDY!F18</f>
        <v/>
      </c>
      <c r="H241" s="2" t="str">
        <f>KENNEDY!G18</f>
        <v/>
      </c>
      <c r="I241" s="2" t="str">
        <f>KENNEDY!H18</f>
        <v/>
      </c>
      <c r="J241" s="2" t="str">
        <f>KENNEDY!I18</f>
        <v/>
      </c>
      <c r="K241" s="2" t="str">
        <f>KENNEDY!J18</f>
        <v/>
      </c>
      <c r="L241" s="2" t="str">
        <f>KENNEDY!K18</f>
        <v/>
      </c>
      <c r="M241" s="2" t="str">
        <f>KENNEDY!L18</f>
        <v/>
      </c>
      <c r="N241" s="2" t="str">
        <f>KENNEDY!M18</f>
        <v/>
      </c>
      <c r="O241" s="2" t="str">
        <f>KENNEDY!N18</f>
        <v/>
      </c>
      <c r="P241" s="2" t="str">
        <f>KENNEDY!O18</f>
        <v/>
      </c>
      <c r="Q241" s="2" t="str">
        <f>KENNEDY!P18</f>
        <v/>
      </c>
      <c r="R241" s="2" t="str">
        <f>KENNEDY!Q18</f>
        <v>-</v>
      </c>
      <c r="S241" s="2" t="str">
        <f>KENNEDY!R18</f>
        <v>-</v>
      </c>
      <c r="T241" s="2" t="str">
        <f>KENNEDY!S18</f>
        <v>-</v>
      </c>
      <c r="U241" s="2" t="str">
        <f>KENNEDY!T18</f>
        <v>-</v>
      </c>
      <c r="V241" s="2" t="str">
        <f>KENNEDY!U18</f>
        <v>-</v>
      </c>
      <c r="W241" s="2" t="str">
        <f>KENNEDY!V18</f>
        <v>-</v>
      </c>
      <c r="X241" s="2" t="str">
        <f>KENNEDY!W18</f>
        <v>-</v>
      </c>
      <c r="Y241" s="2" t="str">
        <f>KENNEDY!X18</f>
        <v>-</v>
      </c>
      <c r="Z241" s="2" t="str">
        <f>KENNEDY!Y18</f>
        <v/>
      </c>
      <c r="AA241" s="2">
        <f>KENNEDY!Z18</f>
        <v>4</v>
      </c>
      <c r="AB241" s="2">
        <f>KENNEDY!AA18</f>
        <v>3</v>
      </c>
      <c r="AC241" s="2">
        <f>KENNEDY!AB18</f>
        <v>3</v>
      </c>
      <c r="AD241" s="2">
        <f>KENNEDY!AC18</f>
        <v>0</v>
      </c>
      <c r="AE241" s="2">
        <f>KENNEDY!AD18</f>
        <v>0</v>
      </c>
      <c r="AF241" s="2">
        <f>KENNEDY!AE18</f>
        <v>0</v>
      </c>
      <c r="AG241" s="2">
        <f>KENNEDY!AF18</f>
        <v>0</v>
      </c>
      <c r="AH241" s="2">
        <f>KENNEDY!AG18</f>
        <v>1</v>
      </c>
      <c r="AI241" s="2">
        <f>KENNEDY!AH18</f>
        <v>0</v>
      </c>
      <c r="AJ241" s="2">
        <f>KENNEDY!AI18</f>
        <v>0</v>
      </c>
      <c r="AK241" s="2">
        <f>KENNEDY!AJ18</f>
        <v>0</v>
      </c>
      <c r="AL241" s="2">
        <f>KENNEDY!AK18</f>
        <v>0</v>
      </c>
      <c r="AM241" s="2">
        <f>KENNEDY!AL18</f>
        <v>0</v>
      </c>
      <c r="AN241" s="2">
        <f>KENNEDY!AM18</f>
        <v>0</v>
      </c>
      <c r="AO241" s="2">
        <f>KENNEDY!AN18</f>
        <v>0</v>
      </c>
      <c r="AP241" s="2">
        <f>KENNEDY!AO18</f>
        <v>0</v>
      </c>
      <c r="AQ241" s="2">
        <f>KENNEDY!AP18</f>
        <v>0</v>
      </c>
      <c r="AR241" s="2">
        <f>KENNEDY!AQ18</f>
        <v>0</v>
      </c>
      <c r="AS241" s="2">
        <f>KENNEDY!AR18</f>
        <v>0</v>
      </c>
      <c r="AT241" s="2">
        <f>KENNEDY!AS18</f>
        <v>3</v>
      </c>
      <c r="AU241" s="2">
        <f>KENNEDY!AT17</f>
        <v>17</v>
      </c>
      <c r="AV241" s="2" t="str">
        <f>KENNEDY!AU17</f>
        <v/>
      </c>
      <c r="AW241" s="2">
        <f>KENNEDY!AV17</f>
        <v>0</v>
      </c>
      <c r="AX241" s="2">
        <f>KENNEDY!AW17</f>
        <v>2</v>
      </c>
      <c r="AY241" s="2">
        <f>KENNEDY!AX17</f>
        <v>0</v>
      </c>
      <c r="AZ241" s="2" t="str">
        <f>KENNEDY!AY17</f>
        <v/>
      </c>
      <c r="BA241" s="2" t="str">
        <f>KENNEDY!AZ17</f>
        <v/>
      </c>
      <c r="BB241" s="2" t="str">
        <f>KENNEDY!BA17</f>
        <v/>
      </c>
      <c r="BC241" s="2" t="str">
        <f>KENNEDY!BB17</f>
        <v/>
      </c>
      <c r="BD241" s="2" t="str">
        <f>KENNEDY!BC17</f>
        <v/>
      </c>
      <c r="BE241" s="2" t="str">
        <f>KENNEDY!BJ19</f>
        <v/>
      </c>
      <c r="BF241" s="2" t="str">
        <f>KENNEDY!BK19</f>
        <v/>
      </c>
      <c r="BG241" s="2" t="str">
        <f>KENNEDY!BL19</f>
        <v/>
      </c>
      <c r="BH241" s="2" t="str">
        <f>KENNEDY!BM19</f>
        <v/>
      </c>
      <c r="BI241" s="2" t="str">
        <f>KENNEDY!BN19</f>
        <v/>
      </c>
      <c r="BJ241" s="2" t="str">
        <f>KENNEDY!BO19</f>
        <v/>
      </c>
      <c r="BK241" s="2" t="str">
        <f>KENNEDY!BP19</f>
        <v/>
      </c>
      <c r="BL241" s="2" t="str">
        <f>KENNEDY!BQ19</f>
        <v/>
      </c>
      <c r="BM241" s="2" t="str">
        <f>KENNEDY!BR19</f>
        <v/>
      </c>
      <c r="BN241" s="2" t="str">
        <f>KENNEDY!BS19</f>
        <v/>
      </c>
      <c r="BO241" s="2" t="str">
        <f>KENNEDY!BT19</f>
        <v/>
      </c>
      <c r="BP241" s="2" t="str">
        <f>KENNEDY!BU19</f>
        <v/>
      </c>
      <c r="BQ241" s="2" t="str">
        <f>KENNEDY!BV19</f>
        <v/>
      </c>
      <c r="BR241" s="2" t="str">
        <f>KENNEDY!BW19</f>
        <v/>
      </c>
      <c r="BS241" s="2" t="str">
        <f>KENNEDY!BX19</f>
        <v/>
      </c>
      <c r="BT241" s="2" t="str">
        <f>KENNEDY!BY19</f>
        <v/>
      </c>
      <c r="BU241" s="2"/>
      <c r="BV241" s="2"/>
      <c r="BW241" s="2"/>
      <c r="BX241" s="2"/>
      <c r="BY241" s="2"/>
      <c r="BZ241" s="2"/>
      <c r="CA241" s="2"/>
      <c r="CB241" s="2"/>
      <c r="CC241" s="2"/>
    </row>
    <row r="242">
      <c r="A242" s="2"/>
      <c r="B242" s="2" t="str">
        <f>KENNEDY!A19</f>
        <v>Kennedy</v>
      </c>
      <c r="C242" s="2" t="str">
        <f>KENNEDY!B19</f>
        <v>Aseo</v>
      </c>
      <c r="D242" s="2" t="str">
        <f>KENNEDY!C19</f>
        <v>Mopa Redonda</v>
      </c>
      <c r="E242" s="2" t="str">
        <f>KENNEDY!D19</f>
        <v/>
      </c>
      <c r="F242" s="2" t="str">
        <f>KENNEDY!E19</f>
        <v/>
      </c>
      <c r="G242" s="2" t="str">
        <f>KENNEDY!F19</f>
        <v/>
      </c>
      <c r="H242" s="2" t="str">
        <f>KENNEDY!G19</f>
        <v/>
      </c>
      <c r="I242" s="2" t="str">
        <f>KENNEDY!H19</f>
        <v/>
      </c>
      <c r="J242" s="2" t="str">
        <f>KENNEDY!I19</f>
        <v/>
      </c>
      <c r="K242" s="2" t="str">
        <f>KENNEDY!J19</f>
        <v/>
      </c>
      <c r="L242" s="2" t="str">
        <f>KENNEDY!K19</f>
        <v/>
      </c>
      <c r="M242" s="2" t="str">
        <f>KENNEDY!L19</f>
        <v/>
      </c>
      <c r="N242" s="2" t="str">
        <f>KENNEDY!M19</f>
        <v/>
      </c>
      <c r="O242" s="2" t="str">
        <f>KENNEDY!N19</f>
        <v/>
      </c>
      <c r="P242" s="2" t="str">
        <f>KENNEDY!O19</f>
        <v/>
      </c>
      <c r="Q242" s="2" t="str">
        <f>KENNEDY!P19</f>
        <v/>
      </c>
      <c r="R242" s="2" t="str">
        <f>KENNEDY!Q19</f>
        <v>-</v>
      </c>
      <c r="S242" s="2" t="str">
        <f>KENNEDY!R19</f>
        <v>-</v>
      </c>
      <c r="T242" s="2" t="str">
        <f>KENNEDY!S19</f>
        <v>-</v>
      </c>
      <c r="U242" s="2" t="str">
        <f>KENNEDY!T19</f>
        <v>-</v>
      </c>
      <c r="V242" s="2" t="str">
        <f>KENNEDY!U19</f>
        <v>-</v>
      </c>
      <c r="W242" s="2" t="str">
        <f>KENNEDY!V19</f>
        <v>-</v>
      </c>
      <c r="X242" s="2" t="str">
        <f>KENNEDY!W19</f>
        <v>-</v>
      </c>
      <c r="Y242" s="2" t="str">
        <f>KENNEDY!X19</f>
        <v>-</v>
      </c>
      <c r="Z242" s="2" t="str">
        <f>KENNEDY!Y19</f>
        <v/>
      </c>
      <c r="AA242" s="2">
        <f>KENNEDY!Z19</f>
        <v>7</v>
      </c>
      <c r="AB242" s="2">
        <f>KENNEDY!AA19</f>
        <v>8</v>
      </c>
      <c r="AC242" s="2">
        <f>KENNEDY!AB19</f>
        <v>7</v>
      </c>
      <c r="AD242" s="2">
        <f>KENNEDY!AC19</f>
        <v>4</v>
      </c>
      <c r="AE242" s="2">
        <f>KENNEDY!AD19</f>
        <v>4</v>
      </c>
      <c r="AF242" s="2">
        <f>KENNEDY!AE19</f>
        <v>3</v>
      </c>
      <c r="AG242" s="2">
        <f>KENNEDY!AF19</f>
        <v>2</v>
      </c>
      <c r="AH242" s="2">
        <f>KENNEDY!AG19</f>
        <v>6</v>
      </c>
      <c r="AI242" s="2">
        <f>KENNEDY!AH19</f>
        <v>3</v>
      </c>
      <c r="AJ242" s="2">
        <f>KENNEDY!AI19</f>
        <v>1</v>
      </c>
      <c r="AK242" s="2">
        <f>KENNEDY!AJ19</f>
        <v>0</v>
      </c>
      <c r="AL242" s="2">
        <f>KENNEDY!AK19</f>
        <v>0</v>
      </c>
      <c r="AM242" s="2">
        <f>KENNEDY!AL19</f>
        <v>0</v>
      </c>
      <c r="AN242" s="2">
        <f>KENNEDY!AM19</f>
        <v>6</v>
      </c>
      <c r="AO242" s="2">
        <f>KENNEDY!AN19</f>
        <v>4</v>
      </c>
      <c r="AP242" s="2">
        <f>KENNEDY!AO19</f>
        <v>7</v>
      </c>
      <c r="AQ242" s="2">
        <f>KENNEDY!AP19</f>
        <v>9</v>
      </c>
      <c r="AR242" s="2">
        <f>KENNEDY!AQ19</f>
        <v>9</v>
      </c>
      <c r="AS242" s="2">
        <f>KENNEDY!AR19</f>
        <v>7</v>
      </c>
      <c r="AT242" s="2">
        <f>KENNEDY!AS19</f>
        <v>7</v>
      </c>
      <c r="AU242" s="2">
        <f>KENNEDY!AT18</f>
        <v>3</v>
      </c>
      <c r="AV242" s="2" t="str">
        <f>KENNEDY!AU18</f>
        <v/>
      </c>
      <c r="AW242" s="2">
        <f>KENNEDY!AV18</f>
        <v>0</v>
      </c>
      <c r="AX242" s="2">
        <f>KENNEDY!AW18</f>
        <v>5</v>
      </c>
      <c r="AY242" s="2">
        <f>KENNEDY!AX18</f>
        <v>1</v>
      </c>
      <c r="AZ242" s="2" t="str">
        <f>KENNEDY!AY18</f>
        <v/>
      </c>
      <c r="BA242" s="2" t="str">
        <f>KENNEDY!AZ18</f>
        <v/>
      </c>
      <c r="BB242" s="2" t="str">
        <f>KENNEDY!BA18</f>
        <v/>
      </c>
      <c r="BC242" s="2" t="str">
        <f>KENNEDY!BB18</f>
        <v/>
      </c>
      <c r="BD242" s="2" t="str">
        <f>KENNEDY!BC18</f>
        <v/>
      </c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</row>
    <row r="243">
      <c r="A243" s="2"/>
      <c r="B243" s="2" t="str">
        <f>KENNEDY!A21</f>
        <v/>
      </c>
      <c r="C243" s="2" t="str">
        <f>KENNEDY!B21</f>
        <v/>
      </c>
      <c r="D243" s="2" t="str">
        <f>KENNEDY!C21</f>
        <v/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 t="str">
        <f>KENNEDY!AJ21</f>
        <v/>
      </c>
      <c r="AL243" s="2" t="str">
        <f>KENNEDY!AK21</f>
        <v/>
      </c>
      <c r="AM243" s="2" t="str">
        <f>KENNEDY!AL21</f>
        <v/>
      </c>
      <c r="AN243" s="2" t="str">
        <f>KENNEDY!AM21</f>
        <v/>
      </c>
      <c r="AO243" s="2" t="str">
        <f>KENNEDY!AN21</f>
        <v/>
      </c>
      <c r="AP243" s="2" t="str">
        <f>KENNEDY!AO21</f>
        <v/>
      </c>
      <c r="AQ243" s="2" t="str">
        <f>KENNEDY!AP21</f>
        <v/>
      </c>
      <c r="AR243" s="2" t="str">
        <f>KENNEDY!BB21</f>
        <v/>
      </c>
      <c r="AS243" s="2" t="str">
        <f>KENNEDY!BC21</f>
        <v/>
      </c>
      <c r="AT243" s="2" t="str">
        <f>KENNEDY!BD21</f>
        <v/>
      </c>
      <c r="AU243" s="2" t="str">
        <f>KENNEDY!BE21</f>
        <v/>
      </c>
      <c r="AV243" s="2" t="str">
        <f>KENNEDY!BF21</f>
        <v/>
      </c>
      <c r="AW243" s="2" t="str">
        <f>KENNEDY!BG21</f>
        <v/>
      </c>
      <c r="AX243" s="2" t="str">
        <f>KENNEDY!BH21</f>
        <v/>
      </c>
      <c r="AY243" s="2" t="str">
        <f>KENNEDY!BI21</f>
        <v/>
      </c>
      <c r="AZ243" s="2" t="str">
        <f>KENNEDY!BJ21</f>
        <v/>
      </c>
      <c r="BA243" s="2" t="str">
        <f>KENNEDY!BK21</f>
        <v/>
      </c>
      <c r="BB243" s="2" t="str">
        <f>KENNEDY!BL21</f>
        <v/>
      </c>
      <c r="BC243" s="2" t="str">
        <f>KENNEDY!BM21</f>
        <v/>
      </c>
      <c r="BD243" s="2" t="str">
        <f>KENNEDY!BN21</f>
        <v/>
      </c>
      <c r="BE243" s="2" t="str">
        <f>KENNEDY!BO21</f>
        <v/>
      </c>
      <c r="BF243" s="2" t="str">
        <f>KENNEDY!BP21</f>
        <v/>
      </c>
      <c r="BG243" s="2" t="str">
        <f>KENNEDY!BQ21</f>
        <v/>
      </c>
      <c r="BH243" s="2" t="str">
        <f>KENNEDY!BR21</f>
        <v/>
      </c>
      <c r="BI243" s="2" t="str">
        <f>KENNEDY!BS21</f>
        <v/>
      </c>
      <c r="BJ243" s="2" t="str">
        <f>KENNEDY!BT21</f>
        <v/>
      </c>
      <c r="BK243" s="2" t="str">
        <f>KENNEDY!BU21</f>
        <v/>
      </c>
      <c r="BL243" s="2" t="str">
        <f>KENNEDY!BV21</f>
        <v/>
      </c>
      <c r="BM243" s="2" t="str">
        <f>KENNEDY!BW21</f>
        <v/>
      </c>
      <c r="BN243" s="2" t="str">
        <f>KENNEDY!BX21</f>
        <v/>
      </c>
      <c r="BO243" s="2" t="str">
        <f>KENNEDY!BY21</f>
        <v/>
      </c>
      <c r="BP243" s="2" t="str">
        <f>KENNEDY!BZ21</f>
        <v/>
      </c>
      <c r="BQ243" s="2" t="str">
        <f>KENNEDY!CA21</f>
        <v/>
      </c>
      <c r="BR243" s="2" t="str">
        <f>KENNEDY!CB21</f>
        <v/>
      </c>
      <c r="BS243" s="2" t="str">
        <f>KENNEDY!CC21</f>
        <v/>
      </c>
      <c r="BT243" s="2" t="str">
        <f>KENNEDY!CD21</f>
        <v/>
      </c>
      <c r="BU243" s="2"/>
      <c r="BV243" s="2"/>
      <c r="BW243" s="2"/>
      <c r="BX243" s="2"/>
      <c r="BY243" s="2"/>
      <c r="BZ243" s="2"/>
      <c r="CA243" s="2"/>
      <c r="CB243" s="2"/>
      <c r="CC243" s="2"/>
    </row>
    <row r="244">
      <c r="A244" s="2"/>
      <c r="B244" s="2" t="str">
        <f>'NUEVA LAS CONDES'!A2</f>
        <v/>
      </c>
      <c r="C244" s="2" t="str">
        <f>'NUEVA LAS CONDES'!B2</f>
        <v/>
      </c>
      <c r="D244" s="14" t="str">
        <f>'NUEVA LAS CONDES'!C2</f>
        <v/>
      </c>
      <c r="E244" s="14">
        <f>'NUEVA LAS CONDES'!D2</f>
        <v>45811</v>
      </c>
      <c r="F244" s="14">
        <f>'NUEVA LAS CONDES'!E2</f>
        <v>45817</v>
      </c>
      <c r="G244" s="14">
        <f>'NUEVA LAS CONDES'!F2</f>
        <v>45824</v>
      </c>
      <c r="H244" s="14">
        <f>'NUEVA LAS CONDES'!G2</f>
        <v>45831</v>
      </c>
      <c r="I244" s="14">
        <f>'NUEVA LAS CONDES'!H2</f>
        <v>45838</v>
      </c>
      <c r="J244" s="14">
        <f>'NUEVA LAS CONDES'!I2</f>
        <v>45845</v>
      </c>
      <c r="K244" s="14">
        <f>'NUEVA LAS CONDES'!J2</f>
        <v>45852</v>
      </c>
      <c r="L244" s="14">
        <f>'NUEVA LAS CONDES'!K2</f>
        <v>45859</v>
      </c>
      <c r="M244" s="14">
        <f>'NUEVA LAS CONDES'!L2</f>
        <v>45866</v>
      </c>
      <c r="N244" s="14">
        <f>'NUEVA LAS CONDES'!M2</f>
        <v>45873</v>
      </c>
      <c r="O244" s="14">
        <f>'NUEVA LAS CONDES'!N2</f>
        <v>45880</v>
      </c>
      <c r="P244" s="14">
        <f>'NUEVA LAS CONDES'!O2</f>
        <v>45887</v>
      </c>
      <c r="Q244" s="14">
        <f>'NUEVA LAS CONDES'!P2</f>
        <v>45894</v>
      </c>
      <c r="R244" s="14">
        <f>'NUEVA LAS CONDES'!Q2</f>
        <v>45901</v>
      </c>
      <c r="S244" s="14">
        <f>'NUEVA LAS CONDES'!R2</f>
        <v>45908</v>
      </c>
      <c r="T244" s="14">
        <f>'NUEVA LAS CONDES'!S2</f>
        <v>45915</v>
      </c>
      <c r="U244" s="14">
        <f>'NUEVA LAS CONDES'!T2</f>
        <v>45915</v>
      </c>
      <c r="V244" s="14">
        <f>'NUEVA LAS CONDES'!U2</f>
        <v>45929</v>
      </c>
      <c r="W244" s="14">
        <f>'NUEVA LAS CONDES'!V2</f>
        <v>45936</v>
      </c>
      <c r="X244" s="14">
        <f>'NUEVA LAS CONDES'!W2</f>
        <v>45943</v>
      </c>
      <c r="Y244" s="14">
        <f>'NUEVA LAS CONDES'!X2</f>
        <v>45950</v>
      </c>
      <c r="Z244" s="14">
        <f>'NUEVA LAS CONDES'!Y2</f>
        <v>45957</v>
      </c>
      <c r="AA244" s="14">
        <f>'NUEVA LAS CONDES'!Z2</f>
        <v>45964</v>
      </c>
      <c r="AB244" s="14">
        <f>'NUEVA LAS CONDES'!AA2</f>
        <v>45971</v>
      </c>
      <c r="AC244" s="14">
        <f>'NUEVA LAS CONDES'!AB2</f>
        <v>45978</v>
      </c>
      <c r="AD244" s="14">
        <f>'NUEVA LAS CONDES'!AC2</f>
        <v>45985</v>
      </c>
      <c r="AE244" s="14">
        <f>'NUEVA LAS CONDES'!AD2</f>
        <v>45986</v>
      </c>
      <c r="AF244" s="14">
        <f>'NUEVA LAS CONDES'!AE2</f>
        <v>45992</v>
      </c>
      <c r="AG244" s="14">
        <f>'NUEVA LAS CONDES'!AF2</f>
        <v>45993</v>
      </c>
      <c r="AH244" s="14">
        <f>'NUEVA LAS CONDES'!AG2</f>
        <v>45995</v>
      </c>
      <c r="AI244" s="14">
        <f>'NUEVA LAS CONDES'!AH2</f>
        <v>46000</v>
      </c>
      <c r="AJ244" s="14">
        <f>'NUEVA LAS CONDES'!AI2</f>
        <v>46002</v>
      </c>
      <c r="AK244" s="14">
        <f>'NUEVA LAS CONDES'!AJ2</f>
        <v>46006</v>
      </c>
      <c r="AL244" s="14">
        <f>'NUEVA LAS CONDES'!AK2</f>
        <v>46009</v>
      </c>
      <c r="AM244" s="14">
        <f>'NUEVA LAS CONDES'!AL2</f>
        <v>46010</v>
      </c>
      <c r="AN244" s="14">
        <f>'NUEVA LAS CONDES'!AM2</f>
        <v>46013</v>
      </c>
      <c r="AO244" s="14">
        <f>'NUEVA LAS CONDES'!AN2</f>
        <v>46020</v>
      </c>
      <c r="AP244" s="14">
        <f>'NUEVA LAS CONDES'!AO2</f>
        <v>46027</v>
      </c>
      <c r="AQ244" s="14">
        <f>'NUEVA LAS CONDES'!AP2</f>
        <v>46030</v>
      </c>
      <c r="AR244" s="14">
        <f>'NUEVA LAS CONDES'!AQ2</f>
        <v>46034</v>
      </c>
      <c r="AS244" s="14">
        <f>'NUEVA LAS CONDES'!AR2</f>
        <v>46035</v>
      </c>
      <c r="AT244" s="14">
        <f>'NUEVA LAS CONDES'!AS2</f>
        <v>46037</v>
      </c>
      <c r="AU244" s="14">
        <f>'NUEVA LAS CONDES'!AT2</f>
        <v>46041</v>
      </c>
      <c r="AV244" s="14">
        <f>'NUEVA LAS CONDES'!AU2</f>
        <v>46044</v>
      </c>
      <c r="AW244" s="14">
        <f>'NUEVA LAS CONDES'!AV2</f>
        <v>46045</v>
      </c>
      <c r="AX244" s="14">
        <f>'NUEVA LAS CONDES'!AW2</f>
        <v>46048</v>
      </c>
      <c r="AY244" s="14">
        <f>'NUEVA LAS CONDES'!AX2</f>
        <v>46049</v>
      </c>
      <c r="AZ244" s="14">
        <f>'NUEVA LAS CONDES'!AY2</f>
        <v>46050</v>
      </c>
      <c r="BA244" s="14">
        <f>'NUEVA LAS CONDES'!AZ2</f>
        <v>46051</v>
      </c>
      <c r="BB244" s="14">
        <f>'NUEVA LAS CONDES'!BA2</f>
        <v>46055</v>
      </c>
      <c r="BC244" s="14">
        <f>'NUEVA LAS CONDES'!BB2</f>
        <v>46058</v>
      </c>
      <c r="BD244" s="14">
        <f>'NUEVA LAS CONDES'!BC2</f>
        <v>46062</v>
      </c>
      <c r="BE244" s="14">
        <f>'NUEVA LAS CONDES'!BD2</f>
        <v>46065</v>
      </c>
      <c r="BF244" s="14">
        <f>'NUEVA LAS CONDES'!BE2</f>
        <v>46069</v>
      </c>
      <c r="BG244" s="14">
        <f>'NUEVA LAS CONDES'!BF2</f>
        <v>46072</v>
      </c>
      <c r="BH244" s="14">
        <f>'NUEVA LAS CONDES'!BG2</f>
        <v>46076</v>
      </c>
      <c r="BI244" s="14">
        <f>'NUEVA LAS CONDES'!BH2</f>
        <v>46079</v>
      </c>
      <c r="BJ244" s="14">
        <f>'NUEVA LAS CONDES'!BI2</f>
        <v>46079</v>
      </c>
      <c r="BK244" s="14">
        <f>'NUEVA LAS CONDES'!BJ2</f>
        <v>46084</v>
      </c>
      <c r="BL244" s="14">
        <f>'NUEVA LAS CONDES'!BK2</f>
        <v>46084</v>
      </c>
      <c r="BM244" s="14">
        <f>'NUEVA LAS CONDES'!BL2</f>
        <v>46097</v>
      </c>
      <c r="BN244" s="14">
        <f>'NUEVA LAS CONDES'!BM2</f>
        <v>46100</v>
      </c>
      <c r="BO244" s="14">
        <f>'NUEVA LAS CONDES'!BN2</f>
        <v>46104</v>
      </c>
      <c r="BP244" s="2" t="str">
        <f>'NUEVA LAS CONDES'!BY2</f>
        <v/>
      </c>
      <c r="BQ244" s="2" t="str">
        <f>'NUEVA LAS CONDES'!BZ2</f>
        <v/>
      </c>
      <c r="BR244" s="2" t="str">
        <f>'NUEVA LAS CONDES'!CA2</f>
        <v/>
      </c>
      <c r="BS244" s="2" t="str">
        <f>'NUEVA LAS CONDES'!CB2</f>
        <v/>
      </c>
      <c r="BT244" s="2" t="str">
        <f>'NUEVA LAS CONDES'!CC2</f>
        <v/>
      </c>
      <c r="BU244" s="2"/>
      <c r="BV244" s="2"/>
      <c r="BW244" s="2"/>
      <c r="BX244" s="2"/>
      <c r="BY244" s="2"/>
      <c r="BZ244" s="2"/>
      <c r="CA244" s="2"/>
      <c r="CB244" s="2"/>
      <c r="CC244" s="2"/>
    </row>
    <row r="245">
      <c r="A245" s="2"/>
      <c r="B245" s="2" t="str">
        <f>'NUEVA LAS CONDES'!A3</f>
        <v>Sede</v>
      </c>
      <c r="C245" s="2" t="str">
        <f>'NUEVA LAS CONDES'!B3</f>
        <v>Proveedor</v>
      </c>
      <c r="D245" s="2" t="str">
        <f>'NUEVA LAS CONDES'!C3</f>
        <v>Producto</v>
      </c>
      <c r="E245" s="2" t="str">
        <f>'NUEVA LAS CONDES'!D3</f>
        <v>Stock Actual</v>
      </c>
      <c r="F245" s="2" t="str">
        <f>'NUEVA LAS CONDES'!E3</f>
        <v>Stock Actual</v>
      </c>
      <c r="G245" s="2" t="str">
        <f>'NUEVA LAS CONDES'!F3</f>
        <v>Stock Actual</v>
      </c>
      <c r="H245" s="2" t="str">
        <f>'NUEVA LAS CONDES'!G3</f>
        <v>Stock Actual</v>
      </c>
      <c r="I245" s="2" t="str">
        <f>'NUEVA LAS CONDES'!H3</f>
        <v>Stock Actual</v>
      </c>
      <c r="J245" s="2" t="str">
        <f>'NUEVA LAS CONDES'!I3</f>
        <v>Stock Actual</v>
      </c>
      <c r="K245" s="2" t="str">
        <f>'NUEVA LAS CONDES'!J3</f>
        <v>Stock Actual</v>
      </c>
      <c r="L245" s="2" t="str">
        <f>'NUEVA LAS CONDES'!K3</f>
        <v>Stock Actual</v>
      </c>
      <c r="M245" s="2" t="str">
        <f>'NUEVA LAS CONDES'!L3</f>
        <v>Stock Actual</v>
      </c>
      <c r="N245" s="2" t="str">
        <f>'NUEVA LAS CONDES'!M3</f>
        <v>Stock Actual</v>
      </c>
      <c r="O245" s="2" t="str">
        <f>'NUEVA LAS CONDES'!N3</f>
        <v>Stock Actual</v>
      </c>
      <c r="P245" s="2" t="str">
        <f>'NUEVA LAS CONDES'!O3</f>
        <v>Stock Actual</v>
      </c>
      <c r="Q245" s="2" t="str">
        <f>'NUEVA LAS CONDES'!P3</f>
        <v>Stock Actual</v>
      </c>
      <c r="R245" s="2" t="str">
        <f>'NUEVA LAS CONDES'!Q3</f>
        <v>Stock Actual</v>
      </c>
      <c r="S245" s="2" t="str">
        <f>'NUEVA LAS CONDES'!R3</f>
        <v>Stock Actual</v>
      </c>
      <c r="T245" s="2" t="str">
        <f>'NUEVA LAS CONDES'!S3</f>
        <v>Stock Actual</v>
      </c>
      <c r="U245" s="2" t="str">
        <f>'NUEVA LAS CONDES'!T3</f>
        <v>Stock Actual</v>
      </c>
      <c r="V245" s="2" t="str">
        <f>'NUEVA LAS CONDES'!U3</f>
        <v>Stock Actual</v>
      </c>
      <c r="W245" s="2" t="str">
        <f>'NUEVA LAS CONDES'!V3</f>
        <v>Stock Actual</v>
      </c>
      <c r="X245" s="2" t="str">
        <f>'NUEVA LAS CONDES'!W3</f>
        <v>Stock Actual</v>
      </c>
      <c r="Y245" s="2" t="str">
        <f>'NUEVA LAS CONDES'!X3</f>
        <v>Stock Actual</v>
      </c>
      <c r="Z245" s="2" t="str">
        <f>'NUEVA LAS CONDES'!Y3</f>
        <v>Stock Actual</v>
      </c>
      <c r="AA245" s="2" t="str">
        <f>'NUEVA LAS CONDES'!Z3</f>
        <v>Stock Actual</v>
      </c>
      <c r="AB245" s="2" t="str">
        <f>'NUEVA LAS CONDES'!AA3</f>
        <v>Stock Actual</v>
      </c>
      <c r="AC245" s="2" t="str">
        <f>'NUEVA LAS CONDES'!AB3</f>
        <v>Stock Actual</v>
      </c>
      <c r="AD245" s="2" t="str">
        <f>'NUEVA LAS CONDES'!AC3</f>
        <v>Stock Actual</v>
      </c>
      <c r="AE245" s="2" t="str">
        <f>'NUEVA LAS CONDES'!AD3</f>
        <v>Stock Actual</v>
      </c>
      <c r="AF245" s="2" t="str">
        <f>'NUEVA LAS CONDES'!AE3</f>
        <v>Stock Actual</v>
      </c>
      <c r="AG245" s="2" t="str">
        <f>'NUEVA LAS CONDES'!AF3</f>
        <v>Stock Actual</v>
      </c>
      <c r="AH245" s="2" t="str">
        <f>'NUEVA LAS CONDES'!AG3</f>
        <v>Stock Actual</v>
      </c>
      <c r="AI245" s="2" t="str">
        <f>'NUEVA LAS CONDES'!AH3</f>
        <v>Stock Actual</v>
      </c>
      <c r="AJ245" s="2" t="str">
        <f>'NUEVA LAS CONDES'!AI3</f>
        <v>Stock Actual</v>
      </c>
      <c r="AK245" s="2" t="str">
        <f>'NUEVA LAS CONDES'!AJ3</f>
        <v>Stock Actual</v>
      </c>
      <c r="AL245" s="2" t="str">
        <f>'NUEVA LAS CONDES'!AK3</f>
        <v>Stock Actual</v>
      </c>
      <c r="AM245" s="2" t="str">
        <f>'NUEVA LAS CONDES'!AL3</f>
        <v>Stock Actual</v>
      </c>
      <c r="AN245" s="2" t="str">
        <f>'NUEVA LAS CONDES'!AM3</f>
        <v>Stock Actual</v>
      </c>
      <c r="AO245" s="2" t="str">
        <f>'NUEVA LAS CONDES'!AN3</f>
        <v>Stock Actual</v>
      </c>
      <c r="AP245" s="2" t="str">
        <f>'NUEVA LAS CONDES'!AO3</f>
        <v>Stock Actual</v>
      </c>
      <c r="AQ245" s="2" t="str">
        <f>'NUEVA LAS CONDES'!AP3</f>
        <v>Stock Actual</v>
      </c>
      <c r="AR245" s="2" t="str">
        <f>'NUEVA LAS CONDES'!AQ3</f>
        <v>Stock Actual</v>
      </c>
      <c r="AS245" s="2" t="str">
        <f>'NUEVA LAS CONDES'!AR3</f>
        <v>Stock Actual</v>
      </c>
      <c r="AT245" s="2" t="str">
        <f>'NUEVA LAS CONDES'!AS3</f>
        <v>Stock Actual</v>
      </c>
      <c r="AU245" s="2" t="str">
        <f>'NUEVA LAS CONDES'!AT3</f>
        <v>Stock Actual</v>
      </c>
      <c r="AV245" s="2" t="str">
        <f>'NUEVA LAS CONDES'!AU3</f>
        <v>Stock Actual</v>
      </c>
      <c r="AW245" s="2" t="str">
        <f>'NUEVA LAS CONDES'!AV3</f>
        <v>Stock Actual</v>
      </c>
      <c r="AX245" s="2" t="str">
        <f>'NUEVA LAS CONDES'!AW3</f>
        <v>Stock Actual</v>
      </c>
      <c r="AY245" s="2" t="str">
        <f>'NUEVA LAS CONDES'!AX3</f>
        <v>Stock Actual</v>
      </c>
      <c r="AZ245" s="2" t="str">
        <f>'NUEVA LAS CONDES'!AY3</f>
        <v>Stock Actual</v>
      </c>
      <c r="BA245" s="2" t="str">
        <f>'NUEVA LAS CONDES'!AZ3</f>
        <v>Stock Actual</v>
      </c>
      <c r="BB245" s="2" t="str">
        <f>'NUEVA LAS CONDES'!BA3</f>
        <v>Stock Actual</v>
      </c>
      <c r="BC245" s="2" t="str">
        <f>'NUEVA LAS CONDES'!BB3</f>
        <v>Stock Actual</v>
      </c>
      <c r="BD245" s="2" t="str">
        <f>'NUEVA LAS CONDES'!BC3</f>
        <v>Stock Actual</v>
      </c>
      <c r="BE245" s="2" t="str">
        <f>'NUEVA LAS CONDES'!BD3</f>
        <v>Stock Actual</v>
      </c>
      <c r="BF245" s="2" t="str">
        <f>'NUEVA LAS CONDES'!BE3</f>
        <v>Stock Actual</v>
      </c>
      <c r="BG245" s="2" t="str">
        <f>'NUEVA LAS CONDES'!BF3</f>
        <v>Stock Actual</v>
      </c>
      <c r="BH245" s="2" t="str">
        <f>'NUEVA LAS CONDES'!BG3</f>
        <v>Stock Actual</v>
      </c>
      <c r="BI245" s="2" t="str">
        <f>'NUEVA LAS CONDES'!BH3</f>
        <v>Stock Actual</v>
      </c>
      <c r="BJ245" s="2" t="str">
        <f>'NUEVA LAS CONDES'!BI3</f>
        <v>Stock Actual</v>
      </c>
      <c r="BK245" s="2" t="str">
        <f>'NUEVA LAS CONDES'!BJ3</f>
        <v>Stock Actual</v>
      </c>
      <c r="BL245" s="2" t="str">
        <f>'NUEVA LAS CONDES'!BK3</f>
        <v>Stock Actual</v>
      </c>
      <c r="BM245" s="2" t="str">
        <f>'NUEVA LAS CONDES'!BL3</f>
        <v>Stock Actual</v>
      </c>
      <c r="BN245" s="2" t="str">
        <f>'NUEVA LAS CONDES'!BM3</f>
        <v>Stock Actual</v>
      </c>
      <c r="BO245" s="2" t="str">
        <f>'NUEVA LAS CONDES'!BN3</f>
        <v>Stock Actual</v>
      </c>
      <c r="BP245" s="2" t="str">
        <f>'NUEVA LAS CONDES'!BO3</f>
        <v/>
      </c>
      <c r="BQ245" s="2" t="str">
        <f>'NUEVA LAS CONDES'!BP3</f>
        <v/>
      </c>
      <c r="BR245" s="2" t="str">
        <f>'NUEVA LAS CONDES'!BQ3</f>
        <v/>
      </c>
      <c r="BS245" s="2" t="str">
        <f>'NUEVA LAS CONDES'!BR3</f>
        <v/>
      </c>
      <c r="BT245" s="2" t="str">
        <f>'NUEVA LAS CONDES'!CC3</f>
        <v/>
      </c>
      <c r="BU245" s="2" t="str">
        <f>'NUEVA LAS CONDES'!CD3</f>
        <v/>
      </c>
      <c r="BV245" s="2" t="str">
        <f>'NUEVA LAS CONDES'!CE3</f>
        <v/>
      </c>
      <c r="BW245" s="2"/>
      <c r="BX245" s="2"/>
      <c r="BY245" s="2"/>
      <c r="BZ245" s="2"/>
      <c r="CA245" s="2"/>
      <c r="CB245" s="2"/>
      <c r="CC245" s="2"/>
    </row>
    <row r="246">
      <c r="A246" s="2"/>
      <c r="B246" s="2" t="str">
        <f>'NUEVA LAS CONDES'!A4</f>
        <v>Nueva Las Condes</v>
      </c>
      <c r="C246" s="2" t="str">
        <f>'NUEVA LAS CONDES'!B4</f>
        <v>Cafe Caribe</v>
      </c>
      <c r="D246" s="2" t="str">
        <f>'NUEVA LAS CONDES'!C4</f>
        <v>Cafe Grano (KG)</v>
      </c>
      <c r="E246" s="2">
        <f>'NUEVA LAS CONDES'!D4</f>
        <v>5</v>
      </c>
      <c r="F246" s="2">
        <f>'NUEVA LAS CONDES'!E4</f>
        <v>3.5</v>
      </c>
      <c r="G246" s="2">
        <f>'NUEVA LAS CONDES'!F4</f>
        <v>1</v>
      </c>
      <c r="H246" s="2">
        <f>'NUEVA LAS CONDES'!G4</f>
        <v>15</v>
      </c>
      <c r="I246" s="2">
        <f>'NUEVA LAS CONDES'!H4</f>
        <v>10</v>
      </c>
      <c r="J246" s="2">
        <f>'NUEVA LAS CONDES'!I4</f>
        <v>15</v>
      </c>
      <c r="K246" s="2">
        <f>'NUEVA LAS CONDES'!J4</f>
        <v>12</v>
      </c>
      <c r="L246" s="2">
        <f>'NUEVA LAS CONDES'!K4</f>
        <v>10</v>
      </c>
      <c r="M246" s="2">
        <f>'NUEVA LAS CONDES'!L4</f>
        <v>8</v>
      </c>
      <c r="N246" s="2">
        <f>'NUEVA LAS CONDES'!M4</f>
        <v>6</v>
      </c>
      <c r="O246" s="2">
        <f>'NUEVA LAS CONDES'!N4</f>
        <v>1</v>
      </c>
      <c r="P246" s="2">
        <f>'NUEVA LAS CONDES'!O4</f>
        <v>11</v>
      </c>
      <c r="Q246" s="2">
        <f>'NUEVA LAS CONDES'!P4</f>
        <v>10</v>
      </c>
      <c r="R246" s="2">
        <f>'NUEVA LAS CONDES'!Q4</f>
        <v>10</v>
      </c>
      <c r="S246" s="2">
        <f>'NUEVA LAS CONDES'!R4</f>
        <v>7</v>
      </c>
      <c r="T246" s="2">
        <f>'NUEVA LAS CONDES'!S4</f>
        <v>5</v>
      </c>
      <c r="U246" s="2">
        <f>'NUEVA LAS CONDES'!T4</f>
        <v>4</v>
      </c>
      <c r="V246" s="2">
        <f>'NUEVA LAS CONDES'!U4</f>
        <v>11</v>
      </c>
      <c r="W246" s="2">
        <f>'NUEVA LAS CONDES'!V4</f>
        <v>8</v>
      </c>
      <c r="X246" s="2">
        <f>'NUEVA LAS CONDES'!W4</f>
        <v>3</v>
      </c>
      <c r="Y246" s="2">
        <f>'NUEVA LAS CONDES'!X4</f>
        <v>3</v>
      </c>
      <c r="Z246" s="2">
        <f>'NUEVA LAS CONDES'!Y4</f>
        <v>13</v>
      </c>
      <c r="AA246" s="2" t="str">
        <f>'NUEVA LAS CONDES'!Z4</f>
        <v/>
      </c>
      <c r="AB246" s="2">
        <f>'NUEVA LAS CONDES'!AA4</f>
        <v>8</v>
      </c>
      <c r="AC246" s="2">
        <f>'NUEVA LAS CONDES'!AB4</f>
        <v>13</v>
      </c>
      <c r="AD246" s="2">
        <f>'NUEVA LAS CONDES'!AC4</f>
        <v>12</v>
      </c>
      <c r="AE246" s="2">
        <f>'NUEVA LAS CONDES'!AD4</f>
        <v>11</v>
      </c>
      <c r="AF246" s="2">
        <f>'NUEVA LAS CONDES'!AE4</f>
        <v>9.5</v>
      </c>
      <c r="AG246" s="2">
        <f>'NUEVA LAS CONDES'!AF4</f>
        <v>9.5</v>
      </c>
      <c r="AH246" s="2">
        <f>'NUEVA LAS CONDES'!AG4</f>
        <v>8.5</v>
      </c>
      <c r="AI246" s="2">
        <f>'NUEVA LAS CONDES'!AH4</f>
        <v>7</v>
      </c>
      <c r="AJ246" s="2">
        <f>'NUEVA LAS CONDES'!AI4</f>
        <v>6</v>
      </c>
      <c r="AK246" s="2">
        <f>'NUEVA LAS CONDES'!AJ4</f>
        <v>5.5</v>
      </c>
      <c r="AL246" s="2">
        <f>'NUEVA LAS CONDES'!AK4</f>
        <v>4.5</v>
      </c>
      <c r="AM246" s="2">
        <f>'NUEVA LAS CONDES'!AL4</f>
        <v>12.5</v>
      </c>
      <c r="AN246" s="2">
        <f>'NUEVA LAS CONDES'!AM4</f>
        <v>12</v>
      </c>
      <c r="AO246" s="2">
        <f>'NUEVA LAS CONDES'!AN4</f>
        <v>11</v>
      </c>
      <c r="AP246" s="2">
        <f>'NUEVA LAS CONDES'!AO4</f>
        <v>10</v>
      </c>
      <c r="AQ246" s="2">
        <f>'NUEVA LAS CONDES'!AP4</f>
        <v>7.5</v>
      </c>
      <c r="AR246" s="2">
        <f>'NUEVA LAS CONDES'!AQ4</f>
        <v>4.5</v>
      </c>
      <c r="AS246" s="2">
        <f>'NUEVA LAS CONDES'!AR4</f>
        <v>3.5</v>
      </c>
      <c r="AT246" s="2">
        <f>'NUEVA LAS CONDES'!AS4</f>
        <v>1.5</v>
      </c>
      <c r="AU246" s="2">
        <f>'NUEVA LAS CONDES'!AT4</f>
        <v>0</v>
      </c>
      <c r="AV246" s="2">
        <f>'NUEVA LAS CONDES'!AU4</f>
        <v>1</v>
      </c>
      <c r="AW246" s="2">
        <f>'NUEVA LAS CONDES'!AV4</f>
        <v>0</v>
      </c>
      <c r="AX246" s="2">
        <f>'NUEVA LAS CONDES'!AW4</f>
        <v>1</v>
      </c>
      <c r="AY246" s="2">
        <f>'NUEVA LAS CONDES'!AX4</f>
        <v>1</v>
      </c>
      <c r="AZ246" s="2">
        <f>'NUEVA LAS CONDES'!AY4</f>
        <v>10</v>
      </c>
      <c r="BA246" s="2">
        <f>'NUEVA LAS CONDES'!AZ4</f>
        <v>8</v>
      </c>
      <c r="BB246" s="2">
        <f>'NUEVA LAS CONDES'!BA4</f>
        <v>6.5</v>
      </c>
      <c r="BC246" s="2">
        <f>'NUEVA LAS CONDES'!BB4</f>
        <v>4.5</v>
      </c>
      <c r="BD246" s="2">
        <f>'NUEVA LAS CONDES'!BC4</f>
        <v>3.5</v>
      </c>
      <c r="BE246" s="2">
        <f>'NUEVA LAS CONDES'!BD4</f>
        <v>1</v>
      </c>
      <c r="BF246" s="2">
        <f>'NUEVA LAS CONDES'!BE4</f>
        <v>9.5</v>
      </c>
      <c r="BG246" s="2">
        <f>'NUEVA LAS CONDES'!BF4</f>
        <v>7.5</v>
      </c>
      <c r="BH246" s="2">
        <f>'NUEVA LAS CONDES'!BG4</f>
        <v>5.5</v>
      </c>
      <c r="BI246" s="2">
        <f>'NUEVA LAS CONDES'!BH4</f>
        <v>4</v>
      </c>
      <c r="BJ246" s="2">
        <f>'NUEVA LAS CONDES'!BI4</f>
        <v>17.5</v>
      </c>
      <c r="BK246" s="2">
        <f>'NUEVA LAS CONDES'!BJ4</f>
        <v>17.5</v>
      </c>
      <c r="BL246" s="2">
        <f>'NUEVA LAS CONDES'!BK4</f>
        <v>16</v>
      </c>
      <c r="BM246" s="2">
        <f>'NUEVA LAS CONDES'!BL4</f>
        <v>12</v>
      </c>
      <c r="BN246" s="2">
        <f>'NUEVA LAS CONDES'!BM4</f>
        <v>9.5</v>
      </c>
      <c r="BO246" s="2">
        <f>'NUEVA LAS CONDES'!BN4</f>
        <v>8</v>
      </c>
      <c r="BP246" s="2" t="str">
        <f>'NUEVA LAS CONDES'!BO4</f>
        <v/>
      </c>
      <c r="BQ246" s="2" t="str">
        <f>'NUEVA LAS CONDES'!BP4</f>
        <v/>
      </c>
      <c r="BR246" s="2" t="str">
        <f>'NUEVA LAS CONDES'!BQ4</f>
        <v/>
      </c>
      <c r="BS246" s="2" t="str">
        <f>'NUEVA LAS CONDES'!BR4</f>
        <v/>
      </c>
      <c r="BT246" s="2" t="str">
        <f>'NUEVA LAS CONDES'!CC4</f>
        <v/>
      </c>
      <c r="BU246" s="2" t="str">
        <f>'NUEVA LAS CONDES'!CD4</f>
        <v/>
      </c>
      <c r="BV246" s="2" t="str">
        <f>'NUEVA LAS CONDES'!CE4</f>
        <v/>
      </c>
      <c r="BW246" s="2"/>
      <c r="BX246" s="2"/>
      <c r="BY246" s="2"/>
      <c r="BZ246" s="2"/>
      <c r="CA246" s="2"/>
      <c r="CB246" s="2"/>
      <c r="CC246" s="2"/>
    </row>
    <row r="247">
      <c r="A247" s="2"/>
      <c r="B247" s="2" t="str">
        <f>'NUEVA LAS CONDES'!A5</f>
        <v>Nueva Las Condes</v>
      </c>
      <c r="C247" s="2" t="str">
        <f>'NUEVA LAS CONDES'!B5</f>
        <v>Cafeteria</v>
      </c>
      <c r="D247" s="2" t="str">
        <f>'NUEVA LAS CONDES'!C5</f>
        <v>Toalla de Papel Jumbo (UN)</v>
      </c>
      <c r="E247" s="2">
        <f>'NUEVA LAS CONDES'!D5</f>
        <v>10</v>
      </c>
      <c r="F247" s="2">
        <f>'NUEVA LAS CONDES'!E5</f>
        <v>12</v>
      </c>
      <c r="G247" s="2">
        <f>'NUEVA LAS CONDES'!F5</f>
        <v>6</v>
      </c>
      <c r="H247" s="2">
        <f>'NUEVA LAS CONDES'!G5</f>
        <v>8</v>
      </c>
      <c r="I247" s="2">
        <f>'NUEVA LAS CONDES'!H5</f>
        <v>5</v>
      </c>
      <c r="J247" s="2">
        <f>'NUEVA LAS CONDES'!I5</f>
        <v>12</v>
      </c>
      <c r="K247" s="2">
        <f>'NUEVA LAS CONDES'!J5</f>
        <v>9</v>
      </c>
      <c r="L247" s="2">
        <f>'NUEVA LAS CONDES'!K5</f>
        <v>6</v>
      </c>
      <c r="M247" s="2">
        <f>'NUEVA LAS CONDES'!L5</f>
        <v>20</v>
      </c>
      <c r="N247" s="2">
        <f>'NUEVA LAS CONDES'!M5</f>
        <v>10</v>
      </c>
      <c r="O247" s="2">
        <f>'NUEVA LAS CONDES'!N5</f>
        <v>8</v>
      </c>
      <c r="P247" s="2">
        <f>'NUEVA LAS CONDES'!O5</f>
        <v>6</v>
      </c>
      <c r="Q247" s="2">
        <f>'NUEVA LAS CONDES'!P5</f>
        <v>14</v>
      </c>
      <c r="R247" s="2">
        <f>'NUEVA LAS CONDES'!Q5</f>
        <v>20</v>
      </c>
      <c r="S247" s="2">
        <f>'NUEVA LAS CONDES'!R5</f>
        <v>18</v>
      </c>
      <c r="T247" s="2">
        <f>'NUEVA LAS CONDES'!S5</f>
        <v>17</v>
      </c>
      <c r="U247" s="2">
        <f>'NUEVA LAS CONDES'!T5</f>
        <v>16</v>
      </c>
      <c r="V247" s="2">
        <f>'NUEVA LAS CONDES'!U5</f>
        <v>25</v>
      </c>
      <c r="W247" s="2">
        <f>'NUEVA LAS CONDES'!V5</f>
        <v>19</v>
      </c>
      <c r="X247" s="2">
        <f>'NUEVA LAS CONDES'!W5</f>
        <v>14</v>
      </c>
      <c r="Y247" s="2">
        <f>'NUEVA LAS CONDES'!X5</f>
        <v>13</v>
      </c>
      <c r="Z247" s="2">
        <f>'NUEVA LAS CONDES'!Y5</f>
        <v>22</v>
      </c>
      <c r="AA247" s="2" t="str">
        <f>'NUEVA LAS CONDES'!Z5</f>
        <v/>
      </c>
      <c r="AB247" s="2">
        <f>'NUEVA LAS CONDES'!AA5</f>
        <v>26</v>
      </c>
      <c r="AC247" s="2">
        <f>'NUEVA LAS CONDES'!AB5</f>
        <v>23</v>
      </c>
      <c r="AD247" s="2">
        <f>'NUEVA LAS CONDES'!AC5</f>
        <v>20</v>
      </c>
      <c r="AE247" s="2">
        <f>'NUEVA LAS CONDES'!AD5</f>
        <v>14</v>
      </c>
      <c r="AF247" s="2">
        <f>'NUEVA LAS CONDES'!AE5</f>
        <v>12</v>
      </c>
      <c r="AG247" s="2">
        <f>'NUEVA LAS CONDES'!AF5</f>
        <v>11</v>
      </c>
      <c r="AH247" s="2">
        <f>'NUEVA LAS CONDES'!AG5</f>
        <v>10</v>
      </c>
      <c r="AI247" s="2">
        <f>'NUEVA LAS CONDES'!AH5</f>
        <v>9</v>
      </c>
      <c r="AJ247" s="2">
        <f>'NUEVA LAS CONDES'!AI5</f>
        <v>9</v>
      </c>
      <c r="AK247" s="2">
        <f>'NUEVA LAS CONDES'!AJ5</f>
        <v>8</v>
      </c>
      <c r="AL247" s="2">
        <f>'NUEVA LAS CONDES'!AK5</f>
        <v>8</v>
      </c>
      <c r="AM247" s="2">
        <f>'NUEVA LAS CONDES'!AL5</f>
        <v>8</v>
      </c>
      <c r="AN247" s="2">
        <f>'NUEVA LAS CONDES'!AM5</f>
        <v>16</v>
      </c>
      <c r="AO247" s="2">
        <f>'NUEVA LAS CONDES'!AN5</f>
        <v>15</v>
      </c>
      <c r="AP247" s="2">
        <f>'NUEVA LAS CONDES'!AO5</f>
        <v>14</v>
      </c>
      <c r="AQ247" s="2">
        <f>'NUEVA LAS CONDES'!AP5</f>
        <v>12</v>
      </c>
      <c r="AR247" s="2">
        <f>'NUEVA LAS CONDES'!AQ5</f>
        <v>11</v>
      </c>
      <c r="AS247" s="2">
        <f>'NUEVA LAS CONDES'!AR5</f>
        <v>22</v>
      </c>
      <c r="AT247" s="2">
        <f>'NUEVA LAS CONDES'!AS5</f>
        <v>21</v>
      </c>
      <c r="AU247" s="2">
        <f>'NUEVA LAS CONDES'!AT5</f>
        <v>19</v>
      </c>
      <c r="AV247" s="2">
        <f>'NUEVA LAS CONDES'!AU5</f>
        <v>17</v>
      </c>
      <c r="AW247" s="2">
        <f>'NUEVA LAS CONDES'!AV5</f>
        <v>13</v>
      </c>
      <c r="AX247" s="2">
        <f>'NUEVA LAS CONDES'!AW5</f>
        <v>12</v>
      </c>
      <c r="AY247" s="2">
        <f>'NUEVA LAS CONDES'!AX5</f>
        <v>11</v>
      </c>
      <c r="AZ247" s="2">
        <f>'NUEVA LAS CONDES'!AY5</f>
        <v>8</v>
      </c>
      <c r="BA247" s="2">
        <f>'NUEVA LAS CONDES'!AZ5</f>
        <v>7</v>
      </c>
      <c r="BB247" s="2">
        <f>'NUEVA LAS CONDES'!BA5</f>
        <v>6</v>
      </c>
      <c r="BC247" s="2">
        <f>'NUEVA LAS CONDES'!BB5</f>
        <v>4</v>
      </c>
      <c r="BD247" s="2">
        <f>'NUEVA LAS CONDES'!BC5</f>
        <v>7</v>
      </c>
      <c r="BE247" s="2">
        <f>'NUEVA LAS CONDES'!BD5</f>
        <v>4</v>
      </c>
      <c r="BF247" s="2">
        <f>'NUEVA LAS CONDES'!BE5</f>
        <v>2</v>
      </c>
      <c r="BG247" s="2">
        <f>'NUEVA LAS CONDES'!BF5</f>
        <v>5</v>
      </c>
      <c r="BH247" s="2">
        <f>'NUEVA LAS CONDES'!BG5</f>
        <v>3</v>
      </c>
      <c r="BI247" s="2">
        <f>'NUEVA LAS CONDES'!BH5</f>
        <v>2</v>
      </c>
      <c r="BJ247" s="2">
        <f>'NUEVA LAS CONDES'!BI5</f>
        <v>0</v>
      </c>
      <c r="BK247" s="2">
        <f>'NUEVA LAS CONDES'!BJ5</f>
        <v>0</v>
      </c>
      <c r="BL247" s="2">
        <f>'NUEVA LAS CONDES'!BK5</f>
        <v>0</v>
      </c>
      <c r="BM247" s="2">
        <f>'NUEVA LAS CONDES'!BL5</f>
        <v>5</v>
      </c>
      <c r="BN247" s="2">
        <f>'NUEVA LAS CONDES'!BM5</f>
        <v>3</v>
      </c>
      <c r="BO247" s="2">
        <f>'NUEVA LAS CONDES'!BN5</f>
        <v>1</v>
      </c>
      <c r="BP247" s="2" t="str">
        <f>'NUEVA LAS CONDES'!BO5</f>
        <v/>
      </c>
      <c r="BQ247" s="2" t="str">
        <f>'NUEVA LAS CONDES'!BP5</f>
        <v/>
      </c>
      <c r="BR247" s="2" t="str">
        <f>'NUEVA LAS CONDES'!BQ5</f>
        <v/>
      </c>
      <c r="BS247" s="2" t="str">
        <f>'NUEVA LAS CONDES'!BR5</f>
        <v/>
      </c>
      <c r="BT247" s="2" t="str">
        <f>'NUEVA LAS CONDES'!CC5</f>
        <v/>
      </c>
      <c r="BU247" s="2" t="str">
        <f>'NUEVA LAS CONDES'!CD5</f>
        <v/>
      </c>
      <c r="BV247" s="2" t="str">
        <f>'NUEVA LAS CONDES'!CE5</f>
        <v/>
      </c>
      <c r="BW247" s="2"/>
      <c r="BX247" s="2"/>
      <c r="BY247" s="2"/>
      <c r="BZ247" s="2"/>
      <c r="CA247" s="2"/>
      <c r="CB247" s="2"/>
      <c r="CC247" s="2"/>
    </row>
    <row r="248">
      <c r="A248" s="2"/>
      <c r="B248" s="2" t="str">
        <f>'NUEVA LAS CONDES'!A6</f>
        <v>Nueva Las Condes</v>
      </c>
      <c r="C248" s="2" t="str">
        <f>'NUEVA LAS CONDES'!B6</f>
        <v>Cafeteria</v>
      </c>
      <c r="D248" s="2" t="str">
        <f>'NUEVA LAS CONDES'!C6</f>
        <v>Papel Higienico (UN)</v>
      </c>
      <c r="E248" s="2">
        <f>'NUEVA LAS CONDES'!D6</f>
        <v>17</v>
      </c>
      <c r="F248" s="2">
        <f>'NUEVA LAS CONDES'!E6</f>
        <v>13</v>
      </c>
      <c r="G248" s="2">
        <f>'NUEVA LAS CONDES'!F6</f>
        <v>3</v>
      </c>
      <c r="H248" s="2">
        <f>'NUEVA LAS CONDES'!G6</f>
        <v>1</v>
      </c>
      <c r="I248" s="2">
        <f>'NUEVA LAS CONDES'!H6</f>
        <v>3</v>
      </c>
      <c r="J248" s="2">
        <f>'NUEVA LAS CONDES'!I6</f>
        <v>32</v>
      </c>
      <c r="K248" s="2">
        <f>'NUEVA LAS CONDES'!J6</f>
        <v>25</v>
      </c>
      <c r="L248" s="2">
        <f>'NUEVA LAS CONDES'!K6</f>
        <v>16</v>
      </c>
      <c r="M248" s="2">
        <f>'NUEVA LAS CONDES'!L6</f>
        <v>32</v>
      </c>
      <c r="N248" s="2">
        <f>'NUEVA LAS CONDES'!M6</f>
        <v>30</v>
      </c>
      <c r="O248" s="2">
        <f>'NUEVA LAS CONDES'!N6</f>
        <v>24</v>
      </c>
      <c r="P248" s="2">
        <f>'NUEVA LAS CONDES'!O6</f>
        <v>16</v>
      </c>
      <c r="Q248" s="2">
        <f>'NUEVA LAS CONDES'!P6</f>
        <v>13</v>
      </c>
      <c r="R248" s="2">
        <f>'NUEVA LAS CONDES'!Q6</f>
        <v>36</v>
      </c>
      <c r="S248" s="2">
        <f>'NUEVA LAS CONDES'!R6</f>
        <v>36</v>
      </c>
      <c r="T248" s="2">
        <f>'NUEVA LAS CONDES'!S6</f>
        <v>34</v>
      </c>
      <c r="U248" s="2">
        <f>'NUEVA LAS CONDES'!T6</f>
        <v>31</v>
      </c>
      <c r="V248" s="2">
        <f>'NUEVA LAS CONDES'!U6</f>
        <v>48</v>
      </c>
      <c r="W248" s="2">
        <f>'NUEVA LAS CONDES'!V6</f>
        <v>36</v>
      </c>
      <c r="X248" s="2">
        <f>'NUEVA LAS CONDES'!W6</f>
        <v>40</v>
      </c>
      <c r="Y248" s="2">
        <f>'NUEVA LAS CONDES'!X6</f>
        <v>38</v>
      </c>
      <c r="Z248" s="2">
        <f>'NUEVA LAS CONDES'!Y6</f>
        <v>40</v>
      </c>
      <c r="AA248" s="2" t="str">
        <f>'NUEVA LAS CONDES'!Z6</f>
        <v/>
      </c>
      <c r="AB248" s="2">
        <f>'NUEVA LAS CONDES'!AA6</f>
        <v>32</v>
      </c>
      <c r="AC248" s="2">
        <f>'NUEVA LAS CONDES'!AB6</f>
        <v>24</v>
      </c>
      <c r="AD248" s="2">
        <f>'NUEVA LAS CONDES'!AC6</f>
        <v>36</v>
      </c>
      <c r="AE248" s="2">
        <f>'NUEVA LAS CONDES'!AD6</f>
        <v>36</v>
      </c>
      <c r="AF248" s="2">
        <f>'NUEVA LAS CONDES'!AE6</f>
        <v>35</v>
      </c>
      <c r="AG248" s="2">
        <f>'NUEVA LAS CONDES'!AF6</f>
        <v>50</v>
      </c>
      <c r="AH248" s="2">
        <f>'NUEVA LAS CONDES'!AG6</f>
        <v>44</v>
      </c>
      <c r="AI248" s="2">
        <f>'NUEVA LAS CONDES'!AH6</f>
        <v>44</v>
      </c>
      <c r="AJ248" s="2">
        <f>'NUEVA LAS CONDES'!AI6</f>
        <v>44</v>
      </c>
      <c r="AK248" s="2">
        <f>'NUEVA LAS CONDES'!AJ6</f>
        <v>42</v>
      </c>
      <c r="AL248" s="2">
        <f>'NUEVA LAS CONDES'!AK6</f>
        <v>40</v>
      </c>
      <c r="AM248" s="2">
        <f>'NUEVA LAS CONDES'!AL6</f>
        <v>40</v>
      </c>
      <c r="AN248" s="2">
        <f>'NUEVA LAS CONDES'!AM6</f>
        <v>48</v>
      </c>
      <c r="AO248" s="2">
        <f>'NUEVA LAS CONDES'!AN6</f>
        <v>44</v>
      </c>
      <c r="AP248" s="2">
        <f>'NUEVA LAS CONDES'!AO6</f>
        <v>42</v>
      </c>
      <c r="AQ248" s="2">
        <f>'NUEVA LAS CONDES'!AP6</f>
        <v>36</v>
      </c>
      <c r="AR248" s="2">
        <f>'NUEVA LAS CONDES'!AQ6</f>
        <v>36</v>
      </c>
      <c r="AS248" s="2">
        <f>'NUEVA LAS CONDES'!AR6</f>
        <v>52</v>
      </c>
      <c r="AT248" s="2">
        <f>'NUEVA LAS CONDES'!AS6</f>
        <v>49</v>
      </c>
      <c r="AU248" s="2">
        <f>'NUEVA LAS CONDES'!AT6</f>
        <v>44</v>
      </c>
      <c r="AV248" s="2">
        <f>'NUEVA LAS CONDES'!AU6</f>
        <v>38</v>
      </c>
      <c r="AW248" s="2">
        <f>'NUEVA LAS CONDES'!AV6</f>
        <v>36</v>
      </c>
      <c r="AX248" s="2">
        <f>'NUEVA LAS CONDES'!AW6</f>
        <v>31</v>
      </c>
      <c r="AY248" s="2">
        <f>'NUEVA LAS CONDES'!AX6</f>
        <v>30</v>
      </c>
      <c r="AZ248" s="2">
        <f>'NUEVA LAS CONDES'!AY6</f>
        <v>28</v>
      </c>
      <c r="BA248" s="2">
        <f>'NUEVA LAS CONDES'!AZ6</f>
        <v>26</v>
      </c>
      <c r="BB248" s="2">
        <f>'NUEVA LAS CONDES'!BA6</f>
        <v>20</v>
      </c>
      <c r="BC248" s="2">
        <f>'NUEVA LAS CONDES'!BB6</f>
        <v>12</v>
      </c>
      <c r="BD248" s="2">
        <f>'NUEVA LAS CONDES'!BC6</f>
        <v>20</v>
      </c>
      <c r="BE248" s="2">
        <f>'NUEVA LAS CONDES'!BD6</f>
        <v>12</v>
      </c>
      <c r="BF248" s="2">
        <f>'NUEVA LAS CONDES'!BE6</f>
        <v>5</v>
      </c>
      <c r="BG248" s="2">
        <f>'NUEVA LAS CONDES'!BF6</f>
        <v>20</v>
      </c>
      <c r="BH248" s="2">
        <f>'NUEVA LAS CONDES'!BG6</f>
        <v>16</v>
      </c>
      <c r="BI248" s="2">
        <f>'NUEVA LAS CONDES'!BH6</f>
        <v>8</v>
      </c>
      <c r="BJ248" s="2">
        <f>'NUEVA LAS CONDES'!BI6</f>
        <v>3</v>
      </c>
      <c r="BK248" s="2">
        <f>'NUEVA LAS CONDES'!BJ6</f>
        <v>2</v>
      </c>
      <c r="BL248" s="2">
        <f>'NUEVA LAS CONDES'!BK6</f>
        <v>0</v>
      </c>
      <c r="BM248" s="2">
        <f>'NUEVA LAS CONDES'!BL6</f>
        <v>12</v>
      </c>
      <c r="BN248" s="2">
        <f>'NUEVA LAS CONDES'!BM6</f>
        <v>4</v>
      </c>
      <c r="BO248" s="2">
        <f>'NUEVA LAS CONDES'!BN6</f>
        <v>3</v>
      </c>
      <c r="BP248" s="2" t="str">
        <f>'NUEVA LAS CONDES'!BO6</f>
        <v/>
      </c>
      <c r="BQ248" s="2" t="str">
        <f>'NUEVA LAS CONDES'!BP6</f>
        <v/>
      </c>
      <c r="BR248" s="2" t="str">
        <f>'NUEVA LAS CONDES'!BQ6</f>
        <v/>
      </c>
      <c r="BS248" s="2" t="str">
        <f>'NUEVA LAS CONDES'!BR6</f>
        <v/>
      </c>
      <c r="BT248" s="2" t="str">
        <f>'NUEVA LAS CONDES'!CC6</f>
        <v/>
      </c>
      <c r="BU248" s="2" t="str">
        <f>'NUEVA LAS CONDES'!CD6</f>
        <v/>
      </c>
      <c r="BV248" s="2" t="str">
        <f>'NUEVA LAS CONDES'!CE6</f>
        <v/>
      </c>
      <c r="BW248" s="2"/>
      <c r="BX248" s="2"/>
      <c r="BY248" s="2"/>
      <c r="BZ248" s="2"/>
      <c r="CA248" s="2"/>
      <c r="CB248" s="2"/>
      <c r="CC248" s="2"/>
    </row>
    <row r="249">
      <c r="A249" s="2"/>
      <c r="B249" s="2" t="str">
        <f>'NUEVA LAS CONDES'!A7</f>
        <v>Nueva Las Condes</v>
      </c>
      <c r="C249" s="2" t="str">
        <f>'NUEVA LAS CONDES'!B7</f>
        <v>Cafeteria</v>
      </c>
      <c r="D249" s="2" t="str">
        <f>'NUEVA LAS CONDES'!C7</f>
        <v>Resma Papel Fotocopia (UN)</v>
      </c>
      <c r="E249" s="2">
        <f>'NUEVA LAS CONDES'!D7</f>
        <v>6</v>
      </c>
      <c r="F249" s="2">
        <f>'NUEVA LAS CONDES'!E7</f>
        <v>5</v>
      </c>
      <c r="G249" s="2">
        <f>'NUEVA LAS CONDES'!F7</f>
        <v>3.5</v>
      </c>
      <c r="H249" s="2">
        <f>'NUEVA LAS CONDES'!G7</f>
        <v>2</v>
      </c>
      <c r="I249" s="2">
        <f>'NUEVA LAS CONDES'!H7</f>
        <v>1</v>
      </c>
      <c r="J249" s="2">
        <f>'NUEVA LAS CONDES'!I7</f>
        <v>0</v>
      </c>
      <c r="K249" s="2">
        <f>'NUEVA LAS CONDES'!J7</f>
        <v>0</v>
      </c>
      <c r="L249" s="2">
        <f>'NUEVA LAS CONDES'!K7</f>
        <v>0</v>
      </c>
      <c r="M249" s="2">
        <f>'NUEVA LAS CONDES'!L7</f>
        <v>2</v>
      </c>
      <c r="N249" s="2">
        <f>'NUEVA LAS CONDES'!M7</f>
        <v>1</v>
      </c>
      <c r="O249" s="2">
        <f>'NUEVA LAS CONDES'!N7</f>
        <v>1</v>
      </c>
      <c r="P249" s="2">
        <f>'NUEVA LAS CONDES'!O7</f>
        <v>0</v>
      </c>
      <c r="Q249" s="2">
        <f>'NUEVA LAS CONDES'!P7</f>
        <v>0</v>
      </c>
      <c r="R249" s="2">
        <f>'NUEVA LAS CONDES'!Q7</f>
        <v>3</v>
      </c>
      <c r="S249" s="2">
        <f>'NUEVA LAS CONDES'!R7</f>
        <v>3</v>
      </c>
      <c r="T249" s="2">
        <f>'NUEVA LAS CONDES'!S7</f>
        <v>2.5</v>
      </c>
      <c r="U249" s="2">
        <f>'NUEVA LAS CONDES'!T7</f>
        <v>2</v>
      </c>
      <c r="V249" s="2">
        <f>'NUEVA LAS CONDES'!U7</f>
        <v>3</v>
      </c>
      <c r="W249" s="2">
        <f>'NUEVA LAS CONDES'!V7</f>
        <v>3</v>
      </c>
      <c r="X249" s="2">
        <f>'NUEVA LAS CONDES'!W7</f>
        <v>2</v>
      </c>
      <c r="Y249" s="2">
        <f>'NUEVA LAS CONDES'!X7</f>
        <v>2</v>
      </c>
      <c r="Z249" s="2">
        <f>'NUEVA LAS CONDES'!Y7</f>
        <v>2</v>
      </c>
      <c r="AA249" s="2" t="str">
        <f>'NUEVA LAS CONDES'!Z7</f>
        <v/>
      </c>
      <c r="AB249" s="2">
        <f>'NUEVA LAS CONDES'!AA7</f>
        <v>1</v>
      </c>
      <c r="AC249" s="2">
        <f>'NUEVA LAS CONDES'!AB7</f>
        <v>0</v>
      </c>
      <c r="AD249" s="2">
        <f>'NUEVA LAS CONDES'!AC7</f>
        <v>0</v>
      </c>
      <c r="AE249" s="2">
        <f>'NUEVA LAS CONDES'!AD7</f>
        <v>0</v>
      </c>
      <c r="AF249" s="2">
        <f>'NUEVA LAS CONDES'!AE7</f>
        <v>0</v>
      </c>
      <c r="AG249" s="2">
        <f>'NUEVA LAS CONDES'!AF7</f>
        <v>4</v>
      </c>
      <c r="AH249" s="2">
        <f>'NUEVA LAS CONDES'!AG7</f>
        <v>4</v>
      </c>
      <c r="AI249" s="2">
        <f>'NUEVA LAS CONDES'!AH7</f>
        <v>3</v>
      </c>
      <c r="AJ249" s="2">
        <f>'NUEVA LAS CONDES'!AI7</f>
        <v>3</v>
      </c>
      <c r="AK249" s="2">
        <f>'NUEVA LAS CONDES'!AJ7</f>
        <v>2</v>
      </c>
      <c r="AL249" s="2">
        <f>'NUEVA LAS CONDES'!AK7</f>
        <v>2</v>
      </c>
      <c r="AM249" s="2">
        <f>'NUEVA LAS CONDES'!AL7</f>
        <v>2</v>
      </c>
      <c r="AN249" s="2">
        <f>'NUEVA LAS CONDES'!AM7</f>
        <v>1.5</v>
      </c>
      <c r="AO249" s="2">
        <f>'NUEVA LAS CONDES'!AN7</f>
        <v>1</v>
      </c>
      <c r="AP249" s="2">
        <f>'NUEVA LAS CONDES'!AO7</f>
        <v>1</v>
      </c>
      <c r="AQ249" s="2">
        <f>'NUEVA LAS CONDES'!AP7</f>
        <v>0.5</v>
      </c>
      <c r="AR249" s="2" t="str">
        <f>'NUEVA LAS CONDES'!AQ7</f>
        <v>0.5</v>
      </c>
      <c r="AS249" s="2">
        <f>'NUEVA LAS CONDES'!AR7</f>
        <v>0</v>
      </c>
      <c r="AT249" s="2">
        <f>'NUEVA LAS CONDES'!AS7</f>
        <v>0</v>
      </c>
      <c r="AU249" s="2">
        <f>'NUEVA LAS CONDES'!AT7</f>
        <v>0</v>
      </c>
      <c r="AV249" s="2">
        <f>'NUEVA LAS CONDES'!AU7</f>
        <v>0</v>
      </c>
      <c r="AW249" s="2">
        <f>'NUEVA LAS CONDES'!AV7</f>
        <v>0</v>
      </c>
      <c r="AX249" s="2">
        <f>'NUEVA LAS CONDES'!AW7</f>
        <v>0</v>
      </c>
      <c r="AY249" s="2">
        <f>'NUEVA LAS CONDES'!AX7</f>
        <v>0</v>
      </c>
      <c r="AZ249" s="2">
        <f>'NUEVA LAS CONDES'!AY7</f>
        <v>0</v>
      </c>
      <c r="BA249" s="2">
        <f>'NUEVA LAS CONDES'!AZ7</f>
        <v>0</v>
      </c>
      <c r="BB249" s="2">
        <f>'NUEVA LAS CONDES'!BA7</f>
        <v>0</v>
      </c>
      <c r="BC249" s="2">
        <f>'NUEVA LAS CONDES'!BB7</f>
        <v>0</v>
      </c>
      <c r="BD249" s="2">
        <f>'NUEVA LAS CONDES'!BC7</f>
        <v>0</v>
      </c>
      <c r="BE249" s="2">
        <f>'NUEVA LAS CONDES'!BD7</f>
        <v>0</v>
      </c>
      <c r="BF249" s="2">
        <f>'NUEVA LAS CONDES'!BE7</f>
        <v>0</v>
      </c>
      <c r="BG249" s="2">
        <f>'NUEVA LAS CONDES'!BF7</f>
        <v>5</v>
      </c>
      <c r="BH249" s="2">
        <f>'NUEVA LAS CONDES'!BG7</f>
        <v>5</v>
      </c>
      <c r="BI249" s="2">
        <f>'NUEVA LAS CONDES'!BH7</f>
        <v>5</v>
      </c>
      <c r="BJ249" s="2">
        <f>'NUEVA LAS CONDES'!BI7</f>
        <v>5</v>
      </c>
      <c r="BK249" s="2">
        <f>'NUEVA LAS CONDES'!BJ7</f>
        <v>5</v>
      </c>
      <c r="BL249" s="2">
        <f>'NUEVA LAS CONDES'!BK7</f>
        <v>5</v>
      </c>
      <c r="BM249" s="2">
        <f>'NUEVA LAS CONDES'!BL7</f>
        <v>4</v>
      </c>
      <c r="BN249" s="2">
        <f>'NUEVA LAS CONDES'!BM7</f>
        <v>6</v>
      </c>
      <c r="BO249" s="2">
        <f>'NUEVA LAS CONDES'!BN7</f>
        <v>6</v>
      </c>
      <c r="BP249" s="2" t="str">
        <f>'NUEVA LAS CONDES'!BO7</f>
        <v/>
      </c>
      <c r="BQ249" s="2" t="str">
        <f>'NUEVA LAS CONDES'!BP7</f>
        <v/>
      </c>
      <c r="BR249" s="2" t="str">
        <f>'NUEVA LAS CONDES'!BQ7</f>
        <v/>
      </c>
      <c r="BS249" s="2" t="str">
        <f>'NUEVA LAS CONDES'!BR7</f>
        <v/>
      </c>
      <c r="BT249" s="2" t="str">
        <f>'NUEVA LAS CONDES'!CC7</f>
        <v/>
      </c>
      <c r="BU249" s="2" t="str">
        <f>'NUEVA LAS CONDES'!CD7</f>
        <v/>
      </c>
      <c r="BV249" s="2" t="str">
        <f>'NUEVA LAS CONDES'!CE7</f>
        <v/>
      </c>
      <c r="BW249" s="2"/>
      <c r="BX249" s="2"/>
      <c r="BY249" s="2"/>
      <c r="BZ249" s="2"/>
      <c r="CA249" s="2"/>
      <c r="CB249" s="2"/>
      <c r="CC249" s="2"/>
    </row>
    <row r="250">
      <c r="A250" s="2"/>
      <c r="B250" s="2" t="str">
        <f>'NUEVA LAS CONDES'!A8</f>
        <v>Nueva Las Condes</v>
      </c>
      <c r="C250" s="2" t="str">
        <f>'NUEVA LAS CONDES'!B8</f>
        <v>Cafeteria</v>
      </c>
      <c r="D250" s="2" t="str">
        <f>'NUEVA LAS CONDES'!C8</f>
        <v>Leche liquida</v>
      </c>
      <c r="E250" s="2" t="str">
        <f>'NUEVA LAS CONDES'!D8</f>
        <v/>
      </c>
      <c r="F250" s="2" t="str">
        <f>'NUEVA LAS CONDES'!E8</f>
        <v/>
      </c>
      <c r="G250" s="2" t="str">
        <f>'NUEVA LAS CONDES'!F8</f>
        <v/>
      </c>
      <c r="H250" s="2" t="str">
        <f>'NUEVA LAS CONDES'!G8</f>
        <v/>
      </c>
      <c r="I250" s="2" t="str">
        <f>'NUEVA LAS CONDES'!H8</f>
        <v/>
      </c>
      <c r="J250" s="2" t="str">
        <f>'NUEVA LAS CONDES'!I8</f>
        <v/>
      </c>
      <c r="K250" s="2" t="str">
        <f>'NUEVA LAS CONDES'!J8</f>
        <v/>
      </c>
      <c r="L250" s="2" t="str">
        <f>'NUEVA LAS CONDES'!K8</f>
        <v/>
      </c>
      <c r="M250" s="2" t="str">
        <f>'NUEVA LAS CONDES'!L8</f>
        <v/>
      </c>
      <c r="N250" s="2">
        <f>'NUEVA LAS CONDES'!M8</f>
        <v>7</v>
      </c>
      <c r="O250" s="2">
        <f>'NUEVA LAS CONDES'!N8</f>
        <v>4</v>
      </c>
      <c r="P250" s="2">
        <f>'NUEVA LAS CONDES'!O8</f>
        <v>2</v>
      </c>
      <c r="Q250" s="2">
        <f>'NUEVA LAS CONDES'!P8</f>
        <v>0</v>
      </c>
      <c r="R250" s="2">
        <f>'NUEVA LAS CONDES'!Q8</f>
        <v>12</v>
      </c>
      <c r="S250" s="2">
        <f>'NUEVA LAS CONDES'!R8</f>
        <v>9</v>
      </c>
      <c r="T250" s="2">
        <f>'NUEVA LAS CONDES'!S8</f>
        <v>6</v>
      </c>
      <c r="U250" s="2">
        <f>'NUEVA LAS CONDES'!T8</f>
        <v>4</v>
      </c>
      <c r="V250" s="2">
        <f>'NUEVA LAS CONDES'!U8</f>
        <v>22</v>
      </c>
      <c r="W250" s="2">
        <f>'NUEVA LAS CONDES'!V8</f>
        <v>18</v>
      </c>
      <c r="X250" s="2">
        <f>'NUEVA LAS CONDES'!W8</f>
        <v>18</v>
      </c>
      <c r="Y250" s="2">
        <f>'NUEVA LAS CONDES'!X8</f>
        <v>15</v>
      </c>
      <c r="Z250" s="2">
        <f>'NUEVA LAS CONDES'!Y8</f>
        <v>18</v>
      </c>
      <c r="AA250" s="2" t="str">
        <f>'NUEVA LAS CONDES'!Z8</f>
        <v/>
      </c>
      <c r="AB250" s="2">
        <f>'NUEVA LAS CONDES'!AA8</f>
        <v>10</v>
      </c>
      <c r="AC250" s="2">
        <f>'NUEVA LAS CONDES'!AB8</f>
        <v>4</v>
      </c>
      <c r="AD250" s="2">
        <f>'NUEVA LAS CONDES'!AC8</f>
        <v>0</v>
      </c>
      <c r="AE250" s="2">
        <f>'NUEVA LAS CONDES'!AD8</f>
        <v>0</v>
      </c>
      <c r="AF250" s="2">
        <f>'NUEVA LAS CONDES'!AE8</f>
        <v>0</v>
      </c>
      <c r="AG250" s="2">
        <f>'NUEVA LAS CONDES'!AF8</f>
        <v>12</v>
      </c>
      <c r="AH250" s="2">
        <f>'NUEVA LAS CONDES'!AG8</f>
        <v>11</v>
      </c>
      <c r="AI250" s="2">
        <f>'NUEVA LAS CONDES'!AH8</f>
        <v>10</v>
      </c>
      <c r="AJ250" s="2">
        <f>'NUEVA LAS CONDES'!AI8</f>
        <v>9</v>
      </c>
      <c r="AK250" s="2">
        <f>'NUEVA LAS CONDES'!AJ8</f>
        <v>7</v>
      </c>
      <c r="AL250" s="2">
        <f>'NUEVA LAS CONDES'!AK8</f>
        <v>5</v>
      </c>
      <c r="AM250" s="2">
        <f>'NUEVA LAS CONDES'!AL8</f>
        <v>5</v>
      </c>
      <c r="AN250" s="2">
        <f>'NUEVA LAS CONDES'!AM8</f>
        <v>16</v>
      </c>
      <c r="AO250" s="2">
        <f>'NUEVA LAS CONDES'!AN8</f>
        <v>15</v>
      </c>
      <c r="AP250" s="2">
        <f>'NUEVA LAS CONDES'!AO8</f>
        <v>14</v>
      </c>
      <c r="AQ250" s="2">
        <f>'NUEVA LAS CONDES'!AP8</f>
        <v>11</v>
      </c>
      <c r="AR250" s="2">
        <f>'NUEVA LAS CONDES'!AQ8</f>
        <v>9</v>
      </c>
      <c r="AS250" s="2">
        <f>'NUEVA LAS CONDES'!AR8</f>
        <v>8</v>
      </c>
      <c r="AT250" s="2">
        <f>'NUEVA LAS CONDES'!AS8</f>
        <v>6</v>
      </c>
      <c r="AU250" s="2">
        <f>'NUEVA LAS CONDES'!AT8</f>
        <v>4</v>
      </c>
      <c r="AV250" s="2">
        <f>'NUEVA LAS CONDES'!AU8</f>
        <v>25</v>
      </c>
      <c r="AW250" s="2">
        <f>'NUEVA LAS CONDES'!AV8</f>
        <v>24</v>
      </c>
      <c r="AX250" s="2">
        <f>'NUEVA LAS CONDES'!AW8</f>
        <v>23</v>
      </c>
      <c r="AY250" s="2">
        <f>'NUEVA LAS CONDES'!AX8</f>
        <v>22</v>
      </c>
      <c r="AZ250" s="2">
        <f>'NUEVA LAS CONDES'!AY8</f>
        <v>19</v>
      </c>
      <c r="BA250" s="2">
        <f>'NUEVA LAS CONDES'!AZ8</f>
        <v>18</v>
      </c>
      <c r="BB250" s="2">
        <f>'NUEVA LAS CONDES'!BA8</f>
        <v>17</v>
      </c>
      <c r="BC250" s="2">
        <f>'NUEVA LAS CONDES'!BB8</f>
        <v>14</v>
      </c>
      <c r="BD250" s="2">
        <f>'NUEVA LAS CONDES'!BC8</f>
        <v>12</v>
      </c>
      <c r="BE250" s="2">
        <f>'NUEVA LAS CONDES'!BD8</f>
        <v>10</v>
      </c>
      <c r="BF250" s="2">
        <f>'NUEVA LAS CONDES'!BE8</f>
        <v>8</v>
      </c>
      <c r="BG250" s="2">
        <f>'NUEVA LAS CONDES'!BF8</f>
        <v>5</v>
      </c>
      <c r="BH250" s="2">
        <f>'NUEVA LAS CONDES'!BG8</f>
        <v>3</v>
      </c>
      <c r="BI250" s="2">
        <f>'NUEVA LAS CONDES'!BH8</f>
        <v>1</v>
      </c>
      <c r="BJ250" s="2">
        <f>'NUEVA LAS CONDES'!BI8</f>
        <v>0</v>
      </c>
      <c r="BK250" s="2">
        <f>'NUEVA LAS CONDES'!BJ8</f>
        <v>0</v>
      </c>
      <c r="BL250" s="2">
        <f>'NUEVA LAS CONDES'!BK8</f>
        <v>0</v>
      </c>
      <c r="BM250" s="2">
        <f>'NUEVA LAS CONDES'!BL8</f>
        <v>21</v>
      </c>
      <c r="BN250" s="2">
        <f>'NUEVA LAS CONDES'!BM8</f>
        <v>17</v>
      </c>
      <c r="BO250" s="2">
        <f>'NUEVA LAS CONDES'!BN8</f>
        <v>16</v>
      </c>
      <c r="BP250" s="2" t="str">
        <f>'NUEVA LAS CONDES'!BO8</f>
        <v/>
      </c>
      <c r="BQ250" s="2" t="str">
        <f>'NUEVA LAS CONDES'!BP8</f>
        <v/>
      </c>
      <c r="BR250" s="2" t="str">
        <f>'NUEVA LAS CONDES'!BQ8</f>
        <v/>
      </c>
      <c r="BS250" s="2" t="str">
        <f>'NUEVA LAS CONDES'!BR8</f>
        <v/>
      </c>
      <c r="BT250" s="2" t="str">
        <f>'NUEVA LAS CONDES'!CC8</f>
        <v/>
      </c>
      <c r="BU250" s="2" t="str">
        <f>'NUEVA LAS CONDES'!CD8</f>
        <v/>
      </c>
      <c r="BV250" s="2" t="str">
        <f>'NUEVA LAS CONDES'!CE8</f>
        <v/>
      </c>
      <c r="BW250" s="2"/>
      <c r="BX250" s="2"/>
      <c r="BY250" s="2"/>
      <c r="BZ250" s="2"/>
      <c r="CA250" s="2"/>
      <c r="CB250" s="2"/>
      <c r="CC250" s="2"/>
    </row>
    <row r="251">
      <c r="A251" s="2"/>
      <c r="B251" s="2" t="str">
        <f>'NUEVA LAS CONDES'!A9</f>
        <v>Nueva Las Condes</v>
      </c>
      <c r="C251" s="2" t="str">
        <f>'NUEVA LAS CONDES'!B9</f>
        <v>Cafeteria</v>
      </c>
      <c r="D251" s="2" t="str">
        <f>'NUEVA LAS CONDES'!C9</f>
        <v>Endulzante</v>
      </c>
      <c r="E251" s="2" t="str">
        <f>'NUEVA LAS CONDES'!D9</f>
        <v/>
      </c>
      <c r="F251" s="2" t="str">
        <f>'NUEVA LAS CONDES'!E9</f>
        <v/>
      </c>
      <c r="G251" s="2" t="str">
        <f>'NUEVA LAS CONDES'!F9</f>
        <v/>
      </c>
      <c r="H251" s="2" t="str">
        <f>'NUEVA LAS CONDES'!G9</f>
        <v/>
      </c>
      <c r="I251" s="2" t="str">
        <f>'NUEVA LAS CONDES'!H9</f>
        <v/>
      </c>
      <c r="J251" s="2" t="str">
        <f>'NUEVA LAS CONDES'!I9</f>
        <v/>
      </c>
      <c r="K251" s="2" t="str">
        <f>'NUEVA LAS CONDES'!J9</f>
        <v/>
      </c>
      <c r="L251" s="2" t="str">
        <f>'NUEVA LAS CONDES'!K9</f>
        <v/>
      </c>
      <c r="M251" s="2" t="str">
        <f>'NUEVA LAS CONDES'!L9</f>
        <v/>
      </c>
      <c r="N251" s="2" t="str">
        <f>'NUEVA LAS CONDES'!M9</f>
        <v/>
      </c>
      <c r="O251" s="2" t="str">
        <f>'NUEVA LAS CONDES'!N9</f>
        <v/>
      </c>
      <c r="P251" s="2" t="str">
        <f>'NUEVA LAS CONDES'!O9</f>
        <v/>
      </c>
      <c r="Q251" s="2" t="str">
        <f>'NUEVA LAS CONDES'!P9</f>
        <v/>
      </c>
      <c r="R251" s="2">
        <f>'NUEVA LAS CONDES'!Q9</f>
        <v>0</v>
      </c>
      <c r="S251" s="2">
        <f>'NUEVA LAS CONDES'!R9</f>
        <v>0</v>
      </c>
      <c r="T251" s="2">
        <f>'NUEVA LAS CONDES'!S9</f>
        <v>0</v>
      </c>
      <c r="U251" s="2">
        <f>'NUEVA LAS CONDES'!T9</f>
        <v>0</v>
      </c>
      <c r="V251" s="2">
        <f>'NUEVA LAS CONDES'!U9</f>
        <v>0</v>
      </c>
      <c r="W251" s="2">
        <f>'NUEVA LAS CONDES'!V9</f>
        <v>0</v>
      </c>
      <c r="X251" s="2">
        <f>'NUEVA LAS CONDES'!W9</f>
        <v>0</v>
      </c>
      <c r="Y251" s="2">
        <f>'NUEVA LAS CONDES'!X9</f>
        <v>0</v>
      </c>
      <c r="Z251" s="2">
        <f>'NUEVA LAS CONDES'!Y9</f>
        <v>0</v>
      </c>
      <c r="AA251" s="2" t="str">
        <f>'NUEVA LAS CONDES'!Z9</f>
        <v/>
      </c>
      <c r="AB251" s="2">
        <f>'NUEVA LAS CONDES'!AA9</f>
        <v>5</v>
      </c>
      <c r="AC251" s="2">
        <f>'NUEVA LAS CONDES'!AB9</f>
        <v>4</v>
      </c>
      <c r="AD251" s="2">
        <f>'NUEVA LAS CONDES'!AC9</f>
        <v>3</v>
      </c>
      <c r="AE251" s="2">
        <f>'NUEVA LAS CONDES'!AD9</f>
        <v>3</v>
      </c>
      <c r="AF251" s="2">
        <f>'NUEVA LAS CONDES'!AE9</f>
        <v>3</v>
      </c>
      <c r="AG251" s="2">
        <f>'NUEVA LAS CONDES'!AF9</f>
        <v>4</v>
      </c>
      <c r="AH251" s="2">
        <f>'NUEVA LAS CONDES'!AG9</f>
        <v>5</v>
      </c>
      <c r="AI251" s="2">
        <f>'NUEVA LAS CONDES'!AH9</f>
        <v>5</v>
      </c>
      <c r="AJ251" s="2">
        <f>'NUEVA LAS CONDES'!AI9</f>
        <v>5</v>
      </c>
      <c r="AK251" s="2">
        <f>'NUEVA LAS CONDES'!AJ9</f>
        <v>5</v>
      </c>
      <c r="AL251" s="2">
        <f>'NUEVA LAS CONDES'!AK9</f>
        <v>5</v>
      </c>
      <c r="AM251" s="2">
        <f>'NUEVA LAS CONDES'!AL9</f>
        <v>5</v>
      </c>
      <c r="AN251" s="2">
        <f>'NUEVA LAS CONDES'!AM9</f>
        <v>7</v>
      </c>
      <c r="AO251" s="2">
        <f>'NUEVA LAS CONDES'!AN9</f>
        <v>7</v>
      </c>
      <c r="AP251" s="2">
        <f>'NUEVA LAS CONDES'!AO9</f>
        <v>7</v>
      </c>
      <c r="AQ251" s="2">
        <f>'NUEVA LAS CONDES'!AP9</f>
        <v>7</v>
      </c>
      <c r="AR251" s="2">
        <f>'NUEVA LAS CONDES'!AQ9</f>
        <v>6</v>
      </c>
      <c r="AS251" s="2">
        <f>'NUEVA LAS CONDES'!AR9</f>
        <v>6</v>
      </c>
      <c r="AT251" s="2">
        <f>'NUEVA LAS CONDES'!AS9</f>
        <v>6</v>
      </c>
      <c r="AU251" s="2">
        <f>'NUEVA LAS CONDES'!AT9</f>
        <v>6</v>
      </c>
      <c r="AV251" s="2">
        <f>'NUEVA LAS CONDES'!AU9</f>
        <v>6</v>
      </c>
      <c r="AW251" s="2">
        <f>'NUEVA LAS CONDES'!AV9</f>
        <v>6</v>
      </c>
      <c r="AX251" s="2">
        <f>'NUEVA LAS CONDES'!AW9</f>
        <v>6</v>
      </c>
      <c r="AY251" s="2">
        <f>'NUEVA LAS CONDES'!AX9</f>
        <v>6</v>
      </c>
      <c r="AZ251" s="2">
        <f>'NUEVA LAS CONDES'!AY9</f>
        <v>5</v>
      </c>
      <c r="BA251" s="2">
        <f>'NUEVA LAS CONDES'!AZ9</f>
        <v>5</v>
      </c>
      <c r="BB251" s="2">
        <f>'NUEVA LAS CONDES'!BA9</f>
        <v>4</v>
      </c>
      <c r="BC251" s="2">
        <f>'NUEVA LAS CONDES'!BB9</f>
        <v>4</v>
      </c>
      <c r="BD251" s="2">
        <f>'NUEVA LAS CONDES'!BC9</f>
        <v>4</v>
      </c>
      <c r="BE251" s="2">
        <f>'NUEVA LAS CONDES'!BD9</f>
        <v>4</v>
      </c>
      <c r="BF251" s="2">
        <f>'NUEVA LAS CONDES'!BE9</f>
        <v>3</v>
      </c>
      <c r="BG251" s="2">
        <f>'NUEVA LAS CONDES'!BF9</f>
        <v>3</v>
      </c>
      <c r="BH251" s="2">
        <f>'NUEVA LAS CONDES'!BG9</f>
        <v>3</v>
      </c>
      <c r="BI251" s="2">
        <f>'NUEVA LAS CONDES'!BH9</f>
        <v>3</v>
      </c>
      <c r="BJ251" s="2">
        <f>'NUEVA LAS CONDES'!BI9</f>
        <v>3</v>
      </c>
      <c r="BK251" s="2">
        <f>'NUEVA LAS CONDES'!BJ9</f>
        <v>3</v>
      </c>
      <c r="BL251" s="2">
        <f>'NUEVA LAS CONDES'!BK9</f>
        <v>2</v>
      </c>
      <c r="BM251" s="2">
        <f>'NUEVA LAS CONDES'!BL9</f>
        <v>2</v>
      </c>
      <c r="BN251" s="2">
        <f>'NUEVA LAS CONDES'!BM9</f>
        <v>2</v>
      </c>
      <c r="BO251" s="2">
        <f>'NUEVA LAS CONDES'!BN9</f>
        <v>2</v>
      </c>
      <c r="BP251" s="2" t="str">
        <f>'NUEVA LAS CONDES'!BO9</f>
        <v/>
      </c>
      <c r="BQ251" s="2" t="str">
        <f>'NUEVA LAS CONDES'!BP9</f>
        <v/>
      </c>
      <c r="BR251" s="2" t="str">
        <f>'NUEVA LAS CONDES'!BQ9</f>
        <v/>
      </c>
      <c r="BS251" s="2" t="str">
        <f>'NUEVA LAS CONDES'!BR9</f>
        <v/>
      </c>
      <c r="BT251" s="2" t="str">
        <f>'NUEVA LAS CONDES'!CC9</f>
        <v/>
      </c>
      <c r="BU251" s="2" t="str">
        <f>'NUEVA LAS CONDES'!CD9</f>
        <v/>
      </c>
      <c r="BV251" s="2" t="str">
        <f>'NUEVA LAS CONDES'!CE9</f>
        <v/>
      </c>
      <c r="BW251" s="2"/>
      <c r="BX251" s="2"/>
      <c r="BY251" s="2"/>
      <c r="BZ251" s="2"/>
      <c r="CA251" s="2"/>
      <c r="CB251" s="2"/>
      <c r="CC251" s="2"/>
    </row>
    <row r="252">
      <c r="A252" s="2"/>
      <c r="B252" s="2" t="str">
        <f>'NUEVA LAS CONDES'!A10</f>
        <v>Nueva Las Condes</v>
      </c>
      <c r="C252" s="2" t="str">
        <f>'NUEVA LAS CONDES'!B10</f>
        <v>Cafeteria</v>
      </c>
      <c r="D252" s="2" t="str">
        <f>'NUEVA LAS CONDES'!C10</f>
        <v>Servilletas</v>
      </c>
      <c r="E252" s="2" t="str">
        <f>'NUEVA LAS CONDES'!D10</f>
        <v/>
      </c>
      <c r="F252" s="2" t="str">
        <f>'NUEVA LAS CONDES'!E10</f>
        <v/>
      </c>
      <c r="G252" s="2" t="str">
        <f>'NUEVA LAS CONDES'!F10</f>
        <v/>
      </c>
      <c r="H252" s="2" t="str">
        <f>'NUEVA LAS CONDES'!G10</f>
        <v/>
      </c>
      <c r="I252" s="2" t="str">
        <f>'NUEVA LAS CONDES'!H10</f>
        <v/>
      </c>
      <c r="J252" s="2" t="str">
        <f>'NUEVA LAS CONDES'!I10</f>
        <v/>
      </c>
      <c r="K252" s="2" t="str">
        <f>'NUEVA LAS CONDES'!J10</f>
        <v/>
      </c>
      <c r="L252" s="2" t="str">
        <f>'NUEVA LAS CONDES'!K10</f>
        <v/>
      </c>
      <c r="M252" s="2" t="str">
        <f>'NUEVA LAS CONDES'!L10</f>
        <v/>
      </c>
      <c r="N252" s="2" t="str">
        <f>'NUEVA LAS CONDES'!M10</f>
        <v/>
      </c>
      <c r="O252" s="2" t="str">
        <f>'NUEVA LAS CONDES'!N10</f>
        <v/>
      </c>
      <c r="P252" s="2" t="str">
        <f>'NUEVA LAS CONDES'!O10</f>
        <v/>
      </c>
      <c r="Q252" s="2" t="str">
        <f>'NUEVA LAS CONDES'!P10</f>
        <v/>
      </c>
      <c r="R252" s="2" t="str">
        <f>'NUEVA LAS CONDES'!Q10</f>
        <v/>
      </c>
      <c r="S252" s="2" t="str">
        <f>'NUEVA LAS CONDES'!R10</f>
        <v/>
      </c>
      <c r="T252" s="2" t="str">
        <f>'NUEVA LAS CONDES'!S10</f>
        <v/>
      </c>
      <c r="U252" s="2" t="str">
        <f>'NUEVA LAS CONDES'!T10</f>
        <v/>
      </c>
      <c r="V252" s="2" t="str">
        <f>'NUEVA LAS CONDES'!U10</f>
        <v/>
      </c>
      <c r="W252" s="2" t="str">
        <f>'NUEVA LAS CONDES'!V10</f>
        <v/>
      </c>
      <c r="X252" s="2" t="str">
        <f>'NUEVA LAS CONDES'!W10</f>
        <v/>
      </c>
      <c r="Y252" s="2" t="str">
        <f>'NUEVA LAS CONDES'!X10</f>
        <v/>
      </c>
      <c r="Z252" s="2" t="str">
        <f>'NUEVA LAS CONDES'!Y10</f>
        <v/>
      </c>
      <c r="AA252" s="2" t="str">
        <f>'NUEVA LAS CONDES'!Z10</f>
        <v/>
      </c>
      <c r="AB252" s="2" t="str">
        <f>'NUEVA LAS CONDES'!AA10</f>
        <v/>
      </c>
      <c r="AC252" s="2" t="str">
        <f>'NUEVA LAS CONDES'!AB10</f>
        <v/>
      </c>
      <c r="AD252" s="2" t="str">
        <f>'NUEVA LAS CONDES'!AC10</f>
        <v/>
      </c>
      <c r="AE252" s="2" t="str">
        <f>'NUEVA LAS CONDES'!AD10</f>
        <v/>
      </c>
      <c r="AF252" s="2" t="str">
        <f>'NUEVA LAS CONDES'!AE10</f>
        <v/>
      </c>
      <c r="AG252" s="2" t="str">
        <f>'NUEVA LAS CONDES'!AF10</f>
        <v/>
      </c>
      <c r="AH252" s="2" t="str">
        <f>'NUEVA LAS CONDES'!AG10</f>
        <v/>
      </c>
      <c r="AI252" s="2" t="str">
        <f>'NUEVA LAS CONDES'!AH10</f>
        <v/>
      </c>
      <c r="AJ252" s="2" t="str">
        <f>'NUEVA LAS CONDES'!AI10</f>
        <v/>
      </c>
      <c r="AK252" s="2" t="str">
        <f>'NUEVA LAS CONDES'!AJ10</f>
        <v/>
      </c>
      <c r="AL252" s="2" t="str">
        <f>'NUEVA LAS CONDES'!AK10</f>
        <v/>
      </c>
      <c r="AM252" s="2" t="str">
        <f>'NUEVA LAS CONDES'!AL10</f>
        <v/>
      </c>
      <c r="AN252" s="2" t="str">
        <f>'NUEVA LAS CONDES'!AM10</f>
        <v/>
      </c>
      <c r="AO252" s="2" t="str">
        <f>'NUEVA LAS CONDES'!AN10</f>
        <v/>
      </c>
      <c r="AP252" s="2" t="str">
        <f>'NUEVA LAS CONDES'!AO10</f>
        <v/>
      </c>
      <c r="AQ252" s="2" t="str">
        <f>'NUEVA LAS CONDES'!AP10</f>
        <v/>
      </c>
      <c r="AR252" s="2" t="str">
        <f>'NUEVA LAS CONDES'!AQ10</f>
        <v/>
      </c>
      <c r="AS252" s="2" t="str">
        <f>'NUEVA LAS CONDES'!AR10</f>
        <v/>
      </c>
      <c r="AT252" s="2" t="str">
        <f>'NUEVA LAS CONDES'!AS10</f>
        <v/>
      </c>
      <c r="AU252" s="2" t="str">
        <f>'NUEVA LAS CONDES'!AT10</f>
        <v/>
      </c>
      <c r="AV252" s="2" t="str">
        <f>'NUEVA LAS CONDES'!AU10</f>
        <v/>
      </c>
      <c r="AW252" s="2" t="str">
        <f>'NUEVA LAS CONDES'!AV10</f>
        <v/>
      </c>
      <c r="AX252" s="2" t="str">
        <f>'NUEVA LAS CONDES'!AW10</f>
        <v/>
      </c>
      <c r="AY252" s="2">
        <f>'NUEVA LAS CONDES'!AX10</f>
        <v>10</v>
      </c>
      <c r="AZ252" s="2">
        <f>'NUEVA LAS CONDES'!AY10</f>
        <v>9</v>
      </c>
      <c r="BA252" s="2">
        <f>'NUEVA LAS CONDES'!AZ10</f>
        <v>8</v>
      </c>
      <c r="BB252" s="2">
        <f>'NUEVA LAS CONDES'!BA10</f>
        <v>7</v>
      </c>
      <c r="BC252" s="2">
        <f>'NUEVA LAS CONDES'!BB10</f>
        <v>6</v>
      </c>
      <c r="BD252" s="2">
        <f>'NUEVA LAS CONDES'!BC10</f>
        <v>5</v>
      </c>
      <c r="BE252" s="2">
        <f>'NUEVA LAS CONDES'!BD10</f>
        <v>4</v>
      </c>
      <c r="BF252" s="2">
        <f>'NUEVA LAS CONDES'!BE10</f>
        <v>4</v>
      </c>
      <c r="BG252" s="2">
        <f>'NUEVA LAS CONDES'!BF10</f>
        <v>3</v>
      </c>
      <c r="BH252" s="2">
        <f>'NUEVA LAS CONDES'!BG10</f>
        <v>15</v>
      </c>
      <c r="BI252" s="2">
        <f>'NUEVA LAS CONDES'!BH10</f>
        <v>15</v>
      </c>
      <c r="BJ252" s="2">
        <f>'NUEVA LAS CONDES'!BI10</f>
        <v>9</v>
      </c>
      <c r="BK252" s="2">
        <f>'NUEVA LAS CONDES'!BJ10</f>
        <v>9</v>
      </c>
      <c r="BL252" s="2">
        <f>'NUEVA LAS CONDES'!BK10</f>
        <v>8</v>
      </c>
      <c r="BM252" s="2">
        <f>'NUEVA LAS CONDES'!BL10</f>
        <v>15</v>
      </c>
      <c r="BN252" s="2">
        <f>'NUEVA LAS CONDES'!BM10</f>
        <v>15</v>
      </c>
      <c r="BO252" s="2">
        <f>'NUEVA LAS CONDES'!BN10</f>
        <v>13</v>
      </c>
      <c r="BP252" s="2" t="str">
        <f>'NUEVA LAS CONDES'!BO10</f>
        <v/>
      </c>
      <c r="BQ252" s="2" t="str">
        <f>'NUEVA LAS CONDES'!BP10</f>
        <v/>
      </c>
      <c r="BR252" s="2" t="str">
        <f>'NUEVA LAS CONDES'!BQ10</f>
        <v/>
      </c>
      <c r="BS252" s="2" t="str">
        <f>'NUEVA LAS CONDES'!BR10</f>
        <v/>
      </c>
      <c r="BT252" s="2" t="str">
        <f>'NUEVA LAS CONDES'!CC10</f>
        <v/>
      </c>
      <c r="BU252" s="2" t="str">
        <f>'NUEVA LAS CONDES'!CD10</f>
        <v/>
      </c>
      <c r="BV252" s="2" t="str">
        <f>'NUEVA LAS CONDES'!CE10</f>
        <v/>
      </c>
      <c r="BW252" s="2"/>
      <c r="BX252" s="2"/>
      <c r="BY252" s="2"/>
      <c r="BZ252" s="2"/>
      <c r="CA252" s="2"/>
      <c r="CB252" s="2"/>
      <c r="CC252" s="2"/>
    </row>
    <row r="253">
      <c r="A253" s="2"/>
      <c r="B253" s="2" t="str">
        <f>'NUEVA LAS CONDES'!A11</f>
        <v>Nueva Las Condes</v>
      </c>
      <c r="C253" s="2" t="str">
        <f>'NUEVA LAS CONDES'!B11</f>
        <v>Cafeteria</v>
      </c>
      <c r="D253" s="2" t="str">
        <f>'NUEVA LAS CONDES'!C11</f>
        <v>Aceite de oliva </v>
      </c>
      <c r="E253" s="2" t="str">
        <f>'NUEVA LAS CONDES'!D11</f>
        <v/>
      </c>
      <c r="F253" s="2" t="str">
        <f>'NUEVA LAS CONDES'!E11</f>
        <v/>
      </c>
      <c r="G253" s="2" t="str">
        <f>'NUEVA LAS CONDES'!F11</f>
        <v/>
      </c>
      <c r="H253" s="2" t="str">
        <f>'NUEVA LAS CONDES'!G11</f>
        <v/>
      </c>
      <c r="I253" s="2" t="str">
        <f>'NUEVA LAS CONDES'!H11</f>
        <v/>
      </c>
      <c r="J253" s="2" t="str">
        <f>'NUEVA LAS CONDES'!I11</f>
        <v/>
      </c>
      <c r="K253" s="2" t="str">
        <f>'NUEVA LAS CONDES'!J11</f>
        <v/>
      </c>
      <c r="L253" s="2" t="str">
        <f>'NUEVA LAS CONDES'!K11</f>
        <v/>
      </c>
      <c r="M253" s="2" t="str">
        <f>'NUEVA LAS CONDES'!L11</f>
        <v/>
      </c>
      <c r="N253" s="2" t="str">
        <f>'NUEVA LAS CONDES'!M11</f>
        <v/>
      </c>
      <c r="O253" s="2" t="str">
        <f>'NUEVA LAS CONDES'!N11</f>
        <v/>
      </c>
      <c r="P253" s="2" t="str">
        <f>'NUEVA LAS CONDES'!O11</f>
        <v/>
      </c>
      <c r="Q253" s="2" t="str">
        <f>'NUEVA LAS CONDES'!P11</f>
        <v/>
      </c>
      <c r="R253" s="2" t="str">
        <f>'NUEVA LAS CONDES'!Q11</f>
        <v/>
      </c>
      <c r="S253" s="2" t="str">
        <f>'NUEVA LAS CONDES'!R11</f>
        <v/>
      </c>
      <c r="T253" s="2" t="str">
        <f>'NUEVA LAS CONDES'!S11</f>
        <v/>
      </c>
      <c r="U253" s="2" t="str">
        <f>'NUEVA LAS CONDES'!T11</f>
        <v/>
      </c>
      <c r="V253" s="2" t="str">
        <f>'NUEVA LAS CONDES'!U11</f>
        <v/>
      </c>
      <c r="W253" s="2" t="str">
        <f>'NUEVA LAS CONDES'!V11</f>
        <v/>
      </c>
      <c r="X253" s="2" t="str">
        <f>'NUEVA LAS CONDES'!W11</f>
        <v/>
      </c>
      <c r="Y253" s="2" t="str">
        <f>'NUEVA LAS CONDES'!X11</f>
        <v/>
      </c>
      <c r="Z253" s="2" t="str">
        <f>'NUEVA LAS CONDES'!Y11</f>
        <v/>
      </c>
      <c r="AA253" s="2" t="str">
        <f>'NUEVA LAS CONDES'!Z11</f>
        <v/>
      </c>
      <c r="AB253" s="2" t="str">
        <f>'NUEVA LAS CONDES'!AA11</f>
        <v/>
      </c>
      <c r="AC253" s="2" t="str">
        <f>'NUEVA LAS CONDES'!AB11</f>
        <v/>
      </c>
      <c r="AD253" s="2" t="str">
        <f>'NUEVA LAS CONDES'!AC11</f>
        <v/>
      </c>
      <c r="AE253" s="2" t="str">
        <f>'NUEVA LAS CONDES'!AD11</f>
        <v/>
      </c>
      <c r="AF253" s="2" t="str">
        <f>'NUEVA LAS CONDES'!AE11</f>
        <v/>
      </c>
      <c r="AG253" s="2" t="str">
        <f>'NUEVA LAS CONDES'!AF11</f>
        <v/>
      </c>
      <c r="AH253" s="2" t="str">
        <f>'NUEVA LAS CONDES'!AG11</f>
        <v/>
      </c>
      <c r="AI253" s="2" t="str">
        <f>'NUEVA LAS CONDES'!AH11</f>
        <v/>
      </c>
      <c r="AJ253" s="2" t="str">
        <f>'NUEVA LAS CONDES'!AI11</f>
        <v/>
      </c>
      <c r="AK253" s="2" t="str">
        <f>'NUEVA LAS CONDES'!AJ11</f>
        <v/>
      </c>
      <c r="AL253" s="2" t="str">
        <f>'NUEVA LAS CONDES'!AK11</f>
        <v/>
      </c>
      <c r="AM253" s="2" t="str">
        <f>'NUEVA LAS CONDES'!AL11</f>
        <v/>
      </c>
      <c r="AN253" s="2" t="str">
        <f>'NUEVA LAS CONDES'!AM11</f>
        <v/>
      </c>
      <c r="AO253" s="2" t="str">
        <f>'NUEVA LAS CONDES'!AN11</f>
        <v/>
      </c>
      <c r="AP253" s="2" t="str">
        <f>'NUEVA LAS CONDES'!AO11</f>
        <v/>
      </c>
      <c r="AQ253" s="2" t="str">
        <f>'NUEVA LAS CONDES'!AP11</f>
        <v/>
      </c>
      <c r="AR253" s="2" t="str">
        <f>'NUEVA LAS CONDES'!AQ11</f>
        <v/>
      </c>
      <c r="AS253" s="2" t="str">
        <f>'NUEVA LAS CONDES'!AR11</f>
        <v/>
      </c>
      <c r="AT253" s="2" t="str">
        <f>'NUEVA LAS CONDES'!AS11</f>
        <v/>
      </c>
      <c r="AU253" s="2" t="str">
        <f>'NUEVA LAS CONDES'!AT11</f>
        <v/>
      </c>
      <c r="AV253" s="2" t="str">
        <f>'NUEVA LAS CONDES'!AU11</f>
        <v/>
      </c>
      <c r="AW253" s="2" t="str">
        <f>'NUEVA LAS CONDES'!AV11</f>
        <v/>
      </c>
      <c r="AX253" s="2" t="str">
        <f>'NUEVA LAS CONDES'!AW11</f>
        <v/>
      </c>
      <c r="AY253" s="2" t="str">
        <f>'NUEVA LAS CONDES'!AX11</f>
        <v/>
      </c>
      <c r="AZ253" s="2" t="str">
        <f>'NUEVA LAS CONDES'!AY11</f>
        <v/>
      </c>
      <c r="BA253" s="2" t="str">
        <f>'NUEVA LAS CONDES'!AZ11</f>
        <v/>
      </c>
      <c r="BB253" s="2">
        <f>'NUEVA LAS CONDES'!BA11</f>
        <v>1</v>
      </c>
      <c r="BC253" s="2">
        <f>'NUEVA LAS CONDES'!BB11</f>
        <v>1</v>
      </c>
      <c r="BD253" s="2">
        <f>'NUEVA LAS CONDES'!BC11</f>
        <v>1</v>
      </c>
      <c r="BE253" s="2">
        <f>'NUEVA LAS CONDES'!BD11</f>
        <v>1</v>
      </c>
      <c r="BF253" s="2">
        <f>'NUEVA LAS CONDES'!BE11</f>
        <v>1</v>
      </c>
      <c r="BG253" s="2">
        <f>'NUEVA LAS CONDES'!BF11</f>
        <v>0</v>
      </c>
      <c r="BH253" s="2">
        <f>'NUEVA LAS CONDES'!BG11</f>
        <v>0</v>
      </c>
      <c r="BI253" s="2">
        <f>'NUEVA LAS CONDES'!BH11</f>
        <v>0</v>
      </c>
      <c r="BJ253" s="2">
        <f>'NUEVA LAS CONDES'!BI11</f>
        <v>0</v>
      </c>
      <c r="BK253" s="2">
        <f>'NUEVA LAS CONDES'!BJ11</f>
        <v>0</v>
      </c>
      <c r="BL253" s="2">
        <f>'NUEVA LAS CONDES'!BK11</f>
        <v>0</v>
      </c>
      <c r="BM253" s="2">
        <f>'NUEVA LAS CONDES'!BL11</f>
        <v>1</v>
      </c>
      <c r="BN253" s="2">
        <f>'NUEVA LAS CONDES'!BM11</f>
        <v>1</v>
      </c>
      <c r="BO253" s="2">
        <f>'NUEVA LAS CONDES'!BN11</f>
        <v>1</v>
      </c>
      <c r="BP253" s="2" t="str">
        <f>'NUEVA LAS CONDES'!BO11</f>
        <v/>
      </c>
      <c r="BQ253" s="2" t="str">
        <f>'NUEVA LAS CONDES'!BP11</f>
        <v/>
      </c>
      <c r="BR253" s="2" t="str">
        <f>'NUEVA LAS CONDES'!BQ11</f>
        <v/>
      </c>
      <c r="BS253" s="2" t="str">
        <f>'NUEVA LAS CONDES'!BR11</f>
        <v/>
      </c>
      <c r="BT253" s="2" t="str">
        <f>'NUEVA LAS CONDES'!CC14</f>
        <v/>
      </c>
      <c r="BU253" s="2" t="str">
        <f>'NUEVA LAS CONDES'!CD14</f>
        <v/>
      </c>
      <c r="BV253" s="2" t="str">
        <f>'NUEVA LAS CONDES'!CE14</f>
        <v/>
      </c>
      <c r="BW253" s="2"/>
      <c r="BX253" s="2"/>
      <c r="BY253" s="2"/>
      <c r="BZ253" s="2"/>
      <c r="CA253" s="2"/>
      <c r="CB253" s="2"/>
      <c r="CC253" s="2"/>
    </row>
    <row r="254">
      <c r="A254" s="2"/>
      <c r="B254" s="2" t="str">
        <f>'NUEVA LAS CONDES'!A12</f>
        <v>Nueva Las Condes</v>
      </c>
      <c r="C254" s="2" t="str">
        <f>'NUEVA LAS CONDES'!B12</f>
        <v>Cafeteria</v>
      </c>
      <c r="D254" s="2" t="str">
        <f>'NUEVA LAS CONDES'!C12</f>
        <v>Te de Hiervas surtida</v>
      </c>
      <c r="E254" s="2" t="str">
        <f>'NUEVA LAS CONDES'!D12</f>
        <v/>
      </c>
      <c r="F254" s="2" t="str">
        <f>'NUEVA LAS CONDES'!E12</f>
        <v/>
      </c>
      <c r="G254" s="2" t="str">
        <f>'NUEVA LAS CONDES'!F12</f>
        <v/>
      </c>
      <c r="H254" s="2" t="str">
        <f>'NUEVA LAS CONDES'!G12</f>
        <v/>
      </c>
      <c r="I254" s="2" t="str">
        <f>'NUEVA LAS CONDES'!H12</f>
        <v/>
      </c>
      <c r="J254" s="2" t="str">
        <f>'NUEVA LAS CONDES'!I12</f>
        <v/>
      </c>
      <c r="K254" s="2" t="str">
        <f>'NUEVA LAS CONDES'!J12</f>
        <v/>
      </c>
      <c r="L254" s="2" t="str">
        <f>'NUEVA LAS CONDES'!K12</f>
        <v/>
      </c>
      <c r="M254" s="2" t="str">
        <f>'NUEVA LAS CONDES'!L12</f>
        <v/>
      </c>
      <c r="N254" s="2" t="str">
        <f>'NUEVA LAS CONDES'!M12</f>
        <v/>
      </c>
      <c r="O254" s="2" t="str">
        <f>'NUEVA LAS CONDES'!N12</f>
        <v/>
      </c>
      <c r="P254" s="2" t="str">
        <f>'NUEVA LAS CONDES'!O12</f>
        <v/>
      </c>
      <c r="Q254" s="2" t="str">
        <f>'NUEVA LAS CONDES'!P12</f>
        <v/>
      </c>
      <c r="R254" s="2" t="str">
        <f>'NUEVA LAS CONDES'!Q12</f>
        <v/>
      </c>
      <c r="S254" s="2" t="str">
        <f>'NUEVA LAS CONDES'!R12</f>
        <v/>
      </c>
      <c r="T254" s="2" t="str">
        <f>'NUEVA LAS CONDES'!S12</f>
        <v/>
      </c>
      <c r="U254" s="2" t="str">
        <f>'NUEVA LAS CONDES'!T12</f>
        <v/>
      </c>
      <c r="V254" s="2" t="str">
        <f>'NUEVA LAS CONDES'!U12</f>
        <v/>
      </c>
      <c r="W254" s="2" t="str">
        <f>'NUEVA LAS CONDES'!V12</f>
        <v/>
      </c>
      <c r="X254" s="2" t="str">
        <f>'NUEVA LAS CONDES'!W12</f>
        <v/>
      </c>
      <c r="Y254" s="2" t="str">
        <f>'NUEVA LAS CONDES'!X12</f>
        <v/>
      </c>
      <c r="Z254" s="2" t="str">
        <f>'NUEVA LAS CONDES'!Y12</f>
        <v/>
      </c>
      <c r="AA254" s="2" t="str">
        <f>'NUEVA LAS CONDES'!Z12</f>
        <v/>
      </c>
      <c r="AB254" s="2" t="str">
        <f>'NUEVA LAS CONDES'!AA12</f>
        <v/>
      </c>
      <c r="AC254" s="2" t="str">
        <f>'NUEVA LAS CONDES'!AB12</f>
        <v/>
      </c>
      <c r="AD254" s="2" t="str">
        <f>'NUEVA LAS CONDES'!AC12</f>
        <v/>
      </c>
      <c r="AE254" s="2" t="str">
        <f>'NUEVA LAS CONDES'!AD12</f>
        <v/>
      </c>
      <c r="AF254" s="2" t="str">
        <f>'NUEVA LAS CONDES'!AE12</f>
        <v/>
      </c>
      <c r="AG254" s="2" t="str">
        <f>'NUEVA LAS CONDES'!AF12</f>
        <v/>
      </c>
      <c r="AH254" s="2" t="str">
        <f>'NUEVA LAS CONDES'!AG12</f>
        <v/>
      </c>
      <c r="AI254" s="2" t="str">
        <f>'NUEVA LAS CONDES'!AH12</f>
        <v/>
      </c>
      <c r="AJ254" s="2" t="str">
        <f>'NUEVA LAS CONDES'!AI12</f>
        <v/>
      </c>
      <c r="AK254" s="2" t="str">
        <f>'NUEVA LAS CONDES'!AJ12</f>
        <v/>
      </c>
      <c r="AL254" s="2" t="str">
        <f>'NUEVA LAS CONDES'!AK12</f>
        <v/>
      </c>
      <c r="AM254" s="2" t="str">
        <f>'NUEVA LAS CONDES'!AL12</f>
        <v/>
      </c>
      <c r="AN254" s="2" t="str">
        <f>'NUEVA LAS CONDES'!AM12</f>
        <v/>
      </c>
      <c r="AO254" s="2" t="str">
        <f>'NUEVA LAS CONDES'!AN12</f>
        <v/>
      </c>
      <c r="AP254" s="2" t="str">
        <f>'NUEVA LAS CONDES'!AO12</f>
        <v/>
      </c>
      <c r="AQ254" s="2" t="str">
        <f>'NUEVA LAS CONDES'!AP12</f>
        <v/>
      </c>
      <c r="AR254" s="2" t="str">
        <f>'NUEVA LAS CONDES'!AQ12</f>
        <v/>
      </c>
      <c r="AS254" s="2" t="str">
        <f>'NUEVA LAS CONDES'!AR12</f>
        <v/>
      </c>
      <c r="AT254" s="2" t="str">
        <f>'NUEVA LAS CONDES'!AS12</f>
        <v/>
      </c>
      <c r="AU254" s="2" t="str">
        <f>'NUEVA LAS CONDES'!AT12</f>
        <v/>
      </c>
      <c r="AV254" s="2" t="str">
        <f>'NUEVA LAS CONDES'!AU12</f>
        <v/>
      </c>
      <c r="AW254" s="2" t="str">
        <f>'NUEVA LAS CONDES'!AV12</f>
        <v/>
      </c>
      <c r="AX254" s="2" t="str">
        <f>'NUEVA LAS CONDES'!AW12</f>
        <v/>
      </c>
      <c r="AY254" s="2" t="str">
        <f>'NUEVA LAS CONDES'!AX12</f>
        <v/>
      </c>
      <c r="AZ254" s="2" t="str">
        <f>'NUEVA LAS CONDES'!AY12</f>
        <v/>
      </c>
      <c r="BA254" s="2" t="str">
        <f>'NUEVA LAS CONDES'!AZ12</f>
        <v/>
      </c>
      <c r="BB254" s="2">
        <f>'NUEVA LAS CONDES'!BA12</f>
        <v>1</v>
      </c>
      <c r="BC254" s="2">
        <f>'NUEVA LAS CONDES'!BB12</f>
        <v>1</v>
      </c>
      <c r="BD254" s="2">
        <f>'NUEVA LAS CONDES'!BC12</f>
        <v>1</v>
      </c>
      <c r="BE254" s="2">
        <f>'NUEVA LAS CONDES'!BD12</f>
        <v>1</v>
      </c>
      <c r="BF254" s="2">
        <f>'NUEVA LAS CONDES'!BE12</f>
        <v>1</v>
      </c>
      <c r="BG254" s="2">
        <f>'NUEVA LAS CONDES'!BF12</f>
        <v>0</v>
      </c>
      <c r="BH254" s="2">
        <f>'NUEVA LAS CONDES'!BG12</f>
        <v>0</v>
      </c>
      <c r="BI254" s="2">
        <f>'NUEVA LAS CONDES'!BH12</f>
        <v>0</v>
      </c>
      <c r="BJ254" s="2">
        <f>'NUEVA LAS CONDES'!BI12</f>
        <v>0</v>
      </c>
      <c r="BK254" s="2">
        <f>'NUEVA LAS CONDES'!BJ12</f>
        <v>0</v>
      </c>
      <c r="BL254" s="2">
        <f>'NUEVA LAS CONDES'!BK12</f>
        <v>0</v>
      </c>
      <c r="BM254" s="2">
        <f>'NUEVA LAS CONDES'!BL12</f>
        <v>1</v>
      </c>
      <c r="BN254" s="2">
        <f>'NUEVA LAS CONDES'!BM12</f>
        <v>1</v>
      </c>
      <c r="BO254" s="2">
        <f>'NUEVA LAS CONDES'!BN12</f>
        <v>0</v>
      </c>
      <c r="BP254" s="2" t="str">
        <f>'NUEVA LAS CONDES'!BO12</f>
        <v/>
      </c>
      <c r="BQ254" s="2" t="str">
        <f>'NUEVA LAS CONDES'!BP12</f>
        <v/>
      </c>
      <c r="BR254" s="2" t="str">
        <f>'NUEVA LAS CONDES'!BQ12</f>
        <v/>
      </c>
      <c r="BS254" s="2" t="str">
        <f>'NUEVA LAS CONDES'!BR12</f>
        <v/>
      </c>
      <c r="BT254" s="2" t="str">
        <f>'NUEVA LAS CONDES'!CC15</f>
        <v/>
      </c>
      <c r="BU254" s="2" t="str">
        <f>'NUEVA LAS CONDES'!CD15</f>
        <v/>
      </c>
      <c r="BV254" s="2" t="str">
        <f>'NUEVA LAS CONDES'!CE15</f>
        <v/>
      </c>
      <c r="BW254" s="2"/>
      <c r="BX254" s="2"/>
      <c r="BY254" s="2"/>
      <c r="BZ254" s="2"/>
      <c r="CA254" s="2"/>
      <c r="CB254" s="2"/>
      <c r="CC254" s="2"/>
    </row>
    <row r="255">
      <c r="A255" s="2"/>
      <c r="B255" s="2" t="str">
        <f>'NUEVA LAS CONDES'!A13</f>
        <v>Nueva Las Condes</v>
      </c>
      <c r="C255" s="2" t="str">
        <f>'NUEVA LAS CONDES'!B13</f>
        <v>Cafeteria</v>
      </c>
      <c r="D255" s="2" t="str">
        <f>'NUEVA LAS CONDES'!C13</f>
        <v>Cafe Granulado</v>
      </c>
      <c r="E255" s="2" t="str">
        <f>'NUEVA LAS CONDES'!D13</f>
        <v/>
      </c>
      <c r="F255" s="2" t="str">
        <f>'NUEVA LAS CONDES'!E13</f>
        <v/>
      </c>
      <c r="G255" s="2" t="str">
        <f>'NUEVA LAS CONDES'!F13</f>
        <v/>
      </c>
      <c r="H255" s="2" t="str">
        <f>'NUEVA LAS CONDES'!G13</f>
        <v/>
      </c>
      <c r="I255" s="2" t="str">
        <f>'NUEVA LAS CONDES'!H13</f>
        <v/>
      </c>
      <c r="J255" s="2" t="str">
        <f>'NUEVA LAS CONDES'!I13</f>
        <v/>
      </c>
      <c r="K255" s="2" t="str">
        <f>'NUEVA LAS CONDES'!J13</f>
        <v/>
      </c>
      <c r="L255" s="2" t="str">
        <f>'NUEVA LAS CONDES'!K13</f>
        <v/>
      </c>
      <c r="M255" s="2" t="str">
        <f>'NUEVA LAS CONDES'!L13</f>
        <v/>
      </c>
      <c r="N255" s="2" t="str">
        <f>'NUEVA LAS CONDES'!M13</f>
        <v/>
      </c>
      <c r="O255" s="2" t="str">
        <f>'NUEVA LAS CONDES'!N13</f>
        <v/>
      </c>
      <c r="P255" s="2" t="str">
        <f>'NUEVA LAS CONDES'!O13</f>
        <v/>
      </c>
      <c r="Q255" s="2" t="str">
        <f>'NUEVA LAS CONDES'!P13</f>
        <v/>
      </c>
      <c r="R255" s="2" t="str">
        <f>'NUEVA LAS CONDES'!Q13</f>
        <v/>
      </c>
      <c r="S255" s="2" t="str">
        <f>'NUEVA LAS CONDES'!R13</f>
        <v/>
      </c>
      <c r="T255" s="2" t="str">
        <f>'NUEVA LAS CONDES'!S13</f>
        <v/>
      </c>
      <c r="U255" s="2" t="str">
        <f>'NUEVA LAS CONDES'!T13</f>
        <v/>
      </c>
      <c r="V255" s="2" t="str">
        <f>'NUEVA LAS CONDES'!U13</f>
        <v/>
      </c>
      <c r="W255" s="2" t="str">
        <f>'NUEVA LAS CONDES'!V13</f>
        <v/>
      </c>
      <c r="X255" s="2" t="str">
        <f>'NUEVA LAS CONDES'!W13</f>
        <v/>
      </c>
      <c r="Y255" s="2" t="str">
        <f>'NUEVA LAS CONDES'!X13</f>
        <v/>
      </c>
      <c r="Z255" s="2" t="str">
        <f>'NUEVA LAS CONDES'!Y13</f>
        <v/>
      </c>
      <c r="AA255" s="2" t="str">
        <f>'NUEVA LAS CONDES'!Z13</f>
        <v/>
      </c>
      <c r="AB255" s="2" t="str">
        <f>'NUEVA LAS CONDES'!AA13</f>
        <v/>
      </c>
      <c r="AC255" s="2" t="str">
        <f>'NUEVA LAS CONDES'!AB13</f>
        <v/>
      </c>
      <c r="AD255" s="2" t="str">
        <f>'NUEVA LAS CONDES'!AC13</f>
        <v/>
      </c>
      <c r="AE255" s="2" t="str">
        <f>'NUEVA LAS CONDES'!AD13</f>
        <v/>
      </c>
      <c r="AF255" s="2" t="str">
        <f>'NUEVA LAS CONDES'!AE13</f>
        <v/>
      </c>
      <c r="AG255" s="2" t="str">
        <f>'NUEVA LAS CONDES'!AF13</f>
        <v/>
      </c>
      <c r="AH255" s="2" t="str">
        <f>'NUEVA LAS CONDES'!AG13</f>
        <v/>
      </c>
      <c r="AI255" s="2" t="str">
        <f>'NUEVA LAS CONDES'!AH13</f>
        <v/>
      </c>
      <c r="AJ255" s="2" t="str">
        <f>'NUEVA LAS CONDES'!AI13</f>
        <v/>
      </c>
      <c r="AK255" s="2" t="str">
        <f>'NUEVA LAS CONDES'!AJ13</f>
        <v/>
      </c>
      <c r="AL255" s="2" t="str">
        <f>'NUEVA LAS CONDES'!AK13</f>
        <v/>
      </c>
      <c r="AM255" s="2" t="str">
        <f>'NUEVA LAS CONDES'!AL13</f>
        <v/>
      </c>
      <c r="AN255" s="2" t="str">
        <f>'NUEVA LAS CONDES'!AM13</f>
        <v/>
      </c>
      <c r="AO255" s="2" t="str">
        <f>'NUEVA LAS CONDES'!AN13</f>
        <v/>
      </c>
      <c r="AP255" s="2" t="str">
        <f>'NUEVA LAS CONDES'!AO13</f>
        <v/>
      </c>
      <c r="AQ255" s="2" t="str">
        <f>'NUEVA LAS CONDES'!AP13</f>
        <v/>
      </c>
      <c r="AR255" s="2" t="str">
        <f>'NUEVA LAS CONDES'!AQ13</f>
        <v/>
      </c>
      <c r="AS255" s="2" t="str">
        <f>'NUEVA LAS CONDES'!AR13</f>
        <v/>
      </c>
      <c r="AT255" s="2" t="str">
        <f>'NUEVA LAS CONDES'!AS13</f>
        <v/>
      </c>
      <c r="AU255" s="2" t="str">
        <f>'NUEVA LAS CONDES'!AT13</f>
        <v/>
      </c>
      <c r="AV255" s="2" t="str">
        <f>'NUEVA LAS CONDES'!AU13</f>
        <v/>
      </c>
      <c r="AW255" s="2" t="str">
        <f>'NUEVA LAS CONDES'!AV13</f>
        <v/>
      </c>
      <c r="AX255" s="2" t="str">
        <f>'NUEVA LAS CONDES'!AW13</f>
        <v/>
      </c>
      <c r="AY255" s="2" t="str">
        <f>'NUEVA LAS CONDES'!AX13</f>
        <v/>
      </c>
      <c r="AZ255" s="2" t="str">
        <f>'NUEVA LAS CONDES'!AY13</f>
        <v/>
      </c>
      <c r="BA255" s="2" t="str">
        <f>'NUEVA LAS CONDES'!AZ13</f>
        <v/>
      </c>
      <c r="BB255" s="2" t="str">
        <f>'NUEVA LAS CONDES'!BA13</f>
        <v>-</v>
      </c>
      <c r="BC255" s="2" t="str">
        <f>'NUEVA LAS CONDES'!BB13</f>
        <v>-</v>
      </c>
      <c r="BD255" s="2" t="str">
        <f>'NUEVA LAS CONDES'!BC13</f>
        <v>-</v>
      </c>
      <c r="BE255" s="2" t="str">
        <f>'NUEVA LAS CONDES'!BD13</f>
        <v>-</v>
      </c>
      <c r="BF255" s="2" t="str">
        <f>'NUEVA LAS CONDES'!BE13</f>
        <v>-</v>
      </c>
      <c r="BG255" s="2" t="str">
        <f>'NUEVA LAS CONDES'!BF13</f>
        <v>-</v>
      </c>
      <c r="BH255" s="2" t="str">
        <f>'NUEVA LAS CONDES'!BG13</f>
        <v>-</v>
      </c>
      <c r="BI255" s="2" t="str">
        <f>'NUEVA LAS CONDES'!BH13</f>
        <v>-</v>
      </c>
      <c r="BJ255" s="2" t="str">
        <f>'NUEVA LAS CONDES'!BI13</f>
        <v>-</v>
      </c>
      <c r="BK255" s="2" t="str">
        <f>'NUEVA LAS CONDES'!BJ13</f>
        <v>-</v>
      </c>
      <c r="BL255" s="2" t="str">
        <f>'NUEVA LAS CONDES'!BK13</f>
        <v/>
      </c>
      <c r="BM255" s="2">
        <f>'NUEVA LAS CONDES'!BL13</f>
        <v>0</v>
      </c>
      <c r="BN255" s="2">
        <f>'NUEVA LAS CONDES'!BM13</f>
        <v>0</v>
      </c>
      <c r="BO255" s="2">
        <f>'NUEVA LAS CONDES'!BN13</f>
        <v>0</v>
      </c>
      <c r="BP255" s="2" t="str">
        <f>'NUEVA LAS CONDES'!BO13</f>
        <v/>
      </c>
      <c r="BQ255" s="2" t="str">
        <f>'NUEVA LAS CONDES'!BP13</f>
        <v/>
      </c>
      <c r="BR255" s="2" t="str">
        <f>'NUEVA LAS CONDES'!BQ13</f>
        <v/>
      </c>
      <c r="BS255" s="2" t="str">
        <f>'NUEVA LAS CONDES'!BR13</f>
        <v/>
      </c>
      <c r="BT255" s="2" t="str">
        <f>'NUEVA LAS CONDES'!CC16</f>
        <v/>
      </c>
      <c r="BU255" s="2" t="str">
        <f>'NUEVA LAS CONDES'!CD16</f>
        <v/>
      </c>
      <c r="BV255" s="2" t="str">
        <f>'NUEVA LAS CONDES'!CE16</f>
        <v/>
      </c>
      <c r="BW255" s="2"/>
      <c r="BX255" s="2"/>
      <c r="BY255" s="2"/>
      <c r="BZ255" s="2"/>
      <c r="CA255" s="2"/>
      <c r="CB255" s="2"/>
      <c r="CC255" s="2"/>
    </row>
    <row r="256">
      <c r="A256" s="2"/>
      <c r="B256" s="2" t="str">
        <f>'NUEVA LAS CONDES'!A14</f>
        <v>Nueva Las Condes</v>
      </c>
      <c r="C256" s="2" t="str">
        <f>'NUEVA LAS CONDES'!B14</f>
        <v>Aseo</v>
      </c>
      <c r="D256" s="2" t="str">
        <f>'NUEVA LAS CONDES'!C14</f>
        <v>Cloro Gel</v>
      </c>
      <c r="E256" s="2" t="str">
        <f>'NUEVA LAS CONDES'!D14</f>
        <v/>
      </c>
      <c r="F256" s="2" t="str">
        <f>'NUEVA LAS CONDES'!E14</f>
        <v/>
      </c>
      <c r="G256" s="2" t="str">
        <f>'NUEVA LAS CONDES'!F14</f>
        <v/>
      </c>
      <c r="H256" s="2" t="str">
        <f>'NUEVA LAS CONDES'!G14</f>
        <v/>
      </c>
      <c r="I256" s="2" t="str">
        <f>'NUEVA LAS CONDES'!H14</f>
        <v/>
      </c>
      <c r="J256" s="2" t="str">
        <f>'NUEVA LAS CONDES'!I14</f>
        <v/>
      </c>
      <c r="K256" s="2" t="str">
        <f>'NUEVA LAS CONDES'!J14</f>
        <v/>
      </c>
      <c r="L256" s="2" t="str">
        <f>'NUEVA LAS CONDES'!K14</f>
        <v/>
      </c>
      <c r="M256" s="2" t="str">
        <f>'NUEVA LAS CONDES'!L14</f>
        <v/>
      </c>
      <c r="N256" s="2" t="str">
        <f>'NUEVA LAS CONDES'!M14</f>
        <v/>
      </c>
      <c r="O256" s="2" t="str">
        <f>'NUEVA LAS CONDES'!N14</f>
        <v/>
      </c>
      <c r="P256" s="2" t="str">
        <f>'NUEVA LAS CONDES'!O14</f>
        <v/>
      </c>
      <c r="Q256" s="2" t="str">
        <f>'NUEVA LAS CONDES'!P14</f>
        <v/>
      </c>
      <c r="R256" s="2" t="str">
        <f>'NUEVA LAS CONDES'!Q14</f>
        <v>-</v>
      </c>
      <c r="S256" s="2" t="str">
        <f>'NUEVA LAS CONDES'!R14</f>
        <v>-</v>
      </c>
      <c r="T256" s="2" t="str">
        <f>'NUEVA LAS CONDES'!S14</f>
        <v>-</v>
      </c>
      <c r="U256" s="2" t="str">
        <f>'NUEVA LAS CONDES'!T14</f>
        <v>-</v>
      </c>
      <c r="V256" s="2" t="str">
        <f>'NUEVA LAS CONDES'!U14</f>
        <v>-</v>
      </c>
      <c r="W256" s="2" t="str">
        <f>'NUEVA LAS CONDES'!V14</f>
        <v>-</v>
      </c>
      <c r="X256" s="2" t="str">
        <f>'NUEVA LAS CONDES'!W14</f>
        <v>-</v>
      </c>
      <c r="Y256" s="2" t="str">
        <f>'NUEVA LAS CONDES'!X14</f>
        <v>-</v>
      </c>
      <c r="Z256" s="2" t="str">
        <f>'NUEVA LAS CONDES'!Y14</f>
        <v>-</v>
      </c>
      <c r="AA256" s="2" t="str">
        <f>'NUEVA LAS CONDES'!Z14</f>
        <v>-</v>
      </c>
      <c r="AB256" s="2">
        <f>'NUEVA LAS CONDES'!AA14</f>
        <v>2</v>
      </c>
      <c r="AC256" s="2">
        <f>'NUEVA LAS CONDES'!AB14</f>
        <v>2</v>
      </c>
      <c r="AD256" s="2">
        <f>'NUEVA LAS CONDES'!AC14</f>
        <v>2</v>
      </c>
      <c r="AE256" s="2">
        <f>'NUEVA LAS CONDES'!AD14</f>
        <v>2</v>
      </c>
      <c r="AF256" s="2">
        <f>'NUEVA LAS CONDES'!AE14</f>
        <v>2</v>
      </c>
      <c r="AG256" s="2">
        <f>'NUEVA LAS CONDES'!AF14</f>
        <v>1</v>
      </c>
      <c r="AH256" s="2">
        <f>'NUEVA LAS CONDES'!AG14</f>
        <v>1</v>
      </c>
      <c r="AI256" s="2">
        <f>'NUEVA LAS CONDES'!AH14</f>
        <v>1</v>
      </c>
      <c r="AJ256" s="2">
        <f>'NUEVA LAS CONDES'!AI14</f>
        <v>1</v>
      </c>
      <c r="AK256" s="2">
        <f>'NUEVA LAS CONDES'!AJ14</f>
        <v>1</v>
      </c>
      <c r="AL256" s="2">
        <f>'NUEVA LAS CONDES'!AK14</f>
        <v>1</v>
      </c>
      <c r="AM256" s="2">
        <f>'NUEVA LAS CONDES'!AL14</f>
        <v>1</v>
      </c>
      <c r="AN256" s="2">
        <f>'NUEVA LAS CONDES'!AM14</f>
        <v>2</v>
      </c>
      <c r="AO256" s="2">
        <f>'NUEVA LAS CONDES'!AN14</f>
        <v>2</v>
      </c>
      <c r="AP256" s="2">
        <f>'NUEVA LAS CONDES'!AO14</f>
        <v>2</v>
      </c>
      <c r="AQ256" s="2">
        <f>'NUEVA LAS CONDES'!AP14</f>
        <v>2</v>
      </c>
      <c r="AR256" s="2">
        <f>'NUEVA LAS CONDES'!AQ14</f>
        <v>2</v>
      </c>
      <c r="AS256" s="2">
        <f>'NUEVA LAS CONDES'!AR14</f>
        <v>2</v>
      </c>
      <c r="AT256" s="2">
        <f>'NUEVA LAS CONDES'!AS14</f>
        <v>2</v>
      </c>
      <c r="AU256" s="2">
        <f>'NUEVA LAS CONDES'!AT14</f>
        <v>2</v>
      </c>
      <c r="AV256" s="2">
        <f>'NUEVA LAS CONDES'!AU14</f>
        <v>2</v>
      </c>
      <c r="AW256" s="2">
        <f>'NUEVA LAS CONDES'!AV14</f>
        <v>2</v>
      </c>
      <c r="AX256" s="2">
        <f>'NUEVA LAS CONDES'!AW14</f>
        <v>1</v>
      </c>
      <c r="AY256" s="2">
        <f>'NUEVA LAS CONDES'!AX14</f>
        <v>9</v>
      </c>
      <c r="AZ256" s="2">
        <f>'NUEVA LAS CONDES'!AY14</f>
        <v>1</v>
      </c>
      <c r="BA256" s="2">
        <f>'NUEVA LAS CONDES'!AZ14</f>
        <v>1</v>
      </c>
      <c r="BB256" s="2">
        <f>'NUEVA LAS CONDES'!BA14</f>
        <v>1</v>
      </c>
      <c r="BC256" s="2">
        <f>'NUEVA LAS CONDES'!BB14</f>
        <v>1</v>
      </c>
      <c r="BD256" s="2">
        <f>'NUEVA LAS CONDES'!BC14</f>
        <v>1</v>
      </c>
      <c r="BE256" s="2">
        <f>'NUEVA LAS CONDES'!BD14</f>
        <v>1</v>
      </c>
      <c r="BF256" s="2">
        <f>'NUEVA LAS CONDES'!BE14</f>
        <v>1</v>
      </c>
      <c r="BG256" s="2">
        <f>'NUEVA LAS CONDES'!BF14</f>
        <v>1</v>
      </c>
      <c r="BH256" s="2">
        <f>'NUEVA LAS CONDES'!BG14</f>
        <v>1</v>
      </c>
      <c r="BI256" s="2">
        <f>'NUEVA LAS CONDES'!BH14</f>
        <v>1</v>
      </c>
      <c r="BJ256" s="2">
        <f>'NUEVA LAS CONDES'!BI14</f>
        <v>1</v>
      </c>
      <c r="BK256" s="2">
        <f>'NUEVA LAS CONDES'!BJ14</f>
        <v>1</v>
      </c>
      <c r="BL256" s="2">
        <f>'NUEVA LAS CONDES'!BK14</f>
        <v>1</v>
      </c>
      <c r="BM256" s="2">
        <f>'NUEVA LAS CONDES'!BL14</f>
        <v>0</v>
      </c>
      <c r="BN256" s="2">
        <f>'NUEVA LAS CONDES'!BM14</f>
        <v>0</v>
      </c>
      <c r="BO256" s="2">
        <f>'NUEVA LAS CONDES'!BN14</f>
        <v>0</v>
      </c>
      <c r="BP256" s="2" t="str">
        <f>'NUEVA LAS CONDES'!BO14</f>
        <v/>
      </c>
      <c r="BQ256" s="2" t="str">
        <f>'NUEVA LAS CONDES'!BP14</f>
        <v/>
      </c>
      <c r="BR256" s="2" t="str">
        <f>'NUEVA LAS CONDES'!BQ14</f>
        <v/>
      </c>
      <c r="BS256" s="2" t="str">
        <f>'NUEVA LAS CONDES'!BR14</f>
        <v/>
      </c>
      <c r="BT256" s="2" t="str">
        <f>'NUEVA LAS CONDES'!CC17</f>
        <v/>
      </c>
      <c r="BU256" s="2" t="str">
        <f>'NUEVA LAS CONDES'!CD17</f>
        <v/>
      </c>
      <c r="BV256" s="2" t="str">
        <f>'NUEVA LAS CONDES'!CE17</f>
        <v/>
      </c>
      <c r="BW256" s="2"/>
      <c r="BX256" s="2"/>
      <c r="BY256" s="2"/>
      <c r="BZ256" s="2"/>
      <c r="CA256" s="2"/>
      <c r="CB256" s="2"/>
      <c r="CC256" s="2"/>
    </row>
    <row r="257">
      <c r="A257" s="2"/>
      <c r="B257" s="2" t="str">
        <f>'NUEVA LAS CONDES'!A15</f>
        <v>Nueva Las Condes</v>
      </c>
      <c r="C257" s="2" t="str">
        <f>'NUEVA LAS CONDES'!B15</f>
        <v>Aseo</v>
      </c>
      <c r="D257" s="2" t="str">
        <f>'NUEVA LAS CONDES'!C15</f>
        <v>Limpia Piso</v>
      </c>
      <c r="E257" s="2" t="str">
        <f>'NUEVA LAS CONDES'!D15</f>
        <v/>
      </c>
      <c r="F257" s="2" t="str">
        <f>'NUEVA LAS CONDES'!E15</f>
        <v/>
      </c>
      <c r="G257" s="2" t="str">
        <f>'NUEVA LAS CONDES'!F15</f>
        <v/>
      </c>
      <c r="H257" s="2" t="str">
        <f>'NUEVA LAS CONDES'!G15</f>
        <v/>
      </c>
      <c r="I257" s="2" t="str">
        <f>'NUEVA LAS CONDES'!H15</f>
        <v/>
      </c>
      <c r="J257" s="2" t="str">
        <f>'NUEVA LAS CONDES'!I15</f>
        <v/>
      </c>
      <c r="K257" s="2" t="str">
        <f>'NUEVA LAS CONDES'!J15</f>
        <v/>
      </c>
      <c r="L257" s="2" t="str">
        <f>'NUEVA LAS CONDES'!K15</f>
        <v/>
      </c>
      <c r="M257" s="2" t="str">
        <f>'NUEVA LAS CONDES'!L15</f>
        <v/>
      </c>
      <c r="N257" s="2" t="str">
        <f>'NUEVA LAS CONDES'!M15</f>
        <v/>
      </c>
      <c r="O257" s="2" t="str">
        <f>'NUEVA LAS CONDES'!N15</f>
        <v/>
      </c>
      <c r="P257" s="2" t="str">
        <f>'NUEVA LAS CONDES'!O15</f>
        <v/>
      </c>
      <c r="Q257" s="2" t="str">
        <f>'NUEVA LAS CONDES'!P15</f>
        <v/>
      </c>
      <c r="R257" s="2" t="str">
        <f>'NUEVA LAS CONDES'!Q15</f>
        <v>-</v>
      </c>
      <c r="S257" s="2" t="str">
        <f>'NUEVA LAS CONDES'!R15</f>
        <v>-</v>
      </c>
      <c r="T257" s="2" t="str">
        <f>'NUEVA LAS CONDES'!S15</f>
        <v>-</v>
      </c>
      <c r="U257" s="2" t="str">
        <f>'NUEVA LAS CONDES'!T15</f>
        <v>-</v>
      </c>
      <c r="V257" s="2" t="str">
        <f>'NUEVA LAS CONDES'!U15</f>
        <v>-</v>
      </c>
      <c r="W257" s="2" t="str">
        <f>'NUEVA LAS CONDES'!V15</f>
        <v>-</v>
      </c>
      <c r="X257" s="2" t="str">
        <f>'NUEVA LAS CONDES'!W15</f>
        <v>-</v>
      </c>
      <c r="Y257" s="2" t="str">
        <f>'NUEVA LAS CONDES'!X15</f>
        <v>-</v>
      </c>
      <c r="Z257" s="2" t="str">
        <f>'NUEVA LAS CONDES'!Y15</f>
        <v>-</v>
      </c>
      <c r="AA257" s="2" t="str">
        <f>'NUEVA LAS CONDES'!Z15</f>
        <v>-</v>
      </c>
      <c r="AB257" s="2">
        <f>'NUEVA LAS CONDES'!AA15</f>
        <v>0</v>
      </c>
      <c r="AC257" s="2">
        <f>'NUEVA LAS CONDES'!AB15</f>
        <v>0</v>
      </c>
      <c r="AD257" s="2">
        <f>'NUEVA LAS CONDES'!AC15</f>
        <v>0</v>
      </c>
      <c r="AE257" s="2">
        <f>'NUEVA LAS CONDES'!AD15</f>
        <v>0</v>
      </c>
      <c r="AF257" s="2">
        <f>'NUEVA LAS CONDES'!AE15</f>
        <v>0</v>
      </c>
      <c r="AG257" s="2">
        <f>'NUEVA LAS CONDES'!AF15</f>
        <v>1</v>
      </c>
      <c r="AH257" s="2">
        <f>'NUEVA LAS CONDES'!AG15</f>
        <v>1</v>
      </c>
      <c r="AI257" s="2">
        <f>'NUEVA LAS CONDES'!AH15</f>
        <v>1</v>
      </c>
      <c r="AJ257" s="2">
        <f>'NUEVA LAS CONDES'!AI15</f>
        <v>1</v>
      </c>
      <c r="AK257" s="2">
        <f>'NUEVA LAS CONDES'!AJ15</f>
        <v>1</v>
      </c>
      <c r="AL257" s="2">
        <f>'NUEVA LAS CONDES'!AK15</f>
        <v>1</v>
      </c>
      <c r="AM257" s="2">
        <f>'NUEVA LAS CONDES'!AL15</f>
        <v>1</v>
      </c>
      <c r="AN257" s="2">
        <f>'NUEVA LAS CONDES'!AM15</f>
        <v>1</v>
      </c>
      <c r="AO257" s="2">
        <f>'NUEVA LAS CONDES'!AN15</f>
        <v>1</v>
      </c>
      <c r="AP257" s="2">
        <f>'NUEVA LAS CONDES'!AO15</f>
        <v>1</v>
      </c>
      <c r="AQ257" s="2">
        <f>'NUEVA LAS CONDES'!AP15</f>
        <v>1</v>
      </c>
      <c r="AR257" s="2">
        <f>'NUEVA LAS CONDES'!AQ15</f>
        <v>1</v>
      </c>
      <c r="AS257" s="2">
        <f>'NUEVA LAS CONDES'!AR15</f>
        <v>1</v>
      </c>
      <c r="AT257" s="2">
        <f>'NUEVA LAS CONDES'!AS15</f>
        <v>1</v>
      </c>
      <c r="AU257" s="2">
        <f>'NUEVA LAS CONDES'!AT15</f>
        <v>1</v>
      </c>
      <c r="AV257" s="2">
        <f>'NUEVA LAS CONDES'!AU15</f>
        <v>1</v>
      </c>
      <c r="AW257" s="2">
        <f>'NUEVA LAS CONDES'!AV15</f>
        <v>1</v>
      </c>
      <c r="AX257" s="2">
        <f>'NUEVA LAS CONDES'!AW15</f>
        <v>1</v>
      </c>
      <c r="AY257" s="2">
        <f>'NUEVA LAS CONDES'!AX15</f>
        <v>8</v>
      </c>
      <c r="AZ257" s="2">
        <f>'NUEVA LAS CONDES'!AY15</f>
        <v>1</v>
      </c>
      <c r="BA257" s="2">
        <f>'NUEVA LAS CONDES'!AZ15</f>
        <v>1</v>
      </c>
      <c r="BB257" s="2">
        <f>'NUEVA LAS CONDES'!BA15</f>
        <v>1</v>
      </c>
      <c r="BC257" s="2">
        <f>'NUEVA LAS CONDES'!BB15</f>
        <v>1</v>
      </c>
      <c r="BD257" s="2">
        <f>'NUEVA LAS CONDES'!BC15</f>
        <v>1</v>
      </c>
      <c r="BE257" s="2">
        <f>'NUEVA LAS CONDES'!BD15</f>
        <v>1</v>
      </c>
      <c r="BF257" s="2">
        <f>'NUEVA LAS CONDES'!BE15</f>
        <v>1</v>
      </c>
      <c r="BG257" s="2">
        <f>'NUEVA LAS CONDES'!BF15</f>
        <v>1</v>
      </c>
      <c r="BH257" s="2">
        <f>'NUEVA LAS CONDES'!BG15</f>
        <v>1</v>
      </c>
      <c r="BI257" s="2">
        <f>'NUEVA LAS CONDES'!BH15</f>
        <v>1</v>
      </c>
      <c r="BJ257" s="2">
        <f>'NUEVA LAS CONDES'!BI15</f>
        <v>1</v>
      </c>
      <c r="BK257" s="2">
        <f>'NUEVA LAS CONDES'!BJ15</f>
        <v>1</v>
      </c>
      <c r="BL257" s="2">
        <f>'NUEVA LAS CONDES'!BK15</f>
        <v>1</v>
      </c>
      <c r="BM257" s="2">
        <f>'NUEVA LAS CONDES'!BL15</f>
        <v>0</v>
      </c>
      <c r="BN257" s="2">
        <f>'NUEVA LAS CONDES'!BM15</f>
        <v>0</v>
      </c>
      <c r="BO257" s="2">
        <f>'NUEVA LAS CONDES'!BN15</f>
        <v>0</v>
      </c>
      <c r="BP257" s="2" t="str">
        <f>'NUEVA LAS CONDES'!BO15</f>
        <v/>
      </c>
      <c r="BQ257" s="2" t="str">
        <f>'NUEVA LAS CONDES'!BP15</f>
        <v/>
      </c>
      <c r="BR257" s="2" t="str">
        <f>'NUEVA LAS CONDES'!BQ15</f>
        <v/>
      </c>
      <c r="BS257" s="2" t="str">
        <f>'NUEVA LAS CONDES'!BR15</f>
        <v/>
      </c>
      <c r="BT257" s="2" t="str">
        <f>'NUEVA LAS CONDES'!CC18</f>
        <v/>
      </c>
      <c r="BU257" s="2" t="str">
        <f>'NUEVA LAS CONDES'!CD18</f>
        <v/>
      </c>
      <c r="BV257" s="2" t="str">
        <f>'NUEVA LAS CONDES'!CE18</f>
        <v/>
      </c>
      <c r="BW257" s="2"/>
      <c r="BX257" s="2"/>
      <c r="BY257" s="2"/>
      <c r="BZ257" s="2"/>
      <c r="CA257" s="2"/>
      <c r="CB257" s="2"/>
      <c r="CC257" s="2"/>
    </row>
    <row r="258">
      <c r="A258" s="2"/>
      <c r="B258" s="2" t="str">
        <f>'NUEVA LAS CONDES'!A16</f>
        <v>Nueva Las Condes</v>
      </c>
      <c r="C258" s="2" t="str">
        <f>'NUEVA LAS CONDES'!B16</f>
        <v>Aseo</v>
      </c>
      <c r="D258" s="2" t="str">
        <f>'NUEVA LAS CONDES'!C16</f>
        <v>Bolsas Basura 50x70</v>
      </c>
      <c r="E258" s="2" t="str">
        <f>'NUEVA LAS CONDES'!D16</f>
        <v/>
      </c>
      <c r="F258" s="2" t="str">
        <f>'NUEVA LAS CONDES'!E16</f>
        <v/>
      </c>
      <c r="G258" s="2" t="str">
        <f>'NUEVA LAS CONDES'!F16</f>
        <v/>
      </c>
      <c r="H258" s="2" t="str">
        <f>'NUEVA LAS CONDES'!G16</f>
        <v/>
      </c>
      <c r="I258" s="2" t="str">
        <f>'NUEVA LAS CONDES'!H16</f>
        <v/>
      </c>
      <c r="J258" s="2" t="str">
        <f>'NUEVA LAS CONDES'!I16</f>
        <v/>
      </c>
      <c r="K258" s="2" t="str">
        <f>'NUEVA LAS CONDES'!J16</f>
        <v/>
      </c>
      <c r="L258" s="2" t="str">
        <f>'NUEVA LAS CONDES'!K16</f>
        <v/>
      </c>
      <c r="M258" s="2" t="str">
        <f>'NUEVA LAS CONDES'!L16</f>
        <v/>
      </c>
      <c r="N258" s="2" t="str">
        <f>'NUEVA LAS CONDES'!M16</f>
        <v/>
      </c>
      <c r="O258" s="2" t="str">
        <f>'NUEVA LAS CONDES'!N16</f>
        <v/>
      </c>
      <c r="P258" s="2" t="str">
        <f>'NUEVA LAS CONDES'!O16</f>
        <v/>
      </c>
      <c r="Q258" s="2" t="str">
        <f>'NUEVA LAS CONDES'!P16</f>
        <v/>
      </c>
      <c r="R258" s="2" t="str">
        <f>'NUEVA LAS CONDES'!Q16</f>
        <v>-</v>
      </c>
      <c r="S258" s="2" t="str">
        <f>'NUEVA LAS CONDES'!R16</f>
        <v>-</v>
      </c>
      <c r="T258" s="2" t="str">
        <f>'NUEVA LAS CONDES'!S16</f>
        <v>-</v>
      </c>
      <c r="U258" s="2" t="str">
        <f>'NUEVA LAS CONDES'!T16</f>
        <v>-</v>
      </c>
      <c r="V258" s="2" t="str">
        <f>'NUEVA LAS CONDES'!U16</f>
        <v>-</v>
      </c>
      <c r="W258" s="2" t="str">
        <f>'NUEVA LAS CONDES'!V16</f>
        <v>-</v>
      </c>
      <c r="X258" s="2" t="str">
        <f>'NUEVA LAS CONDES'!W16</f>
        <v>-</v>
      </c>
      <c r="Y258" s="2" t="str">
        <f>'NUEVA LAS CONDES'!X16</f>
        <v>-</v>
      </c>
      <c r="Z258" s="2" t="str">
        <f>'NUEVA LAS CONDES'!Y16</f>
        <v>-</v>
      </c>
      <c r="AA258" s="2" t="str">
        <f>'NUEVA LAS CONDES'!Z16</f>
        <v>-</v>
      </c>
      <c r="AB258" s="2" t="str">
        <f>'NUEVA LAS CONDES'!AA16</f>
        <v>-</v>
      </c>
      <c r="AC258" s="2">
        <f>'NUEVA LAS CONDES'!AB16</f>
        <v>31</v>
      </c>
      <c r="AD258" s="2">
        <f>'NUEVA LAS CONDES'!AC16</f>
        <v>30</v>
      </c>
      <c r="AE258" s="2">
        <f>'NUEVA LAS CONDES'!AD16</f>
        <v>30</v>
      </c>
      <c r="AF258" s="2">
        <f>'NUEVA LAS CONDES'!AE16</f>
        <v>25</v>
      </c>
      <c r="AG258" s="2">
        <f>'NUEVA LAS CONDES'!AF16</f>
        <v>25</v>
      </c>
      <c r="AH258" s="2">
        <f>'NUEVA LAS CONDES'!AG16</f>
        <v>23</v>
      </c>
      <c r="AI258" s="2">
        <f>'NUEVA LAS CONDES'!AH16</f>
        <v>21</v>
      </c>
      <c r="AJ258" s="2">
        <f>'NUEVA LAS CONDES'!AI16</f>
        <v>20</v>
      </c>
      <c r="AK258" s="2">
        <f>'NUEVA LAS CONDES'!AJ16</f>
        <v>15</v>
      </c>
      <c r="AL258" s="2">
        <f>'NUEVA LAS CONDES'!AK16</f>
        <v>14</v>
      </c>
      <c r="AM258" s="2">
        <f>'NUEVA LAS CONDES'!AL16</f>
        <v>14</v>
      </c>
      <c r="AN258" s="2">
        <f>'NUEVA LAS CONDES'!AM16</f>
        <v>39</v>
      </c>
      <c r="AO258" s="2">
        <f>'NUEVA LAS CONDES'!AN16</f>
        <v>36</v>
      </c>
      <c r="AP258" s="2">
        <f>'NUEVA LAS CONDES'!AO16</f>
        <v>33</v>
      </c>
      <c r="AQ258" s="2">
        <f>'NUEVA LAS CONDES'!AP16</f>
        <v>31</v>
      </c>
      <c r="AR258" s="2">
        <f>'NUEVA LAS CONDES'!AQ16</f>
        <v>28</v>
      </c>
      <c r="AS258" s="2">
        <f>'NUEVA LAS CONDES'!AR16</f>
        <v>26</v>
      </c>
      <c r="AT258" s="2">
        <f>'NUEVA LAS CONDES'!AS16</f>
        <v>24</v>
      </c>
      <c r="AU258" s="2">
        <f>'NUEVA LAS CONDES'!AT16</f>
        <v>24</v>
      </c>
      <c r="AV258" s="2">
        <f>'NUEVA LAS CONDES'!AU16</f>
        <v>15</v>
      </c>
      <c r="AW258" s="2">
        <f>'NUEVA LAS CONDES'!AV16</f>
        <v>15</v>
      </c>
      <c r="AX258" s="2">
        <f>'NUEVA LAS CONDES'!AW16</f>
        <v>14</v>
      </c>
      <c r="AY258" s="2">
        <f>'NUEVA LAS CONDES'!AX16</f>
        <v>14</v>
      </c>
      <c r="AZ258" s="2">
        <f>'NUEVA LAS CONDES'!AY16</f>
        <v>13</v>
      </c>
      <c r="BA258" s="2">
        <f>'NUEVA LAS CONDES'!AZ16</f>
        <v>10</v>
      </c>
      <c r="BB258" s="2">
        <f>'NUEVA LAS CONDES'!BA16</f>
        <v>5</v>
      </c>
      <c r="BC258" s="2">
        <f>'NUEVA LAS CONDES'!BB16</f>
        <v>5</v>
      </c>
      <c r="BD258" s="2">
        <f>'NUEVA LAS CONDES'!BC16</f>
        <v>5</v>
      </c>
      <c r="BE258" s="2">
        <f>'NUEVA LAS CONDES'!BD16</f>
        <v>2</v>
      </c>
      <c r="BF258" s="2">
        <f>'NUEVA LAS CONDES'!BE16</f>
        <v>0</v>
      </c>
      <c r="BG258" s="2">
        <f>'NUEVA LAS CONDES'!BF16</f>
        <v>7</v>
      </c>
      <c r="BH258" s="2">
        <f>'NUEVA LAS CONDES'!BG16</f>
        <v>5</v>
      </c>
      <c r="BI258" s="2">
        <f>'NUEVA LAS CONDES'!BH16</f>
        <v>3</v>
      </c>
      <c r="BJ258" s="2">
        <f>'NUEVA LAS CONDES'!BI16</f>
        <v>3</v>
      </c>
      <c r="BK258" s="2">
        <f>'NUEVA LAS CONDES'!BJ16</f>
        <v>3</v>
      </c>
      <c r="BL258" s="2">
        <f>'NUEVA LAS CONDES'!BK16</f>
        <v>1</v>
      </c>
      <c r="BM258" s="2">
        <f>'NUEVA LAS CONDES'!BL16</f>
        <v>8</v>
      </c>
      <c r="BN258" s="2">
        <f>'NUEVA LAS CONDES'!BM16</f>
        <v>6</v>
      </c>
      <c r="BO258" s="2">
        <f>'NUEVA LAS CONDES'!BN16</f>
        <v>4</v>
      </c>
      <c r="BP258" s="2" t="str">
        <f>'NUEVA LAS CONDES'!BO16</f>
        <v/>
      </c>
      <c r="BQ258" s="2" t="str">
        <f>'NUEVA LAS CONDES'!BP16</f>
        <v/>
      </c>
      <c r="BR258" s="2" t="str">
        <f>'NUEVA LAS CONDES'!BQ16</f>
        <v/>
      </c>
      <c r="BS258" s="2" t="str">
        <f>'NUEVA LAS CONDES'!BR16</f>
        <v/>
      </c>
      <c r="BT258" s="2" t="str">
        <f>'NUEVA LAS CONDES'!CC19</f>
        <v/>
      </c>
      <c r="BU258" s="2" t="str">
        <f>'NUEVA LAS CONDES'!CD19</f>
        <v/>
      </c>
      <c r="BV258" s="2" t="str">
        <f>'NUEVA LAS CONDES'!CE19</f>
        <v/>
      </c>
      <c r="BW258" s="2"/>
      <c r="BX258" s="2"/>
      <c r="BY258" s="2"/>
      <c r="BZ258" s="2"/>
      <c r="CA258" s="2"/>
      <c r="CB258" s="2"/>
      <c r="CC258" s="2"/>
    </row>
    <row r="259">
      <c r="A259" s="2"/>
      <c r="B259" s="2" t="str">
        <f>'NUEVA LAS CONDES'!A17</f>
        <v>Nueva Las Condes</v>
      </c>
      <c r="C259" s="2" t="str">
        <f>'NUEVA LAS CONDES'!B17</f>
        <v>Aseo</v>
      </c>
      <c r="D259" s="2" t="str">
        <f>'NUEVA LAS CONDES'!C17</f>
        <v>Bolsas Basura 70x90</v>
      </c>
      <c r="E259" s="2" t="str">
        <f>'NUEVA LAS CONDES'!D17</f>
        <v/>
      </c>
      <c r="F259" s="2" t="str">
        <f>'NUEVA LAS CONDES'!E17</f>
        <v/>
      </c>
      <c r="G259" s="2" t="str">
        <f>'NUEVA LAS CONDES'!F17</f>
        <v/>
      </c>
      <c r="H259" s="2" t="str">
        <f>'NUEVA LAS CONDES'!G17</f>
        <v/>
      </c>
      <c r="I259" s="2" t="str">
        <f>'NUEVA LAS CONDES'!H17</f>
        <v/>
      </c>
      <c r="J259" s="2" t="str">
        <f>'NUEVA LAS CONDES'!I17</f>
        <v/>
      </c>
      <c r="K259" s="2" t="str">
        <f>'NUEVA LAS CONDES'!J17</f>
        <v/>
      </c>
      <c r="L259" s="2" t="str">
        <f>'NUEVA LAS CONDES'!K17</f>
        <v/>
      </c>
      <c r="M259" s="2" t="str">
        <f>'NUEVA LAS CONDES'!L17</f>
        <v/>
      </c>
      <c r="N259" s="2" t="str">
        <f>'NUEVA LAS CONDES'!M17</f>
        <v/>
      </c>
      <c r="O259" s="2" t="str">
        <f>'NUEVA LAS CONDES'!N17</f>
        <v/>
      </c>
      <c r="P259" s="2" t="str">
        <f>'NUEVA LAS CONDES'!O17</f>
        <v/>
      </c>
      <c r="Q259" s="2" t="str">
        <f>'NUEVA LAS CONDES'!P17</f>
        <v/>
      </c>
      <c r="R259" s="2" t="str">
        <f>'NUEVA LAS CONDES'!Q17</f>
        <v/>
      </c>
      <c r="S259" s="2" t="str">
        <f>'NUEVA LAS CONDES'!R17</f>
        <v/>
      </c>
      <c r="T259" s="2" t="str">
        <f>'NUEVA LAS CONDES'!S17</f>
        <v/>
      </c>
      <c r="U259" s="2" t="str">
        <f>'NUEVA LAS CONDES'!T17</f>
        <v/>
      </c>
      <c r="V259" s="2" t="str">
        <f>'NUEVA LAS CONDES'!U17</f>
        <v/>
      </c>
      <c r="W259" s="2" t="str">
        <f>'NUEVA LAS CONDES'!V17</f>
        <v/>
      </c>
      <c r="X259" s="2" t="str">
        <f>'NUEVA LAS CONDES'!W17</f>
        <v/>
      </c>
      <c r="Y259" s="2" t="str">
        <f>'NUEVA LAS CONDES'!X17</f>
        <v/>
      </c>
      <c r="Z259" s="2" t="str">
        <f>'NUEVA LAS CONDES'!Y17</f>
        <v/>
      </c>
      <c r="AA259" s="2" t="str">
        <f>'NUEVA LAS CONDES'!Z17</f>
        <v/>
      </c>
      <c r="AB259" s="2" t="str">
        <f>'NUEVA LAS CONDES'!AA17</f>
        <v/>
      </c>
      <c r="AC259" s="2" t="str">
        <f>'NUEVA LAS CONDES'!AB17</f>
        <v/>
      </c>
      <c r="AD259" s="2" t="str">
        <f>'NUEVA LAS CONDES'!AC17</f>
        <v/>
      </c>
      <c r="AE259" s="2" t="str">
        <f>'NUEVA LAS CONDES'!AD17</f>
        <v/>
      </c>
      <c r="AF259" s="2" t="str">
        <f>'NUEVA LAS CONDES'!AE17</f>
        <v/>
      </c>
      <c r="AG259" s="2" t="str">
        <f>'NUEVA LAS CONDES'!AF17</f>
        <v/>
      </c>
      <c r="AH259" s="2" t="str">
        <f>'NUEVA LAS CONDES'!AG17</f>
        <v/>
      </c>
      <c r="AI259" s="2" t="str">
        <f>'NUEVA LAS CONDES'!AH17</f>
        <v/>
      </c>
      <c r="AJ259" s="2" t="str">
        <f>'NUEVA LAS CONDES'!AI17</f>
        <v/>
      </c>
      <c r="AK259" s="2" t="str">
        <f>'NUEVA LAS CONDES'!AJ17</f>
        <v/>
      </c>
      <c r="AL259" s="2" t="str">
        <f>'NUEVA LAS CONDES'!AK17</f>
        <v/>
      </c>
      <c r="AM259" s="2" t="str">
        <f>'NUEVA LAS CONDES'!AL17</f>
        <v/>
      </c>
      <c r="AN259" s="2" t="str">
        <f>'NUEVA LAS CONDES'!AM17</f>
        <v/>
      </c>
      <c r="AO259" s="2" t="str">
        <f>'NUEVA LAS CONDES'!AN17</f>
        <v/>
      </c>
      <c r="AP259" s="2">
        <f>'NUEVA LAS CONDES'!AO17</f>
        <v>0</v>
      </c>
      <c r="AQ259" s="2">
        <f>'NUEVA LAS CONDES'!AP17</f>
        <v>0</v>
      </c>
      <c r="AR259" s="2">
        <f>'NUEVA LAS CONDES'!AQ17</f>
        <v>0</v>
      </c>
      <c r="AS259" s="2">
        <f>'NUEVA LAS CONDES'!AR17</f>
        <v>0</v>
      </c>
      <c r="AT259" s="2">
        <f>'NUEVA LAS CONDES'!AS17</f>
        <v>0</v>
      </c>
      <c r="AU259" s="2">
        <f>'NUEVA LAS CONDES'!AT17</f>
        <v>0</v>
      </c>
      <c r="AV259" s="2">
        <f>'NUEVA LAS CONDES'!AU17</f>
        <v>0</v>
      </c>
      <c r="AW259" s="2">
        <f>'NUEVA LAS CONDES'!AV17</f>
        <v>0</v>
      </c>
      <c r="AX259" s="2">
        <f>'NUEVA LAS CONDES'!AW17</f>
        <v>0</v>
      </c>
      <c r="AY259" s="2">
        <f>'NUEVA LAS CONDES'!AX17</f>
        <v>0</v>
      </c>
      <c r="AZ259" s="2">
        <f>'NUEVA LAS CONDES'!AY17</f>
        <v>0</v>
      </c>
      <c r="BA259" s="2">
        <f>'NUEVA LAS CONDES'!AZ17</f>
        <v>0</v>
      </c>
      <c r="BB259" s="2">
        <f>'NUEVA LAS CONDES'!BA17</f>
        <v>0</v>
      </c>
      <c r="BC259" s="2">
        <f>'NUEVA LAS CONDES'!BB17</f>
        <v>0</v>
      </c>
      <c r="BD259" s="2">
        <f>'NUEVA LAS CONDES'!BC17</f>
        <v>0</v>
      </c>
      <c r="BE259" s="2">
        <f>'NUEVA LAS CONDES'!BD17</f>
        <v>0</v>
      </c>
      <c r="BF259" s="2">
        <f>'NUEVA LAS CONDES'!BE17</f>
        <v>0</v>
      </c>
      <c r="BG259" s="2">
        <f>'NUEVA LAS CONDES'!BF17</f>
        <v>0</v>
      </c>
      <c r="BH259" s="2">
        <f>'NUEVA LAS CONDES'!BG17</f>
        <v>0</v>
      </c>
      <c r="BI259" s="2">
        <f>'NUEVA LAS CONDES'!BH17</f>
        <v>0</v>
      </c>
      <c r="BJ259" s="2">
        <f>'NUEVA LAS CONDES'!BI17</f>
        <v>0</v>
      </c>
      <c r="BK259" s="2">
        <f>'NUEVA LAS CONDES'!BJ17</f>
        <v>0</v>
      </c>
      <c r="BL259" s="2">
        <f>'NUEVA LAS CONDES'!BK17</f>
        <v>0</v>
      </c>
      <c r="BM259" s="2">
        <f>'NUEVA LAS CONDES'!BL17</f>
        <v>0</v>
      </c>
      <c r="BN259" s="2">
        <f>'NUEVA LAS CONDES'!BM17</f>
        <v>0</v>
      </c>
      <c r="BO259" s="2">
        <f>'NUEVA LAS CONDES'!BN17</f>
        <v>0</v>
      </c>
      <c r="BP259" s="2" t="str">
        <f>'NUEVA LAS CONDES'!BO17</f>
        <v/>
      </c>
      <c r="BQ259" s="2" t="str">
        <f>'NUEVA LAS CONDES'!BP17</f>
        <v/>
      </c>
      <c r="BR259" s="2" t="str">
        <f>'NUEVA LAS CONDES'!BQ17</f>
        <v/>
      </c>
      <c r="BS259" s="2" t="str">
        <f>'NUEVA LAS CONDES'!BR17</f>
        <v/>
      </c>
      <c r="BT259" s="2" t="str">
        <f>'NUEVA LAS CONDES'!CC20</f>
        <v/>
      </c>
      <c r="BU259" s="2" t="str">
        <f>'NUEVA LAS CONDES'!CD20</f>
        <v/>
      </c>
      <c r="BV259" s="2" t="str">
        <f>'NUEVA LAS CONDES'!CE20</f>
        <v/>
      </c>
      <c r="BW259" s="2"/>
      <c r="BX259" s="2"/>
      <c r="BY259" s="2"/>
      <c r="BZ259" s="2"/>
      <c r="CA259" s="2"/>
      <c r="CB259" s="2"/>
      <c r="CC259" s="2"/>
    </row>
    <row r="260">
      <c r="A260" s="2"/>
      <c r="B260" s="2" t="str">
        <f>'NUEVA LAS CONDES'!A18</f>
        <v>Nueva Las Condes</v>
      </c>
      <c r="C260" s="2" t="str">
        <f>'NUEVA LAS CONDES'!B18</f>
        <v>Aseo</v>
      </c>
      <c r="D260" s="2" t="str">
        <f>'NUEVA LAS CONDES'!C18</f>
        <v>Bolsas Basura 80x110</v>
      </c>
      <c r="E260" s="2" t="str">
        <f>'NUEVA LAS CONDES'!D18</f>
        <v/>
      </c>
      <c r="F260" s="2" t="str">
        <f>'NUEVA LAS CONDES'!E18</f>
        <v/>
      </c>
      <c r="G260" s="2" t="str">
        <f>'NUEVA LAS CONDES'!F18</f>
        <v/>
      </c>
      <c r="H260" s="2" t="str">
        <f>'NUEVA LAS CONDES'!G18</f>
        <v/>
      </c>
      <c r="I260" s="2" t="str">
        <f>'NUEVA LAS CONDES'!H18</f>
        <v/>
      </c>
      <c r="J260" s="2" t="str">
        <f>'NUEVA LAS CONDES'!I18</f>
        <v/>
      </c>
      <c r="K260" s="2" t="str">
        <f>'NUEVA LAS CONDES'!J18</f>
        <v/>
      </c>
      <c r="L260" s="2" t="str">
        <f>'NUEVA LAS CONDES'!K18</f>
        <v/>
      </c>
      <c r="M260" s="2" t="str">
        <f>'NUEVA LAS CONDES'!L18</f>
        <v/>
      </c>
      <c r="N260" s="2" t="str">
        <f>'NUEVA LAS CONDES'!M18</f>
        <v/>
      </c>
      <c r="O260" s="2" t="str">
        <f>'NUEVA LAS CONDES'!N18</f>
        <v/>
      </c>
      <c r="P260" s="2" t="str">
        <f>'NUEVA LAS CONDES'!O18</f>
        <v/>
      </c>
      <c r="Q260" s="2" t="str">
        <f>'NUEVA LAS CONDES'!P18</f>
        <v/>
      </c>
      <c r="R260" s="2" t="str">
        <f>'NUEVA LAS CONDES'!Q18</f>
        <v/>
      </c>
      <c r="S260" s="2" t="str">
        <f>'NUEVA LAS CONDES'!R18</f>
        <v/>
      </c>
      <c r="T260" s="2" t="str">
        <f>'NUEVA LAS CONDES'!S18</f>
        <v/>
      </c>
      <c r="U260" s="2" t="str">
        <f>'NUEVA LAS CONDES'!T18</f>
        <v/>
      </c>
      <c r="V260" s="2" t="str">
        <f>'NUEVA LAS CONDES'!U18</f>
        <v/>
      </c>
      <c r="W260" s="2" t="str">
        <f>'NUEVA LAS CONDES'!V18</f>
        <v/>
      </c>
      <c r="X260" s="2" t="str">
        <f>'NUEVA LAS CONDES'!W18</f>
        <v/>
      </c>
      <c r="Y260" s="2" t="str">
        <f>'NUEVA LAS CONDES'!X18</f>
        <v/>
      </c>
      <c r="Z260" s="2" t="str">
        <f>'NUEVA LAS CONDES'!Y18</f>
        <v/>
      </c>
      <c r="AA260" s="2" t="str">
        <f>'NUEVA LAS CONDES'!Z18</f>
        <v/>
      </c>
      <c r="AB260" s="2" t="str">
        <f>'NUEVA LAS CONDES'!AA18</f>
        <v/>
      </c>
      <c r="AC260" s="2" t="str">
        <f>'NUEVA LAS CONDES'!AB18</f>
        <v/>
      </c>
      <c r="AD260" s="2" t="str">
        <f>'NUEVA LAS CONDES'!AC18</f>
        <v/>
      </c>
      <c r="AE260" s="2" t="str">
        <f>'NUEVA LAS CONDES'!AD18</f>
        <v/>
      </c>
      <c r="AF260" s="2" t="str">
        <f>'NUEVA LAS CONDES'!AE18</f>
        <v/>
      </c>
      <c r="AG260" s="2" t="str">
        <f>'NUEVA LAS CONDES'!AF18</f>
        <v/>
      </c>
      <c r="AH260" s="2" t="str">
        <f>'NUEVA LAS CONDES'!AG18</f>
        <v/>
      </c>
      <c r="AI260" s="2" t="str">
        <f>'NUEVA LAS CONDES'!AH18</f>
        <v/>
      </c>
      <c r="AJ260" s="2" t="str">
        <f>'NUEVA LAS CONDES'!AI18</f>
        <v/>
      </c>
      <c r="AK260" s="2" t="str">
        <f>'NUEVA LAS CONDES'!AJ18</f>
        <v/>
      </c>
      <c r="AL260" s="2" t="str">
        <f>'NUEVA LAS CONDES'!AK18</f>
        <v/>
      </c>
      <c r="AM260" s="2" t="str">
        <f>'NUEVA LAS CONDES'!AL18</f>
        <v/>
      </c>
      <c r="AN260" s="2" t="str">
        <f>'NUEVA LAS CONDES'!AM18</f>
        <v/>
      </c>
      <c r="AO260" s="2" t="str">
        <f>'NUEVA LAS CONDES'!AN18</f>
        <v/>
      </c>
      <c r="AP260" s="2">
        <f>'NUEVA LAS CONDES'!AO18</f>
        <v>0</v>
      </c>
      <c r="AQ260" s="2">
        <f>'NUEVA LAS CONDES'!AP18</f>
        <v>0</v>
      </c>
      <c r="AR260" s="2">
        <f>'NUEVA LAS CONDES'!AQ18</f>
        <v>0</v>
      </c>
      <c r="AS260" s="2">
        <f>'NUEVA LAS CONDES'!AR18</f>
        <v>0</v>
      </c>
      <c r="AT260" s="2">
        <f>'NUEVA LAS CONDES'!AS18</f>
        <v>0</v>
      </c>
      <c r="AU260" s="2">
        <f>'NUEVA LAS CONDES'!AT18</f>
        <v>0</v>
      </c>
      <c r="AV260" s="2">
        <f>'NUEVA LAS CONDES'!AU18</f>
        <v>22</v>
      </c>
      <c r="AW260" s="2">
        <f>'NUEVA LAS CONDES'!AV18</f>
        <v>22</v>
      </c>
      <c r="AX260" s="2">
        <f>'NUEVA LAS CONDES'!AW18</f>
        <v>21</v>
      </c>
      <c r="AY260" s="2">
        <f>'NUEVA LAS CONDES'!AX18</f>
        <v>21</v>
      </c>
      <c r="AZ260" s="2">
        <f>'NUEVA LAS CONDES'!AY18</f>
        <v>21</v>
      </c>
      <c r="BA260" s="2">
        <f>'NUEVA LAS CONDES'!AZ18</f>
        <v>18</v>
      </c>
      <c r="BB260" s="2">
        <f>'NUEVA LAS CONDES'!BA18</f>
        <v>11</v>
      </c>
      <c r="BC260" s="2">
        <f>'NUEVA LAS CONDES'!BB18</f>
        <v>11</v>
      </c>
      <c r="BD260" s="2">
        <f>'NUEVA LAS CONDES'!BC18</f>
        <v>11</v>
      </c>
      <c r="BE260" s="2">
        <f>'NUEVA LAS CONDES'!BD18</f>
        <v>10</v>
      </c>
      <c r="BF260" s="2">
        <f>'NUEVA LAS CONDES'!BE18</f>
        <v>8</v>
      </c>
      <c r="BG260" s="2">
        <f>'NUEVA LAS CONDES'!BF18</f>
        <v>8</v>
      </c>
      <c r="BH260" s="2">
        <f>'NUEVA LAS CONDES'!BG18</f>
        <v>8</v>
      </c>
      <c r="BI260" s="2">
        <f>'NUEVA LAS CONDES'!BH18</f>
        <v>5</v>
      </c>
      <c r="BJ260" s="2">
        <f>'NUEVA LAS CONDES'!BI18</f>
        <v>5</v>
      </c>
      <c r="BK260" s="2">
        <f>'NUEVA LAS CONDES'!BJ18</f>
        <v>5</v>
      </c>
      <c r="BL260" s="2">
        <f>'NUEVA LAS CONDES'!BK18</f>
        <v>4</v>
      </c>
      <c r="BM260" s="2">
        <f>'NUEVA LAS CONDES'!BL18</f>
        <v>2</v>
      </c>
      <c r="BN260" s="2">
        <f>'NUEVA LAS CONDES'!BM18</f>
        <v>1</v>
      </c>
      <c r="BO260" s="2">
        <f>'NUEVA LAS CONDES'!BN18</f>
        <v>1</v>
      </c>
      <c r="BP260" s="2" t="str">
        <f>'NUEVA LAS CONDES'!BO18</f>
        <v/>
      </c>
      <c r="BQ260" s="2" t="str">
        <f>'NUEVA LAS CONDES'!BP18</f>
        <v/>
      </c>
      <c r="BR260" s="2" t="str">
        <f>'NUEVA LAS CONDES'!BQ18</f>
        <v/>
      </c>
      <c r="BS260" s="2" t="str">
        <f>'NUEVA LAS CONDES'!BR18</f>
        <v/>
      </c>
      <c r="BT260" s="2" t="str">
        <f>'NUEVA LAS CONDES'!CC21</f>
        <v/>
      </c>
      <c r="BU260" s="2" t="str">
        <f>'NUEVA LAS CONDES'!CD21</f>
        <v/>
      </c>
      <c r="BV260" s="2" t="str">
        <f>'NUEVA LAS CONDES'!CE21</f>
        <v/>
      </c>
      <c r="BW260" s="2"/>
      <c r="BX260" s="2"/>
      <c r="BY260" s="2"/>
      <c r="BZ260" s="2"/>
      <c r="CA260" s="2"/>
      <c r="CB260" s="2"/>
      <c r="CC260" s="2"/>
    </row>
    <row r="261">
      <c r="A261" s="2"/>
      <c r="B261" s="2" t="str">
        <f>'NUEVA LAS CONDES'!A19</f>
        <v>Nueva Las Condes</v>
      </c>
      <c r="C261" s="2" t="str">
        <f>'NUEVA LAS CONDES'!B19</f>
        <v>Aseo</v>
      </c>
      <c r="D261" s="2" t="str">
        <f>'NUEVA LAS CONDES'!C19</f>
        <v>Esponja 4U</v>
      </c>
      <c r="E261" s="2" t="str">
        <f>'NUEVA LAS CONDES'!D19</f>
        <v/>
      </c>
      <c r="F261" s="2" t="str">
        <f>'NUEVA LAS CONDES'!E19</f>
        <v/>
      </c>
      <c r="G261" s="2" t="str">
        <f>'NUEVA LAS CONDES'!F19</f>
        <v/>
      </c>
      <c r="H261" s="2" t="str">
        <f>'NUEVA LAS CONDES'!G19</f>
        <v/>
      </c>
      <c r="I261" s="2" t="str">
        <f>'NUEVA LAS CONDES'!H19</f>
        <v/>
      </c>
      <c r="J261" s="2" t="str">
        <f>'NUEVA LAS CONDES'!I19</f>
        <v/>
      </c>
      <c r="K261" s="2" t="str">
        <f>'NUEVA LAS CONDES'!J19</f>
        <v/>
      </c>
      <c r="L261" s="2" t="str">
        <f>'NUEVA LAS CONDES'!K19</f>
        <v/>
      </c>
      <c r="M261" s="2" t="str">
        <f>'NUEVA LAS CONDES'!L19</f>
        <v/>
      </c>
      <c r="N261" s="2" t="str">
        <f>'NUEVA LAS CONDES'!M19</f>
        <v/>
      </c>
      <c r="O261" s="2" t="str">
        <f>'NUEVA LAS CONDES'!N19</f>
        <v/>
      </c>
      <c r="P261" s="2" t="str">
        <f>'NUEVA LAS CONDES'!O19</f>
        <v/>
      </c>
      <c r="Q261" s="2" t="str">
        <f>'NUEVA LAS CONDES'!P19</f>
        <v/>
      </c>
      <c r="R261" s="2" t="str">
        <f>'NUEVA LAS CONDES'!Q19</f>
        <v>-</v>
      </c>
      <c r="S261" s="2" t="str">
        <f>'NUEVA LAS CONDES'!R19</f>
        <v>-</v>
      </c>
      <c r="T261" s="2" t="str">
        <f>'NUEVA LAS CONDES'!S19</f>
        <v>-</v>
      </c>
      <c r="U261" s="2" t="str">
        <f>'NUEVA LAS CONDES'!T19</f>
        <v>-</v>
      </c>
      <c r="V261" s="2" t="str">
        <f>'NUEVA LAS CONDES'!U19</f>
        <v>-</v>
      </c>
      <c r="W261" s="2" t="str">
        <f>'NUEVA LAS CONDES'!V19</f>
        <v>-</v>
      </c>
      <c r="X261" s="2" t="str">
        <f>'NUEVA LAS CONDES'!W19</f>
        <v>-</v>
      </c>
      <c r="Y261" s="2" t="str">
        <f>'NUEVA LAS CONDES'!X19</f>
        <v>-</v>
      </c>
      <c r="Z261" s="2" t="str">
        <f>'NUEVA LAS CONDES'!Y19</f>
        <v>-</v>
      </c>
      <c r="AA261" s="2" t="str">
        <f>'NUEVA LAS CONDES'!Z19</f>
        <v>-</v>
      </c>
      <c r="AB261" s="2">
        <f>'NUEVA LAS CONDES'!AA19</f>
        <v>1</v>
      </c>
      <c r="AC261" s="2">
        <f>'NUEVA LAS CONDES'!AB19</f>
        <v>6</v>
      </c>
      <c r="AD261" s="2">
        <f>'NUEVA LAS CONDES'!AC19</f>
        <v>5</v>
      </c>
      <c r="AE261" s="2">
        <f>'NUEVA LAS CONDES'!AD19</f>
        <v>5</v>
      </c>
      <c r="AF261" s="2">
        <f>'NUEVA LAS CONDES'!AE19</f>
        <v>4</v>
      </c>
      <c r="AG261" s="2">
        <f>'NUEVA LAS CONDES'!AF19</f>
        <v>8</v>
      </c>
      <c r="AH261" s="2">
        <f>'NUEVA LAS CONDES'!AG19</f>
        <v>8</v>
      </c>
      <c r="AI261" s="2">
        <f>'NUEVA LAS CONDES'!AH19</f>
        <v>7</v>
      </c>
      <c r="AJ261" s="2">
        <f>'NUEVA LAS CONDES'!AI19</f>
        <v>7</v>
      </c>
      <c r="AK261" s="2">
        <f>'NUEVA LAS CONDES'!AJ19</f>
        <v>6</v>
      </c>
      <c r="AL261" s="2">
        <f>'NUEVA LAS CONDES'!AK19</f>
        <v>6</v>
      </c>
      <c r="AM261" s="2">
        <f>'NUEVA LAS CONDES'!AL19</f>
        <v>6</v>
      </c>
      <c r="AN261" s="2">
        <f>'NUEVA LAS CONDES'!AM19</f>
        <v>12</v>
      </c>
      <c r="AO261" s="2">
        <f>'NUEVA LAS CONDES'!AN19</f>
        <v>11</v>
      </c>
      <c r="AP261" s="2">
        <f>'NUEVA LAS CONDES'!AO19</f>
        <v>10</v>
      </c>
      <c r="AQ261" s="2">
        <f>'NUEVA LAS CONDES'!AP19</f>
        <v>9</v>
      </c>
      <c r="AR261" s="2">
        <f>'NUEVA LAS CONDES'!AQ19</f>
        <v>8</v>
      </c>
      <c r="AS261" s="2">
        <f>'NUEVA LAS CONDES'!AR19</f>
        <v>8</v>
      </c>
      <c r="AT261" s="2">
        <f>'NUEVA LAS CONDES'!AS19</f>
        <v>8</v>
      </c>
      <c r="AU261" s="2">
        <f>'NUEVA LAS CONDES'!AT19</f>
        <v>7</v>
      </c>
      <c r="AV261" s="2">
        <f>'NUEVA LAS CONDES'!AU19</f>
        <v>6</v>
      </c>
      <c r="AW261" s="2">
        <f>'NUEVA LAS CONDES'!AV19</f>
        <v>6</v>
      </c>
      <c r="AX261" s="2">
        <f>'NUEVA LAS CONDES'!AW19</f>
        <v>6</v>
      </c>
      <c r="AY261" s="2">
        <f>'NUEVA LAS CONDES'!AX19</f>
        <v>6</v>
      </c>
      <c r="AZ261" s="2">
        <f>'NUEVA LAS CONDES'!AY19</f>
        <v>6</v>
      </c>
      <c r="BA261" s="2">
        <f>'NUEVA LAS CONDES'!AZ19</f>
        <v>6</v>
      </c>
      <c r="BB261" s="2">
        <f>'NUEVA LAS CONDES'!BA19</f>
        <v>5</v>
      </c>
      <c r="BC261" s="2">
        <f>'NUEVA LAS CONDES'!BB19</f>
        <v>4</v>
      </c>
      <c r="BD261" s="2">
        <f>'NUEVA LAS CONDES'!BC19</f>
        <v>3</v>
      </c>
      <c r="BE261" s="2">
        <f>'NUEVA LAS CONDES'!BD19</f>
        <v>3</v>
      </c>
      <c r="BF261" s="2">
        <f>'NUEVA LAS CONDES'!BE19</f>
        <v>3</v>
      </c>
      <c r="BG261" s="2">
        <f>'NUEVA LAS CONDES'!BF19</f>
        <v>3</v>
      </c>
      <c r="BH261" s="2">
        <f>'NUEVA LAS CONDES'!BG19</f>
        <v>3</v>
      </c>
      <c r="BI261" s="2">
        <f>'NUEVA LAS CONDES'!BH19</f>
        <v>2</v>
      </c>
      <c r="BJ261" s="2" t="str">
        <f>'NUEVA LAS CONDES'!BI19</f>
        <v/>
      </c>
      <c r="BK261" s="2">
        <f>'NUEVA LAS CONDES'!BJ19</f>
        <v>2</v>
      </c>
      <c r="BL261" s="2">
        <f>'NUEVA LAS CONDES'!BK19</f>
        <v>2</v>
      </c>
      <c r="BM261" s="2">
        <f>'NUEVA LAS CONDES'!BL19</f>
        <v>9</v>
      </c>
      <c r="BN261" s="2">
        <f>'NUEVA LAS CONDES'!BM19</f>
        <v>8</v>
      </c>
      <c r="BO261" s="2">
        <f>'NUEVA LAS CONDES'!BN19</f>
        <v>8</v>
      </c>
      <c r="BP261" s="2" t="str">
        <f>'NUEVA LAS CONDES'!BO19</f>
        <v/>
      </c>
      <c r="BQ261" s="2" t="str">
        <f>'NUEVA LAS CONDES'!BP19</f>
        <v/>
      </c>
      <c r="BR261" s="2" t="str">
        <f>'NUEVA LAS CONDES'!BQ19</f>
        <v/>
      </c>
      <c r="BS261" s="2" t="str">
        <f>'NUEVA LAS CONDES'!BR19</f>
        <v/>
      </c>
      <c r="BT261" s="2"/>
      <c r="BU261" s="2"/>
      <c r="BV261" s="2"/>
      <c r="BW261" s="2"/>
      <c r="BX261" s="2"/>
      <c r="BY261" s="2"/>
      <c r="BZ261" s="2"/>
      <c r="CA261" s="2"/>
      <c r="CB261" s="2"/>
      <c r="CC261" s="2"/>
    </row>
    <row r="262">
      <c r="A262" s="2"/>
      <c r="B262" s="2" t="str">
        <f>'NUEVA LAS CONDES'!A20</f>
        <v>Nueva Las Condes</v>
      </c>
      <c r="C262" s="2" t="str">
        <f>'NUEVA LAS CONDES'!B20</f>
        <v>Aseo</v>
      </c>
      <c r="D262" s="2" t="str">
        <f>'NUEVA LAS CONDES'!C20</f>
        <v>Mopa Redonda </v>
      </c>
      <c r="E262" s="2" t="str">
        <f>'NUEVA LAS CONDES'!D20</f>
        <v/>
      </c>
      <c r="F262" s="2" t="str">
        <f>'NUEVA LAS CONDES'!E20</f>
        <v/>
      </c>
      <c r="G262" s="2" t="str">
        <f>'NUEVA LAS CONDES'!F20</f>
        <v/>
      </c>
      <c r="H262" s="2" t="str">
        <f>'NUEVA LAS CONDES'!G20</f>
        <v/>
      </c>
      <c r="I262" s="2" t="str">
        <f>'NUEVA LAS CONDES'!H20</f>
        <v/>
      </c>
      <c r="J262" s="2" t="str">
        <f>'NUEVA LAS CONDES'!I20</f>
        <v/>
      </c>
      <c r="K262" s="2" t="str">
        <f>'NUEVA LAS CONDES'!J20</f>
        <v/>
      </c>
      <c r="L262" s="2" t="str">
        <f>'NUEVA LAS CONDES'!K20</f>
        <v/>
      </c>
      <c r="M262" s="2" t="str">
        <f>'NUEVA LAS CONDES'!L20</f>
        <v/>
      </c>
      <c r="N262" s="2" t="str">
        <f>'NUEVA LAS CONDES'!M20</f>
        <v/>
      </c>
      <c r="O262" s="2" t="str">
        <f>'NUEVA LAS CONDES'!N20</f>
        <v/>
      </c>
      <c r="P262" s="2" t="str">
        <f>'NUEVA LAS CONDES'!O20</f>
        <v/>
      </c>
      <c r="Q262" s="2" t="str">
        <f>'NUEVA LAS CONDES'!P20</f>
        <v/>
      </c>
      <c r="R262" s="2" t="str">
        <f>'NUEVA LAS CONDES'!Q20</f>
        <v>-</v>
      </c>
      <c r="S262" s="2" t="str">
        <f>'NUEVA LAS CONDES'!R20</f>
        <v>-</v>
      </c>
      <c r="T262" s="2" t="str">
        <f>'NUEVA LAS CONDES'!S20</f>
        <v>-</v>
      </c>
      <c r="U262" s="2" t="str">
        <f>'NUEVA LAS CONDES'!T20</f>
        <v>-</v>
      </c>
      <c r="V262" s="2" t="str">
        <f>'NUEVA LAS CONDES'!U20</f>
        <v>-</v>
      </c>
      <c r="W262" s="2" t="str">
        <f>'NUEVA LAS CONDES'!V20</f>
        <v>-</v>
      </c>
      <c r="X262" s="2" t="str">
        <f>'NUEVA LAS CONDES'!W20</f>
        <v>-</v>
      </c>
      <c r="Y262" s="2" t="str">
        <f>'NUEVA LAS CONDES'!X20</f>
        <v>-</v>
      </c>
      <c r="Z262" s="2" t="str">
        <f>'NUEVA LAS CONDES'!Y20</f>
        <v>-</v>
      </c>
      <c r="AA262" s="2" t="str">
        <f>'NUEVA LAS CONDES'!Z20</f>
        <v>-</v>
      </c>
      <c r="AB262" s="2">
        <f>'NUEVA LAS CONDES'!AA20</f>
        <v>1</v>
      </c>
      <c r="AC262" s="2">
        <f>'NUEVA LAS CONDES'!AB20</f>
        <v>0</v>
      </c>
      <c r="AD262" s="2">
        <f>'NUEVA LAS CONDES'!AC20</f>
        <v>0</v>
      </c>
      <c r="AE262" s="2">
        <f>'NUEVA LAS CONDES'!AD20</f>
        <v>0</v>
      </c>
      <c r="AF262" s="2">
        <f>'NUEVA LAS CONDES'!AE20</f>
        <v>0</v>
      </c>
      <c r="AG262" s="2">
        <f>'NUEVA LAS CONDES'!AF20</f>
        <v>4</v>
      </c>
      <c r="AH262" s="2">
        <f>'NUEVA LAS CONDES'!AG20</f>
        <v>3</v>
      </c>
      <c r="AI262" s="2">
        <f>'NUEVA LAS CONDES'!AH20</f>
        <v>3</v>
      </c>
      <c r="AJ262" s="2">
        <f>'NUEVA LAS CONDES'!AI20</f>
        <v>2</v>
      </c>
      <c r="AK262" s="2">
        <f>'NUEVA LAS CONDES'!AJ20</f>
        <v>2</v>
      </c>
      <c r="AL262" s="2">
        <f>'NUEVA LAS CONDES'!AK20</f>
        <v>2</v>
      </c>
      <c r="AM262" s="2">
        <f>'NUEVA LAS CONDES'!AL20</f>
        <v>2</v>
      </c>
      <c r="AN262" s="2">
        <f>'NUEVA LAS CONDES'!AM20</f>
        <v>6</v>
      </c>
      <c r="AO262" s="2">
        <f>'NUEVA LAS CONDES'!AN20</f>
        <v>5</v>
      </c>
      <c r="AP262" s="2">
        <f>'NUEVA LAS CONDES'!AO20</f>
        <v>5</v>
      </c>
      <c r="AQ262" s="2">
        <f>'NUEVA LAS CONDES'!AP20</f>
        <v>4</v>
      </c>
      <c r="AR262" s="2">
        <f>'NUEVA LAS CONDES'!AQ20</f>
        <v>4</v>
      </c>
      <c r="AS262" s="2">
        <f>'NUEVA LAS CONDES'!AR20</f>
        <v>4</v>
      </c>
      <c r="AT262" s="2">
        <f>'NUEVA LAS CONDES'!AS20</f>
        <v>3</v>
      </c>
      <c r="AU262" s="2">
        <f>'NUEVA LAS CONDES'!AT20</f>
        <v>3</v>
      </c>
      <c r="AV262" s="2">
        <f>'NUEVA LAS CONDES'!AU20</f>
        <v>2</v>
      </c>
      <c r="AW262" s="2">
        <f>'NUEVA LAS CONDES'!AV20</f>
        <v>2</v>
      </c>
      <c r="AX262" s="2">
        <f>'NUEVA LAS CONDES'!AW20</f>
        <v>4</v>
      </c>
      <c r="AY262" s="2">
        <f>'NUEVA LAS CONDES'!AX20</f>
        <v>4</v>
      </c>
      <c r="AZ262" s="2">
        <f>'NUEVA LAS CONDES'!AY20</f>
        <v>4</v>
      </c>
      <c r="BA262" s="2">
        <f>'NUEVA LAS CONDES'!AZ20</f>
        <v>3</v>
      </c>
      <c r="BB262" s="2">
        <f>'NUEVA LAS CONDES'!BA20</f>
        <v>3</v>
      </c>
      <c r="BC262" s="2">
        <f>'NUEVA LAS CONDES'!BB20</f>
        <v>3</v>
      </c>
      <c r="BD262" s="2">
        <f>'NUEVA LAS CONDES'!BC20</f>
        <v>2</v>
      </c>
      <c r="BE262" s="2">
        <f>'NUEVA LAS CONDES'!BD20</f>
        <v>2</v>
      </c>
      <c r="BF262" s="2">
        <f>'NUEVA LAS CONDES'!BE20</f>
        <v>2</v>
      </c>
      <c r="BG262" s="2">
        <f>'NUEVA LAS CONDES'!BF20</f>
        <v>2</v>
      </c>
      <c r="BH262" s="2">
        <f>'NUEVA LAS CONDES'!BG20</f>
        <v>2</v>
      </c>
      <c r="BI262" s="2">
        <f>'NUEVA LAS CONDES'!BH20</f>
        <v>2</v>
      </c>
      <c r="BJ262" s="2">
        <f>'NUEVA LAS CONDES'!BI20</f>
        <v>1</v>
      </c>
      <c r="BK262" s="2">
        <f>'NUEVA LAS CONDES'!BJ20</f>
        <v>1</v>
      </c>
      <c r="BL262" s="2">
        <f>'NUEVA LAS CONDES'!BK20</f>
        <v>1</v>
      </c>
      <c r="BM262" s="2">
        <f>'NUEVA LAS CONDES'!BL20</f>
        <v>3</v>
      </c>
      <c r="BN262" s="2">
        <f>'NUEVA LAS CONDES'!BM20</f>
        <v>3</v>
      </c>
      <c r="BO262" s="2">
        <f>'NUEVA LAS CONDES'!BN20</f>
        <v>3</v>
      </c>
      <c r="BP262" s="2" t="str">
        <f>'NUEVA LAS CONDES'!BO20</f>
        <v/>
      </c>
      <c r="BQ262" s="2" t="str">
        <f>'NUEVA LAS CONDES'!BP20</f>
        <v/>
      </c>
      <c r="BR262" s="2" t="str">
        <f>'NUEVA LAS CONDES'!BQ20</f>
        <v/>
      </c>
      <c r="BS262" s="2" t="str">
        <f>'NUEVA LAS CONDES'!BR20</f>
        <v/>
      </c>
      <c r="BT262" s="2"/>
      <c r="BU262" s="2"/>
      <c r="BV262" s="2"/>
      <c r="BW262" s="2"/>
      <c r="BX262" s="2"/>
      <c r="BY262" s="2"/>
      <c r="BZ262" s="2"/>
      <c r="CA262" s="2"/>
      <c r="CB262" s="2"/>
      <c r="CC262" s="2"/>
    </row>
    <row r="263">
      <c r="A263" s="2"/>
      <c r="B263" s="2" t="str">
        <f>'NUEVA LAS CONDES'!A21</f>
        <v>Nueva Las Condes</v>
      </c>
      <c r="C263" s="2" t="str">
        <f>'NUEVA LAS CONDES'!B21</f>
        <v>Aseo</v>
      </c>
      <c r="D263" s="2" t="str">
        <f>'NUEVA LAS CONDES'!C21</f>
        <v>Mopa Rectangular </v>
      </c>
      <c r="E263" s="2" t="str">
        <f>'NUEVA LAS CONDES'!D21</f>
        <v/>
      </c>
      <c r="F263" s="2" t="str">
        <f>'NUEVA LAS CONDES'!E21</f>
        <v/>
      </c>
      <c r="G263" s="2" t="str">
        <f>'NUEVA LAS CONDES'!F21</f>
        <v/>
      </c>
      <c r="H263" s="2" t="str">
        <f>'NUEVA LAS CONDES'!G21</f>
        <v/>
      </c>
      <c r="I263" s="2" t="str">
        <f>'NUEVA LAS CONDES'!H21</f>
        <v/>
      </c>
      <c r="J263" s="2" t="str">
        <f>'NUEVA LAS CONDES'!I21</f>
        <v/>
      </c>
      <c r="K263" s="2" t="str">
        <f>'NUEVA LAS CONDES'!J21</f>
        <v/>
      </c>
      <c r="L263" s="2" t="str">
        <f>'NUEVA LAS CONDES'!K21</f>
        <v/>
      </c>
      <c r="M263" s="2" t="str">
        <f>'NUEVA LAS CONDES'!L21</f>
        <v/>
      </c>
      <c r="N263" s="2" t="str">
        <f>'NUEVA LAS CONDES'!M21</f>
        <v/>
      </c>
      <c r="O263" s="2" t="str">
        <f>'NUEVA LAS CONDES'!N21</f>
        <v/>
      </c>
      <c r="P263" s="2" t="str">
        <f>'NUEVA LAS CONDES'!O21</f>
        <v/>
      </c>
      <c r="Q263" s="2" t="str">
        <f>'NUEVA LAS CONDES'!P21</f>
        <v/>
      </c>
      <c r="R263" s="2" t="str">
        <f>'NUEVA LAS CONDES'!Q21</f>
        <v/>
      </c>
      <c r="S263" s="2" t="str">
        <f>'NUEVA LAS CONDES'!R21</f>
        <v/>
      </c>
      <c r="T263" s="2" t="str">
        <f>'NUEVA LAS CONDES'!S21</f>
        <v/>
      </c>
      <c r="U263" s="2" t="str">
        <f>'NUEVA LAS CONDES'!T21</f>
        <v/>
      </c>
      <c r="V263" s="2" t="str">
        <f>'NUEVA LAS CONDES'!U21</f>
        <v/>
      </c>
      <c r="W263" s="2" t="str">
        <f>'NUEVA LAS CONDES'!V21</f>
        <v/>
      </c>
      <c r="X263" s="2" t="str">
        <f>'NUEVA LAS CONDES'!W21</f>
        <v/>
      </c>
      <c r="Y263" s="2" t="str">
        <f>'NUEVA LAS CONDES'!X21</f>
        <v/>
      </c>
      <c r="Z263" s="2" t="str">
        <f>'NUEVA LAS CONDES'!Y21</f>
        <v/>
      </c>
      <c r="AA263" s="2" t="str">
        <f>'NUEVA LAS CONDES'!Z21</f>
        <v/>
      </c>
      <c r="AB263" s="2" t="str">
        <f>'NUEVA LAS CONDES'!AA21</f>
        <v/>
      </c>
      <c r="AC263" s="2" t="str">
        <f>'NUEVA LAS CONDES'!AB21</f>
        <v/>
      </c>
      <c r="AD263" s="2" t="str">
        <f>'NUEVA LAS CONDES'!AC21</f>
        <v/>
      </c>
      <c r="AE263" s="2" t="str">
        <f>'NUEVA LAS CONDES'!AD21</f>
        <v/>
      </c>
      <c r="AF263" s="2" t="str">
        <f>'NUEVA LAS CONDES'!AE21</f>
        <v/>
      </c>
      <c r="AG263" s="2" t="str">
        <f>'NUEVA LAS CONDES'!AF21</f>
        <v/>
      </c>
      <c r="AH263" s="2" t="str">
        <f>'NUEVA LAS CONDES'!AG21</f>
        <v/>
      </c>
      <c r="AI263" s="2" t="str">
        <f>'NUEVA LAS CONDES'!AH21</f>
        <v/>
      </c>
      <c r="AJ263" s="2" t="str">
        <f>'NUEVA LAS CONDES'!AI21</f>
        <v/>
      </c>
      <c r="AK263" s="2" t="str">
        <f>'NUEVA LAS CONDES'!AJ21</f>
        <v/>
      </c>
      <c r="AL263" s="2" t="str">
        <f>'NUEVA LAS CONDES'!AK21</f>
        <v/>
      </c>
      <c r="AM263" s="2" t="str">
        <f>'NUEVA LAS CONDES'!AL21</f>
        <v/>
      </c>
      <c r="AN263" s="2" t="str">
        <f>'NUEVA LAS CONDES'!AM21</f>
        <v/>
      </c>
      <c r="AO263" s="2" t="str">
        <f>'NUEVA LAS CONDES'!AN21</f>
        <v/>
      </c>
      <c r="AP263" s="2" t="str">
        <f>'NUEVA LAS CONDES'!AO21</f>
        <v/>
      </c>
      <c r="AQ263" s="2" t="str">
        <f>'NUEVA LAS CONDES'!AP21</f>
        <v/>
      </c>
      <c r="AR263" s="2" t="str">
        <f>'NUEVA LAS CONDES'!AQ21</f>
        <v/>
      </c>
      <c r="AS263" s="2" t="str">
        <f>'NUEVA LAS CONDES'!AR21</f>
        <v/>
      </c>
      <c r="AT263" s="2" t="str">
        <f>'NUEVA LAS CONDES'!AS21</f>
        <v>-</v>
      </c>
      <c r="AU263" s="2" t="str">
        <f>'NUEVA LAS CONDES'!AT21</f>
        <v>-</v>
      </c>
      <c r="AV263" s="2" t="str">
        <f>'NUEVA LAS CONDES'!AU21</f>
        <v>-</v>
      </c>
      <c r="AW263" s="2" t="str">
        <f>'NUEVA LAS CONDES'!AV21</f>
        <v>-</v>
      </c>
      <c r="AX263" s="2" t="str">
        <f>'NUEVA LAS CONDES'!AW21</f>
        <v>-</v>
      </c>
      <c r="AY263" s="2" t="str">
        <f>'NUEVA LAS CONDES'!AX21</f>
        <v>-</v>
      </c>
      <c r="AZ263" s="2" t="str">
        <f>'NUEVA LAS CONDES'!AY21</f>
        <v>-</v>
      </c>
      <c r="BA263" s="2" t="str">
        <f>'NUEVA LAS CONDES'!AZ21</f>
        <v>-</v>
      </c>
      <c r="BB263" s="2" t="str">
        <f>'NUEVA LAS CONDES'!BA21</f>
        <v>-</v>
      </c>
      <c r="BC263" s="2" t="str">
        <f>'NUEVA LAS CONDES'!BB21</f>
        <v>-</v>
      </c>
      <c r="BD263" s="2" t="str">
        <f>'NUEVA LAS CONDES'!BC21</f>
        <v>-</v>
      </c>
      <c r="BE263" s="2">
        <f>'NUEVA LAS CONDES'!BD21</f>
        <v>0</v>
      </c>
      <c r="BF263" s="2">
        <f>'NUEVA LAS CONDES'!BE21</f>
        <v>0</v>
      </c>
      <c r="BG263" s="2">
        <f>'NUEVA LAS CONDES'!BF21</f>
        <v>0</v>
      </c>
      <c r="BH263" s="2">
        <f>'NUEVA LAS CONDES'!BG21</f>
        <v>0</v>
      </c>
      <c r="BI263" s="2">
        <f>'NUEVA LAS CONDES'!BH21</f>
        <v>0</v>
      </c>
      <c r="BJ263" s="2">
        <f>'NUEVA LAS CONDES'!BI21</f>
        <v>0</v>
      </c>
      <c r="BK263" s="2">
        <f>'NUEVA LAS CONDES'!BJ21</f>
        <v>0</v>
      </c>
      <c r="BL263" s="2">
        <f>'NUEVA LAS CONDES'!BK21</f>
        <v>0</v>
      </c>
      <c r="BM263" s="2">
        <f>'NUEVA LAS CONDES'!BL21</f>
        <v>1</v>
      </c>
      <c r="BN263" s="2">
        <f>'NUEVA LAS CONDES'!BM21</f>
        <v>1</v>
      </c>
      <c r="BO263" s="2">
        <f>'NUEVA LAS CONDES'!BN21</f>
        <v>1</v>
      </c>
      <c r="BP263" s="2" t="str">
        <f>'NUEVA LAS CONDES'!BO21</f>
        <v/>
      </c>
      <c r="BQ263" s="2" t="str">
        <f>'NUEVA LAS CONDES'!BP21</f>
        <v/>
      </c>
      <c r="BR263" s="2" t="str">
        <f>'NUEVA LAS CONDES'!BQ21</f>
        <v/>
      </c>
      <c r="BS263" s="2" t="str">
        <f>'NUEVA LAS CONDES'!BR21</f>
        <v/>
      </c>
      <c r="BT263" s="2"/>
      <c r="BU263" s="2"/>
      <c r="BV263" s="2"/>
      <c r="BW263" s="2"/>
      <c r="BX263" s="2"/>
      <c r="BY263" s="2"/>
      <c r="BZ263" s="2"/>
      <c r="CA263" s="2"/>
      <c r="CB263" s="2"/>
      <c r="CC263" s="2"/>
    </row>
    <row r="264">
      <c r="A264" s="2"/>
      <c r="B264" s="2" t="str">
        <f>'NUEVA LAS CONDES'!A22</f>
        <v>Nueva Las Condes</v>
      </c>
      <c r="C264" s="2" t="str">
        <f>'NUEVA LAS CONDES'!B22</f>
        <v>Aseo</v>
      </c>
      <c r="D264" s="2" t="str">
        <f>'NUEVA LAS CONDES'!C22</f>
        <v>Desodorante ambiental</v>
      </c>
      <c r="E264" s="2" t="str">
        <f>'NUEVA LAS CONDES'!D22</f>
        <v/>
      </c>
      <c r="F264" s="2" t="str">
        <f>'NUEVA LAS CONDES'!E22</f>
        <v/>
      </c>
      <c r="G264" s="2" t="str">
        <f>'NUEVA LAS CONDES'!F22</f>
        <v/>
      </c>
      <c r="H264" s="2" t="str">
        <f>'NUEVA LAS CONDES'!G22</f>
        <v/>
      </c>
      <c r="I264" s="2" t="str">
        <f>'NUEVA LAS CONDES'!H22</f>
        <v/>
      </c>
      <c r="J264" s="2" t="str">
        <f>'NUEVA LAS CONDES'!I22</f>
        <v/>
      </c>
      <c r="K264" s="2" t="str">
        <f>'NUEVA LAS CONDES'!J22</f>
        <v/>
      </c>
      <c r="L264" s="2" t="str">
        <f>'NUEVA LAS CONDES'!K22</f>
        <v/>
      </c>
      <c r="M264" s="2" t="str">
        <f>'NUEVA LAS CONDES'!L22</f>
        <v/>
      </c>
      <c r="N264" s="2" t="str">
        <f>'NUEVA LAS CONDES'!M22</f>
        <v/>
      </c>
      <c r="O264" s="2" t="str">
        <f>'NUEVA LAS CONDES'!N22</f>
        <v/>
      </c>
      <c r="P264" s="2" t="str">
        <f>'NUEVA LAS CONDES'!O22</f>
        <v/>
      </c>
      <c r="Q264" s="2" t="str">
        <f>'NUEVA LAS CONDES'!P22</f>
        <v/>
      </c>
      <c r="R264" s="2" t="str">
        <f>'NUEVA LAS CONDES'!Q22</f>
        <v/>
      </c>
      <c r="S264" s="2" t="str">
        <f>'NUEVA LAS CONDES'!R22</f>
        <v/>
      </c>
      <c r="T264" s="2" t="str">
        <f>'NUEVA LAS CONDES'!S22</f>
        <v/>
      </c>
      <c r="U264" s="2" t="str">
        <f>'NUEVA LAS CONDES'!T22</f>
        <v/>
      </c>
      <c r="V264" s="2" t="str">
        <f>'NUEVA LAS CONDES'!U22</f>
        <v/>
      </c>
      <c r="W264" s="2" t="str">
        <f>'NUEVA LAS CONDES'!V22</f>
        <v/>
      </c>
      <c r="X264" s="2" t="str">
        <f>'NUEVA LAS CONDES'!W22</f>
        <v/>
      </c>
      <c r="Y264" s="2" t="str">
        <f>'NUEVA LAS CONDES'!X22</f>
        <v/>
      </c>
      <c r="Z264" s="2" t="str">
        <f>'NUEVA LAS CONDES'!Y22</f>
        <v/>
      </c>
      <c r="AA264" s="2" t="str">
        <f>'NUEVA LAS CONDES'!Z22</f>
        <v/>
      </c>
      <c r="AB264" s="2" t="str">
        <f>'NUEVA LAS CONDES'!AA22</f>
        <v/>
      </c>
      <c r="AC264" s="2" t="str">
        <f>'NUEVA LAS CONDES'!AB22</f>
        <v/>
      </c>
      <c r="AD264" s="2" t="str">
        <f>'NUEVA LAS CONDES'!AC22</f>
        <v/>
      </c>
      <c r="AE264" s="2" t="str">
        <f>'NUEVA LAS CONDES'!AD22</f>
        <v/>
      </c>
      <c r="AF264" s="2" t="str">
        <f>'NUEVA LAS CONDES'!AE22</f>
        <v/>
      </c>
      <c r="AG264" s="2" t="str">
        <f>'NUEVA LAS CONDES'!AF22</f>
        <v/>
      </c>
      <c r="AH264" s="2" t="str">
        <f>'NUEVA LAS CONDES'!AG22</f>
        <v/>
      </c>
      <c r="AI264" s="2" t="str">
        <f>'NUEVA LAS CONDES'!AH22</f>
        <v/>
      </c>
      <c r="AJ264" s="2" t="str">
        <f>'NUEVA LAS CONDES'!AI22</f>
        <v/>
      </c>
      <c r="AK264" s="2" t="str">
        <f>'NUEVA LAS CONDES'!AJ22</f>
        <v/>
      </c>
      <c r="AL264" s="2" t="str">
        <f>'NUEVA LAS CONDES'!AK22</f>
        <v/>
      </c>
      <c r="AM264" s="2" t="str">
        <f>'NUEVA LAS CONDES'!AL22</f>
        <v/>
      </c>
      <c r="AN264" s="2" t="str">
        <f>'NUEVA LAS CONDES'!AM22</f>
        <v/>
      </c>
      <c r="AO264" s="2" t="str">
        <f>'NUEVA LAS CONDES'!AN22</f>
        <v/>
      </c>
      <c r="AP264" s="2" t="str">
        <f>'NUEVA LAS CONDES'!AO22</f>
        <v/>
      </c>
      <c r="AQ264" s="2" t="str">
        <f>'NUEVA LAS CONDES'!AP22</f>
        <v/>
      </c>
      <c r="AR264" s="2" t="str">
        <f>'NUEVA LAS CONDES'!AQ22</f>
        <v/>
      </c>
      <c r="AS264" s="2" t="str">
        <f>'NUEVA LAS CONDES'!AR22</f>
        <v/>
      </c>
      <c r="AT264" s="2" t="str">
        <f>'NUEVA LAS CONDES'!AS22</f>
        <v/>
      </c>
      <c r="AU264" s="2" t="str">
        <f>'NUEVA LAS CONDES'!AT22</f>
        <v/>
      </c>
      <c r="AV264" s="2" t="str">
        <f>'NUEVA LAS CONDES'!AU22</f>
        <v/>
      </c>
      <c r="AW264" s="2" t="str">
        <f>'NUEVA LAS CONDES'!AV22</f>
        <v/>
      </c>
      <c r="AX264" s="2" t="str">
        <f>'NUEVA LAS CONDES'!AW22</f>
        <v/>
      </c>
      <c r="AY264" s="2" t="str">
        <f>'NUEVA LAS CONDES'!AX22</f>
        <v/>
      </c>
      <c r="AZ264" s="2" t="str">
        <f>'NUEVA LAS CONDES'!AY22</f>
        <v/>
      </c>
      <c r="BA264" s="2" t="str">
        <f>'NUEVA LAS CONDES'!AZ22</f>
        <v/>
      </c>
      <c r="BB264" s="2" t="str">
        <f>'NUEVA LAS CONDES'!BA22</f>
        <v>-</v>
      </c>
      <c r="BC264" s="2" t="str">
        <f>'NUEVA LAS CONDES'!BB22</f>
        <v>-</v>
      </c>
      <c r="BD264" s="2" t="str">
        <f>'NUEVA LAS CONDES'!BC22</f>
        <v>-</v>
      </c>
      <c r="BE264" s="2" t="str">
        <f>'NUEVA LAS CONDES'!BD22</f>
        <v>-</v>
      </c>
      <c r="BF264" s="2" t="str">
        <f>'NUEVA LAS CONDES'!BE22</f>
        <v>-</v>
      </c>
      <c r="BG264" s="2">
        <f>'NUEVA LAS CONDES'!BF22</f>
        <v>0</v>
      </c>
      <c r="BH264" s="2">
        <f>'NUEVA LAS CONDES'!BG22</f>
        <v>0</v>
      </c>
      <c r="BI264" s="2">
        <f>'NUEVA LAS CONDES'!BH22</f>
        <v>0</v>
      </c>
      <c r="BJ264" s="2">
        <f>'NUEVA LAS CONDES'!BI22</f>
        <v>0</v>
      </c>
      <c r="BK264" s="2">
        <f>'NUEVA LAS CONDES'!BJ22</f>
        <v>3</v>
      </c>
      <c r="BL264" s="2">
        <f>'NUEVA LAS CONDES'!BK22</f>
        <v>3</v>
      </c>
      <c r="BM264" s="2">
        <f>'NUEVA LAS CONDES'!BL22</f>
        <v>0</v>
      </c>
      <c r="BN264" s="2">
        <f>'NUEVA LAS CONDES'!BM22</f>
        <v>0</v>
      </c>
      <c r="BO264" s="2">
        <f>'NUEVA LAS CONDES'!BN22</f>
        <v>0</v>
      </c>
      <c r="BP264" s="2" t="str">
        <f>'NUEVA LAS CONDES'!BO22</f>
        <v/>
      </c>
      <c r="BQ264" s="2" t="str">
        <f>'NUEVA LAS CONDES'!BP22</f>
        <v/>
      </c>
      <c r="BR264" s="2" t="str">
        <f>'NUEVA LAS CONDES'!BQ22</f>
        <v/>
      </c>
      <c r="BS264" s="2" t="str">
        <f>'NUEVA LAS CONDES'!BR22</f>
        <v/>
      </c>
      <c r="BT264" s="2"/>
      <c r="BU264" s="2"/>
      <c r="BV264" s="2"/>
      <c r="BW264" s="2"/>
      <c r="BX264" s="2"/>
      <c r="BY264" s="2"/>
      <c r="BZ264" s="2"/>
      <c r="CA264" s="2"/>
      <c r="CB264" s="2"/>
      <c r="C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</row>
    <row r="266">
      <c r="A266" s="2"/>
      <c r="B266" s="2" t="str">
        <f>'CERRO EL PLOMO'!A2</f>
        <v/>
      </c>
      <c r="C266" s="2" t="str">
        <f>'CERRO EL PLOMO'!B2</f>
        <v/>
      </c>
      <c r="D266" s="14" t="str">
        <f>'CERRO EL PLOMO'!C2</f>
        <v/>
      </c>
      <c r="E266" s="14">
        <f>'CERRO EL PLOMO'!D2</f>
        <v>45811</v>
      </c>
      <c r="F266" s="14">
        <f>'CERRO EL PLOMO'!E2</f>
        <v>45817</v>
      </c>
      <c r="G266" s="14">
        <f>'CERRO EL PLOMO'!F2</f>
        <v>45824</v>
      </c>
      <c r="H266" s="14">
        <f>'CERRO EL PLOMO'!G2</f>
        <v>45831</v>
      </c>
      <c r="I266" s="14">
        <f>'CERRO EL PLOMO'!H2</f>
        <v>45838</v>
      </c>
      <c r="J266" s="14">
        <f>'CERRO EL PLOMO'!I2</f>
        <v>45845</v>
      </c>
      <c r="K266" s="14">
        <f>'CERRO EL PLOMO'!J2</f>
        <v>45852</v>
      </c>
      <c r="L266" s="14">
        <f>'CERRO EL PLOMO'!K2</f>
        <v>45859</v>
      </c>
      <c r="M266" s="14">
        <f>'CERRO EL PLOMO'!L2</f>
        <v>45866</v>
      </c>
      <c r="N266" s="2" t="str">
        <f>'CERRO EL PLOMO'!M2</f>
        <v>04/082025</v>
      </c>
      <c r="O266" s="14">
        <f>'CERRO EL PLOMO'!N2</f>
        <v>45880</v>
      </c>
      <c r="P266" s="14">
        <f>'CERRO EL PLOMO'!O2</f>
        <v>45887</v>
      </c>
      <c r="Q266" s="14">
        <f>'CERRO EL PLOMO'!P2</f>
        <v>45894</v>
      </c>
      <c r="R266" s="14">
        <f>'CERRO EL PLOMO'!Q2</f>
        <v>45901</v>
      </c>
      <c r="S266" s="14">
        <f>'CERRO EL PLOMO'!R2</f>
        <v>45908</v>
      </c>
      <c r="T266" s="14">
        <f>'CERRO EL PLOMO'!S2</f>
        <v>45915</v>
      </c>
      <c r="U266" s="14">
        <f>'CERRO EL PLOMO'!T2</f>
        <v>45922</v>
      </c>
      <c r="V266" s="14">
        <f>'CERRO EL PLOMO'!U2</f>
        <v>45929</v>
      </c>
      <c r="W266" s="14">
        <f>'CERRO EL PLOMO'!V2</f>
        <v>45936</v>
      </c>
      <c r="X266" s="14">
        <f>'CERRO EL PLOMO'!W2</f>
        <v>45943</v>
      </c>
      <c r="Y266" s="14">
        <f>'CERRO EL PLOMO'!X2</f>
        <v>45950</v>
      </c>
      <c r="Z266" s="14">
        <f>'CERRO EL PLOMO'!Y2</f>
        <v>45957</v>
      </c>
      <c r="AA266" s="14">
        <f>'CERRO EL PLOMO'!Z2</f>
        <v>45964</v>
      </c>
      <c r="AB266" s="14">
        <f>'CERRO EL PLOMO'!AA2</f>
        <v>45971</v>
      </c>
      <c r="AC266" s="14">
        <f>'CERRO EL PLOMO'!AB2</f>
        <v>45978</v>
      </c>
      <c r="AD266" s="14">
        <f>'CERRO EL PLOMO'!AC2</f>
        <v>45980</v>
      </c>
      <c r="AE266" s="14">
        <f>'CERRO EL PLOMO'!AD2</f>
        <v>45981</v>
      </c>
      <c r="AF266" s="14">
        <f>'CERRO EL PLOMO'!AE2</f>
        <v>45985</v>
      </c>
      <c r="AG266" s="14">
        <f>'CERRO EL PLOMO'!AF2</f>
        <v>45986</v>
      </c>
      <c r="AH266" s="14">
        <f>'CERRO EL PLOMO'!AG2</f>
        <v>45988</v>
      </c>
      <c r="AI266" s="14">
        <f>'CERRO EL PLOMO'!AH2</f>
        <v>45989</v>
      </c>
      <c r="AJ266" s="14">
        <f>'CERRO EL PLOMO'!AI2</f>
        <v>45992</v>
      </c>
      <c r="AK266" s="14">
        <f>'CERRO EL PLOMO'!AJ2</f>
        <v>45993</v>
      </c>
      <c r="AL266" s="14">
        <f>'CERRO EL PLOMO'!AK2</f>
        <v>45994</v>
      </c>
      <c r="AM266" s="14">
        <f>'CERRO EL PLOMO'!AL2</f>
        <v>3698420</v>
      </c>
      <c r="AN266" s="14">
        <f>'CERRO EL PLOMO'!AM2</f>
        <v>46000</v>
      </c>
      <c r="AO266" s="14">
        <f>'CERRO EL PLOMO'!AN2</f>
        <v>46002</v>
      </c>
      <c r="AP266" s="14">
        <f>'CERRO EL PLOMO'!AO2</f>
        <v>46007</v>
      </c>
      <c r="AQ266" s="14">
        <f>'CERRO EL PLOMO'!AP2</f>
        <v>46009</v>
      </c>
      <c r="AR266" s="14">
        <f>'CERRO EL PLOMO'!AQ2</f>
        <v>46013</v>
      </c>
      <c r="AS266" s="14">
        <f>'CERRO EL PLOMO'!AR2</f>
        <v>46020</v>
      </c>
      <c r="AT266" s="14">
        <f>'CERRO EL PLOMO'!AS2</f>
        <v>46027</v>
      </c>
      <c r="AU266" s="14">
        <f>'CERRO EL PLOMO'!AT2</f>
        <v>46028</v>
      </c>
      <c r="AV266" s="14">
        <f>'CERRO EL PLOMO'!AU2</f>
        <v>46030</v>
      </c>
      <c r="AW266" s="14">
        <f>'CERRO EL PLOMO'!AV2</f>
        <v>46031</v>
      </c>
      <c r="AX266" s="14">
        <f>'CERRO EL PLOMO'!AW2</f>
        <v>46034</v>
      </c>
      <c r="AY266" s="14">
        <f>'CERRO EL PLOMO'!AX2</f>
        <v>46037</v>
      </c>
      <c r="AZ266" s="14">
        <f>'CERRO EL PLOMO'!AY2</f>
        <v>46041</v>
      </c>
      <c r="BA266" s="14">
        <f>'CERRO EL PLOMO'!AZ2</f>
        <v>46043</v>
      </c>
      <c r="BB266" s="14">
        <f>'CERRO EL PLOMO'!BA2</f>
        <v>46044</v>
      </c>
      <c r="BC266" s="14">
        <f>'CERRO EL PLOMO'!BB2</f>
        <v>46045</v>
      </c>
      <c r="BD266" s="14">
        <f>'CERRO EL PLOMO'!BC2</f>
        <v>46048</v>
      </c>
      <c r="BE266" s="14">
        <f>'CERRO EL PLOMO'!BD2</f>
        <v>46049</v>
      </c>
      <c r="BF266" s="14">
        <f>'CERRO EL PLOMO'!BE2</f>
        <v>46050</v>
      </c>
      <c r="BG266" s="14">
        <f>'CERRO EL PLOMO'!BF2</f>
        <v>46051</v>
      </c>
      <c r="BH266" s="14">
        <f>'CERRO EL PLOMO'!BG2</f>
        <v>46055</v>
      </c>
      <c r="BI266" s="14">
        <f>'CERRO EL PLOMO'!BH2</f>
        <v>46058</v>
      </c>
      <c r="BJ266" s="14">
        <f>'CERRO EL PLOMO'!BI2</f>
        <v>46059</v>
      </c>
      <c r="BK266" s="14">
        <f>'CERRO EL PLOMO'!BJ2</f>
        <v>46062</v>
      </c>
      <c r="BL266" s="14">
        <f>'CERRO EL PLOMO'!BK2</f>
        <v>46065</v>
      </c>
      <c r="BM266" s="14">
        <f>'CERRO EL PLOMO'!BL2</f>
        <v>46069</v>
      </c>
      <c r="BN266" s="14">
        <f>'CERRO EL PLOMO'!BM2</f>
        <v>46072</v>
      </c>
      <c r="BO266" s="14">
        <f>'CERRO EL PLOMO'!BN2</f>
        <v>46076</v>
      </c>
      <c r="BP266" s="14">
        <f>'CERRO EL PLOMO'!BO2</f>
        <v>46078</v>
      </c>
      <c r="BQ266" s="14">
        <f>'CERRO EL PLOMO'!BP2</f>
        <v>46079</v>
      </c>
      <c r="BR266" s="14">
        <f>'CERRO EL PLOMO'!BQ2</f>
        <v>46083</v>
      </c>
      <c r="BS266" s="14">
        <f>'CERRO EL PLOMO'!BR2</f>
        <v>46086</v>
      </c>
      <c r="BT266" s="14">
        <f>'CERRO EL PLOMO'!BS2</f>
        <v>46087</v>
      </c>
      <c r="BU266" s="14">
        <f>'CERRO EL PLOMO'!BT2</f>
        <v>46090</v>
      </c>
      <c r="BV266" s="14">
        <f>'CERRO EL PLOMO'!BU2</f>
        <v>46092</v>
      </c>
      <c r="BW266" s="14">
        <f>'CERRO EL PLOMO'!BV2</f>
        <v>46093</v>
      </c>
      <c r="BX266" s="14">
        <f>'CERRO EL PLOMO'!BW2</f>
        <v>46097</v>
      </c>
      <c r="BY266" s="14">
        <f>'CERRO EL PLOMO'!BX2</f>
        <v>46098</v>
      </c>
      <c r="BZ266" s="14">
        <f>'CERRO EL PLOMO'!BY2</f>
        <v>46100</v>
      </c>
      <c r="CA266" s="14">
        <f>'CERRO EL PLOMO'!BZ2</f>
        <v>46104</v>
      </c>
      <c r="CB266" s="14" t="str">
        <f>'CERRO EL PLOMO'!CA2</f>
        <v/>
      </c>
      <c r="CC266" s="2" t="str">
        <f>'CERRO EL PLOMO'!CB2</f>
        <v/>
      </c>
    </row>
    <row r="267">
      <c r="A267" s="2"/>
      <c r="B267" s="2" t="str">
        <f>'CERRO EL PLOMO'!A3</f>
        <v>Sede</v>
      </c>
      <c r="C267" s="2" t="str">
        <f>'CERRO EL PLOMO'!B3</f>
        <v>Proveedor</v>
      </c>
      <c r="D267" s="2" t="str">
        <f>'CERRO EL PLOMO'!C3</f>
        <v>Producto</v>
      </c>
      <c r="E267" s="2" t="str">
        <f>'CERRO EL PLOMO'!D3</f>
        <v>Stock Actual</v>
      </c>
      <c r="F267" s="2" t="str">
        <f>'CERRO EL PLOMO'!E3</f>
        <v>Stock Actual</v>
      </c>
      <c r="G267" s="2" t="str">
        <f>'CERRO EL PLOMO'!F3</f>
        <v>Stock Actual</v>
      </c>
      <c r="H267" s="2" t="str">
        <f>'CERRO EL PLOMO'!G3</f>
        <v>Stock Actual</v>
      </c>
      <c r="I267" s="2" t="str">
        <f>'CERRO EL PLOMO'!H3</f>
        <v>Stock Actual</v>
      </c>
      <c r="J267" s="2" t="str">
        <f>'CERRO EL PLOMO'!I3</f>
        <v>Stock Actual</v>
      </c>
      <c r="K267" s="2" t="str">
        <f>'CERRO EL PLOMO'!J3</f>
        <v>Stock Actual</v>
      </c>
      <c r="L267" s="2" t="str">
        <f>'CERRO EL PLOMO'!K3</f>
        <v>Stock Actual</v>
      </c>
      <c r="M267" s="2" t="str">
        <f>'CERRO EL PLOMO'!L3</f>
        <v>Stock Actual</v>
      </c>
      <c r="N267" s="2" t="str">
        <f>'CERRO EL PLOMO'!M3</f>
        <v>Stock Actual</v>
      </c>
      <c r="O267" s="2" t="str">
        <f>'CERRO EL PLOMO'!N3</f>
        <v>Stock Actual</v>
      </c>
      <c r="P267" s="2" t="str">
        <f>'CERRO EL PLOMO'!O3</f>
        <v>Stock Actual</v>
      </c>
      <c r="Q267" s="2" t="str">
        <f>'CERRO EL PLOMO'!P3</f>
        <v>Stock Actual</v>
      </c>
      <c r="R267" s="2" t="str">
        <f>'CERRO EL PLOMO'!Q3</f>
        <v>Stock Actual</v>
      </c>
      <c r="S267" s="2" t="str">
        <f>'CERRO EL PLOMO'!R3</f>
        <v>Stock Actual</v>
      </c>
      <c r="T267" s="2" t="str">
        <f>'CERRO EL PLOMO'!S3</f>
        <v>Stock Actual</v>
      </c>
      <c r="U267" s="2" t="str">
        <f>'CERRO EL PLOMO'!T3</f>
        <v>Stock Actual</v>
      </c>
      <c r="V267" s="2" t="str">
        <f>'CERRO EL PLOMO'!U3</f>
        <v>Stock Actual</v>
      </c>
      <c r="W267" s="2" t="str">
        <f>'CERRO EL PLOMO'!V3</f>
        <v>Stock Actual</v>
      </c>
      <c r="X267" s="2" t="str">
        <f>'CERRO EL PLOMO'!W3</f>
        <v>Stock Actual</v>
      </c>
      <c r="Y267" s="2" t="str">
        <f>'CERRO EL PLOMO'!X3</f>
        <v>Stock Actual</v>
      </c>
      <c r="Z267" s="2" t="str">
        <f>'CERRO EL PLOMO'!Y3</f>
        <v>Stock Actual</v>
      </c>
      <c r="AA267" s="2" t="str">
        <f>'CERRO EL PLOMO'!Z3</f>
        <v>Stock Actual</v>
      </c>
      <c r="AB267" s="2" t="str">
        <f>'CERRO EL PLOMO'!AA3</f>
        <v>Stock Actual</v>
      </c>
      <c r="AC267" s="2" t="str">
        <f>'CERRO EL PLOMO'!AB3</f>
        <v>Stock Actual</v>
      </c>
      <c r="AD267" s="2" t="str">
        <f>'CERRO EL PLOMO'!AC3</f>
        <v>Stock Actual</v>
      </c>
      <c r="AE267" s="2" t="str">
        <f>'CERRO EL PLOMO'!AD3</f>
        <v>Stock Actual</v>
      </c>
      <c r="AF267" s="2" t="str">
        <f>'CERRO EL PLOMO'!AE3</f>
        <v>Stock Actual</v>
      </c>
      <c r="AG267" s="2" t="str">
        <f>'CERRO EL PLOMO'!AF3</f>
        <v>Stock Actual</v>
      </c>
      <c r="AH267" s="2" t="str">
        <f>'CERRO EL PLOMO'!AG3</f>
        <v>Stock Actual</v>
      </c>
      <c r="AI267" s="2" t="str">
        <f>'CERRO EL PLOMO'!AH3</f>
        <v>Stock Actual</v>
      </c>
      <c r="AJ267" s="2" t="str">
        <f>'CERRO EL PLOMO'!AI3</f>
        <v>Stock Actual</v>
      </c>
      <c r="AK267" s="2" t="str">
        <f>'CERRO EL PLOMO'!AJ3</f>
        <v>Stock Actual</v>
      </c>
      <c r="AL267" s="2" t="str">
        <f>'CERRO EL PLOMO'!AK3</f>
        <v>Stock Actual</v>
      </c>
      <c r="AM267" s="2" t="str">
        <f>'CERRO EL PLOMO'!AL3</f>
        <v>Stock Actual</v>
      </c>
      <c r="AN267" s="2" t="str">
        <f>'CERRO EL PLOMO'!AM3</f>
        <v>Stock Actual</v>
      </c>
      <c r="AO267" s="2" t="str">
        <f>'CERRO EL PLOMO'!AN3</f>
        <v>Stock Actual</v>
      </c>
      <c r="AP267" s="2" t="str">
        <f>'CERRO EL PLOMO'!AO3</f>
        <v>Stock Actual</v>
      </c>
      <c r="AQ267" s="2" t="str">
        <f>'CERRO EL PLOMO'!AP3</f>
        <v>Stock Actual</v>
      </c>
      <c r="AR267" s="2" t="str">
        <f>'CERRO EL PLOMO'!AQ3</f>
        <v>Stock Actual</v>
      </c>
      <c r="AS267" s="2" t="str">
        <f>'CERRO EL PLOMO'!AR3</f>
        <v>Stock Actual</v>
      </c>
      <c r="AT267" s="2" t="str">
        <f>'CERRO EL PLOMO'!AS3</f>
        <v>Stock Actual</v>
      </c>
      <c r="AU267" s="2" t="str">
        <f>'CERRO EL PLOMO'!AT3</f>
        <v>Stock Actual</v>
      </c>
      <c r="AV267" s="2" t="str">
        <f>'CERRO EL PLOMO'!AU3</f>
        <v>Stock Actual</v>
      </c>
      <c r="AW267" s="2" t="str">
        <f>'CERRO EL PLOMO'!AV3</f>
        <v>Stock Actual</v>
      </c>
      <c r="AX267" s="2" t="str">
        <f>'CERRO EL PLOMO'!AW3</f>
        <v>Stock Actual</v>
      </c>
      <c r="AY267" s="2" t="str">
        <f>'CERRO EL PLOMO'!AX3</f>
        <v>Stock Actual</v>
      </c>
      <c r="AZ267" s="2" t="str">
        <f>'CERRO EL PLOMO'!AY3</f>
        <v>Stock Actual</v>
      </c>
      <c r="BA267" s="2" t="str">
        <f>'CERRO EL PLOMO'!AZ3</f>
        <v>Stock Actual</v>
      </c>
      <c r="BB267" s="2" t="str">
        <f>'CERRO EL PLOMO'!BA3</f>
        <v>Stock Actual</v>
      </c>
      <c r="BC267" s="2" t="str">
        <f>'CERRO EL PLOMO'!BB3</f>
        <v>Stock Actual</v>
      </c>
      <c r="BD267" s="2" t="str">
        <f>'CERRO EL PLOMO'!BC3</f>
        <v>Stock Actual</v>
      </c>
      <c r="BE267" s="2" t="str">
        <f>'CERRO EL PLOMO'!BD3</f>
        <v>Stock Actual</v>
      </c>
      <c r="BF267" s="2" t="str">
        <f>'CERRO EL PLOMO'!BE3</f>
        <v>Stock Actual</v>
      </c>
      <c r="BG267" s="2" t="str">
        <f>'CERRO EL PLOMO'!BF3</f>
        <v>Stock Actual</v>
      </c>
      <c r="BH267" s="2" t="str">
        <f>'CERRO EL PLOMO'!BG3</f>
        <v>Stock Actual</v>
      </c>
      <c r="BI267" s="2" t="str">
        <f>'CERRO EL PLOMO'!BH3</f>
        <v>Stock Actual</v>
      </c>
      <c r="BJ267" s="2" t="str">
        <f>'CERRO EL PLOMO'!BI3</f>
        <v>Stock Actual</v>
      </c>
      <c r="BK267" s="2" t="str">
        <f>'CERRO EL PLOMO'!BJ3</f>
        <v>Stock Actual</v>
      </c>
      <c r="BL267" s="2" t="str">
        <f>'CERRO EL PLOMO'!BK3</f>
        <v>Stock Actual</v>
      </c>
      <c r="BM267" s="2" t="str">
        <f>'CERRO EL PLOMO'!BL3</f>
        <v>Stock Actual</v>
      </c>
      <c r="BN267" s="2" t="str">
        <f>'CERRO EL PLOMO'!BM3</f>
        <v>Stock Actual</v>
      </c>
      <c r="BO267" s="2" t="str">
        <f>'CERRO EL PLOMO'!BN3</f>
        <v>Stock Actual</v>
      </c>
      <c r="BP267" s="2" t="str">
        <f>'CERRO EL PLOMO'!BO3</f>
        <v>Stock Actual</v>
      </c>
      <c r="BQ267" s="2" t="str">
        <f>'CERRO EL PLOMO'!BP3</f>
        <v>Stock Actual</v>
      </c>
      <c r="BR267" s="2" t="str">
        <f>'CERRO EL PLOMO'!BQ3</f>
        <v>Stock Actual</v>
      </c>
      <c r="BS267" s="2" t="str">
        <f>'CERRO EL PLOMO'!BR3</f>
        <v>Stock Actual</v>
      </c>
      <c r="BT267" s="2" t="str">
        <f>'CERRO EL PLOMO'!BS3</f>
        <v>Stock Actual</v>
      </c>
      <c r="BU267" s="2" t="str">
        <f>'CERRO EL PLOMO'!BT3</f>
        <v>Stock Actual</v>
      </c>
      <c r="BV267" s="2" t="str">
        <f>'CERRO EL PLOMO'!BU3</f>
        <v>Stock Actual</v>
      </c>
      <c r="BW267" s="2" t="str">
        <f>'CERRO EL PLOMO'!BV3</f>
        <v>Stock Actual</v>
      </c>
      <c r="BX267" s="2" t="str">
        <f>'CERRO EL PLOMO'!BW3</f>
        <v>Stock Actual</v>
      </c>
      <c r="BY267" s="2" t="str">
        <f>'CERRO EL PLOMO'!BX3</f>
        <v>Stock Actual</v>
      </c>
      <c r="BZ267" s="2" t="str">
        <f>'CERRO EL PLOMO'!BY3</f>
        <v>Stock Actual</v>
      </c>
      <c r="CA267" s="2" t="str">
        <f>'CERRO EL PLOMO'!BZ3</f>
        <v>Stock Actual</v>
      </c>
      <c r="CB267" s="2" t="str">
        <f>'CERRO EL PLOMO'!CA3</f>
        <v/>
      </c>
      <c r="CC267" s="2" t="str">
        <f>'CERRO EL PLOMO'!CB3</f>
        <v/>
      </c>
    </row>
    <row r="268">
      <c r="A268" s="2"/>
      <c r="B268" s="2" t="str">
        <f>'CERRO EL PLOMO'!A4</f>
        <v>Cerro el Plomo</v>
      </c>
      <c r="C268" s="2" t="str">
        <f>'CERRO EL PLOMO'!B4</f>
        <v>Corporate Coffe</v>
      </c>
      <c r="D268" s="2" t="str">
        <f>'CERRO EL PLOMO'!C4</f>
        <v>Cafe Grano (KG)</v>
      </c>
      <c r="E268" s="2">
        <f>'CERRO EL PLOMO'!D4</f>
        <v>0</v>
      </c>
      <c r="F268" s="2">
        <f>'CERRO EL PLOMO'!E4</f>
        <v>0</v>
      </c>
      <c r="G268" s="2">
        <f>'CERRO EL PLOMO'!F4</f>
        <v>10</v>
      </c>
      <c r="H268" s="2">
        <f>'CERRO EL PLOMO'!G4</f>
        <v>4</v>
      </c>
      <c r="I268" s="2">
        <f>'CERRO EL PLOMO'!H4</f>
        <v>0</v>
      </c>
      <c r="J268" s="2">
        <f>'CERRO EL PLOMO'!I4</f>
        <v>2</v>
      </c>
      <c r="K268" s="2">
        <f>'CERRO EL PLOMO'!J4</f>
        <v>1</v>
      </c>
      <c r="L268" s="2">
        <f>'CERRO EL PLOMO'!K4</f>
        <v>5</v>
      </c>
      <c r="M268" s="2">
        <f>'CERRO EL PLOMO'!L4</f>
        <v>1</v>
      </c>
      <c r="N268" s="2">
        <f>'CERRO EL PLOMO'!M4</f>
        <v>2</v>
      </c>
      <c r="O268" s="2">
        <f>'CERRO EL PLOMO'!N4</f>
        <v>2</v>
      </c>
      <c r="P268" s="2">
        <f>'CERRO EL PLOMO'!O4</f>
        <v>5</v>
      </c>
      <c r="Q268" s="2">
        <f>'CERRO EL PLOMO'!P4</f>
        <v>2</v>
      </c>
      <c r="R268" s="2">
        <f>'CERRO EL PLOMO'!Q4</f>
        <v>1</v>
      </c>
      <c r="S268" s="2">
        <f>'CERRO EL PLOMO'!R4</f>
        <v>2</v>
      </c>
      <c r="T268" s="2">
        <f>'CERRO EL PLOMO'!S4</f>
        <v>1</v>
      </c>
      <c r="U268" s="2">
        <f>'CERRO EL PLOMO'!T4</f>
        <v>3</v>
      </c>
      <c r="V268" s="2">
        <f>'CERRO EL PLOMO'!U4</f>
        <v>4</v>
      </c>
      <c r="W268" s="2">
        <f>'CERRO EL PLOMO'!V4</f>
        <v>2</v>
      </c>
      <c r="X268" s="2">
        <f>'CERRO EL PLOMO'!W4</f>
        <v>5</v>
      </c>
      <c r="Y268" s="2">
        <f>'CERRO EL PLOMO'!X4</f>
        <v>2</v>
      </c>
      <c r="Z268" s="2">
        <f>'CERRO EL PLOMO'!Y4</f>
        <v>3</v>
      </c>
      <c r="AA268" s="2">
        <f>'CERRO EL PLOMO'!Z4</f>
        <v>1</v>
      </c>
      <c r="AB268" s="2">
        <f>'CERRO EL PLOMO'!AA4</f>
        <v>3</v>
      </c>
      <c r="AC268" s="2">
        <f>'CERRO EL PLOMO'!AB4</f>
        <v>1</v>
      </c>
      <c r="AD268" s="2">
        <f>'CERRO EL PLOMO'!AC4</f>
        <v>3</v>
      </c>
      <c r="AE268" s="2">
        <f>'CERRO EL PLOMO'!AD4</f>
        <v>3</v>
      </c>
      <c r="AF268" s="2">
        <f>'CERRO EL PLOMO'!AE4</f>
        <v>2</v>
      </c>
      <c r="AG268" s="2" t="str">
        <f>'CERRO EL PLOMO'!AF4</f>
        <v/>
      </c>
      <c r="AH268" s="2">
        <f>'CERRO EL PLOMO'!AG4</f>
        <v>2</v>
      </c>
      <c r="AI268" s="2" t="str">
        <f>'CERRO EL PLOMO'!AH4</f>
        <v/>
      </c>
      <c r="AJ268" s="2">
        <f>'CERRO EL PLOMO'!AI4</f>
        <v>6</v>
      </c>
      <c r="AK268" s="2" t="str">
        <f>'CERRO EL PLOMO'!AJ4</f>
        <v/>
      </c>
      <c r="AL268" s="2" t="str">
        <f>'CERRO EL PLOMO'!AK4</f>
        <v/>
      </c>
      <c r="AM268" s="2">
        <f>'CERRO EL PLOMO'!AL4</f>
        <v>5</v>
      </c>
      <c r="AN268" s="2">
        <f>'CERRO EL PLOMO'!AM4</f>
        <v>4</v>
      </c>
      <c r="AO268" s="2">
        <f>'CERRO EL PLOMO'!AN4</f>
        <v>3</v>
      </c>
      <c r="AP268" s="2">
        <f>'CERRO EL PLOMO'!AO4</f>
        <v>2</v>
      </c>
      <c r="AQ268" s="2">
        <f>'CERRO EL PLOMO'!AP4</f>
        <v>1</v>
      </c>
      <c r="AR268" s="2">
        <f>'CERRO EL PLOMO'!AQ4</f>
        <v>1</v>
      </c>
      <c r="AS268" s="2">
        <f>'CERRO EL PLOMO'!AR4</f>
        <v>0</v>
      </c>
      <c r="AT268" s="2">
        <f>'CERRO EL PLOMO'!AS4</f>
        <v>0</v>
      </c>
      <c r="AU268" s="2">
        <f>'CERRO EL PLOMO'!AT4</f>
        <v>4</v>
      </c>
      <c r="AV268" s="2">
        <f>'CERRO EL PLOMO'!AU4</f>
        <v>2</v>
      </c>
      <c r="AW268" s="2" t="str">
        <f>'CERRO EL PLOMO'!AV4</f>
        <v/>
      </c>
      <c r="AX268" s="2">
        <f>'CERRO EL PLOMO'!AW4</f>
        <v>1</v>
      </c>
      <c r="AY268" s="2">
        <f>'CERRO EL PLOMO'!AX4</f>
        <v>1</v>
      </c>
      <c r="AZ268" s="2">
        <f>'CERRO EL PLOMO'!AY4</f>
        <v>0</v>
      </c>
      <c r="BA268" s="2">
        <f>'CERRO EL PLOMO'!AZ4</f>
        <v>3</v>
      </c>
      <c r="BB268" s="2">
        <f>'CERRO EL PLOMO'!BA4</f>
        <v>2</v>
      </c>
      <c r="BC268" s="2" t="str">
        <f>'CERRO EL PLOMO'!BB4</f>
        <v/>
      </c>
      <c r="BD268" s="2">
        <f>'CERRO EL PLOMO'!BC4</f>
        <v>1</v>
      </c>
      <c r="BE268" s="2">
        <f>'CERRO EL PLOMO'!BD4</f>
        <v>3</v>
      </c>
      <c r="BF268" s="2">
        <f>'CERRO EL PLOMO'!BE4</f>
        <v>3</v>
      </c>
      <c r="BG268" s="2">
        <f>'CERRO EL PLOMO'!BF4</f>
        <v>3</v>
      </c>
      <c r="BH268" s="2">
        <f>'CERRO EL PLOMO'!BG4</f>
        <v>3</v>
      </c>
      <c r="BI268" s="2">
        <f>'CERRO EL PLOMO'!BH4</f>
        <v>2</v>
      </c>
      <c r="BJ268" s="2">
        <f>'CERRO EL PLOMO'!BI4</f>
        <v>5</v>
      </c>
      <c r="BK268" s="2">
        <f>'CERRO EL PLOMO'!BJ4</f>
        <v>7</v>
      </c>
      <c r="BL268" s="2">
        <f>'CERRO EL PLOMO'!BK4</f>
        <v>6</v>
      </c>
      <c r="BM268" s="2">
        <f>'CERRO EL PLOMO'!BL4</f>
        <v>6</v>
      </c>
      <c r="BN268" s="2">
        <f>'CERRO EL PLOMO'!BM4</f>
        <v>10</v>
      </c>
      <c r="BO268" s="2">
        <f>'CERRO EL PLOMO'!BN4</f>
        <v>10</v>
      </c>
      <c r="BP268" s="2">
        <f>'CERRO EL PLOMO'!BO4</f>
        <v>5</v>
      </c>
      <c r="BQ268" s="2">
        <f>'CERRO EL PLOMO'!BP4</f>
        <v>14</v>
      </c>
      <c r="BR268" s="2">
        <f>'CERRO EL PLOMO'!BQ4</f>
        <v>13</v>
      </c>
      <c r="BS268" s="2">
        <f>'CERRO EL PLOMO'!BR4</f>
        <v>12</v>
      </c>
      <c r="BT268" s="2" t="str">
        <f>'CERRO EL PLOMO'!BS4</f>
        <v/>
      </c>
      <c r="BU268" s="2">
        <f>'CERRO EL PLOMO'!BT4</f>
        <v>11</v>
      </c>
      <c r="BV268" s="2" t="str">
        <f>'CERRO EL PLOMO'!BU4</f>
        <v/>
      </c>
      <c r="BW268" s="2">
        <f>'CERRO EL PLOMO'!BV4</f>
        <v>10</v>
      </c>
      <c r="BX268" s="2">
        <f>'CERRO EL PLOMO'!BW4</f>
        <v>9</v>
      </c>
      <c r="BY268" s="2">
        <f>'CERRO EL PLOMO'!BX4</f>
        <v>5</v>
      </c>
      <c r="BZ268" s="2">
        <f>'CERRO EL PLOMO'!BY4</f>
        <v>12</v>
      </c>
      <c r="CA268" s="2">
        <f>'CERRO EL PLOMO'!BZ4</f>
        <v>12</v>
      </c>
      <c r="CB268" s="2" t="str">
        <f>'CERRO EL PLOMO'!CA4</f>
        <v/>
      </c>
      <c r="CC268" s="2" t="str">
        <f>'CERRO EL PLOMO'!CB4</f>
        <v/>
      </c>
    </row>
    <row r="269">
      <c r="A269" s="2"/>
      <c r="B269" s="2" t="str">
        <f>'CERRO EL PLOMO'!A5</f>
        <v>Cerro el Plomo</v>
      </c>
      <c r="C269" s="2" t="str">
        <f>'CERRO EL PLOMO'!B5</f>
        <v>Corporate Coffe</v>
      </c>
      <c r="D269" s="2" t="str">
        <f>'CERRO EL PLOMO'!C5</f>
        <v>Vainilla (KG)</v>
      </c>
      <c r="E269" s="2" t="str">
        <f>'CERRO EL PLOMO'!D5</f>
        <v/>
      </c>
      <c r="F269" s="2" t="str">
        <f>'CERRO EL PLOMO'!E5</f>
        <v/>
      </c>
      <c r="G269" s="2" t="str">
        <f>'CERRO EL PLOMO'!F5</f>
        <v/>
      </c>
      <c r="H269" s="2" t="str">
        <f>'CERRO EL PLOMO'!G5</f>
        <v/>
      </c>
      <c r="I269" s="2" t="str">
        <f>'CERRO EL PLOMO'!H5</f>
        <v/>
      </c>
      <c r="J269" s="2" t="str">
        <f>'CERRO EL PLOMO'!I5</f>
        <v/>
      </c>
      <c r="K269" s="2" t="str">
        <f>'CERRO EL PLOMO'!J5</f>
        <v/>
      </c>
      <c r="L269" s="2" t="str">
        <f>'CERRO EL PLOMO'!K5</f>
        <v/>
      </c>
      <c r="M269" s="2" t="str">
        <f>'CERRO EL PLOMO'!L5</f>
        <v/>
      </c>
      <c r="N269" s="2" t="str">
        <f>'CERRO EL PLOMO'!M5</f>
        <v/>
      </c>
      <c r="O269" s="2" t="str">
        <f>'CERRO EL PLOMO'!N5</f>
        <v/>
      </c>
      <c r="P269" s="2" t="str">
        <f>'CERRO EL PLOMO'!O5</f>
        <v/>
      </c>
      <c r="Q269" s="2" t="str">
        <f>'CERRO EL PLOMO'!P5</f>
        <v/>
      </c>
      <c r="R269" s="2" t="str">
        <f>'CERRO EL PLOMO'!Q5</f>
        <v/>
      </c>
      <c r="S269" s="2" t="str">
        <f>'CERRO EL PLOMO'!R5</f>
        <v/>
      </c>
      <c r="T269" s="2" t="str">
        <f>'CERRO EL PLOMO'!S5</f>
        <v/>
      </c>
      <c r="U269" s="2" t="str">
        <f>'CERRO EL PLOMO'!T5</f>
        <v/>
      </c>
      <c r="V269" s="2" t="str">
        <f>'CERRO EL PLOMO'!U5</f>
        <v/>
      </c>
      <c r="W269" s="2" t="str">
        <f>'CERRO EL PLOMO'!V5</f>
        <v/>
      </c>
      <c r="X269" s="2" t="str">
        <f>'CERRO EL PLOMO'!W5</f>
        <v/>
      </c>
      <c r="Y269" s="2" t="str">
        <f>'CERRO EL PLOMO'!X5</f>
        <v/>
      </c>
      <c r="Z269" s="2" t="str">
        <f>'CERRO EL PLOMO'!Y5</f>
        <v/>
      </c>
      <c r="AA269" s="2" t="str">
        <f>'CERRO EL PLOMO'!Z5</f>
        <v/>
      </c>
      <c r="AB269" s="2" t="str">
        <f>'CERRO EL PLOMO'!AA5</f>
        <v/>
      </c>
      <c r="AC269" s="2" t="str">
        <f>'CERRO EL PLOMO'!AB5</f>
        <v/>
      </c>
      <c r="AD269" s="2">
        <f>'CERRO EL PLOMO'!AC5</f>
        <v>2</v>
      </c>
      <c r="AE269" s="2">
        <f>'CERRO EL PLOMO'!AD5</f>
        <v>1</v>
      </c>
      <c r="AF269" s="2">
        <f>'CERRO EL PLOMO'!AE5</f>
        <v>0</v>
      </c>
      <c r="AG269" s="2" t="str">
        <f>'CERRO EL PLOMO'!AF5</f>
        <v/>
      </c>
      <c r="AH269" s="2">
        <f>'CERRO EL PLOMO'!AG5</f>
        <v>0</v>
      </c>
      <c r="AI269" s="2">
        <f>'CERRO EL PLOMO'!AH5</f>
        <v>4</v>
      </c>
      <c r="AJ269" s="2">
        <f>'CERRO EL PLOMO'!AI5</f>
        <v>8</v>
      </c>
      <c r="AK269" s="2" t="str">
        <f>'CERRO EL PLOMO'!AJ5</f>
        <v/>
      </c>
      <c r="AL269" s="2" t="str">
        <f>'CERRO EL PLOMO'!AK5</f>
        <v/>
      </c>
      <c r="AM269" s="2">
        <f>'CERRO EL PLOMO'!AL5</f>
        <v>7.5</v>
      </c>
      <c r="AN269" s="2">
        <f>'CERRO EL PLOMO'!AM5</f>
        <v>6.5</v>
      </c>
      <c r="AO269" s="2">
        <f>'CERRO EL PLOMO'!AN5</f>
        <v>5.5</v>
      </c>
      <c r="AP269" s="2">
        <f>'CERRO EL PLOMO'!AO5</f>
        <v>4.5</v>
      </c>
      <c r="AQ269" s="2">
        <f>'CERRO EL PLOMO'!AP5</f>
        <v>4.5</v>
      </c>
      <c r="AR269" s="2">
        <f>'CERRO EL PLOMO'!AQ5</f>
        <v>3.5</v>
      </c>
      <c r="AS269" s="2">
        <f>'CERRO EL PLOMO'!AR5</f>
        <v>2.5</v>
      </c>
      <c r="AT269" s="2">
        <f>'CERRO EL PLOMO'!AS5</f>
        <v>2.5</v>
      </c>
      <c r="AU269" s="2">
        <f>'CERRO EL PLOMO'!AT5</f>
        <v>4.5</v>
      </c>
      <c r="AV269" s="2">
        <f>'CERRO EL PLOMO'!AU5</f>
        <v>3.5</v>
      </c>
      <c r="AW269" s="2" t="str">
        <f>'CERRO EL PLOMO'!AV5</f>
        <v/>
      </c>
      <c r="AX269" s="2">
        <f>'CERRO EL PLOMO'!AW5</f>
        <v>2</v>
      </c>
      <c r="AY269" s="2">
        <f>'CERRO EL PLOMO'!AX5</f>
        <v>1</v>
      </c>
      <c r="AZ269" s="2">
        <f>'CERRO EL PLOMO'!AY5</f>
        <v>0</v>
      </c>
      <c r="BA269" s="2">
        <f>'CERRO EL PLOMO'!AZ5</f>
        <v>3</v>
      </c>
      <c r="BB269" s="2">
        <f>'CERRO EL PLOMO'!BA5</f>
        <v>2</v>
      </c>
      <c r="BC269" s="2" t="str">
        <f>'CERRO EL PLOMO'!BB5</f>
        <v/>
      </c>
      <c r="BD269" s="2">
        <f>'CERRO EL PLOMO'!BC5</f>
        <v>1.5</v>
      </c>
      <c r="BE269" s="2">
        <f>'CERRO EL PLOMO'!BD5</f>
        <v>2</v>
      </c>
      <c r="BF269" s="2">
        <f>'CERRO EL PLOMO'!BE5</f>
        <v>2.5</v>
      </c>
      <c r="BG269" s="2">
        <f>'CERRO EL PLOMO'!BF5</f>
        <v>2.5</v>
      </c>
      <c r="BH269" s="2">
        <f>'CERRO EL PLOMO'!BG5</f>
        <v>1.5</v>
      </c>
      <c r="BI269" s="2">
        <f>'CERRO EL PLOMO'!BH5</f>
        <v>1.5</v>
      </c>
      <c r="BJ269" s="2">
        <f>'CERRO EL PLOMO'!BI5</f>
        <v>2</v>
      </c>
      <c r="BK269" s="15">
        <f>'CERRO EL PLOMO'!BJ5</f>
        <v>46145</v>
      </c>
      <c r="BL269" s="2">
        <f>'CERRO EL PLOMO'!BK5</f>
        <v>2.5</v>
      </c>
      <c r="BM269" s="2">
        <f>'CERRO EL PLOMO'!BL5</f>
        <v>2.5</v>
      </c>
      <c r="BN269" s="2">
        <f>'CERRO EL PLOMO'!BM5</f>
        <v>4.5</v>
      </c>
      <c r="BO269" s="2">
        <f>'CERRO EL PLOMO'!BN5</f>
        <v>3.5</v>
      </c>
      <c r="BP269" s="2">
        <f>'CERRO EL PLOMO'!BO5</f>
        <v>5</v>
      </c>
      <c r="BQ269" s="2">
        <f>'CERRO EL PLOMO'!BP5</f>
        <v>8.5</v>
      </c>
      <c r="BR269" s="2">
        <f>'CERRO EL PLOMO'!BQ5</f>
        <v>7.5</v>
      </c>
      <c r="BS269" s="2">
        <f>'CERRO EL PLOMO'!BR5</f>
        <v>6.5</v>
      </c>
      <c r="BT269" s="2" t="str">
        <f>'CERRO EL PLOMO'!BS5</f>
        <v/>
      </c>
      <c r="BU269" s="2">
        <f>'CERRO EL PLOMO'!BT5</f>
        <v>5.5</v>
      </c>
      <c r="BV269" s="2" t="str">
        <f>'CERRO EL PLOMO'!BU5</f>
        <v/>
      </c>
      <c r="BW269" s="2">
        <f>'CERRO EL PLOMO'!BV5</f>
        <v>4.5</v>
      </c>
      <c r="BX269" s="2">
        <f>'CERRO EL PLOMO'!BW5</f>
        <v>3.5</v>
      </c>
      <c r="BY269" s="2">
        <f>'CERRO EL PLOMO'!BX5</f>
        <v>5</v>
      </c>
      <c r="BZ269" s="2">
        <f>'CERRO EL PLOMO'!BY5</f>
        <v>6.5</v>
      </c>
      <c r="CA269" s="2">
        <f>'CERRO EL PLOMO'!BZ5</f>
        <v>6.5</v>
      </c>
      <c r="CB269" s="2" t="str">
        <f>'CERRO EL PLOMO'!CA5</f>
        <v/>
      </c>
      <c r="CC269" s="2" t="str">
        <f>'CERRO EL PLOMO'!CB5</f>
        <v/>
      </c>
    </row>
    <row r="270">
      <c r="A270" s="2"/>
      <c r="B270" s="2" t="str">
        <f>'CERRO EL PLOMO'!A6</f>
        <v>Cerro el Plomo</v>
      </c>
      <c r="C270" s="2" t="str">
        <f>'CERRO EL PLOMO'!B6</f>
        <v>Corporate Coffe</v>
      </c>
      <c r="D270" s="2" t="str">
        <f>'CERRO EL PLOMO'!C6</f>
        <v>Chocolate (KG)</v>
      </c>
      <c r="E270" s="2" t="str">
        <f>'CERRO EL PLOMO'!D6</f>
        <v/>
      </c>
      <c r="F270" s="2" t="str">
        <f>'CERRO EL PLOMO'!E6</f>
        <v/>
      </c>
      <c r="G270" s="2" t="str">
        <f>'CERRO EL PLOMO'!F6</f>
        <v/>
      </c>
      <c r="H270" s="2" t="str">
        <f>'CERRO EL PLOMO'!G6</f>
        <v/>
      </c>
      <c r="I270" s="2" t="str">
        <f>'CERRO EL PLOMO'!H6</f>
        <v/>
      </c>
      <c r="J270" s="2" t="str">
        <f>'CERRO EL PLOMO'!I6</f>
        <v/>
      </c>
      <c r="K270" s="2" t="str">
        <f>'CERRO EL PLOMO'!J6</f>
        <v/>
      </c>
      <c r="L270" s="2" t="str">
        <f>'CERRO EL PLOMO'!K6</f>
        <v/>
      </c>
      <c r="M270" s="2" t="str">
        <f>'CERRO EL PLOMO'!L6</f>
        <v/>
      </c>
      <c r="N270" s="2" t="str">
        <f>'CERRO EL PLOMO'!M6</f>
        <v/>
      </c>
      <c r="O270" s="2" t="str">
        <f>'CERRO EL PLOMO'!N6</f>
        <v/>
      </c>
      <c r="P270" s="2" t="str">
        <f>'CERRO EL PLOMO'!O6</f>
        <v/>
      </c>
      <c r="Q270" s="2" t="str">
        <f>'CERRO EL PLOMO'!P6</f>
        <v/>
      </c>
      <c r="R270" s="2" t="str">
        <f>'CERRO EL PLOMO'!Q6</f>
        <v/>
      </c>
      <c r="S270" s="2" t="str">
        <f>'CERRO EL PLOMO'!R6</f>
        <v/>
      </c>
      <c r="T270" s="2" t="str">
        <f>'CERRO EL PLOMO'!S6</f>
        <v/>
      </c>
      <c r="U270" s="2" t="str">
        <f>'CERRO EL PLOMO'!T6</f>
        <v/>
      </c>
      <c r="V270" s="2" t="str">
        <f>'CERRO EL PLOMO'!U6</f>
        <v/>
      </c>
      <c r="W270" s="2" t="str">
        <f>'CERRO EL PLOMO'!V6</f>
        <v/>
      </c>
      <c r="X270" s="2" t="str">
        <f>'CERRO EL PLOMO'!W6</f>
        <v/>
      </c>
      <c r="Y270" s="2" t="str">
        <f>'CERRO EL PLOMO'!X6</f>
        <v/>
      </c>
      <c r="Z270" s="2" t="str">
        <f>'CERRO EL PLOMO'!Y6</f>
        <v/>
      </c>
      <c r="AA270" s="2" t="str">
        <f>'CERRO EL PLOMO'!Z6</f>
        <v/>
      </c>
      <c r="AB270" s="2" t="str">
        <f>'CERRO EL PLOMO'!AA6</f>
        <v/>
      </c>
      <c r="AC270" s="2" t="str">
        <f>'CERRO EL PLOMO'!AB6</f>
        <v/>
      </c>
      <c r="AD270" s="2">
        <f>'CERRO EL PLOMO'!AC6</f>
        <v>2</v>
      </c>
      <c r="AE270" s="2">
        <f>'CERRO EL PLOMO'!AD6</f>
        <v>4</v>
      </c>
      <c r="AF270" s="2">
        <f>'CERRO EL PLOMO'!AE6</f>
        <v>4</v>
      </c>
      <c r="AG270" s="2" t="str">
        <f>'CERRO EL PLOMO'!AF6</f>
        <v/>
      </c>
      <c r="AH270" s="2">
        <f>'CERRO EL PLOMO'!AG6</f>
        <v>4</v>
      </c>
      <c r="AI270" s="2" t="str">
        <f>'CERRO EL PLOMO'!AH6</f>
        <v/>
      </c>
      <c r="AJ270" s="2">
        <f>'CERRO EL PLOMO'!AI6</f>
        <v>9</v>
      </c>
      <c r="AK270" s="2" t="str">
        <f>'CERRO EL PLOMO'!AJ6</f>
        <v/>
      </c>
      <c r="AL270" s="2" t="str">
        <f>'CERRO EL PLOMO'!AK6</f>
        <v/>
      </c>
      <c r="AM270" s="2">
        <f>'CERRO EL PLOMO'!AL6</f>
        <v>9</v>
      </c>
      <c r="AN270" s="2">
        <f>'CERRO EL PLOMO'!AM6</f>
        <v>9</v>
      </c>
      <c r="AO270" s="2">
        <f>'CERRO EL PLOMO'!AN6</f>
        <v>8</v>
      </c>
      <c r="AP270" s="2">
        <f>'CERRO EL PLOMO'!AO6</f>
        <v>8</v>
      </c>
      <c r="AQ270" s="2">
        <f>'CERRO EL PLOMO'!AP6</f>
        <v>8</v>
      </c>
      <c r="AR270" s="2">
        <f>'CERRO EL PLOMO'!AQ6</f>
        <v>8</v>
      </c>
      <c r="AS270" s="2">
        <f>'CERRO EL PLOMO'!AR6</f>
        <v>8</v>
      </c>
      <c r="AT270" s="2">
        <f>'CERRO EL PLOMO'!AS6</f>
        <v>8</v>
      </c>
      <c r="AU270" s="2">
        <f>'CERRO EL PLOMO'!AT6</f>
        <v>10</v>
      </c>
      <c r="AV270" s="2">
        <f>'CERRO EL PLOMO'!AU6</f>
        <v>8</v>
      </c>
      <c r="AW270" s="2" t="str">
        <f>'CERRO EL PLOMO'!AV6</f>
        <v/>
      </c>
      <c r="AX270" s="2">
        <f>'CERRO EL PLOMO'!AW6</f>
        <v>8</v>
      </c>
      <c r="AY270" s="2">
        <f>'CERRO EL PLOMO'!AX6</f>
        <v>8</v>
      </c>
      <c r="AZ270" s="2">
        <f>'CERRO EL PLOMO'!AY6</f>
        <v>8</v>
      </c>
      <c r="BA270" s="2">
        <f>'CERRO EL PLOMO'!AZ6</f>
        <v>3</v>
      </c>
      <c r="BB270" s="2">
        <f>'CERRO EL PLOMO'!BA6</f>
        <v>11</v>
      </c>
      <c r="BC270" s="2" t="str">
        <f>'CERRO EL PLOMO'!BB6</f>
        <v/>
      </c>
      <c r="BD270" s="2">
        <f>'CERRO EL PLOMO'!BC6</f>
        <v>11</v>
      </c>
      <c r="BE270" s="2" t="str">
        <f>'CERRO EL PLOMO'!BD6</f>
        <v/>
      </c>
      <c r="BF270" s="2">
        <f>'CERRO EL PLOMO'!BE6</f>
        <v>11</v>
      </c>
      <c r="BG270" s="2">
        <f>'CERRO EL PLOMO'!BF6</f>
        <v>11</v>
      </c>
      <c r="BH270" s="2">
        <f>'CERRO EL PLOMO'!BG6</f>
        <v>11</v>
      </c>
      <c r="BI270" s="2">
        <f>'CERRO EL PLOMO'!BH6</f>
        <v>11</v>
      </c>
      <c r="BJ270" s="2" t="str">
        <f>'CERRO EL PLOMO'!BI6</f>
        <v/>
      </c>
      <c r="BK270" s="2">
        <f>'CERRO EL PLOMO'!BJ6</f>
        <v>11</v>
      </c>
      <c r="BL270" s="2">
        <f>'CERRO EL PLOMO'!BK6</f>
        <v>11</v>
      </c>
      <c r="BM270" s="2">
        <f>'CERRO EL PLOMO'!BL6</f>
        <v>11</v>
      </c>
      <c r="BN270" s="2">
        <f>'CERRO EL PLOMO'!BM6</f>
        <v>10</v>
      </c>
      <c r="BO270" s="2">
        <f>'CERRO EL PLOMO'!BN6</f>
        <v>10</v>
      </c>
      <c r="BP270" s="2" t="str">
        <f>'CERRO EL PLOMO'!BO6</f>
        <v/>
      </c>
      <c r="BQ270" s="2">
        <f>'CERRO EL PLOMO'!BP6</f>
        <v>10</v>
      </c>
      <c r="BR270" s="2">
        <f>'CERRO EL PLOMO'!BQ6</f>
        <v>10</v>
      </c>
      <c r="BS270" s="2">
        <f>'CERRO EL PLOMO'!BR6</f>
        <v>10</v>
      </c>
      <c r="BT270" s="2" t="str">
        <f>'CERRO EL PLOMO'!BS6</f>
        <v/>
      </c>
      <c r="BU270" s="2">
        <f>'CERRO EL PLOMO'!BT6</f>
        <v>10</v>
      </c>
      <c r="BV270" s="2" t="str">
        <f>'CERRO EL PLOMO'!BU6</f>
        <v/>
      </c>
      <c r="BW270" s="2">
        <f>'CERRO EL PLOMO'!BV6</f>
        <v>9</v>
      </c>
      <c r="BX270" s="2">
        <f>'CERRO EL PLOMO'!BW6</f>
        <v>9</v>
      </c>
      <c r="BY270" s="2">
        <f>'CERRO EL PLOMO'!BX6</f>
        <v>5</v>
      </c>
      <c r="BZ270" s="2">
        <f>'CERRO EL PLOMO'!BY6</f>
        <v>14</v>
      </c>
      <c r="CA270" s="2">
        <f>'CERRO EL PLOMO'!BZ6</f>
        <v>14</v>
      </c>
      <c r="CB270" s="2" t="str">
        <f>'CERRO EL PLOMO'!CA6</f>
        <v/>
      </c>
      <c r="CC270" s="2" t="str">
        <f>'CERRO EL PLOMO'!CB6</f>
        <v/>
      </c>
    </row>
    <row r="271">
      <c r="A271" s="2"/>
      <c r="B271" s="2" t="str">
        <f>'CERRO EL PLOMO'!A7</f>
        <v>Cerro el Plomo</v>
      </c>
      <c r="C271" s="2" t="str">
        <f>'CERRO EL PLOMO'!B7</f>
        <v>Corporate Coffe</v>
      </c>
      <c r="D271" s="2" t="str">
        <f>'CERRO EL PLOMO'!C7</f>
        <v>Leche en polvo (KG)</v>
      </c>
      <c r="E271" s="2" t="str">
        <f>'CERRO EL PLOMO'!D7</f>
        <v/>
      </c>
      <c r="F271" s="2" t="str">
        <f>'CERRO EL PLOMO'!E7</f>
        <v/>
      </c>
      <c r="G271" s="2" t="str">
        <f>'CERRO EL PLOMO'!F7</f>
        <v/>
      </c>
      <c r="H271" s="2" t="str">
        <f>'CERRO EL PLOMO'!G7</f>
        <v/>
      </c>
      <c r="I271" s="2" t="str">
        <f>'CERRO EL PLOMO'!H7</f>
        <v/>
      </c>
      <c r="J271" s="2" t="str">
        <f>'CERRO EL PLOMO'!I7</f>
        <v/>
      </c>
      <c r="K271" s="2" t="str">
        <f>'CERRO EL PLOMO'!J7</f>
        <v/>
      </c>
      <c r="L271" s="2" t="str">
        <f>'CERRO EL PLOMO'!K7</f>
        <v/>
      </c>
      <c r="M271" s="2" t="str">
        <f>'CERRO EL PLOMO'!L7</f>
        <v/>
      </c>
      <c r="N271" s="2" t="str">
        <f>'CERRO EL PLOMO'!M7</f>
        <v/>
      </c>
      <c r="O271" s="2" t="str">
        <f>'CERRO EL PLOMO'!N7</f>
        <v/>
      </c>
      <c r="P271" s="2" t="str">
        <f>'CERRO EL PLOMO'!O7</f>
        <v/>
      </c>
      <c r="Q271" s="2" t="str">
        <f>'CERRO EL PLOMO'!P7</f>
        <v/>
      </c>
      <c r="R271" s="2" t="str">
        <f>'CERRO EL PLOMO'!Q7</f>
        <v/>
      </c>
      <c r="S271" s="2" t="str">
        <f>'CERRO EL PLOMO'!R7</f>
        <v/>
      </c>
      <c r="T271" s="2" t="str">
        <f>'CERRO EL PLOMO'!S7</f>
        <v/>
      </c>
      <c r="U271" s="2" t="str">
        <f>'CERRO EL PLOMO'!T7</f>
        <v/>
      </c>
      <c r="V271" s="2" t="str">
        <f>'CERRO EL PLOMO'!U7</f>
        <v/>
      </c>
      <c r="W271" s="2" t="str">
        <f>'CERRO EL PLOMO'!V7</f>
        <v/>
      </c>
      <c r="X271" s="2" t="str">
        <f>'CERRO EL PLOMO'!W7</f>
        <v/>
      </c>
      <c r="Y271" s="2" t="str">
        <f>'CERRO EL PLOMO'!X7</f>
        <v/>
      </c>
      <c r="Z271" s="2" t="str">
        <f>'CERRO EL PLOMO'!Y7</f>
        <v/>
      </c>
      <c r="AA271" s="2" t="str">
        <f>'CERRO EL PLOMO'!Z7</f>
        <v/>
      </c>
      <c r="AB271" s="2" t="str">
        <f>'CERRO EL PLOMO'!AA7</f>
        <v/>
      </c>
      <c r="AC271" s="2" t="str">
        <f>'CERRO EL PLOMO'!AB7</f>
        <v/>
      </c>
      <c r="AD271" s="2">
        <f>'CERRO EL PLOMO'!AC7</f>
        <v>3</v>
      </c>
      <c r="AE271" s="2">
        <f>'CERRO EL PLOMO'!AD7</f>
        <v>4</v>
      </c>
      <c r="AF271" s="2">
        <f>'CERRO EL PLOMO'!AE7</f>
        <v>4</v>
      </c>
      <c r="AG271" s="2" t="str">
        <f>'CERRO EL PLOMO'!AF7</f>
        <v/>
      </c>
      <c r="AH271" s="2">
        <f>'CERRO EL PLOMO'!AG7</f>
        <v>4</v>
      </c>
      <c r="AI271" s="2" t="str">
        <f>'CERRO EL PLOMO'!AH7</f>
        <v/>
      </c>
      <c r="AJ271" s="2">
        <f>'CERRO EL PLOMO'!AI7</f>
        <v>10</v>
      </c>
      <c r="AK271" s="2" t="str">
        <f>'CERRO EL PLOMO'!AJ7</f>
        <v/>
      </c>
      <c r="AL271" s="2" t="str">
        <f>'CERRO EL PLOMO'!AK7</f>
        <v/>
      </c>
      <c r="AM271" s="2">
        <f>'CERRO EL PLOMO'!AL7</f>
        <v>9.5</v>
      </c>
      <c r="AN271" s="2">
        <f>'CERRO EL PLOMO'!AM7</f>
        <v>9</v>
      </c>
      <c r="AO271" s="2">
        <f>'CERRO EL PLOMO'!AN7</f>
        <v>9</v>
      </c>
      <c r="AP271" s="2">
        <f>'CERRO EL PLOMO'!AO7</f>
        <v>8.5</v>
      </c>
      <c r="AQ271" s="2">
        <f>'CERRO EL PLOMO'!AP7</f>
        <v>8.5</v>
      </c>
      <c r="AR271" s="15">
        <f>'CERRO EL PLOMO'!AQ7</f>
        <v>45784</v>
      </c>
      <c r="AS271" s="2">
        <f>'CERRO EL PLOMO'!AR7</f>
        <v>6.5</v>
      </c>
      <c r="AT271" s="2">
        <f>'CERRO EL PLOMO'!AS7</f>
        <v>6.5</v>
      </c>
      <c r="AU271" s="2">
        <f>'CERRO EL PLOMO'!AT7</f>
        <v>11.5</v>
      </c>
      <c r="AV271" s="2">
        <f>'CERRO EL PLOMO'!AU7</f>
        <v>11</v>
      </c>
      <c r="AW271" s="2" t="str">
        <f>'CERRO EL PLOMO'!AV7</f>
        <v/>
      </c>
      <c r="AX271" s="2">
        <f>'CERRO EL PLOMO'!AW7</f>
        <v>11</v>
      </c>
      <c r="AY271" s="2">
        <f>'CERRO EL PLOMO'!AX7</f>
        <v>9</v>
      </c>
      <c r="AZ271" s="2">
        <f>'CERRO EL PLOMO'!AY7</f>
        <v>9</v>
      </c>
      <c r="BA271" s="2">
        <f>'CERRO EL PLOMO'!AZ7</f>
        <v>3</v>
      </c>
      <c r="BB271" s="2">
        <f>'CERRO EL PLOMO'!BA7</f>
        <v>11</v>
      </c>
      <c r="BC271" s="2" t="str">
        <f>'CERRO EL PLOMO'!BB7</f>
        <v/>
      </c>
      <c r="BD271" s="2">
        <f>'CERRO EL PLOMO'!BC7</f>
        <v>10</v>
      </c>
      <c r="BE271" s="2" t="str">
        <f>'CERRO EL PLOMO'!BD7</f>
        <v/>
      </c>
      <c r="BF271" s="2">
        <f>'CERRO EL PLOMO'!BE7</f>
        <v>10</v>
      </c>
      <c r="BG271" s="2">
        <f>'CERRO EL PLOMO'!BF7</f>
        <v>10</v>
      </c>
      <c r="BH271" s="2">
        <f>'CERRO EL PLOMO'!BG7</f>
        <v>10</v>
      </c>
      <c r="BI271" s="2">
        <f>'CERRO EL PLOMO'!BH7</f>
        <v>10</v>
      </c>
      <c r="BJ271" s="2">
        <f>'CERRO EL PLOMO'!BI7</f>
        <v>2</v>
      </c>
      <c r="BK271" s="2">
        <f>'CERRO EL PLOMO'!BJ7</f>
        <v>12</v>
      </c>
      <c r="BL271" s="2">
        <f>'CERRO EL PLOMO'!BK7</f>
        <v>11</v>
      </c>
      <c r="BM271" s="2">
        <f>'CERRO EL PLOMO'!BL7</f>
        <v>11</v>
      </c>
      <c r="BN271" s="2">
        <f>'CERRO EL PLOMO'!BM7</f>
        <v>10</v>
      </c>
      <c r="BO271" s="2">
        <f>'CERRO EL PLOMO'!BN7</f>
        <v>9</v>
      </c>
      <c r="BP271" s="2" t="str">
        <f>'CERRO EL PLOMO'!BO7</f>
        <v/>
      </c>
      <c r="BQ271" s="2">
        <f>'CERRO EL PLOMO'!BP7</f>
        <v>9</v>
      </c>
      <c r="BR271" s="2">
        <f>'CERRO EL PLOMO'!BQ7</f>
        <v>9</v>
      </c>
      <c r="BS271" s="2">
        <f>'CERRO EL PLOMO'!BR7</f>
        <v>9</v>
      </c>
      <c r="BT271" s="2" t="str">
        <f>'CERRO EL PLOMO'!BS7</f>
        <v/>
      </c>
      <c r="BU271" s="2">
        <f>'CERRO EL PLOMO'!BT7</f>
        <v>9</v>
      </c>
      <c r="BV271" s="2" t="str">
        <f>'CERRO EL PLOMO'!BU7</f>
        <v/>
      </c>
      <c r="BW271" s="2">
        <f>'CERRO EL PLOMO'!BV7</f>
        <v>8</v>
      </c>
      <c r="BX271" s="2">
        <f>'CERRO EL PLOMO'!BW7</f>
        <v>7</v>
      </c>
      <c r="BY271" s="2">
        <f>'CERRO EL PLOMO'!BX7</f>
        <v>5</v>
      </c>
      <c r="BZ271" s="2">
        <f>'CERRO EL PLOMO'!BY7</f>
        <v>11</v>
      </c>
      <c r="CA271" s="2">
        <f>'CERRO EL PLOMO'!BZ7</f>
        <v>11</v>
      </c>
      <c r="CB271" s="2" t="str">
        <f>'CERRO EL PLOMO'!CA7</f>
        <v/>
      </c>
      <c r="CC271" s="2" t="str">
        <f>'CERRO EL PLOMO'!CB7</f>
        <v/>
      </c>
    </row>
    <row r="272">
      <c r="A272" s="2"/>
      <c r="B272" s="2" t="str">
        <f>'CERRO EL PLOMO'!A8</f>
        <v>Cerro el Plomo</v>
      </c>
      <c r="C272" s="2" t="str">
        <f>'CERRO EL PLOMO'!B8</f>
        <v>Corporate Coffe</v>
      </c>
      <c r="D272" s="2" t="str">
        <f>'CERRO EL PLOMO'!C8</f>
        <v>Te (KG)</v>
      </c>
      <c r="E272" s="2" t="str">
        <f>'CERRO EL PLOMO'!D8</f>
        <v/>
      </c>
      <c r="F272" s="2" t="str">
        <f>'CERRO EL PLOMO'!E8</f>
        <v/>
      </c>
      <c r="G272" s="2" t="str">
        <f>'CERRO EL PLOMO'!F8</f>
        <v/>
      </c>
      <c r="H272" s="2" t="str">
        <f>'CERRO EL PLOMO'!G8</f>
        <v/>
      </c>
      <c r="I272" s="2" t="str">
        <f>'CERRO EL PLOMO'!H8</f>
        <v/>
      </c>
      <c r="J272" s="2" t="str">
        <f>'CERRO EL PLOMO'!I8</f>
        <v/>
      </c>
      <c r="K272" s="2" t="str">
        <f>'CERRO EL PLOMO'!J8</f>
        <v/>
      </c>
      <c r="L272" s="2" t="str">
        <f>'CERRO EL PLOMO'!K8</f>
        <v/>
      </c>
      <c r="M272" s="2" t="str">
        <f>'CERRO EL PLOMO'!L8</f>
        <v/>
      </c>
      <c r="N272" s="2" t="str">
        <f>'CERRO EL PLOMO'!M8</f>
        <v/>
      </c>
      <c r="O272" s="2" t="str">
        <f>'CERRO EL PLOMO'!N8</f>
        <v/>
      </c>
      <c r="P272" s="2" t="str">
        <f>'CERRO EL PLOMO'!O8</f>
        <v/>
      </c>
      <c r="Q272" s="2" t="str">
        <f>'CERRO EL PLOMO'!P8</f>
        <v/>
      </c>
      <c r="R272" s="2" t="str">
        <f>'CERRO EL PLOMO'!Q8</f>
        <v/>
      </c>
      <c r="S272" s="2" t="str">
        <f>'CERRO EL PLOMO'!R8</f>
        <v/>
      </c>
      <c r="T272" s="2" t="str">
        <f>'CERRO EL PLOMO'!S8</f>
        <v/>
      </c>
      <c r="U272" s="2" t="str">
        <f>'CERRO EL PLOMO'!T8</f>
        <v/>
      </c>
      <c r="V272" s="2" t="str">
        <f>'CERRO EL PLOMO'!U8</f>
        <v/>
      </c>
      <c r="W272" s="2" t="str">
        <f>'CERRO EL PLOMO'!V8</f>
        <v/>
      </c>
      <c r="X272" s="2" t="str">
        <f>'CERRO EL PLOMO'!W8</f>
        <v/>
      </c>
      <c r="Y272" s="2" t="str">
        <f>'CERRO EL PLOMO'!X8</f>
        <v/>
      </c>
      <c r="Z272" s="2" t="str">
        <f>'CERRO EL PLOMO'!Y8</f>
        <v/>
      </c>
      <c r="AA272" s="2" t="str">
        <f>'CERRO EL PLOMO'!Z8</f>
        <v/>
      </c>
      <c r="AB272" s="2" t="str">
        <f>'CERRO EL PLOMO'!AA8</f>
        <v/>
      </c>
      <c r="AC272" s="2" t="str">
        <f>'CERRO EL PLOMO'!AB8</f>
        <v/>
      </c>
      <c r="AD272" s="2" t="str">
        <f>'CERRO EL PLOMO'!AC8</f>
        <v/>
      </c>
      <c r="AE272" s="2">
        <f>'CERRO EL PLOMO'!AD8</f>
        <v>3</v>
      </c>
      <c r="AF272" s="2">
        <f>'CERRO EL PLOMO'!AE8</f>
        <v>3</v>
      </c>
      <c r="AG272" s="2" t="str">
        <f>'CERRO EL PLOMO'!AF8</f>
        <v/>
      </c>
      <c r="AH272" s="2">
        <f>'CERRO EL PLOMO'!AG8</f>
        <v>3</v>
      </c>
      <c r="AI272" s="2" t="str">
        <f>'CERRO EL PLOMO'!AH8</f>
        <v/>
      </c>
      <c r="AJ272" s="2">
        <f>'CERRO EL PLOMO'!AI8</f>
        <v>4</v>
      </c>
      <c r="AK272" s="2" t="str">
        <f>'CERRO EL PLOMO'!AJ8</f>
        <v/>
      </c>
      <c r="AL272" s="2" t="str">
        <f>'CERRO EL PLOMO'!AK8</f>
        <v/>
      </c>
      <c r="AM272" s="2">
        <f>'CERRO EL PLOMO'!AL8</f>
        <v>4</v>
      </c>
      <c r="AN272" s="2">
        <f>'CERRO EL PLOMO'!AM8</f>
        <v>4</v>
      </c>
      <c r="AO272" s="2">
        <f>'CERRO EL PLOMO'!AN8</f>
        <v>4</v>
      </c>
      <c r="AP272" s="2">
        <f>'CERRO EL PLOMO'!AO8</f>
        <v>4</v>
      </c>
      <c r="AQ272" s="2">
        <f>'CERRO EL PLOMO'!AP8</f>
        <v>4</v>
      </c>
      <c r="AR272" s="2">
        <f>'CERRO EL PLOMO'!AQ8</f>
        <v>4</v>
      </c>
      <c r="AS272" s="2">
        <f>'CERRO EL PLOMO'!AR8</f>
        <v>4</v>
      </c>
      <c r="AT272" s="2">
        <f>'CERRO EL PLOMO'!AS8</f>
        <v>4</v>
      </c>
      <c r="AU272" s="2">
        <f>'CERRO EL PLOMO'!AT8</f>
        <v>5</v>
      </c>
      <c r="AV272" s="2">
        <f>'CERRO EL PLOMO'!AU8</f>
        <v>5</v>
      </c>
      <c r="AW272" s="2" t="str">
        <f>'CERRO EL PLOMO'!AV8</f>
        <v/>
      </c>
      <c r="AX272" s="2">
        <f>'CERRO EL PLOMO'!AW8</f>
        <v>5</v>
      </c>
      <c r="AY272" s="2">
        <f>'CERRO EL PLOMO'!AX8</f>
        <v>5</v>
      </c>
      <c r="AZ272" s="2">
        <f>'CERRO EL PLOMO'!AY8</f>
        <v>5</v>
      </c>
      <c r="BA272" s="2" t="str">
        <f>'CERRO EL PLOMO'!AZ8</f>
        <v/>
      </c>
      <c r="BB272" s="2">
        <f>'CERRO EL PLOMO'!BA8</f>
        <v>5</v>
      </c>
      <c r="BC272" s="2" t="str">
        <f>'CERRO EL PLOMO'!BB8</f>
        <v/>
      </c>
      <c r="BD272" s="2">
        <f>'CERRO EL PLOMO'!BC8</f>
        <v>5</v>
      </c>
      <c r="BE272" s="2" t="str">
        <f>'CERRO EL PLOMO'!BD8</f>
        <v/>
      </c>
      <c r="BF272" s="2">
        <f>'CERRO EL PLOMO'!BE8</f>
        <v>5</v>
      </c>
      <c r="BG272" s="2">
        <f>'CERRO EL PLOMO'!BF8</f>
        <v>5</v>
      </c>
      <c r="BH272" s="2">
        <f>'CERRO EL PLOMO'!BG8</f>
        <v>5</v>
      </c>
      <c r="BI272" s="2">
        <f>'CERRO EL PLOMO'!BH8</f>
        <v>5</v>
      </c>
      <c r="BJ272" s="2" t="str">
        <f>'CERRO EL PLOMO'!BI8</f>
        <v/>
      </c>
      <c r="BK272" s="2">
        <f>'CERRO EL PLOMO'!BJ8</f>
        <v>5</v>
      </c>
      <c r="BL272" s="2">
        <f>'CERRO EL PLOMO'!BK8</f>
        <v>5</v>
      </c>
      <c r="BM272" s="2">
        <f>'CERRO EL PLOMO'!BL8</f>
        <v>5</v>
      </c>
      <c r="BN272" s="2">
        <f>'CERRO EL PLOMO'!BM8</f>
        <v>5</v>
      </c>
      <c r="BO272" s="2">
        <f>'CERRO EL PLOMO'!BN8</f>
        <v>5</v>
      </c>
      <c r="BP272" s="2" t="str">
        <f>'CERRO EL PLOMO'!BO8</f>
        <v/>
      </c>
      <c r="BQ272" s="2">
        <f>'CERRO EL PLOMO'!BP8</f>
        <v>5</v>
      </c>
      <c r="BR272" s="2">
        <f>'CERRO EL PLOMO'!BQ8</f>
        <v>5</v>
      </c>
      <c r="BS272" s="2">
        <f>'CERRO EL PLOMO'!BR8</f>
        <v>5</v>
      </c>
      <c r="BT272" s="2" t="str">
        <f>'CERRO EL PLOMO'!BS8</f>
        <v/>
      </c>
      <c r="BU272" s="2">
        <f>'CERRO EL PLOMO'!BT8</f>
        <v>5</v>
      </c>
      <c r="BV272" s="2" t="str">
        <f>'CERRO EL PLOMO'!BU8</f>
        <v/>
      </c>
      <c r="BW272" s="2">
        <f>'CERRO EL PLOMO'!BV8</f>
        <v>5</v>
      </c>
      <c r="BX272" s="2">
        <f>'CERRO EL PLOMO'!BW8</f>
        <v>5</v>
      </c>
      <c r="BY272" s="2">
        <f>'CERRO EL PLOMO'!BX8</f>
        <v>2</v>
      </c>
      <c r="BZ272" s="2">
        <f>'CERRO EL PLOMO'!BY8</f>
        <v>7</v>
      </c>
      <c r="CA272" s="2">
        <f>'CERRO EL PLOMO'!BZ8</f>
        <v>7</v>
      </c>
      <c r="CB272" s="2" t="str">
        <f>'CERRO EL PLOMO'!CA8</f>
        <v/>
      </c>
      <c r="CC272" s="2" t="str">
        <f>'CERRO EL PLOMO'!CB8</f>
        <v/>
      </c>
    </row>
    <row r="273">
      <c r="A273" s="2"/>
      <c r="B273" s="2" t="str">
        <f>'CERRO EL PLOMO'!A9</f>
        <v>Cerro el Plomo</v>
      </c>
      <c r="C273" s="2" t="str">
        <f>'CERRO EL PLOMO'!B9</f>
        <v>Corporate Coffe</v>
      </c>
      <c r="D273" s="2" t="str">
        <f>'CERRO EL PLOMO'!C9</f>
        <v>Azucar (UN)</v>
      </c>
      <c r="E273" s="2" t="str">
        <f>'CERRO EL PLOMO'!D9</f>
        <v/>
      </c>
      <c r="F273" s="2" t="str">
        <f>'CERRO EL PLOMO'!E9</f>
        <v/>
      </c>
      <c r="G273" s="2" t="str">
        <f>'CERRO EL PLOMO'!F9</f>
        <v/>
      </c>
      <c r="H273" s="2" t="str">
        <f>'CERRO EL PLOMO'!G9</f>
        <v/>
      </c>
      <c r="I273" s="2" t="str">
        <f>'CERRO EL PLOMO'!H9</f>
        <v/>
      </c>
      <c r="J273" s="2" t="str">
        <f>'CERRO EL PLOMO'!I9</f>
        <v/>
      </c>
      <c r="K273" s="2" t="str">
        <f>'CERRO EL PLOMO'!J9</f>
        <v/>
      </c>
      <c r="L273" s="2" t="str">
        <f>'CERRO EL PLOMO'!K9</f>
        <v/>
      </c>
      <c r="M273" s="2" t="str">
        <f>'CERRO EL PLOMO'!L9</f>
        <v/>
      </c>
      <c r="N273" s="2" t="str">
        <f>'CERRO EL PLOMO'!M9</f>
        <v/>
      </c>
      <c r="O273" s="2" t="str">
        <f>'CERRO EL PLOMO'!N9</f>
        <v/>
      </c>
      <c r="P273" s="2" t="str">
        <f>'CERRO EL PLOMO'!O9</f>
        <v/>
      </c>
      <c r="Q273" s="2" t="str">
        <f>'CERRO EL PLOMO'!P9</f>
        <v/>
      </c>
      <c r="R273" s="2" t="str">
        <f>'CERRO EL PLOMO'!Q9</f>
        <v/>
      </c>
      <c r="S273" s="2" t="str">
        <f>'CERRO EL PLOMO'!R9</f>
        <v/>
      </c>
      <c r="T273" s="2" t="str">
        <f>'CERRO EL PLOMO'!S9</f>
        <v/>
      </c>
      <c r="U273" s="2" t="str">
        <f>'CERRO EL PLOMO'!T9</f>
        <v/>
      </c>
      <c r="V273" s="2" t="str">
        <f>'CERRO EL PLOMO'!U9</f>
        <v/>
      </c>
      <c r="W273" s="2" t="str">
        <f>'CERRO EL PLOMO'!V9</f>
        <v/>
      </c>
      <c r="X273" s="2" t="str">
        <f>'CERRO EL PLOMO'!W9</f>
        <v/>
      </c>
      <c r="Y273" s="2" t="str">
        <f>'CERRO EL PLOMO'!X9</f>
        <v/>
      </c>
      <c r="Z273" s="2" t="str">
        <f>'CERRO EL PLOMO'!Y9</f>
        <v/>
      </c>
      <c r="AA273" s="2" t="str">
        <f>'CERRO EL PLOMO'!Z9</f>
        <v/>
      </c>
      <c r="AB273" s="2" t="str">
        <f>'CERRO EL PLOMO'!AA9</f>
        <v/>
      </c>
      <c r="AC273" s="2" t="str">
        <f>'CERRO EL PLOMO'!AB9</f>
        <v/>
      </c>
      <c r="AD273" s="2">
        <f>'CERRO EL PLOMO'!AC9</f>
        <v>1</v>
      </c>
      <c r="AE273" s="2">
        <f>'CERRO EL PLOMO'!AD9</f>
        <v>1</v>
      </c>
      <c r="AF273" s="2">
        <f>'CERRO EL PLOMO'!AE9</f>
        <v>1</v>
      </c>
      <c r="AG273" s="2" t="str">
        <f>'CERRO EL PLOMO'!AF9</f>
        <v/>
      </c>
      <c r="AH273" s="2">
        <f>'CERRO EL PLOMO'!AG9</f>
        <v>1</v>
      </c>
      <c r="AI273" s="2" t="str">
        <f>'CERRO EL PLOMO'!AH9</f>
        <v/>
      </c>
      <c r="AJ273" s="2">
        <f>'CERRO EL PLOMO'!AI9</f>
        <v>2</v>
      </c>
      <c r="AK273" s="2" t="str">
        <f>'CERRO EL PLOMO'!AJ9</f>
        <v/>
      </c>
      <c r="AL273" s="2" t="str">
        <f>'CERRO EL PLOMO'!AK9</f>
        <v/>
      </c>
      <c r="AM273" s="2">
        <f>'CERRO EL PLOMO'!AL9</f>
        <v>2</v>
      </c>
      <c r="AN273" s="2">
        <f>'CERRO EL PLOMO'!AM9</f>
        <v>2</v>
      </c>
      <c r="AO273" s="2">
        <f>'CERRO EL PLOMO'!AN9</f>
        <v>2</v>
      </c>
      <c r="AP273" s="2">
        <f>'CERRO EL PLOMO'!AO9</f>
        <v>2</v>
      </c>
      <c r="AQ273" s="2">
        <f>'CERRO EL PLOMO'!AP9</f>
        <v>2</v>
      </c>
      <c r="AR273" s="2">
        <f>'CERRO EL PLOMO'!AQ9</f>
        <v>3</v>
      </c>
      <c r="AS273" s="2">
        <f>'CERRO EL PLOMO'!AR9</f>
        <v>3</v>
      </c>
      <c r="AT273" s="2">
        <f>'CERRO EL PLOMO'!AS9</f>
        <v>3</v>
      </c>
      <c r="AU273" s="2" t="str">
        <f>'CERRO EL PLOMO'!AT9</f>
        <v/>
      </c>
      <c r="AV273" s="2">
        <f>'CERRO EL PLOMO'!AU9</f>
        <v>3</v>
      </c>
      <c r="AW273" s="2" t="str">
        <f>'CERRO EL PLOMO'!AV9</f>
        <v/>
      </c>
      <c r="AX273" s="2">
        <f>'CERRO EL PLOMO'!AW9</f>
        <v>3</v>
      </c>
      <c r="AY273" s="2">
        <f>'CERRO EL PLOMO'!AX9</f>
        <v>3</v>
      </c>
      <c r="AZ273" s="2">
        <f>'CERRO EL PLOMO'!AY9</f>
        <v>3</v>
      </c>
      <c r="BA273" s="2">
        <f>'CERRO EL PLOMO'!AZ9</f>
        <v>1</v>
      </c>
      <c r="BB273" s="2">
        <f>'CERRO EL PLOMO'!BA9</f>
        <v>4</v>
      </c>
      <c r="BC273" s="2" t="str">
        <f>'CERRO EL PLOMO'!BB9</f>
        <v/>
      </c>
      <c r="BD273" s="2">
        <f>'CERRO EL PLOMO'!BC9</f>
        <v>4</v>
      </c>
      <c r="BE273" s="2">
        <f>'CERRO EL PLOMO'!BD9</f>
        <v>1</v>
      </c>
      <c r="BF273" s="2">
        <f>'CERRO EL PLOMO'!BE9</f>
        <v>5</v>
      </c>
      <c r="BG273" s="2">
        <f>'CERRO EL PLOMO'!BF9</f>
        <v>5</v>
      </c>
      <c r="BH273" s="2">
        <f>'CERRO EL PLOMO'!BG9</f>
        <v>5</v>
      </c>
      <c r="BI273" s="2">
        <f>'CERRO EL PLOMO'!BH9</f>
        <v>3</v>
      </c>
      <c r="BJ273" s="2">
        <f>'CERRO EL PLOMO'!BI9</f>
        <v>1</v>
      </c>
      <c r="BK273" s="2">
        <f>'CERRO EL PLOMO'!BJ9</f>
        <v>4</v>
      </c>
      <c r="BL273" s="2">
        <f>'CERRO EL PLOMO'!BK9</f>
        <v>3</v>
      </c>
      <c r="BM273" s="2">
        <f>'CERRO EL PLOMO'!BL9</f>
        <v>3</v>
      </c>
      <c r="BN273" s="2">
        <f>'CERRO EL PLOMO'!BM9</f>
        <v>3</v>
      </c>
      <c r="BO273" s="2">
        <f>'CERRO EL PLOMO'!BN9</f>
        <v>3</v>
      </c>
      <c r="BP273" s="2">
        <f>'CERRO EL PLOMO'!BO9</f>
        <v>1</v>
      </c>
      <c r="BQ273" s="2">
        <f>'CERRO EL PLOMO'!BP9</f>
        <v>4</v>
      </c>
      <c r="BR273" s="2">
        <f>'CERRO EL PLOMO'!BQ9</f>
        <v>4</v>
      </c>
      <c r="BS273" s="2">
        <f>'CERRO EL PLOMO'!BR9</f>
        <v>4</v>
      </c>
      <c r="BT273" s="2" t="str">
        <f>'CERRO EL PLOMO'!BS9</f>
        <v/>
      </c>
      <c r="BU273" s="2">
        <f>'CERRO EL PLOMO'!BT9</f>
        <v>4</v>
      </c>
      <c r="BV273" s="2" t="str">
        <f>'CERRO EL PLOMO'!BU9</f>
        <v/>
      </c>
      <c r="BW273" s="2">
        <f>'CERRO EL PLOMO'!BV9</f>
        <v>3</v>
      </c>
      <c r="BX273" s="2">
        <f>'CERRO EL PLOMO'!BW9</f>
        <v>3</v>
      </c>
      <c r="BY273" s="2" t="str">
        <f>'CERRO EL PLOMO'!BX9</f>
        <v/>
      </c>
      <c r="BZ273" s="2">
        <f>'CERRO EL PLOMO'!BY9</f>
        <v>2</v>
      </c>
      <c r="CA273" s="2">
        <f>'CERRO EL PLOMO'!BZ9</f>
        <v>2</v>
      </c>
      <c r="CB273" s="2" t="str">
        <f>'CERRO EL PLOMO'!CA9</f>
        <v/>
      </c>
      <c r="CC273" s="2" t="str">
        <f>'CERRO EL PLOMO'!CB9</f>
        <v/>
      </c>
    </row>
    <row r="274">
      <c r="A274" s="2"/>
      <c r="B274" s="2" t="str">
        <f>'CERRO EL PLOMO'!A10</f>
        <v>Cerro el Plomo</v>
      </c>
      <c r="C274" s="2" t="str">
        <f>'CERRO EL PLOMO'!B10</f>
        <v>Corporate Coffe</v>
      </c>
      <c r="D274" s="2" t="str">
        <f>'CERRO EL PLOMO'!C10</f>
        <v>Sucralosa (UN)</v>
      </c>
      <c r="E274" s="2" t="str">
        <f>'CERRO EL PLOMO'!D10</f>
        <v/>
      </c>
      <c r="F274" s="2" t="str">
        <f>'CERRO EL PLOMO'!E10</f>
        <v/>
      </c>
      <c r="G274" s="2" t="str">
        <f>'CERRO EL PLOMO'!F10</f>
        <v/>
      </c>
      <c r="H274" s="2" t="str">
        <f>'CERRO EL PLOMO'!G10</f>
        <v/>
      </c>
      <c r="I274" s="2" t="str">
        <f>'CERRO EL PLOMO'!H10</f>
        <v/>
      </c>
      <c r="J274" s="2" t="str">
        <f>'CERRO EL PLOMO'!I10</f>
        <v/>
      </c>
      <c r="K274" s="2" t="str">
        <f>'CERRO EL PLOMO'!J10</f>
        <v/>
      </c>
      <c r="L274" s="2" t="str">
        <f>'CERRO EL PLOMO'!K10</f>
        <v/>
      </c>
      <c r="M274" s="2" t="str">
        <f>'CERRO EL PLOMO'!L10</f>
        <v/>
      </c>
      <c r="N274" s="2" t="str">
        <f>'CERRO EL PLOMO'!M10</f>
        <v/>
      </c>
      <c r="O274" s="2" t="str">
        <f>'CERRO EL PLOMO'!N10</f>
        <v/>
      </c>
      <c r="P274" s="2" t="str">
        <f>'CERRO EL PLOMO'!O10</f>
        <v/>
      </c>
      <c r="Q274" s="2" t="str">
        <f>'CERRO EL PLOMO'!P10</f>
        <v/>
      </c>
      <c r="R274" s="2" t="str">
        <f>'CERRO EL PLOMO'!Q10</f>
        <v/>
      </c>
      <c r="S274" s="2" t="str">
        <f>'CERRO EL PLOMO'!R10</f>
        <v/>
      </c>
      <c r="T274" s="2" t="str">
        <f>'CERRO EL PLOMO'!S10</f>
        <v/>
      </c>
      <c r="U274" s="2" t="str">
        <f>'CERRO EL PLOMO'!T10</f>
        <v/>
      </c>
      <c r="V274" s="2" t="str">
        <f>'CERRO EL PLOMO'!U10</f>
        <v/>
      </c>
      <c r="W274" s="2" t="str">
        <f>'CERRO EL PLOMO'!V10</f>
        <v/>
      </c>
      <c r="X274" s="2" t="str">
        <f>'CERRO EL PLOMO'!W10</f>
        <v/>
      </c>
      <c r="Y274" s="2" t="str">
        <f>'CERRO EL PLOMO'!X10</f>
        <v/>
      </c>
      <c r="Z274" s="2" t="str">
        <f>'CERRO EL PLOMO'!Y10</f>
        <v/>
      </c>
      <c r="AA274" s="2" t="str">
        <f>'CERRO EL PLOMO'!Z10</f>
        <v/>
      </c>
      <c r="AB274" s="2" t="str">
        <f>'CERRO EL PLOMO'!AA10</f>
        <v/>
      </c>
      <c r="AC274" s="2" t="str">
        <f>'CERRO EL PLOMO'!AB10</f>
        <v/>
      </c>
      <c r="AD274" s="2">
        <f>'CERRO EL PLOMO'!AC10</f>
        <v>1</v>
      </c>
      <c r="AE274" s="2">
        <f>'CERRO EL PLOMO'!AD10</f>
        <v>1</v>
      </c>
      <c r="AF274" s="2">
        <f>'CERRO EL PLOMO'!AE10</f>
        <v>0</v>
      </c>
      <c r="AG274" s="2" t="str">
        <f>'CERRO EL PLOMO'!AF10</f>
        <v/>
      </c>
      <c r="AH274" s="2">
        <f>'CERRO EL PLOMO'!AG10</f>
        <v>0</v>
      </c>
      <c r="AI274" s="2" t="str">
        <f>'CERRO EL PLOMO'!AH10</f>
        <v/>
      </c>
      <c r="AJ274" s="2">
        <f>'CERRO EL PLOMO'!AI10</f>
        <v>2</v>
      </c>
      <c r="AK274" s="2" t="str">
        <f>'CERRO EL PLOMO'!AJ10</f>
        <v/>
      </c>
      <c r="AL274" s="2" t="str">
        <f>'CERRO EL PLOMO'!AK10</f>
        <v/>
      </c>
      <c r="AM274" s="2">
        <f>'CERRO EL PLOMO'!AL10</f>
        <v>2</v>
      </c>
      <c r="AN274" s="2">
        <f>'CERRO EL PLOMO'!AM10</f>
        <v>2</v>
      </c>
      <c r="AO274" s="2">
        <f>'CERRO EL PLOMO'!AN10</f>
        <v>2</v>
      </c>
      <c r="AP274" s="2">
        <f>'CERRO EL PLOMO'!AO10</f>
        <v>2</v>
      </c>
      <c r="AQ274" s="2">
        <f>'CERRO EL PLOMO'!AP10</f>
        <v>2</v>
      </c>
      <c r="AR274" s="2">
        <f>'CERRO EL PLOMO'!AQ10</f>
        <v>2</v>
      </c>
      <c r="AS274" s="2">
        <f>'CERRO EL PLOMO'!AR10</f>
        <v>2</v>
      </c>
      <c r="AT274" s="2">
        <f>'CERRO EL PLOMO'!AS10</f>
        <v>2</v>
      </c>
      <c r="AU274" s="2" t="str">
        <f>'CERRO EL PLOMO'!AT10</f>
        <v/>
      </c>
      <c r="AV274" s="2">
        <f>'CERRO EL PLOMO'!AU10</f>
        <v>2</v>
      </c>
      <c r="AW274" s="2" t="str">
        <f>'CERRO EL PLOMO'!AV10</f>
        <v/>
      </c>
      <c r="AX274" s="2">
        <f>'CERRO EL PLOMO'!AW10</f>
        <v>2</v>
      </c>
      <c r="AY274" s="2">
        <f>'CERRO EL PLOMO'!AX10</f>
        <v>2</v>
      </c>
      <c r="AZ274" s="2">
        <f>'CERRO EL PLOMO'!AY10</f>
        <v>2</v>
      </c>
      <c r="BA274" s="2">
        <f>'CERRO EL PLOMO'!AZ10</f>
        <v>1</v>
      </c>
      <c r="BB274" s="2">
        <f>'CERRO EL PLOMO'!BA10</f>
        <v>3</v>
      </c>
      <c r="BC274" s="2" t="str">
        <f>'CERRO EL PLOMO'!BB10</f>
        <v/>
      </c>
      <c r="BD274" s="2">
        <f>'CERRO EL PLOMO'!BC10</f>
        <v>3</v>
      </c>
      <c r="BE274" s="2">
        <f>'CERRO EL PLOMO'!BD10</f>
        <v>1</v>
      </c>
      <c r="BF274" s="2">
        <f>'CERRO EL PLOMO'!BE10</f>
        <v>3</v>
      </c>
      <c r="BG274" s="2">
        <f>'CERRO EL PLOMO'!BF10</f>
        <v>3</v>
      </c>
      <c r="BH274" s="2">
        <f>'CERRO EL PLOMO'!BG10</f>
        <v>3</v>
      </c>
      <c r="BI274" s="2">
        <f>'CERRO EL PLOMO'!BH10</f>
        <v>3</v>
      </c>
      <c r="BJ274" s="2">
        <f>'CERRO EL PLOMO'!BI10</f>
        <v>1</v>
      </c>
      <c r="BK274" s="2">
        <f>'CERRO EL PLOMO'!BJ10</f>
        <v>4</v>
      </c>
      <c r="BL274" s="2">
        <f>'CERRO EL PLOMO'!BK10</f>
        <v>3</v>
      </c>
      <c r="BM274" s="2">
        <f>'CERRO EL PLOMO'!BL10</f>
        <v>3</v>
      </c>
      <c r="BN274" s="2">
        <f>'CERRO EL PLOMO'!BM10</f>
        <v>4</v>
      </c>
      <c r="BO274" s="2">
        <f>'CERRO EL PLOMO'!BN10</f>
        <v>4</v>
      </c>
      <c r="BP274" s="2">
        <f>'CERRO EL PLOMO'!BO10</f>
        <v>1</v>
      </c>
      <c r="BQ274" s="2">
        <f>'CERRO EL PLOMO'!BP10</f>
        <v>5</v>
      </c>
      <c r="BR274" s="2">
        <f>'CERRO EL PLOMO'!BQ10</f>
        <v>4</v>
      </c>
      <c r="BS274" s="2">
        <f>'CERRO EL PLOMO'!BR10</f>
        <v>4</v>
      </c>
      <c r="BT274" s="2" t="str">
        <f>'CERRO EL PLOMO'!BS10</f>
        <v/>
      </c>
      <c r="BU274" s="2">
        <f>'CERRO EL PLOMO'!BT10</f>
        <v>4</v>
      </c>
      <c r="BV274" s="2" t="str">
        <f>'CERRO EL PLOMO'!BU10</f>
        <v/>
      </c>
      <c r="BW274" s="2">
        <f>'CERRO EL PLOMO'!BV10</f>
        <v>4</v>
      </c>
      <c r="BX274" s="2">
        <f>'CERRO EL PLOMO'!BW10</f>
        <v>4</v>
      </c>
      <c r="BY274" s="2" t="str">
        <f>'CERRO EL PLOMO'!BX10</f>
        <v/>
      </c>
      <c r="BZ274" s="2">
        <f>'CERRO EL PLOMO'!BY10</f>
        <v>4</v>
      </c>
      <c r="CA274" s="2">
        <f>'CERRO EL PLOMO'!BZ10</f>
        <v>4</v>
      </c>
      <c r="CB274" s="2" t="str">
        <f>'CERRO EL PLOMO'!CA10</f>
        <v/>
      </c>
      <c r="CC274" s="2" t="str">
        <f>'CERRO EL PLOMO'!CB10</f>
        <v/>
      </c>
    </row>
    <row r="275">
      <c r="A275" s="2"/>
      <c r="B275" s="2" t="str">
        <f>'CERRO EL PLOMO'!A11</f>
        <v>Cerro el Plomo</v>
      </c>
      <c r="C275" s="2" t="str">
        <f>'CERRO EL PLOMO'!B11</f>
        <v>Corporate Coffe</v>
      </c>
      <c r="D275" s="2" t="str">
        <f>'CERRO EL PLOMO'!C11</f>
        <v>Removerdores (UN)</v>
      </c>
      <c r="E275" s="2" t="str">
        <f>'CERRO EL PLOMO'!D11</f>
        <v/>
      </c>
      <c r="F275" s="2" t="str">
        <f>'CERRO EL PLOMO'!E11</f>
        <v/>
      </c>
      <c r="G275" s="2" t="str">
        <f>'CERRO EL PLOMO'!F11</f>
        <v/>
      </c>
      <c r="H275" s="2" t="str">
        <f>'CERRO EL PLOMO'!G11</f>
        <v/>
      </c>
      <c r="I275" s="2" t="str">
        <f>'CERRO EL PLOMO'!H11</f>
        <v/>
      </c>
      <c r="J275" s="2" t="str">
        <f>'CERRO EL PLOMO'!I11</f>
        <v/>
      </c>
      <c r="K275" s="2" t="str">
        <f>'CERRO EL PLOMO'!J11</f>
        <v/>
      </c>
      <c r="L275" s="2" t="str">
        <f>'CERRO EL PLOMO'!K11</f>
        <v/>
      </c>
      <c r="M275" s="2" t="str">
        <f>'CERRO EL PLOMO'!L11</f>
        <v/>
      </c>
      <c r="N275" s="2" t="str">
        <f>'CERRO EL PLOMO'!M11</f>
        <v/>
      </c>
      <c r="O275" s="2" t="str">
        <f>'CERRO EL PLOMO'!N11</f>
        <v/>
      </c>
      <c r="P275" s="2" t="str">
        <f>'CERRO EL PLOMO'!O11</f>
        <v/>
      </c>
      <c r="Q275" s="2" t="str">
        <f>'CERRO EL PLOMO'!P11</f>
        <v/>
      </c>
      <c r="R275" s="2" t="str">
        <f>'CERRO EL PLOMO'!Q11</f>
        <v/>
      </c>
      <c r="S275" s="2" t="str">
        <f>'CERRO EL PLOMO'!R11</f>
        <v/>
      </c>
      <c r="T275" s="2" t="str">
        <f>'CERRO EL PLOMO'!S11</f>
        <v/>
      </c>
      <c r="U275" s="2" t="str">
        <f>'CERRO EL PLOMO'!T11</f>
        <v/>
      </c>
      <c r="V275" s="2" t="str">
        <f>'CERRO EL PLOMO'!U11</f>
        <v/>
      </c>
      <c r="W275" s="2" t="str">
        <f>'CERRO EL PLOMO'!V11</f>
        <v/>
      </c>
      <c r="X275" s="2" t="str">
        <f>'CERRO EL PLOMO'!W11</f>
        <v/>
      </c>
      <c r="Y275" s="2" t="str">
        <f>'CERRO EL PLOMO'!X11</f>
        <v/>
      </c>
      <c r="Z275" s="2" t="str">
        <f>'CERRO EL PLOMO'!Y11</f>
        <v/>
      </c>
      <c r="AA275" s="2" t="str">
        <f>'CERRO EL PLOMO'!Z11</f>
        <v/>
      </c>
      <c r="AB275" s="2" t="str">
        <f>'CERRO EL PLOMO'!AA11</f>
        <v/>
      </c>
      <c r="AC275" s="2" t="str">
        <f>'CERRO EL PLOMO'!AB11</f>
        <v/>
      </c>
      <c r="AD275" s="2">
        <f>'CERRO EL PLOMO'!AC11</f>
        <v>1</v>
      </c>
      <c r="AE275" s="2">
        <f>'CERRO EL PLOMO'!AD11</f>
        <v>1</v>
      </c>
      <c r="AF275" s="2">
        <f>'CERRO EL PLOMO'!AE11</f>
        <v>0</v>
      </c>
      <c r="AG275" s="2" t="str">
        <f>'CERRO EL PLOMO'!AF11</f>
        <v/>
      </c>
      <c r="AH275" s="2">
        <f>'CERRO EL PLOMO'!AG11</f>
        <v>1</v>
      </c>
      <c r="AI275" s="2" t="str">
        <f>'CERRO EL PLOMO'!AH11</f>
        <v/>
      </c>
      <c r="AJ275" s="2">
        <f>'CERRO EL PLOMO'!AI11</f>
        <v>7</v>
      </c>
      <c r="AK275" s="2" t="str">
        <f>'CERRO EL PLOMO'!AJ11</f>
        <v/>
      </c>
      <c r="AL275" s="2" t="str">
        <f>'CERRO EL PLOMO'!AK11</f>
        <v/>
      </c>
      <c r="AM275" s="2">
        <f>'CERRO EL PLOMO'!AL11</f>
        <v>7</v>
      </c>
      <c r="AN275" s="2">
        <f>'CERRO EL PLOMO'!AM11</f>
        <v>6</v>
      </c>
      <c r="AO275" s="2">
        <f>'CERRO EL PLOMO'!AN11</f>
        <v>6</v>
      </c>
      <c r="AP275" s="2">
        <f>'CERRO EL PLOMO'!AO11</f>
        <v>6</v>
      </c>
      <c r="AQ275" s="2">
        <f>'CERRO EL PLOMO'!AP11</f>
        <v>6</v>
      </c>
      <c r="AR275" s="2">
        <f>'CERRO EL PLOMO'!AQ11</f>
        <v>6</v>
      </c>
      <c r="AS275" s="2">
        <f>'CERRO EL PLOMO'!AR11</f>
        <v>6</v>
      </c>
      <c r="AT275" s="2">
        <f>'CERRO EL PLOMO'!AS11</f>
        <v>6</v>
      </c>
      <c r="AU275" s="2">
        <f>'CERRO EL PLOMO'!AT11</f>
        <v>7</v>
      </c>
      <c r="AV275" s="2">
        <f>'CERRO EL PLOMO'!AU11</f>
        <v>7</v>
      </c>
      <c r="AW275" s="2" t="str">
        <f>'CERRO EL PLOMO'!AV11</f>
        <v/>
      </c>
      <c r="AX275" s="2">
        <f>'CERRO EL PLOMO'!AW11</f>
        <v>7</v>
      </c>
      <c r="AY275" s="2">
        <f>'CERRO EL PLOMO'!AX11</f>
        <v>7</v>
      </c>
      <c r="AZ275" s="2">
        <f>'CERRO EL PLOMO'!AY11</f>
        <v>7</v>
      </c>
      <c r="BA275" s="2">
        <f>'CERRO EL PLOMO'!AZ11</f>
        <v>1</v>
      </c>
      <c r="BB275" s="2">
        <f>'CERRO EL PLOMO'!BA11</f>
        <v>8</v>
      </c>
      <c r="BC275" s="2" t="str">
        <f>'CERRO EL PLOMO'!BB11</f>
        <v/>
      </c>
      <c r="BD275" s="2">
        <f>'CERRO EL PLOMO'!BC11</f>
        <v>8</v>
      </c>
      <c r="BE275" s="2">
        <f>'CERRO EL PLOMO'!BD11</f>
        <v>1</v>
      </c>
      <c r="BF275" s="2">
        <f>'CERRO EL PLOMO'!BE11</f>
        <v>9</v>
      </c>
      <c r="BG275" s="2">
        <f>'CERRO EL PLOMO'!BF11</f>
        <v>9</v>
      </c>
      <c r="BH275" s="2">
        <f>'CERRO EL PLOMO'!BG11</f>
        <v>9</v>
      </c>
      <c r="BI275" s="2">
        <f>'CERRO EL PLOMO'!BH11</f>
        <v>9</v>
      </c>
      <c r="BJ275" s="2">
        <f>'CERRO EL PLOMO'!BI11</f>
        <v>1</v>
      </c>
      <c r="BK275" s="2">
        <f>'CERRO EL PLOMO'!BJ11</f>
        <v>10</v>
      </c>
      <c r="BL275" s="2">
        <f>'CERRO EL PLOMO'!BK11</f>
        <v>9</v>
      </c>
      <c r="BM275" s="2">
        <f>'CERRO EL PLOMO'!BL11</f>
        <v>9</v>
      </c>
      <c r="BN275" s="2">
        <f>'CERRO EL PLOMO'!BM11</f>
        <v>10</v>
      </c>
      <c r="BO275" s="2">
        <f>'CERRO EL PLOMO'!BN11</f>
        <v>10</v>
      </c>
      <c r="BP275" s="2">
        <f>'CERRO EL PLOMO'!BO11</f>
        <v>1</v>
      </c>
      <c r="BQ275" s="2">
        <f>'CERRO EL PLOMO'!BP11</f>
        <v>11</v>
      </c>
      <c r="BR275" s="2">
        <f>'CERRO EL PLOMO'!BQ11</f>
        <v>11</v>
      </c>
      <c r="BS275" s="2">
        <f>'CERRO EL PLOMO'!BR11</f>
        <v>10</v>
      </c>
      <c r="BT275" s="2" t="str">
        <f>'CERRO EL PLOMO'!BS11</f>
        <v/>
      </c>
      <c r="BU275" s="2">
        <f>'CERRO EL PLOMO'!BT11</f>
        <v>10</v>
      </c>
      <c r="BV275" s="2" t="str">
        <f>'CERRO EL PLOMO'!BU11</f>
        <v/>
      </c>
      <c r="BW275" s="2">
        <f>'CERRO EL PLOMO'!BV11</f>
        <v>9</v>
      </c>
      <c r="BX275" s="2">
        <f>'CERRO EL PLOMO'!BW11</f>
        <v>8</v>
      </c>
      <c r="BY275" s="2">
        <f>'CERRO EL PLOMO'!BX11</f>
        <v>1</v>
      </c>
      <c r="BZ275" s="2">
        <f>'CERRO EL PLOMO'!BY11</f>
        <v>7</v>
      </c>
      <c r="CA275" s="2">
        <f>'CERRO EL PLOMO'!BZ11</f>
        <v>7</v>
      </c>
      <c r="CB275" s="2" t="str">
        <f>'CERRO EL PLOMO'!CA11</f>
        <v/>
      </c>
      <c r="CC275" s="2" t="str">
        <f>'CERRO EL PLOMO'!CB11</f>
        <v/>
      </c>
    </row>
    <row r="276">
      <c r="A276" s="2"/>
      <c r="B276" s="2" t="str">
        <f>'CERRO EL PLOMO'!A12</f>
        <v>Cerro el Plomo</v>
      </c>
      <c r="C276" s="2" t="str">
        <f>'CERRO EL PLOMO'!B12</f>
        <v>Cafeteria</v>
      </c>
      <c r="D276" s="2" t="str">
        <f>'CERRO EL PLOMO'!C12</f>
        <v>Toalla de Papel Jumbo (UN)</v>
      </c>
      <c r="E276" s="2">
        <f>'CERRO EL PLOMO'!D12</f>
        <v>4</v>
      </c>
      <c r="F276" s="2">
        <f>'CERRO EL PLOMO'!E12</f>
        <v>3</v>
      </c>
      <c r="G276" s="2">
        <f>'CERRO EL PLOMO'!F12</f>
        <v>2</v>
      </c>
      <c r="H276" s="2">
        <f>'CERRO EL PLOMO'!G12</f>
        <v>0</v>
      </c>
      <c r="I276" s="2">
        <f>'CERRO EL PLOMO'!H12</f>
        <v>0</v>
      </c>
      <c r="J276" s="2">
        <f>'CERRO EL PLOMO'!I12</f>
        <v>4</v>
      </c>
      <c r="K276" s="2">
        <f>'CERRO EL PLOMO'!J12</f>
        <v>2</v>
      </c>
      <c r="L276" s="2">
        <f>'CERRO EL PLOMO'!K12</f>
        <v>1</v>
      </c>
      <c r="M276" s="2">
        <f>'CERRO EL PLOMO'!L12</f>
        <v>7</v>
      </c>
      <c r="N276" s="2">
        <f>'CERRO EL PLOMO'!M12</f>
        <v>4</v>
      </c>
      <c r="O276" s="2">
        <f>'CERRO EL PLOMO'!N12</f>
        <v>2</v>
      </c>
      <c r="P276" s="2">
        <f>'CERRO EL PLOMO'!O12</f>
        <v>3</v>
      </c>
      <c r="Q276" s="2">
        <f>'CERRO EL PLOMO'!P12</f>
        <v>1</v>
      </c>
      <c r="R276" s="2">
        <f>'CERRO EL PLOMO'!Q12</f>
        <v>5</v>
      </c>
      <c r="S276" s="2">
        <f>'CERRO EL PLOMO'!R12</f>
        <v>5</v>
      </c>
      <c r="T276" s="2">
        <f>'CERRO EL PLOMO'!S12</f>
        <v>5</v>
      </c>
      <c r="U276" s="2">
        <f>'CERRO EL PLOMO'!T12</f>
        <v>4</v>
      </c>
      <c r="V276" s="2">
        <f>'CERRO EL PLOMO'!U12</f>
        <v>2</v>
      </c>
      <c r="W276" s="2">
        <f>'CERRO EL PLOMO'!V12</f>
        <v>0</v>
      </c>
      <c r="X276" s="2">
        <f>'CERRO EL PLOMO'!W12</f>
        <v>0</v>
      </c>
      <c r="Y276" s="2">
        <f>'CERRO EL PLOMO'!X12</f>
        <v>0</v>
      </c>
      <c r="Z276" s="2">
        <f>'CERRO EL PLOMO'!Y12</f>
        <v>3</v>
      </c>
      <c r="AA276" s="2">
        <f>'CERRO EL PLOMO'!Z12</f>
        <v>3</v>
      </c>
      <c r="AB276" s="2">
        <f>'CERRO EL PLOMO'!AA12</f>
        <v>6</v>
      </c>
      <c r="AC276" s="2">
        <f>'CERRO EL PLOMO'!AB12</f>
        <v>6</v>
      </c>
      <c r="AD276" s="2" t="str">
        <f>'CERRO EL PLOMO'!AC12</f>
        <v/>
      </c>
      <c r="AE276" s="2">
        <f>'CERRO EL PLOMO'!AD12</f>
        <v>0</v>
      </c>
      <c r="AF276" s="2">
        <f>'CERRO EL PLOMO'!AE12</f>
        <v>0</v>
      </c>
      <c r="AG276" s="2">
        <f>'CERRO EL PLOMO'!AF12</f>
        <v>3</v>
      </c>
      <c r="AH276" s="2">
        <f>'CERRO EL PLOMO'!AG12</f>
        <v>2</v>
      </c>
      <c r="AI276" s="2" t="str">
        <f>'CERRO EL PLOMO'!AH12</f>
        <v/>
      </c>
      <c r="AJ276" s="2">
        <f>'CERRO EL PLOMO'!AI12</f>
        <v>2</v>
      </c>
      <c r="AK276" s="2" t="str">
        <f>'CERRO EL PLOMO'!AJ12</f>
        <v/>
      </c>
      <c r="AL276" s="2">
        <f>'CERRO EL PLOMO'!AK12</f>
        <v>8</v>
      </c>
      <c r="AM276" s="2">
        <f>'CERRO EL PLOMO'!AL12</f>
        <v>14</v>
      </c>
      <c r="AN276" s="2">
        <f>'CERRO EL PLOMO'!AM12</f>
        <v>14</v>
      </c>
      <c r="AO276" s="2">
        <f>'CERRO EL PLOMO'!AN12</f>
        <v>12</v>
      </c>
      <c r="AP276" s="2">
        <f>'CERRO EL PLOMO'!AO12</f>
        <v>8</v>
      </c>
      <c r="AQ276" s="2">
        <f>'CERRO EL PLOMO'!AP12</f>
        <v>6</v>
      </c>
      <c r="AR276" s="2">
        <f>'CERRO EL PLOMO'!AQ12</f>
        <v>20</v>
      </c>
      <c r="AS276" s="2">
        <f>'CERRO EL PLOMO'!AR12</f>
        <v>16</v>
      </c>
      <c r="AT276" s="2">
        <f>'CERRO EL PLOMO'!AS12</f>
        <v>12</v>
      </c>
      <c r="AU276" s="2" t="str">
        <f>'CERRO EL PLOMO'!AT12</f>
        <v/>
      </c>
      <c r="AV276" s="2">
        <f>'CERRO EL PLOMO'!AU12</f>
        <v>10</v>
      </c>
      <c r="AW276" s="2" t="str">
        <f>'CERRO EL PLOMO'!AV12</f>
        <v/>
      </c>
      <c r="AX276" s="2">
        <f>'CERRO EL PLOMO'!AW12</f>
        <v>8</v>
      </c>
      <c r="AY276" s="2">
        <f>'CERRO EL PLOMO'!AX12</f>
        <v>8</v>
      </c>
      <c r="AZ276" s="2">
        <f>'CERRO EL PLOMO'!AY12</f>
        <v>4</v>
      </c>
      <c r="BA276" s="2" t="str">
        <f>'CERRO EL PLOMO'!AZ12</f>
        <v/>
      </c>
      <c r="BB276" s="2">
        <f>'CERRO EL PLOMO'!BA12</f>
        <v>2</v>
      </c>
      <c r="BC276" s="2">
        <f>'CERRO EL PLOMO'!BB12</f>
        <v>2</v>
      </c>
      <c r="BD276" s="2">
        <f>'CERRO EL PLOMO'!BC12</f>
        <v>1</v>
      </c>
      <c r="BE276" s="2">
        <f>'CERRO EL PLOMO'!BD12</f>
        <v>1</v>
      </c>
      <c r="BF276" s="2">
        <f>'CERRO EL PLOMO'!BE12</f>
        <v>1</v>
      </c>
      <c r="BG276" s="2">
        <f>'CERRO EL PLOMO'!BF12</f>
        <v>1</v>
      </c>
      <c r="BH276" s="2">
        <f>'CERRO EL PLOMO'!BG12</f>
        <v>1</v>
      </c>
      <c r="BI276" s="2">
        <f>'CERRO EL PLOMO'!BH12</f>
        <v>0</v>
      </c>
      <c r="BJ276" s="2">
        <f>'CERRO EL PLOMO'!BI12</f>
        <v>20</v>
      </c>
      <c r="BK276" s="2">
        <f>'CERRO EL PLOMO'!BJ12</f>
        <v>20</v>
      </c>
      <c r="BL276" s="2">
        <f>'CERRO EL PLOMO'!BK12</f>
        <v>12</v>
      </c>
      <c r="BM276" s="2">
        <f>'CERRO EL PLOMO'!BL12</f>
        <v>12</v>
      </c>
      <c r="BN276" s="2">
        <f>'CERRO EL PLOMO'!BM12</f>
        <v>22</v>
      </c>
      <c r="BO276" s="2">
        <f>'CERRO EL PLOMO'!BN12</f>
        <v>20</v>
      </c>
      <c r="BP276" s="2" t="str">
        <f>'CERRO EL PLOMO'!BO12</f>
        <v/>
      </c>
      <c r="BQ276" s="2">
        <f>'CERRO EL PLOMO'!BP12</f>
        <v>16</v>
      </c>
      <c r="BR276" s="2">
        <f>'CERRO EL PLOMO'!BQ12</f>
        <v>16</v>
      </c>
      <c r="BS276" s="2">
        <f>'CERRO EL PLOMO'!BR12</f>
        <v>12</v>
      </c>
      <c r="BT276" s="2" t="str">
        <f>'CERRO EL PLOMO'!BS12</f>
        <v/>
      </c>
      <c r="BU276" s="2">
        <f>'CERRO EL PLOMO'!BT12</f>
        <v>12</v>
      </c>
      <c r="BV276" s="2" t="str">
        <f>'CERRO EL PLOMO'!BU12</f>
        <v/>
      </c>
      <c r="BW276" s="2">
        <f>'CERRO EL PLOMO'!BV12</f>
        <v>6</v>
      </c>
      <c r="BX276" s="2">
        <f>'CERRO EL PLOMO'!BW12</f>
        <v>6</v>
      </c>
      <c r="BY276" s="2" t="str">
        <f>'CERRO EL PLOMO'!BX12</f>
        <v/>
      </c>
      <c r="BZ276" s="2">
        <f>'CERRO EL PLOMO'!BY12</f>
        <v>0</v>
      </c>
      <c r="CA276" s="2">
        <f>'CERRO EL PLOMO'!BZ12</f>
        <v>0</v>
      </c>
      <c r="CB276" s="2" t="str">
        <f>'CERRO EL PLOMO'!CA12</f>
        <v/>
      </c>
      <c r="CC276" s="2" t="str">
        <f>'CERRO EL PLOMO'!CB12</f>
        <v/>
      </c>
    </row>
    <row r="277">
      <c r="A277" s="2"/>
      <c r="B277" s="2" t="str">
        <f>'CERRO EL PLOMO'!A13</f>
        <v>Cerro el Plomo</v>
      </c>
      <c r="C277" s="2" t="str">
        <f>'CERRO EL PLOMO'!B13</f>
        <v>Cafeteria</v>
      </c>
      <c r="D277" s="2" t="str">
        <f>'CERRO EL PLOMO'!C13</f>
        <v>Papel Higienico (UN)</v>
      </c>
      <c r="E277" s="2">
        <f>'CERRO EL PLOMO'!D13</f>
        <v>5</v>
      </c>
      <c r="F277" s="2">
        <f>'CERRO EL PLOMO'!E13</f>
        <v>4</v>
      </c>
      <c r="G277" s="2">
        <f>'CERRO EL PLOMO'!F13</f>
        <v>3</v>
      </c>
      <c r="H277" s="2">
        <f>'CERRO EL PLOMO'!G13</f>
        <v>2</v>
      </c>
      <c r="I277" s="2">
        <f>'CERRO EL PLOMO'!H13</f>
        <v>1</v>
      </c>
      <c r="J277" s="2">
        <f>'CERRO EL PLOMO'!I13</f>
        <v>4</v>
      </c>
      <c r="K277" s="2">
        <f>'CERRO EL PLOMO'!J13</f>
        <v>3</v>
      </c>
      <c r="L277" s="2">
        <f>'CERRO EL PLOMO'!K13</f>
        <v>3</v>
      </c>
      <c r="M277" s="2">
        <f>'CERRO EL PLOMO'!L13</f>
        <v>9</v>
      </c>
      <c r="N277" s="2">
        <f>'CERRO EL PLOMO'!M13</f>
        <v>8</v>
      </c>
      <c r="O277" s="2">
        <f>'CERRO EL PLOMO'!N13</f>
        <v>6</v>
      </c>
      <c r="P277" s="2">
        <f>'CERRO EL PLOMO'!O13</f>
        <v>4</v>
      </c>
      <c r="Q277" s="2">
        <f>'CERRO EL PLOMO'!P13</f>
        <v>3</v>
      </c>
      <c r="R277" s="2">
        <f>'CERRO EL PLOMO'!Q13</f>
        <v>8</v>
      </c>
      <c r="S277" s="2">
        <f>'CERRO EL PLOMO'!R13</f>
        <v>7</v>
      </c>
      <c r="T277" s="2">
        <f>'CERRO EL PLOMO'!S13</f>
        <v>6</v>
      </c>
      <c r="U277" s="2">
        <f>'CERRO EL PLOMO'!T13</f>
        <v>5</v>
      </c>
      <c r="V277" s="2">
        <f>'CERRO EL PLOMO'!U13</f>
        <v>3</v>
      </c>
      <c r="W277" s="2">
        <f>'CERRO EL PLOMO'!V13</f>
        <v>3</v>
      </c>
      <c r="X277" s="2">
        <f>'CERRO EL PLOMO'!W13</f>
        <v>1</v>
      </c>
      <c r="Y277" s="2">
        <f>'CERRO EL PLOMO'!X13</f>
        <v>0</v>
      </c>
      <c r="Z277" s="2">
        <f>'CERRO EL PLOMO'!Y13</f>
        <v>3</v>
      </c>
      <c r="AA277" s="2">
        <f>'CERRO EL PLOMO'!Z13</f>
        <v>1</v>
      </c>
      <c r="AB277" s="2">
        <f>'CERRO EL PLOMO'!AA13</f>
        <v>6</v>
      </c>
      <c r="AC277" s="2">
        <f>'CERRO EL PLOMO'!AB13</f>
        <v>20</v>
      </c>
      <c r="AD277" s="2" t="str">
        <f>'CERRO EL PLOMO'!AC13</f>
        <v/>
      </c>
      <c r="AE277" s="2">
        <f>'CERRO EL PLOMO'!AD13</f>
        <v>20</v>
      </c>
      <c r="AF277" s="2">
        <f>'CERRO EL PLOMO'!AE13</f>
        <v>20</v>
      </c>
      <c r="AG277" s="2" t="str">
        <f>'CERRO EL PLOMO'!AF13</f>
        <v/>
      </c>
      <c r="AH277" s="2">
        <f>'CERRO EL PLOMO'!AG13</f>
        <v>5</v>
      </c>
      <c r="AI277" s="2" t="str">
        <f>'CERRO EL PLOMO'!AH13</f>
        <v/>
      </c>
      <c r="AJ277" s="2">
        <f>'CERRO EL PLOMO'!AI13</f>
        <v>5</v>
      </c>
      <c r="AK277" s="2" t="str">
        <f>'CERRO EL PLOMO'!AJ13</f>
        <v/>
      </c>
      <c r="AL277" s="2">
        <f>'CERRO EL PLOMO'!AK13</f>
        <v>2</v>
      </c>
      <c r="AM277" s="2">
        <f>'CERRO EL PLOMO'!AL13</f>
        <v>28</v>
      </c>
      <c r="AN277" s="2">
        <f>'CERRO EL PLOMO'!AM13</f>
        <v>28</v>
      </c>
      <c r="AO277" s="2">
        <f>'CERRO EL PLOMO'!AN13</f>
        <v>28</v>
      </c>
      <c r="AP277" s="2">
        <f>'CERRO EL PLOMO'!AO13</f>
        <v>20</v>
      </c>
      <c r="AQ277" s="2">
        <f>'CERRO EL PLOMO'!AP13</f>
        <v>20</v>
      </c>
      <c r="AR277" s="2">
        <f>'CERRO EL PLOMO'!AQ13</f>
        <v>32</v>
      </c>
      <c r="AS277" s="2">
        <f>'CERRO EL PLOMO'!AR13</f>
        <v>28</v>
      </c>
      <c r="AT277" s="2">
        <f>'CERRO EL PLOMO'!AS13</f>
        <v>24</v>
      </c>
      <c r="AU277" s="2" t="str">
        <f>'CERRO EL PLOMO'!AT13</f>
        <v/>
      </c>
      <c r="AV277" s="2">
        <f>'CERRO EL PLOMO'!AU13</f>
        <v>24</v>
      </c>
      <c r="AW277" s="2" t="str">
        <f>'CERRO EL PLOMO'!AV13</f>
        <v/>
      </c>
      <c r="AX277" s="2">
        <f>'CERRO EL PLOMO'!AW13</f>
        <v>24</v>
      </c>
      <c r="AY277" s="2">
        <f>'CERRO EL PLOMO'!AX13</f>
        <v>20</v>
      </c>
      <c r="AZ277" s="2">
        <f>'CERRO EL PLOMO'!AY13</f>
        <v>20</v>
      </c>
      <c r="BA277" s="2" t="str">
        <f>'CERRO EL PLOMO'!AZ13</f>
        <v/>
      </c>
      <c r="BB277" s="2">
        <f>'CERRO EL PLOMO'!BA13</f>
        <v>16</v>
      </c>
      <c r="BC277" s="2" t="str">
        <f>'CERRO EL PLOMO'!BB13</f>
        <v/>
      </c>
      <c r="BD277" s="2">
        <f>'CERRO EL PLOMO'!BC13</f>
        <v>16</v>
      </c>
      <c r="BE277" s="2" t="str">
        <f>'CERRO EL PLOMO'!BD13</f>
        <v/>
      </c>
      <c r="BF277" s="2">
        <f>'CERRO EL PLOMO'!BE13</f>
        <v>12</v>
      </c>
      <c r="BG277" s="2">
        <f>'CERRO EL PLOMO'!BF13</f>
        <v>12</v>
      </c>
      <c r="BH277" s="2">
        <f>'CERRO EL PLOMO'!BG13</f>
        <v>12</v>
      </c>
      <c r="BI277" s="2">
        <f>'CERRO EL PLOMO'!BH13</f>
        <v>12</v>
      </c>
      <c r="BJ277" s="2" t="str">
        <f>'CERRO EL PLOMO'!BI13</f>
        <v/>
      </c>
      <c r="BK277" s="2">
        <f>'CERRO EL PLOMO'!BJ13</f>
        <v>8</v>
      </c>
      <c r="BL277" s="2">
        <f>'CERRO EL PLOMO'!BK13</f>
        <v>8</v>
      </c>
      <c r="BM277" s="2">
        <f>'CERRO EL PLOMO'!BL13</f>
        <v>4</v>
      </c>
      <c r="BN277" s="2">
        <f>'CERRO EL PLOMO'!BM13</f>
        <v>28</v>
      </c>
      <c r="BO277" s="2">
        <f>'CERRO EL PLOMO'!BN13</f>
        <v>28</v>
      </c>
      <c r="BP277" s="2" t="str">
        <f>'CERRO EL PLOMO'!BO13</f>
        <v/>
      </c>
      <c r="BQ277" s="2">
        <f>'CERRO EL PLOMO'!BP13</f>
        <v>28</v>
      </c>
      <c r="BR277" s="2">
        <f>'CERRO EL PLOMO'!BQ13</f>
        <v>24</v>
      </c>
      <c r="BS277" s="2">
        <f>'CERRO EL PLOMO'!BR13</f>
        <v>20</v>
      </c>
      <c r="BT277" s="2">
        <f>'CERRO EL PLOMO'!BS13</f>
        <v>4</v>
      </c>
      <c r="BU277" s="2">
        <f>'CERRO EL PLOMO'!BT13</f>
        <v>16</v>
      </c>
      <c r="BV277" s="2" t="str">
        <f>'CERRO EL PLOMO'!BU13</f>
        <v/>
      </c>
      <c r="BW277" s="2">
        <f>'CERRO EL PLOMO'!BV13</f>
        <v>12</v>
      </c>
      <c r="BX277" s="2">
        <f>'CERRO EL PLOMO'!BW13</f>
        <v>12</v>
      </c>
      <c r="BY277" s="2" t="str">
        <f>'CERRO EL PLOMO'!BX13</f>
        <v/>
      </c>
      <c r="BZ277" s="2">
        <f>'CERRO EL PLOMO'!BY13</f>
        <v>12</v>
      </c>
      <c r="CA277" s="2">
        <f>'CERRO EL PLOMO'!BZ13</f>
        <v>8</v>
      </c>
      <c r="CB277" s="2" t="str">
        <f>'CERRO EL PLOMO'!CA13</f>
        <v/>
      </c>
      <c r="CC277" s="2" t="str">
        <f>'CERRO EL PLOMO'!CB13</f>
        <v/>
      </c>
    </row>
    <row r="278">
      <c r="A278" s="2"/>
      <c r="B278" s="2" t="str">
        <f>'CERRO EL PLOMO'!A14</f>
        <v>Cerro el Plomo</v>
      </c>
      <c r="C278" s="2" t="str">
        <f>'CERRO EL PLOMO'!B14</f>
        <v>Cafeteria</v>
      </c>
      <c r="D278" s="2" t="str">
        <f>'CERRO EL PLOMO'!C14</f>
        <v>Resma Papel Fotocopia (UN)</v>
      </c>
      <c r="E278" s="2">
        <f>'CERRO EL PLOMO'!D14</f>
        <v>0</v>
      </c>
      <c r="F278" s="2">
        <f>'CERRO EL PLOMO'!E14</f>
        <v>0</v>
      </c>
      <c r="G278" s="2">
        <f>'CERRO EL PLOMO'!F14</f>
        <v>0</v>
      </c>
      <c r="H278" s="2">
        <f>'CERRO EL PLOMO'!G14</f>
        <v>0</v>
      </c>
      <c r="I278" s="2">
        <f>'CERRO EL PLOMO'!H14</f>
        <v>0</v>
      </c>
      <c r="J278" s="2">
        <f>'CERRO EL PLOMO'!I14</f>
        <v>0</v>
      </c>
      <c r="K278" s="2">
        <f>'CERRO EL PLOMO'!J14</f>
        <v>0</v>
      </c>
      <c r="L278" s="2">
        <f>'CERRO EL PLOMO'!K14</f>
        <v>0</v>
      </c>
      <c r="M278" s="2">
        <f>'CERRO EL PLOMO'!L14</f>
        <v>2</v>
      </c>
      <c r="N278" s="2">
        <f>'CERRO EL PLOMO'!M14</f>
        <v>2</v>
      </c>
      <c r="O278" s="2">
        <f>'CERRO EL PLOMO'!N14</f>
        <v>1</v>
      </c>
      <c r="P278" s="2">
        <f>'CERRO EL PLOMO'!O14</f>
        <v>1</v>
      </c>
      <c r="Q278" s="2">
        <f>'CERRO EL PLOMO'!P14</f>
        <v>1</v>
      </c>
      <c r="R278" s="2">
        <f>'CERRO EL PLOMO'!Q14</f>
        <v>1</v>
      </c>
      <c r="S278" s="2">
        <f>'CERRO EL PLOMO'!R14</f>
        <v>2</v>
      </c>
      <c r="T278" s="2">
        <f>'CERRO EL PLOMO'!S14</f>
        <v>2</v>
      </c>
      <c r="U278" s="2">
        <f>'CERRO EL PLOMO'!T14</f>
        <v>2</v>
      </c>
      <c r="V278" s="2">
        <f>'CERRO EL PLOMO'!U14</f>
        <v>2</v>
      </c>
      <c r="W278" s="2">
        <f>'CERRO EL PLOMO'!V14</f>
        <v>2</v>
      </c>
      <c r="X278" s="2">
        <f>'CERRO EL PLOMO'!W14</f>
        <v>1</v>
      </c>
      <c r="Y278" s="2">
        <f>'CERRO EL PLOMO'!X14</f>
        <v>1</v>
      </c>
      <c r="Z278" s="2">
        <f>'CERRO EL PLOMO'!Y14</f>
        <v>0</v>
      </c>
      <c r="AA278" s="2">
        <f>'CERRO EL PLOMO'!Z14</f>
        <v>0</v>
      </c>
      <c r="AB278" s="2">
        <f>'CERRO EL PLOMO'!AA14</f>
        <v>0</v>
      </c>
      <c r="AC278" s="2">
        <f>'CERRO EL PLOMO'!AB14</f>
        <v>0</v>
      </c>
      <c r="AD278" s="2" t="str">
        <f>'CERRO EL PLOMO'!AC14</f>
        <v/>
      </c>
      <c r="AE278" s="2">
        <f>'CERRO EL PLOMO'!AD14</f>
        <v>0</v>
      </c>
      <c r="AF278" s="2">
        <f>'CERRO EL PLOMO'!AE14</f>
        <v>0</v>
      </c>
      <c r="AG278" s="2" t="str">
        <f>'CERRO EL PLOMO'!AF14</f>
        <v/>
      </c>
      <c r="AH278" s="2">
        <f>'CERRO EL PLOMO'!AG14</f>
        <v>0</v>
      </c>
      <c r="AI278" s="2" t="str">
        <f>'CERRO EL PLOMO'!AH14</f>
        <v/>
      </c>
      <c r="AJ278" s="2">
        <f>'CERRO EL PLOMO'!AI14</f>
        <v>0</v>
      </c>
      <c r="AK278" s="2" t="str">
        <f>'CERRO EL PLOMO'!AJ14</f>
        <v/>
      </c>
      <c r="AL278" s="2" t="str">
        <f>'CERRO EL PLOMO'!AK14</f>
        <v/>
      </c>
      <c r="AM278" s="2">
        <f>'CERRO EL PLOMO'!AL14</f>
        <v>0</v>
      </c>
      <c r="AN278" s="2">
        <f>'CERRO EL PLOMO'!AM14</f>
        <v>0</v>
      </c>
      <c r="AO278" s="2">
        <f>'CERRO EL PLOMO'!AN14</f>
        <v>0</v>
      </c>
      <c r="AP278" s="2">
        <f>'CERRO EL PLOMO'!AO14</f>
        <v>0</v>
      </c>
      <c r="AQ278" s="2">
        <f>'CERRO EL PLOMO'!AP14</f>
        <v>0</v>
      </c>
      <c r="AR278" s="2">
        <f>'CERRO EL PLOMO'!AQ14</f>
        <v>0</v>
      </c>
      <c r="AS278" s="2">
        <f>'CERRO EL PLOMO'!AR14</f>
        <v>0</v>
      </c>
      <c r="AT278" s="2">
        <f>'CERRO EL PLOMO'!AS14</f>
        <v>0</v>
      </c>
      <c r="AU278" s="2" t="str">
        <f>'CERRO EL PLOMO'!AT14</f>
        <v/>
      </c>
      <c r="AV278" s="2">
        <f>'CERRO EL PLOMO'!AU14</f>
        <v>0</v>
      </c>
      <c r="AW278" s="2" t="str">
        <f>'CERRO EL PLOMO'!AV14</f>
        <v/>
      </c>
      <c r="AX278" s="2">
        <f>'CERRO EL PLOMO'!AW14</f>
        <v>0</v>
      </c>
      <c r="AY278" s="2">
        <f>'CERRO EL PLOMO'!AX14</f>
        <v>0</v>
      </c>
      <c r="AZ278" s="2">
        <f>'CERRO EL PLOMO'!AY14</f>
        <v>0</v>
      </c>
      <c r="BA278" s="2" t="str">
        <f>'CERRO EL PLOMO'!AZ14</f>
        <v/>
      </c>
      <c r="BB278" s="2">
        <f>'CERRO EL PLOMO'!BA14</f>
        <v>0</v>
      </c>
      <c r="BC278" s="2" t="str">
        <f>'CERRO EL PLOMO'!BB14</f>
        <v/>
      </c>
      <c r="BD278" s="2">
        <f>'CERRO EL PLOMO'!BC14</f>
        <v>0</v>
      </c>
      <c r="BE278" s="2" t="str">
        <f>'CERRO EL PLOMO'!BD14</f>
        <v/>
      </c>
      <c r="BF278" s="2">
        <f>'CERRO EL PLOMO'!BE14</f>
        <v>0</v>
      </c>
      <c r="BG278" s="2">
        <f>'CERRO EL PLOMO'!BF14</f>
        <v>0</v>
      </c>
      <c r="BH278" s="2">
        <f>'CERRO EL PLOMO'!BG14</f>
        <v>0</v>
      </c>
      <c r="BI278" s="2">
        <f>'CERRO EL PLOMO'!BH14</f>
        <v>0</v>
      </c>
      <c r="BJ278" s="2" t="str">
        <f>'CERRO EL PLOMO'!BI14</f>
        <v/>
      </c>
      <c r="BK278" s="2">
        <f>'CERRO EL PLOMO'!BJ14</f>
        <v>0</v>
      </c>
      <c r="BL278" s="2">
        <f>'CERRO EL PLOMO'!BK14</f>
        <v>0</v>
      </c>
      <c r="BM278" s="2">
        <f>'CERRO EL PLOMO'!BL14</f>
        <v>0</v>
      </c>
      <c r="BN278" s="2">
        <f>'CERRO EL PLOMO'!BM14</f>
        <v>0</v>
      </c>
      <c r="BO278" s="2">
        <f>'CERRO EL PLOMO'!BN14</f>
        <v>0</v>
      </c>
      <c r="BP278" s="2" t="str">
        <f>'CERRO EL PLOMO'!BO14</f>
        <v/>
      </c>
      <c r="BQ278" s="2">
        <f>'CERRO EL PLOMO'!BP14</f>
        <v>0</v>
      </c>
      <c r="BR278" s="2">
        <f>'CERRO EL PLOMO'!BQ14</f>
        <v>0</v>
      </c>
      <c r="BS278" s="2">
        <f>'CERRO EL PLOMO'!BR14</f>
        <v>0</v>
      </c>
      <c r="BT278" s="2" t="str">
        <f>'CERRO EL PLOMO'!BS14</f>
        <v/>
      </c>
      <c r="BU278" s="2">
        <f>'CERRO EL PLOMO'!BT14</f>
        <v>0</v>
      </c>
      <c r="BV278" s="2" t="str">
        <f>'CERRO EL PLOMO'!BU14</f>
        <v/>
      </c>
      <c r="BW278" s="2">
        <f>'CERRO EL PLOMO'!BV14</f>
        <v>4</v>
      </c>
      <c r="BX278" s="2">
        <f>'CERRO EL PLOMO'!BW14</f>
        <v>4</v>
      </c>
      <c r="BY278" s="2" t="str">
        <f>'CERRO EL PLOMO'!BX14</f>
        <v/>
      </c>
      <c r="BZ278" s="2">
        <f>'CERRO EL PLOMO'!BY14</f>
        <v>4</v>
      </c>
      <c r="CA278" s="2">
        <f>'CERRO EL PLOMO'!BZ14</f>
        <v>4</v>
      </c>
      <c r="CB278" s="2" t="str">
        <f>'CERRO EL PLOMO'!CA14</f>
        <v/>
      </c>
      <c r="CC278" s="2" t="str">
        <f>'CERRO EL PLOMO'!CB14</f>
        <v/>
      </c>
    </row>
    <row r="279">
      <c r="A279" s="2"/>
      <c r="B279" s="2" t="str">
        <f>'CERRO EL PLOMO'!A15</f>
        <v>Cerro el Plomo</v>
      </c>
      <c r="C279" s="2" t="str">
        <f>'CERRO EL PLOMO'!B15</f>
        <v>Cafeteria</v>
      </c>
      <c r="D279" s="2" t="str">
        <f>'CERRO EL PLOMO'!C15</f>
        <v>Leche liquida</v>
      </c>
      <c r="E279" s="2" t="str">
        <f>'CERRO EL PLOMO'!D15</f>
        <v>3 cajas de 12 und</v>
      </c>
      <c r="F279" s="2" t="str">
        <f>'CERRO EL PLOMO'!E15</f>
        <v>2,5 cajas</v>
      </c>
      <c r="G279" s="2">
        <f>'CERRO EL PLOMO'!F15</f>
        <v>2</v>
      </c>
      <c r="H279" s="2">
        <f>'CERRO EL PLOMO'!G15</f>
        <v>2</v>
      </c>
      <c r="I279" s="2">
        <f>'CERRO EL PLOMO'!H15</f>
        <v>1</v>
      </c>
      <c r="J279" s="2">
        <f>'CERRO EL PLOMO'!I15</f>
        <v>1.5</v>
      </c>
      <c r="K279" s="2">
        <f>'CERRO EL PLOMO'!J15</f>
        <v>1</v>
      </c>
      <c r="L279" s="2" t="str">
        <f>'CERRO EL PLOMO'!K15</f>
        <v>12 litros</v>
      </c>
      <c r="M279" s="2">
        <f>'CERRO EL PLOMO'!L15</f>
        <v>30</v>
      </c>
      <c r="N279" s="2">
        <f>'CERRO EL PLOMO'!M15</f>
        <v>24</v>
      </c>
      <c r="O279" s="2">
        <f>'CERRO EL PLOMO'!N15</f>
        <v>20</v>
      </c>
      <c r="P279" s="2">
        <f>'CERRO EL PLOMO'!O15</f>
        <v>15</v>
      </c>
      <c r="Q279" s="2">
        <f>'CERRO EL PLOMO'!P15</f>
        <v>12</v>
      </c>
      <c r="R279" s="2">
        <f>'CERRO EL PLOMO'!Q15</f>
        <v>17</v>
      </c>
      <c r="S279" s="2">
        <f>'CERRO EL PLOMO'!R15</f>
        <v>24</v>
      </c>
      <c r="T279" s="2">
        <f>'CERRO EL PLOMO'!S15</f>
        <v>24</v>
      </c>
      <c r="U279" s="2">
        <f>'CERRO EL PLOMO'!T15</f>
        <v>20</v>
      </c>
      <c r="V279" s="2">
        <f>'CERRO EL PLOMO'!U15</f>
        <v>15</v>
      </c>
      <c r="W279" s="2">
        <f>'CERRO EL PLOMO'!V15</f>
        <v>13</v>
      </c>
      <c r="X279" s="2">
        <f>'CERRO EL PLOMO'!W15</f>
        <v>10</v>
      </c>
      <c r="Y279" s="2">
        <f>'CERRO EL PLOMO'!X15</f>
        <v>5</v>
      </c>
      <c r="Z279" s="2">
        <f>'CERRO EL PLOMO'!Y15</f>
        <v>10</v>
      </c>
      <c r="AA279" s="2">
        <f>'CERRO EL PLOMO'!Z15</f>
        <v>16</v>
      </c>
      <c r="AB279" s="2">
        <f>'CERRO EL PLOMO'!AA15</f>
        <v>12</v>
      </c>
      <c r="AC279" s="2">
        <f>'CERRO EL PLOMO'!AB15</f>
        <v>8</v>
      </c>
      <c r="AD279" s="2" t="str">
        <f>'CERRO EL PLOMO'!AC15</f>
        <v/>
      </c>
      <c r="AE279" s="2">
        <f>'CERRO EL PLOMO'!AD15</f>
        <v>6</v>
      </c>
      <c r="AF279" s="2">
        <f>'CERRO EL PLOMO'!AE15</f>
        <v>4</v>
      </c>
      <c r="AG279" s="2" t="str">
        <f>'CERRO EL PLOMO'!AF15</f>
        <v/>
      </c>
      <c r="AH279" s="2">
        <f>'CERRO EL PLOMO'!AG15</f>
        <v>1</v>
      </c>
      <c r="AI279" s="2" t="str">
        <f>'CERRO EL PLOMO'!AH15</f>
        <v/>
      </c>
      <c r="AJ279" s="2">
        <f>'CERRO EL PLOMO'!AI15</f>
        <v>0</v>
      </c>
      <c r="AK279" s="2" t="str">
        <f>'CERRO EL PLOMO'!AJ15</f>
        <v/>
      </c>
      <c r="AL279" s="2">
        <f>'CERRO EL PLOMO'!AK15</f>
        <v>12</v>
      </c>
      <c r="AM279" s="2">
        <f>'CERRO EL PLOMO'!AL15</f>
        <v>11</v>
      </c>
      <c r="AN279" s="2">
        <f>'CERRO EL PLOMO'!AM15</f>
        <v>10</v>
      </c>
      <c r="AO279" s="2">
        <f>'CERRO EL PLOMO'!AN15</f>
        <v>7</v>
      </c>
      <c r="AP279" s="2">
        <f>'CERRO EL PLOMO'!AO15</f>
        <v>4</v>
      </c>
      <c r="AQ279" s="2">
        <f>'CERRO EL PLOMO'!AP15</f>
        <v>3</v>
      </c>
      <c r="AR279" s="2">
        <f>'CERRO EL PLOMO'!AQ15</f>
        <v>13</v>
      </c>
      <c r="AS279" s="2">
        <f>'CERRO EL PLOMO'!AR15</f>
        <v>12</v>
      </c>
      <c r="AT279" s="2">
        <f>'CERRO EL PLOMO'!AS15</f>
        <v>11</v>
      </c>
      <c r="AU279" s="2" t="str">
        <f>'CERRO EL PLOMO'!AT15</f>
        <v/>
      </c>
      <c r="AV279" s="2">
        <f>'CERRO EL PLOMO'!AU15</f>
        <v>10</v>
      </c>
      <c r="AW279" s="2" t="str">
        <f>'CERRO EL PLOMO'!AV15</f>
        <v/>
      </c>
      <c r="AX279" s="2">
        <f>'CERRO EL PLOMO'!AW15</f>
        <v>6</v>
      </c>
      <c r="AY279" s="2">
        <f>'CERRO EL PLOMO'!AX15</f>
        <v>4</v>
      </c>
      <c r="AZ279" s="2">
        <f>'CERRO EL PLOMO'!AY15</f>
        <v>2</v>
      </c>
      <c r="BA279" s="2" t="str">
        <f>'CERRO EL PLOMO'!AZ15</f>
        <v/>
      </c>
      <c r="BB279" s="2">
        <f>'CERRO EL PLOMO'!BA15</f>
        <v>0</v>
      </c>
      <c r="BC279" s="2" t="str">
        <f>'CERRO EL PLOMO'!BB15</f>
        <v/>
      </c>
      <c r="BD279" s="2">
        <f>'CERRO EL PLOMO'!BC15</f>
        <v>0</v>
      </c>
      <c r="BE279" s="2">
        <f>'CERRO EL PLOMO'!BD15</f>
        <v>2</v>
      </c>
      <c r="BF279" s="2">
        <f>'CERRO EL PLOMO'!BE15</f>
        <v>1</v>
      </c>
      <c r="BG279" s="2">
        <f>'CERRO EL PLOMO'!BF15</f>
        <v>2</v>
      </c>
      <c r="BH279" s="2">
        <f>'CERRO EL PLOMO'!BG15</f>
        <v>1</v>
      </c>
      <c r="BI279" s="2">
        <f>'CERRO EL PLOMO'!BH15</f>
        <v>0</v>
      </c>
      <c r="BJ279" s="2">
        <f>'CERRO EL PLOMO'!BI15</f>
        <v>12</v>
      </c>
      <c r="BK279" s="2">
        <f>'CERRO EL PLOMO'!BJ15</f>
        <v>11</v>
      </c>
      <c r="BL279" s="2">
        <f>'CERRO EL PLOMO'!BK15</f>
        <v>9</v>
      </c>
      <c r="BM279" s="2">
        <f>'CERRO EL PLOMO'!BL15</f>
        <v>8</v>
      </c>
      <c r="BN279" s="2">
        <f>'CERRO EL PLOMO'!BM15</f>
        <v>5</v>
      </c>
      <c r="BO279" s="2">
        <f>'CERRO EL PLOMO'!BN15</f>
        <v>4</v>
      </c>
      <c r="BP279" s="2" t="str">
        <f>'CERRO EL PLOMO'!BO15</f>
        <v/>
      </c>
      <c r="BQ279" s="2">
        <f>'CERRO EL PLOMO'!BP15</f>
        <v>2</v>
      </c>
      <c r="BR279" s="2">
        <f>'CERRO EL PLOMO'!BQ15</f>
        <v>1</v>
      </c>
      <c r="BS279" s="2">
        <f>'CERRO EL PLOMO'!BR15</f>
        <v>0</v>
      </c>
      <c r="BT279" s="2" t="str">
        <f>'CERRO EL PLOMO'!BS15</f>
        <v/>
      </c>
      <c r="BU279" s="2">
        <f>'CERRO EL PLOMO'!BT15</f>
        <v>0</v>
      </c>
      <c r="BV279" s="2" t="str">
        <f>'CERRO EL PLOMO'!BU15</f>
        <v/>
      </c>
      <c r="BW279" s="2">
        <f>'CERRO EL PLOMO'!BV15</f>
        <v>24</v>
      </c>
      <c r="BX279" s="2">
        <f>'CERRO EL PLOMO'!BW15</f>
        <v>23</v>
      </c>
      <c r="BY279" s="2" t="str">
        <f>'CERRO EL PLOMO'!BX15</f>
        <v/>
      </c>
      <c r="BZ279" s="2">
        <f>'CERRO EL PLOMO'!BY15</f>
        <v>20</v>
      </c>
      <c r="CA279" s="2">
        <f>'CERRO EL PLOMO'!BZ15</f>
        <v>18</v>
      </c>
      <c r="CB279" s="2" t="str">
        <f>'CERRO EL PLOMO'!CA15</f>
        <v/>
      </c>
      <c r="CC279" s="2" t="str">
        <f>'CERRO EL PLOMO'!CB15</f>
        <v/>
      </c>
    </row>
    <row r="280">
      <c r="A280" s="2"/>
      <c r="B280" s="2" t="str">
        <f>'CERRO EL PLOMO'!A16</f>
        <v>Cerro el Plomo</v>
      </c>
      <c r="C280" s="2" t="str">
        <f>'CERRO EL PLOMO'!B16</f>
        <v>Cafeteria</v>
      </c>
      <c r="D280" s="2" t="str">
        <f>'CERRO EL PLOMO'!C16</f>
        <v>Servilletas</v>
      </c>
      <c r="E280" s="2" t="str">
        <f>'CERRO EL PLOMO'!D16</f>
        <v>1 paq</v>
      </c>
      <c r="F280" s="2">
        <f>'CERRO EL PLOMO'!E16</f>
        <v>0</v>
      </c>
      <c r="G280" s="2">
        <f>'CERRO EL PLOMO'!F16</f>
        <v>2</v>
      </c>
      <c r="H280" s="2">
        <f>'CERRO EL PLOMO'!G16</f>
        <v>0</v>
      </c>
      <c r="I280" s="2">
        <f>'CERRO EL PLOMO'!H16</f>
        <v>0</v>
      </c>
      <c r="J280" s="2">
        <f>'CERRO EL PLOMO'!I16</f>
        <v>11</v>
      </c>
      <c r="K280" s="2">
        <f>'CERRO EL PLOMO'!J16</f>
        <v>9</v>
      </c>
      <c r="L280" s="2">
        <f>'CERRO EL PLOMO'!K16</f>
        <v>7</v>
      </c>
      <c r="M280" s="2">
        <f>'CERRO EL PLOMO'!L16</f>
        <v>2</v>
      </c>
      <c r="N280" s="2">
        <f>'CERRO EL PLOMO'!M16</f>
        <v>0</v>
      </c>
      <c r="O280" s="2">
        <f>'CERRO EL PLOMO'!N16</f>
        <v>0</v>
      </c>
      <c r="P280" s="2">
        <f>'CERRO EL PLOMO'!O16</f>
        <v>6</v>
      </c>
      <c r="Q280" s="2">
        <f>'CERRO EL PLOMO'!P16</f>
        <v>4</v>
      </c>
      <c r="R280" s="2">
        <f>'CERRO EL PLOMO'!Q16</f>
        <v>15</v>
      </c>
      <c r="S280" s="2">
        <f>'CERRO EL PLOMO'!R16</f>
        <v>8</v>
      </c>
      <c r="T280" s="2">
        <f>'CERRO EL PLOMO'!S16</f>
        <v>6</v>
      </c>
      <c r="U280" s="2">
        <f>'CERRO EL PLOMO'!T16</f>
        <v>2</v>
      </c>
      <c r="V280" s="2">
        <f>'CERRO EL PLOMO'!U16</f>
        <v>0</v>
      </c>
      <c r="W280" s="2">
        <f>'CERRO EL PLOMO'!V16</f>
        <v>0</v>
      </c>
      <c r="X280" s="2">
        <f>'CERRO EL PLOMO'!W16</f>
        <v>0</v>
      </c>
      <c r="Y280" s="2">
        <f>'CERRO EL PLOMO'!X16</f>
        <v>0</v>
      </c>
      <c r="Z280" s="2">
        <f>'CERRO EL PLOMO'!Y16</f>
        <v>10</v>
      </c>
      <c r="AA280" s="2">
        <f>'CERRO EL PLOMO'!Z16</f>
        <v>9</v>
      </c>
      <c r="AB280" s="2">
        <f>'CERRO EL PLOMO'!AA16</f>
        <v>8</v>
      </c>
      <c r="AC280" s="2">
        <f>'CERRO EL PLOMO'!AB16</f>
        <v>4</v>
      </c>
      <c r="AD280" s="2" t="str">
        <f>'CERRO EL PLOMO'!AC16</f>
        <v/>
      </c>
      <c r="AE280" s="2">
        <f>'CERRO EL PLOMO'!AD16</f>
        <v>1</v>
      </c>
      <c r="AF280" s="2">
        <f>'CERRO EL PLOMO'!AE16</f>
        <v>0</v>
      </c>
      <c r="AG280" s="2" t="str">
        <f>'CERRO EL PLOMO'!AF16</f>
        <v/>
      </c>
      <c r="AH280" s="2">
        <f>'CERRO EL PLOMO'!AG16</f>
        <v>0</v>
      </c>
      <c r="AI280" s="2" t="str">
        <f>'CERRO EL PLOMO'!AH16</f>
        <v/>
      </c>
      <c r="AJ280" s="2">
        <f>'CERRO EL PLOMO'!AI16</f>
        <v>0</v>
      </c>
      <c r="AK280" s="2" t="str">
        <f>'CERRO EL PLOMO'!AJ16</f>
        <v/>
      </c>
      <c r="AL280" s="2">
        <f>'CERRO EL PLOMO'!AK16</f>
        <v>20</v>
      </c>
      <c r="AM280" s="2">
        <f>'CERRO EL PLOMO'!AL16</f>
        <v>20</v>
      </c>
      <c r="AN280" s="2">
        <f>'CERRO EL PLOMO'!AM16</f>
        <v>19</v>
      </c>
      <c r="AO280" s="2">
        <f>'CERRO EL PLOMO'!AN16</f>
        <v>17</v>
      </c>
      <c r="AP280" s="2">
        <f>'CERRO EL PLOMO'!AO16</f>
        <v>16</v>
      </c>
      <c r="AQ280" s="2">
        <f>'CERRO EL PLOMO'!AP16</f>
        <v>15</v>
      </c>
      <c r="AR280" s="2">
        <f>'CERRO EL PLOMO'!AQ16</f>
        <v>29</v>
      </c>
      <c r="AS280" s="2">
        <f>'CERRO EL PLOMO'!AR16</f>
        <v>27</v>
      </c>
      <c r="AT280" s="2">
        <f>'CERRO EL PLOMO'!AS16</f>
        <v>23</v>
      </c>
      <c r="AU280" s="2" t="str">
        <f>'CERRO EL PLOMO'!AT16</f>
        <v/>
      </c>
      <c r="AV280" s="2">
        <f>'CERRO EL PLOMO'!AU16</f>
        <v>23</v>
      </c>
      <c r="AW280" s="2" t="str">
        <f>'CERRO EL PLOMO'!AV16</f>
        <v/>
      </c>
      <c r="AX280" s="2">
        <f>'CERRO EL PLOMO'!AW16</f>
        <v>21</v>
      </c>
      <c r="AY280" s="2">
        <f>'CERRO EL PLOMO'!AX16</f>
        <v>21</v>
      </c>
      <c r="AZ280" s="2">
        <f>'CERRO EL PLOMO'!AY16</f>
        <v>20</v>
      </c>
      <c r="BA280" s="2" t="str">
        <f>'CERRO EL PLOMO'!AZ16</f>
        <v/>
      </c>
      <c r="BB280" s="2">
        <f>'CERRO EL PLOMO'!BA16</f>
        <v>20</v>
      </c>
      <c r="BC280" s="2" t="str">
        <f>'CERRO EL PLOMO'!BB16</f>
        <v/>
      </c>
      <c r="BD280" s="2">
        <f>'CERRO EL PLOMO'!BC16</f>
        <v>20</v>
      </c>
      <c r="BE280" s="2" t="str">
        <f>'CERRO EL PLOMO'!BD16</f>
        <v/>
      </c>
      <c r="BF280" s="2">
        <f>'CERRO EL PLOMO'!BE16</f>
        <v>18</v>
      </c>
      <c r="BG280" s="2">
        <f>'CERRO EL PLOMO'!BF16</f>
        <v>18</v>
      </c>
      <c r="BH280" s="2">
        <f>'CERRO EL PLOMO'!BG16</f>
        <v>17</v>
      </c>
      <c r="BI280" s="2">
        <f>'CERRO EL PLOMO'!BH16</f>
        <v>15</v>
      </c>
      <c r="BJ280" s="2" t="str">
        <f>'CERRO EL PLOMO'!BI16</f>
        <v/>
      </c>
      <c r="BK280" s="2">
        <f>'CERRO EL PLOMO'!BJ16</f>
        <v>14</v>
      </c>
      <c r="BL280" s="2">
        <f>'CERRO EL PLOMO'!BK16</f>
        <v>13</v>
      </c>
      <c r="BM280" s="2">
        <f>'CERRO EL PLOMO'!BL16</f>
        <v>12</v>
      </c>
      <c r="BN280" s="2">
        <f>'CERRO EL PLOMO'!BM16</f>
        <v>31</v>
      </c>
      <c r="BO280" s="2">
        <f>'CERRO EL PLOMO'!BN16</f>
        <v>30</v>
      </c>
      <c r="BP280" s="2" t="str">
        <f>'CERRO EL PLOMO'!BO16</f>
        <v/>
      </c>
      <c r="BQ280" s="2">
        <f>'CERRO EL PLOMO'!BP16</f>
        <v>27</v>
      </c>
      <c r="BR280" s="2">
        <f>'CERRO EL PLOMO'!BQ16</f>
        <v>26</v>
      </c>
      <c r="BS280" s="2">
        <f>'CERRO EL PLOMO'!BR16</f>
        <v>25</v>
      </c>
      <c r="BT280" s="2" t="str">
        <f>'CERRO EL PLOMO'!BS16</f>
        <v/>
      </c>
      <c r="BU280" s="2">
        <f>'CERRO EL PLOMO'!BT16</f>
        <v>25</v>
      </c>
      <c r="BV280" s="2" t="str">
        <f>'CERRO EL PLOMO'!BU16</f>
        <v/>
      </c>
      <c r="BW280" s="2">
        <f>'CERRO EL PLOMO'!BV16</f>
        <v>24</v>
      </c>
      <c r="BX280" s="2">
        <f>'CERRO EL PLOMO'!BW16</f>
        <v>23</v>
      </c>
      <c r="BY280" s="2" t="str">
        <f>'CERRO EL PLOMO'!BX16</f>
        <v/>
      </c>
      <c r="BZ280" s="2">
        <f>'CERRO EL PLOMO'!BY16</f>
        <v>21</v>
      </c>
      <c r="CA280" s="2">
        <f>'CERRO EL PLOMO'!BZ16</f>
        <v>20</v>
      </c>
      <c r="CB280" s="2" t="str">
        <f>'CERRO EL PLOMO'!CA16</f>
        <v/>
      </c>
      <c r="CC280" s="2" t="str">
        <f>'CERRO EL PLOMO'!CB16</f>
        <v/>
      </c>
    </row>
    <row r="281">
      <c r="A281" s="2"/>
      <c r="B281" s="2" t="str">
        <f>'CERRO EL PLOMO'!A17</f>
        <v>Cerro el Plomo</v>
      </c>
      <c r="C281" s="2" t="str">
        <f>'CERRO EL PLOMO'!B17</f>
        <v>Cafeteria</v>
      </c>
      <c r="D281" s="2" t="str">
        <f>'CERRO EL PLOMO'!C17</f>
        <v>Cafe Caribe Grano (KG)</v>
      </c>
      <c r="E281" s="2" t="str">
        <f>'CERRO EL PLOMO'!D17</f>
        <v/>
      </c>
      <c r="F281" s="2" t="str">
        <f>'CERRO EL PLOMO'!E17</f>
        <v/>
      </c>
      <c r="G281" s="2" t="str">
        <f>'CERRO EL PLOMO'!F17</f>
        <v/>
      </c>
      <c r="H281" s="2" t="str">
        <f>'CERRO EL PLOMO'!G17</f>
        <v/>
      </c>
      <c r="I281" s="2" t="str">
        <f>'CERRO EL PLOMO'!H17</f>
        <v/>
      </c>
      <c r="J281" s="2">
        <f>'CERRO EL PLOMO'!I17</f>
        <v>8</v>
      </c>
      <c r="K281" s="2">
        <f>'CERRO EL PLOMO'!J17</f>
        <v>20</v>
      </c>
      <c r="L281" s="2">
        <f>'CERRO EL PLOMO'!K17</f>
        <v>16</v>
      </c>
      <c r="M281" s="2">
        <f>'CERRO EL PLOMO'!L17</f>
        <v>9</v>
      </c>
      <c r="N281" s="2">
        <f>'CERRO EL PLOMO'!M17</f>
        <v>4</v>
      </c>
      <c r="O281" s="2">
        <f>'CERRO EL PLOMO'!N17</f>
        <v>2</v>
      </c>
      <c r="P281" s="2">
        <f>'CERRO EL PLOMO'!O17</f>
        <v>19</v>
      </c>
      <c r="Q281" s="2">
        <f>'CERRO EL PLOMO'!P17</f>
        <v>14</v>
      </c>
      <c r="R281" s="2">
        <f>'CERRO EL PLOMO'!Q17</f>
        <v>10</v>
      </c>
      <c r="S281" s="2">
        <f>'CERRO EL PLOMO'!R17</f>
        <v>8</v>
      </c>
      <c r="T281" s="2">
        <f>'CERRO EL PLOMO'!S17</f>
        <v>6</v>
      </c>
      <c r="U281" s="2">
        <f>'CERRO EL PLOMO'!T17</f>
        <v>3</v>
      </c>
      <c r="V281" s="2">
        <f>'CERRO EL PLOMO'!U17</f>
        <v>0</v>
      </c>
      <c r="W281" s="2">
        <f>'CERRO EL PLOMO'!V17</f>
        <v>0</v>
      </c>
      <c r="X281" s="2">
        <f>'CERRO EL PLOMO'!W17</f>
        <v>12</v>
      </c>
      <c r="Y281" s="2">
        <f>'CERRO EL PLOMO'!X17</f>
        <v>11</v>
      </c>
      <c r="Z281" s="2">
        <f>'CERRO EL PLOMO'!Y17</f>
        <v>4</v>
      </c>
      <c r="AA281" s="2">
        <f>'CERRO EL PLOMO'!Z17</f>
        <v>0</v>
      </c>
      <c r="AB281" s="2">
        <f>'CERRO EL PLOMO'!AA17</f>
        <v>15</v>
      </c>
      <c r="AC281" s="2">
        <f>'CERRO EL PLOMO'!AB17</f>
        <v>11</v>
      </c>
      <c r="AD281" s="2" t="str">
        <f>'CERRO EL PLOMO'!AC17</f>
        <v/>
      </c>
      <c r="AE281" s="2">
        <f>'CERRO EL PLOMO'!AD17</f>
        <v>9</v>
      </c>
      <c r="AF281" s="2">
        <f>'CERRO EL PLOMO'!AE17</f>
        <v>8</v>
      </c>
      <c r="AG281" s="2" t="str">
        <f>'CERRO EL PLOMO'!AF17</f>
        <v/>
      </c>
      <c r="AH281" s="2">
        <f>'CERRO EL PLOMO'!AG17</f>
        <v>6</v>
      </c>
      <c r="AI281" s="2" t="str">
        <f>'CERRO EL PLOMO'!AH17</f>
        <v/>
      </c>
      <c r="AJ281" s="2">
        <f>'CERRO EL PLOMO'!AI17</f>
        <v>4</v>
      </c>
      <c r="AK281" s="2">
        <f>'CERRO EL PLOMO'!AJ17</f>
        <v>11.5</v>
      </c>
      <c r="AL281" s="2" t="str">
        <f>'CERRO EL PLOMO'!AK17</f>
        <v/>
      </c>
      <c r="AM281" s="2">
        <f>'CERRO EL PLOMO'!AL17</f>
        <v>11</v>
      </c>
      <c r="AN281" s="2">
        <f>'CERRO EL PLOMO'!AM17</f>
        <v>10</v>
      </c>
      <c r="AO281" s="2">
        <f>'CERRO EL PLOMO'!AN17</f>
        <v>9.5</v>
      </c>
      <c r="AP281" s="2">
        <f>'CERRO EL PLOMO'!AO17</f>
        <v>9.5</v>
      </c>
      <c r="AQ281" s="2">
        <f>'CERRO EL PLOMO'!AP17</f>
        <v>8</v>
      </c>
      <c r="AR281" s="2">
        <f>'CERRO EL PLOMO'!AQ17</f>
        <v>16</v>
      </c>
      <c r="AS281" s="2">
        <f>'CERRO EL PLOMO'!AR17</f>
        <v>7.5</v>
      </c>
      <c r="AT281" s="2">
        <f>'CERRO EL PLOMO'!AS17</f>
        <v>7</v>
      </c>
      <c r="AU281" s="2" t="str">
        <f>'CERRO EL PLOMO'!AT17</f>
        <v/>
      </c>
      <c r="AV281" s="2">
        <f>'CERRO EL PLOMO'!AU17</f>
        <v>13</v>
      </c>
      <c r="AW281" s="2" t="str">
        <f>'CERRO EL PLOMO'!AV17</f>
        <v/>
      </c>
      <c r="AX281" s="2">
        <f>'CERRO EL PLOMO'!AW17</f>
        <v>11.5</v>
      </c>
      <c r="AY281" s="2">
        <f>'CERRO EL PLOMO'!AX17</f>
        <v>9.5</v>
      </c>
      <c r="AZ281" s="2">
        <f>'CERRO EL PLOMO'!AY17</f>
        <v>8.5</v>
      </c>
      <c r="BA281" s="2">
        <f>'CERRO EL PLOMO'!AZ17</f>
        <v>6</v>
      </c>
      <c r="BB281" s="2">
        <f>'CERRO EL PLOMO'!BA17</f>
        <v>6</v>
      </c>
      <c r="BC281" s="2" t="str">
        <f>'CERRO EL PLOMO'!BB17</f>
        <v/>
      </c>
      <c r="BD281" s="2">
        <f>'CERRO EL PLOMO'!BC17</f>
        <v>4</v>
      </c>
      <c r="BE281" s="2">
        <f>'CERRO EL PLOMO'!BD17</f>
        <v>1</v>
      </c>
      <c r="BF281" s="2">
        <f>'CERRO EL PLOMO'!BE17</f>
        <v>2</v>
      </c>
      <c r="BG281" s="2">
        <f>'CERRO EL PLOMO'!BF17</f>
        <v>8</v>
      </c>
      <c r="BH281" s="2">
        <f>'CERRO EL PLOMO'!BG17</f>
        <v>9</v>
      </c>
      <c r="BI281" s="2">
        <f>'CERRO EL PLOMO'!BH17</f>
        <v>9</v>
      </c>
      <c r="BJ281" s="2" t="str">
        <f>'CERRO EL PLOMO'!BI17</f>
        <v/>
      </c>
      <c r="BK281" s="2">
        <f>'CERRO EL PLOMO'!BJ17</f>
        <v>8</v>
      </c>
      <c r="BL281" s="2">
        <f>'CERRO EL PLOMO'!BK17</f>
        <v>7.5</v>
      </c>
      <c r="BM281" s="2">
        <f>'CERRO EL PLOMO'!BL17</f>
        <v>7</v>
      </c>
      <c r="BN281" s="2">
        <f>'CERRO EL PLOMO'!BM17</f>
        <v>5.5</v>
      </c>
      <c r="BO281" s="2">
        <f>'CERRO EL PLOMO'!BN17</f>
        <v>5</v>
      </c>
      <c r="BP281" s="2" t="str">
        <f>'CERRO EL PLOMO'!BO17</f>
        <v/>
      </c>
      <c r="BQ281" s="2">
        <f>'CERRO EL PLOMO'!BP17</f>
        <v>4</v>
      </c>
      <c r="BR281" s="2">
        <f>'CERRO EL PLOMO'!BQ17</f>
        <v>3.5</v>
      </c>
      <c r="BS281" s="2">
        <f>'CERRO EL PLOMO'!BR17</f>
        <v>16.6</v>
      </c>
      <c r="BT281" s="2" t="str">
        <f>'CERRO EL PLOMO'!BS17</f>
        <v/>
      </c>
      <c r="BU281" s="2">
        <f>'CERRO EL PLOMO'!BT17</f>
        <v>16</v>
      </c>
      <c r="BV281" s="2" t="str">
        <f>'CERRO EL PLOMO'!BU17</f>
        <v/>
      </c>
      <c r="BW281" s="2">
        <f>'CERRO EL PLOMO'!BV17</f>
        <v>14.5</v>
      </c>
      <c r="BX281" s="2">
        <f>'CERRO EL PLOMO'!BW17</f>
        <v>13.5</v>
      </c>
      <c r="BY281" s="2" t="str">
        <f>'CERRO EL PLOMO'!BX17</f>
        <v/>
      </c>
      <c r="BZ281" s="2">
        <f>'CERRO EL PLOMO'!BY17</f>
        <v>11.5</v>
      </c>
      <c r="CA281" s="2">
        <f>'CERRO EL PLOMO'!BZ17</f>
        <v>11.5</v>
      </c>
      <c r="CB281" s="2" t="str">
        <f>'CERRO EL PLOMO'!CA17</f>
        <v/>
      </c>
      <c r="CC281" s="2" t="str">
        <f>'CERRO EL PLOMO'!CB17</f>
        <v/>
      </c>
    </row>
    <row r="282">
      <c r="A282" s="2"/>
      <c r="B282" s="2" t="str">
        <f>'CERRO EL PLOMO'!A18</f>
        <v>Cerro el Plomo</v>
      </c>
      <c r="C282" s="2" t="str">
        <f>'CERRO EL PLOMO'!B18</f>
        <v>Cafeteria</v>
      </c>
      <c r="D282" s="2" t="str">
        <f>'CERRO EL PLOMO'!C18</f>
        <v>Sal</v>
      </c>
      <c r="E282" s="2" t="str">
        <f>'CERRO EL PLOMO'!D18</f>
        <v/>
      </c>
      <c r="F282" s="2" t="str">
        <f>'CERRO EL PLOMO'!E18</f>
        <v/>
      </c>
      <c r="G282" s="2" t="str">
        <f>'CERRO EL PLOMO'!F18</f>
        <v/>
      </c>
      <c r="H282" s="2" t="str">
        <f>'CERRO EL PLOMO'!G18</f>
        <v/>
      </c>
      <c r="I282" s="2" t="str">
        <f>'CERRO EL PLOMO'!H18</f>
        <v/>
      </c>
      <c r="J282" s="2" t="str">
        <f>'CERRO EL PLOMO'!I18</f>
        <v/>
      </c>
      <c r="K282" s="2" t="str">
        <f>'CERRO EL PLOMO'!J18</f>
        <v/>
      </c>
      <c r="L282" s="2" t="str">
        <f>'CERRO EL PLOMO'!K18</f>
        <v/>
      </c>
      <c r="M282" s="2" t="str">
        <f>'CERRO EL PLOMO'!L18</f>
        <v/>
      </c>
      <c r="N282" s="2" t="str">
        <f>'CERRO EL PLOMO'!M18</f>
        <v/>
      </c>
      <c r="O282" s="2" t="str">
        <f>'CERRO EL PLOMO'!N18</f>
        <v/>
      </c>
      <c r="P282" s="2" t="str">
        <f>'CERRO EL PLOMO'!O18</f>
        <v/>
      </c>
      <c r="Q282" s="2" t="str">
        <f>'CERRO EL PLOMO'!P18</f>
        <v/>
      </c>
      <c r="R282" s="2" t="str">
        <f>'CERRO EL PLOMO'!Q18</f>
        <v>-</v>
      </c>
      <c r="S282" s="2" t="str">
        <f>'CERRO EL PLOMO'!R18</f>
        <v>-</v>
      </c>
      <c r="T282" s="2" t="str">
        <f>'CERRO EL PLOMO'!S18</f>
        <v>-</v>
      </c>
      <c r="U282" s="2" t="str">
        <f>'CERRO EL PLOMO'!T18</f>
        <v>-</v>
      </c>
      <c r="V282" s="2" t="str">
        <f>'CERRO EL PLOMO'!U18</f>
        <v>-</v>
      </c>
      <c r="W282" s="2" t="str">
        <f>'CERRO EL PLOMO'!V18</f>
        <v>-</v>
      </c>
      <c r="X282" s="2" t="str">
        <f>'CERRO EL PLOMO'!W18</f>
        <v>-</v>
      </c>
      <c r="Y282" s="2" t="str">
        <f>'CERRO EL PLOMO'!X18</f>
        <v>-</v>
      </c>
      <c r="Z282" s="2">
        <f>'CERRO EL PLOMO'!Y18</f>
        <v>0</v>
      </c>
      <c r="AA282" s="2">
        <f>'CERRO EL PLOMO'!Z18</f>
        <v>2</v>
      </c>
      <c r="AB282" s="2" t="str">
        <f>'CERRO EL PLOMO'!AA18</f>
        <v/>
      </c>
      <c r="AC282" s="2">
        <f>'CERRO EL PLOMO'!AB18</f>
        <v>1</v>
      </c>
      <c r="AD282" s="2" t="str">
        <f>'CERRO EL PLOMO'!AC18</f>
        <v/>
      </c>
      <c r="AE282" s="2">
        <f>'CERRO EL PLOMO'!AD18</f>
        <v>2</v>
      </c>
      <c r="AF282" s="2">
        <f>'CERRO EL PLOMO'!AE18</f>
        <v>2</v>
      </c>
      <c r="AG282" s="2" t="str">
        <f>'CERRO EL PLOMO'!AF18</f>
        <v/>
      </c>
      <c r="AH282" s="2">
        <f>'CERRO EL PLOMO'!AG18</f>
        <v>2</v>
      </c>
      <c r="AI282" s="2" t="str">
        <f>'CERRO EL PLOMO'!AH18</f>
        <v/>
      </c>
      <c r="AJ282" s="2">
        <f>'CERRO EL PLOMO'!AI18</f>
        <v>2</v>
      </c>
      <c r="AK282" s="2" t="str">
        <f>'CERRO EL PLOMO'!AJ18</f>
        <v/>
      </c>
      <c r="AL282" s="2">
        <f>'CERRO EL PLOMO'!AK18</f>
        <v>1</v>
      </c>
      <c r="AM282" s="2">
        <f>'CERRO EL PLOMO'!AL18</f>
        <v>3</v>
      </c>
      <c r="AN282" s="2">
        <f>'CERRO EL PLOMO'!AM18</f>
        <v>3</v>
      </c>
      <c r="AO282" s="2">
        <f>'CERRO EL PLOMO'!AN18</f>
        <v>3</v>
      </c>
      <c r="AP282" s="2">
        <f>'CERRO EL PLOMO'!AO18</f>
        <v>3</v>
      </c>
      <c r="AQ282" s="2">
        <f>'CERRO EL PLOMO'!AP18</f>
        <v>3</v>
      </c>
      <c r="AR282" s="2">
        <f>'CERRO EL PLOMO'!AQ18</f>
        <v>4</v>
      </c>
      <c r="AS282" s="2">
        <f>'CERRO EL PLOMO'!AR18</f>
        <v>4</v>
      </c>
      <c r="AT282" s="2">
        <f>'CERRO EL PLOMO'!AS18</f>
        <v>4</v>
      </c>
      <c r="AU282" s="2" t="str">
        <f>'CERRO EL PLOMO'!AT18</f>
        <v/>
      </c>
      <c r="AV282" s="2">
        <f>'CERRO EL PLOMO'!AU18</f>
        <v>4</v>
      </c>
      <c r="AW282" s="2" t="str">
        <f>'CERRO EL PLOMO'!AV18</f>
        <v/>
      </c>
      <c r="AX282" s="2">
        <f>'CERRO EL PLOMO'!AW18</f>
        <v>4</v>
      </c>
      <c r="AY282" s="2">
        <f>'CERRO EL PLOMO'!AX18</f>
        <v>4</v>
      </c>
      <c r="AZ282" s="2">
        <f>'CERRO EL PLOMO'!AY18</f>
        <v>4</v>
      </c>
      <c r="BA282" s="2" t="str">
        <f>'CERRO EL PLOMO'!AZ18</f>
        <v/>
      </c>
      <c r="BB282" s="2">
        <f>'CERRO EL PLOMO'!BA18</f>
        <v>4</v>
      </c>
      <c r="BC282" s="2" t="str">
        <f>'CERRO EL PLOMO'!BB18</f>
        <v/>
      </c>
      <c r="BD282" s="2">
        <f>'CERRO EL PLOMO'!BC18</f>
        <v>4</v>
      </c>
      <c r="BE282" s="2" t="str">
        <f>'CERRO EL PLOMO'!BD18</f>
        <v/>
      </c>
      <c r="BF282" s="2">
        <f>'CERRO EL PLOMO'!BE18</f>
        <v>4</v>
      </c>
      <c r="BG282" s="2">
        <f>'CERRO EL PLOMO'!BF18</f>
        <v>4</v>
      </c>
      <c r="BH282" s="2">
        <f>'CERRO EL PLOMO'!BG18</f>
        <v>4</v>
      </c>
      <c r="BI282" s="2">
        <f>'CERRO EL PLOMO'!BH18</f>
        <v>4</v>
      </c>
      <c r="BJ282" s="2" t="str">
        <f>'CERRO EL PLOMO'!BI18</f>
        <v/>
      </c>
      <c r="BK282" s="2">
        <f>'CERRO EL PLOMO'!BJ18</f>
        <v>4</v>
      </c>
      <c r="BL282" s="2">
        <f>'CERRO EL PLOMO'!BK18</f>
        <v>4</v>
      </c>
      <c r="BM282" s="2">
        <f>'CERRO EL PLOMO'!BL18</f>
        <v>4</v>
      </c>
      <c r="BN282" s="2">
        <f>'CERRO EL PLOMO'!BM18</f>
        <v>4</v>
      </c>
      <c r="BO282" s="2">
        <f>'CERRO EL PLOMO'!BN18</f>
        <v>4</v>
      </c>
      <c r="BP282" s="2" t="str">
        <f>'CERRO EL PLOMO'!BO18</f>
        <v/>
      </c>
      <c r="BQ282" s="2">
        <f>'CERRO EL PLOMO'!BP18</f>
        <v>4</v>
      </c>
      <c r="BR282" s="2">
        <f>'CERRO EL PLOMO'!BQ18</f>
        <v>4</v>
      </c>
      <c r="BS282" s="2">
        <f>'CERRO EL PLOMO'!BR18</f>
        <v>4</v>
      </c>
      <c r="BT282" s="2" t="str">
        <f>'CERRO EL PLOMO'!BS18</f>
        <v/>
      </c>
      <c r="BU282" s="2">
        <f>'CERRO EL PLOMO'!BT18</f>
        <v>4</v>
      </c>
      <c r="BV282" s="2" t="str">
        <f>'CERRO EL PLOMO'!BU18</f>
        <v/>
      </c>
      <c r="BW282" s="2">
        <f>'CERRO EL PLOMO'!BV18</f>
        <v>4</v>
      </c>
      <c r="BX282" s="2">
        <f>'CERRO EL PLOMO'!BW18</f>
        <v>4</v>
      </c>
      <c r="BY282" s="2" t="str">
        <f>'CERRO EL PLOMO'!BX18</f>
        <v/>
      </c>
      <c r="BZ282" s="2">
        <f>'CERRO EL PLOMO'!BY18</f>
        <v>4</v>
      </c>
      <c r="CA282" s="2">
        <f>'CERRO EL PLOMO'!BZ18</f>
        <v>3</v>
      </c>
      <c r="CB282" s="2" t="str">
        <f>'CERRO EL PLOMO'!CA18</f>
        <v/>
      </c>
      <c r="CC282" s="2" t="str">
        <f>'CERRO EL PLOMO'!CB18</f>
        <v/>
      </c>
    </row>
    <row r="283">
      <c r="A283" s="2"/>
      <c r="B283" s="2" t="str">
        <f>'CERRO EL PLOMO'!A19</f>
        <v>Cerro el Plomo</v>
      </c>
      <c r="C283" s="2" t="str">
        <f>'CERRO EL PLOMO'!B19</f>
        <v>Cafeteria</v>
      </c>
      <c r="D283" s="2" t="str">
        <f>'CERRO EL PLOMO'!C19</f>
        <v>Aceite de oliva </v>
      </c>
      <c r="E283" s="2" t="str">
        <f>'CERRO EL PLOMO'!D19</f>
        <v/>
      </c>
      <c r="F283" s="2" t="str">
        <f>'CERRO EL PLOMO'!E19</f>
        <v/>
      </c>
      <c r="G283" s="2" t="str">
        <f>'CERRO EL PLOMO'!F19</f>
        <v/>
      </c>
      <c r="H283" s="2" t="str">
        <f>'CERRO EL PLOMO'!G19</f>
        <v/>
      </c>
      <c r="I283" s="2" t="str">
        <f>'CERRO EL PLOMO'!H19</f>
        <v/>
      </c>
      <c r="J283" s="2" t="str">
        <f>'CERRO EL PLOMO'!I19</f>
        <v/>
      </c>
      <c r="K283" s="2" t="str">
        <f>'CERRO EL PLOMO'!J19</f>
        <v/>
      </c>
      <c r="L283" s="2" t="str">
        <f>'CERRO EL PLOMO'!K19</f>
        <v/>
      </c>
      <c r="M283" s="2" t="str">
        <f>'CERRO EL PLOMO'!L19</f>
        <v/>
      </c>
      <c r="N283" s="2" t="str">
        <f>'CERRO EL PLOMO'!M19</f>
        <v/>
      </c>
      <c r="O283" s="2" t="str">
        <f>'CERRO EL PLOMO'!N19</f>
        <v/>
      </c>
      <c r="P283" s="2" t="str">
        <f>'CERRO EL PLOMO'!O19</f>
        <v/>
      </c>
      <c r="Q283" s="2" t="str">
        <f>'CERRO EL PLOMO'!P19</f>
        <v/>
      </c>
      <c r="R283" s="2" t="str">
        <f>'CERRO EL PLOMO'!Q19</f>
        <v/>
      </c>
      <c r="S283" s="2" t="str">
        <f>'CERRO EL PLOMO'!R19</f>
        <v/>
      </c>
      <c r="T283" s="2" t="str">
        <f>'CERRO EL PLOMO'!S19</f>
        <v/>
      </c>
      <c r="U283" s="2" t="str">
        <f>'CERRO EL PLOMO'!T19</f>
        <v/>
      </c>
      <c r="V283" s="2" t="str">
        <f>'CERRO EL PLOMO'!U19</f>
        <v/>
      </c>
      <c r="W283" s="2" t="str">
        <f>'CERRO EL PLOMO'!V19</f>
        <v/>
      </c>
      <c r="X283" s="2" t="str">
        <f>'CERRO EL PLOMO'!W19</f>
        <v/>
      </c>
      <c r="Y283" s="2" t="str">
        <f>'CERRO EL PLOMO'!X19</f>
        <v/>
      </c>
      <c r="Z283" s="2" t="str">
        <f>'CERRO EL PLOMO'!Y19</f>
        <v/>
      </c>
      <c r="AA283" s="2" t="str">
        <f>'CERRO EL PLOMO'!Z19</f>
        <v/>
      </c>
      <c r="AB283" s="2" t="str">
        <f>'CERRO EL PLOMO'!AA19</f>
        <v/>
      </c>
      <c r="AC283" s="2" t="str">
        <f>'CERRO EL PLOMO'!AB19</f>
        <v/>
      </c>
      <c r="AD283" s="2" t="str">
        <f>'CERRO EL PLOMO'!AC19</f>
        <v/>
      </c>
      <c r="AE283" s="2" t="str">
        <f>'CERRO EL PLOMO'!AD19</f>
        <v/>
      </c>
      <c r="AF283" s="2" t="str">
        <f>'CERRO EL PLOMO'!AE19</f>
        <v/>
      </c>
      <c r="AG283" s="2" t="str">
        <f>'CERRO EL PLOMO'!AF19</f>
        <v/>
      </c>
      <c r="AH283" s="2" t="str">
        <f>'CERRO EL PLOMO'!AG19</f>
        <v/>
      </c>
      <c r="AI283" s="2" t="str">
        <f>'CERRO EL PLOMO'!AH19</f>
        <v/>
      </c>
      <c r="AJ283" s="2" t="str">
        <f>'CERRO EL PLOMO'!AI19</f>
        <v/>
      </c>
      <c r="AK283" s="2" t="str">
        <f>'CERRO EL PLOMO'!AJ19</f>
        <v/>
      </c>
      <c r="AL283" s="2">
        <f>'CERRO EL PLOMO'!AK19</f>
        <v>2</v>
      </c>
      <c r="AM283" s="2">
        <f>'CERRO EL PLOMO'!AL19</f>
        <v>5</v>
      </c>
      <c r="AN283" s="2">
        <f>'CERRO EL PLOMO'!AM19</f>
        <v>5</v>
      </c>
      <c r="AO283" s="2">
        <f>'CERRO EL PLOMO'!AN19</f>
        <v>5</v>
      </c>
      <c r="AP283" s="2">
        <f>'CERRO EL PLOMO'!AO19</f>
        <v>5</v>
      </c>
      <c r="AQ283" s="2">
        <f>'CERRO EL PLOMO'!AP19</f>
        <v>5</v>
      </c>
      <c r="AR283" s="2">
        <f>'CERRO EL PLOMO'!AQ19</f>
        <v>7</v>
      </c>
      <c r="AS283" s="2">
        <f>'CERRO EL PLOMO'!AR19</f>
        <v>7</v>
      </c>
      <c r="AT283" s="2">
        <f>'CERRO EL PLOMO'!AS19</f>
        <v>7</v>
      </c>
      <c r="AU283" s="2" t="str">
        <f>'CERRO EL PLOMO'!AT19</f>
        <v/>
      </c>
      <c r="AV283" s="2">
        <f>'CERRO EL PLOMO'!AU19</f>
        <v>7</v>
      </c>
      <c r="AW283" s="2">
        <f>'CERRO EL PLOMO'!AV19</f>
        <v>1</v>
      </c>
      <c r="AX283" s="2">
        <f>'CERRO EL PLOMO'!AW19</f>
        <v>4</v>
      </c>
      <c r="AY283" s="2">
        <f>'CERRO EL PLOMO'!AX19</f>
        <v>4</v>
      </c>
      <c r="AZ283" s="2">
        <f>'CERRO EL PLOMO'!AY19</f>
        <v>4</v>
      </c>
      <c r="BA283" s="2" t="str">
        <f>'CERRO EL PLOMO'!AZ19</f>
        <v/>
      </c>
      <c r="BB283" s="2">
        <f>'CERRO EL PLOMO'!BA19</f>
        <v>4</v>
      </c>
      <c r="BC283" s="2" t="str">
        <f>'CERRO EL PLOMO'!BB19</f>
        <v/>
      </c>
      <c r="BD283" s="2">
        <f>'CERRO EL PLOMO'!BC19</f>
        <v>3</v>
      </c>
      <c r="BE283" s="2" t="str">
        <f>'CERRO EL PLOMO'!BD19</f>
        <v/>
      </c>
      <c r="BF283" s="2">
        <f>'CERRO EL PLOMO'!BE19</f>
        <v>3</v>
      </c>
      <c r="BG283" s="2">
        <f>'CERRO EL PLOMO'!BF19</f>
        <v>3</v>
      </c>
      <c r="BH283" s="2">
        <f>'CERRO EL PLOMO'!BG19</f>
        <v>3</v>
      </c>
      <c r="BI283" s="2">
        <f>'CERRO EL PLOMO'!BH19</f>
        <v>3</v>
      </c>
      <c r="BJ283" s="2" t="str">
        <f>'CERRO EL PLOMO'!BI19</f>
        <v/>
      </c>
      <c r="BK283" s="2">
        <f>'CERRO EL PLOMO'!BJ19</f>
        <v>3</v>
      </c>
      <c r="BL283" s="2">
        <f>'CERRO EL PLOMO'!BK19</f>
        <v>2</v>
      </c>
      <c r="BM283" s="2">
        <f>'CERRO EL PLOMO'!BL19</f>
        <v>2</v>
      </c>
      <c r="BN283" s="2">
        <f>'CERRO EL PLOMO'!BM19</f>
        <v>2</v>
      </c>
      <c r="BO283" s="2">
        <f>'CERRO EL PLOMO'!BN19</f>
        <v>2</v>
      </c>
      <c r="BP283" s="2" t="str">
        <f>'CERRO EL PLOMO'!BO19</f>
        <v/>
      </c>
      <c r="BQ283" s="2">
        <f>'CERRO EL PLOMO'!BP19</f>
        <v>2</v>
      </c>
      <c r="BR283" s="2">
        <f>'CERRO EL PLOMO'!BQ19</f>
        <v>2</v>
      </c>
      <c r="BS283" s="2">
        <f>'CERRO EL PLOMO'!BR19</f>
        <v>1</v>
      </c>
      <c r="BT283" s="2" t="str">
        <f>'CERRO EL PLOMO'!BS19</f>
        <v/>
      </c>
      <c r="BU283" s="2">
        <f>'CERRO EL PLOMO'!BT19</f>
        <v>1</v>
      </c>
      <c r="BV283" s="2" t="str">
        <f>'CERRO EL PLOMO'!BU19</f>
        <v/>
      </c>
      <c r="BW283" s="2">
        <f>'CERRO EL PLOMO'!BV19</f>
        <v>4</v>
      </c>
      <c r="BX283" s="2">
        <f>'CERRO EL PLOMO'!BW19</f>
        <v>4</v>
      </c>
      <c r="BY283" s="2" t="str">
        <f>'CERRO EL PLOMO'!BX19</f>
        <v/>
      </c>
      <c r="BZ283" s="2">
        <f>'CERRO EL PLOMO'!BY19</f>
        <v>4</v>
      </c>
      <c r="CA283" s="2">
        <f>'CERRO EL PLOMO'!BZ19</f>
        <v>4</v>
      </c>
      <c r="CB283" s="2" t="str">
        <f>'CERRO EL PLOMO'!CA19</f>
        <v/>
      </c>
      <c r="CC283" s="2" t="str">
        <f>'CERRO EL PLOMO'!CB19</f>
        <v/>
      </c>
    </row>
    <row r="284">
      <c r="A284" s="2"/>
      <c r="B284" s="2" t="str">
        <f>'CERRO EL PLOMO'!A20</f>
        <v>Cerro el Plomo</v>
      </c>
      <c r="C284" s="2" t="str">
        <f>'CERRO EL PLOMO'!B20</f>
        <v>Cafeteria</v>
      </c>
      <c r="D284" s="2" t="str">
        <f>'CERRO EL PLOMO'!C20</f>
        <v>Aceto Balsamico</v>
      </c>
      <c r="E284" s="2" t="str">
        <f>'CERRO EL PLOMO'!D20</f>
        <v/>
      </c>
      <c r="F284" s="2" t="str">
        <f>'CERRO EL PLOMO'!E20</f>
        <v/>
      </c>
      <c r="G284" s="2" t="str">
        <f>'CERRO EL PLOMO'!F20</f>
        <v/>
      </c>
      <c r="H284" s="2" t="str">
        <f>'CERRO EL PLOMO'!G20</f>
        <v/>
      </c>
      <c r="I284" s="2" t="str">
        <f>'CERRO EL PLOMO'!H20</f>
        <v/>
      </c>
      <c r="J284" s="2" t="str">
        <f>'CERRO EL PLOMO'!I20</f>
        <v/>
      </c>
      <c r="K284" s="2" t="str">
        <f>'CERRO EL PLOMO'!J20</f>
        <v/>
      </c>
      <c r="L284" s="2" t="str">
        <f>'CERRO EL PLOMO'!K20</f>
        <v/>
      </c>
      <c r="M284" s="2" t="str">
        <f>'CERRO EL PLOMO'!L20</f>
        <v/>
      </c>
      <c r="N284" s="2" t="str">
        <f>'CERRO EL PLOMO'!M20</f>
        <v/>
      </c>
      <c r="O284" s="2" t="str">
        <f>'CERRO EL PLOMO'!N20</f>
        <v/>
      </c>
      <c r="P284" s="2" t="str">
        <f>'CERRO EL PLOMO'!O20</f>
        <v/>
      </c>
      <c r="Q284" s="2" t="str">
        <f>'CERRO EL PLOMO'!P20</f>
        <v/>
      </c>
      <c r="R284" s="2" t="str">
        <f>'CERRO EL PLOMO'!Q20</f>
        <v>-</v>
      </c>
      <c r="S284" s="2" t="str">
        <f>'CERRO EL PLOMO'!R20</f>
        <v>-</v>
      </c>
      <c r="T284" s="2" t="str">
        <f>'CERRO EL PLOMO'!S20</f>
        <v>-</v>
      </c>
      <c r="U284" s="2" t="str">
        <f>'CERRO EL PLOMO'!T20</f>
        <v>-</v>
      </c>
      <c r="V284" s="2" t="str">
        <f>'CERRO EL PLOMO'!U20</f>
        <v>-</v>
      </c>
      <c r="W284" s="2" t="str">
        <f>'CERRO EL PLOMO'!V20</f>
        <v>-</v>
      </c>
      <c r="X284" s="2" t="str">
        <f>'CERRO EL PLOMO'!W20</f>
        <v>-</v>
      </c>
      <c r="Y284" s="2" t="str">
        <f>'CERRO EL PLOMO'!X20</f>
        <v>-</v>
      </c>
      <c r="Z284" s="2">
        <f>'CERRO EL PLOMO'!Y20</f>
        <v>0</v>
      </c>
      <c r="AA284" s="2">
        <f>'CERRO EL PLOMO'!Z20</f>
        <v>7</v>
      </c>
      <c r="AB284" s="2" t="str">
        <f>'CERRO EL PLOMO'!AA20</f>
        <v/>
      </c>
      <c r="AC284" s="2">
        <f>'CERRO EL PLOMO'!AB20</f>
        <v>0</v>
      </c>
      <c r="AD284" s="2" t="str">
        <f>'CERRO EL PLOMO'!AC20</f>
        <v/>
      </c>
      <c r="AE284" s="2">
        <f>'CERRO EL PLOMO'!AD20</f>
        <v>0</v>
      </c>
      <c r="AF284" s="2">
        <f>'CERRO EL PLOMO'!AE20</f>
        <v>0</v>
      </c>
      <c r="AG284" s="2" t="str">
        <f>'CERRO EL PLOMO'!AF20</f>
        <v/>
      </c>
      <c r="AH284" s="2">
        <f>'CERRO EL PLOMO'!AG20</f>
        <v>0</v>
      </c>
      <c r="AI284" s="2" t="str">
        <f>'CERRO EL PLOMO'!AH20</f>
        <v/>
      </c>
      <c r="AJ284" s="2">
        <f>'CERRO EL PLOMO'!AI20</f>
        <v>0</v>
      </c>
      <c r="AK284" s="2" t="str">
        <f>'CERRO EL PLOMO'!AJ20</f>
        <v/>
      </c>
      <c r="AL284" s="2">
        <f>'CERRO EL PLOMO'!AK20</f>
        <v>3</v>
      </c>
      <c r="AM284" s="2">
        <f>'CERRO EL PLOMO'!AL20</f>
        <v>2</v>
      </c>
      <c r="AN284" s="2">
        <f>'CERRO EL PLOMO'!AM20</f>
        <v>2</v>
      </c>
      <c r="AO284" s="2">
        <f>'CERRO EL PLOMO'!AN20</f>
        <v>2</v>
      </c>
      <c r="AP284" s="2">
        <f>'CERRO EL PLOMO'!AO20</f>
        <v>2</v>
      </c>
      <c r="AQ284" s="2">
        <f>'CERRO EL PLOMO'!AP20</f>
        <v>2</v>
      </c>
      <c r="AR284" s="2">
        <f>'CERRO EL PLOMO'!AQ20</f>
        <v>4</v>
      </c>
      <c r="AS284" s="2">
        <f>'CERRO EL PLOMO'!AR20</f>
        <v>4</v>
      </c>
      <c r="AT284" s="2">
        <f>'CERRO EL PLOMO'!AS20</f>
        <v>4</v>
      </c>
      <c r="AU284" s="2" t="str">
        <f>'CERRO EL PLOMO'!AT20</f>
        <v/>
      </c>
      <c r="AV284" s="2">
        <f>'CERRO EL PLOMO'!AU20</f>
        <v>4</v>
      </c>
      <c r="AW284" s="2" t="str">
        <f>'CERRO EL PLOMO'!AV20</f>
        <v/>
      </c>
      <c r="AX284" s="2">
        <f>'CERRO EL PLOMO'!AW20</f>
        <v>4</v>
      </c>
      <c r="AY284" s="2">
        <f>'CERRO EL PLOMO'!AX20</f>
        <v>4</v>
      </c>
      <c r="AZ284" s="2">
        <f>'CERRO EL PLOMO'!AY20</f>
        <v>4</v>
      </c>
      <c r="BA284" s="2" t="str">
        <f>'CERRO EL PLOMO'!AZ20</f>
        <v/>
      </c>
      <c r="BB284" s="2">
        <f>'CERRO EL PLOMO'!BA20</f>
        <v>4</v>
      </c>
      <c r="BC284" s="2" t="str">
        <f>'CERRO EL PLOMO'!BB20</f>
        <v/>
      </c>
      <c r="BD284" s="2">
        <f>'CERRO EL PLOMO'!BC20</f>
        <v>4</v>
      </c>
      <c r="BE284" s="2" t="str">
        <f>'CERRO EL PLOMO'!BD20</f>
        <v/>
      </c>
      <c r="BF284" s="2">
        <f>'CERRO EL PLOMO'!BE20</f>
        <v>4</v>
      </c>
      <c r="BG284" s="2">
        <f>'CERRO EL PLOMO'!BF20</f>
        <v>4</v>
      </c>
      <c r="BH284" s="2">
        <f>'CERRO EL PLOMO'!BG20</f>
        <v>4</v>
      </c>
      <c r="BI284" s="2">
        <f>'CERRO EL PLOMO'!BH20</f>
        <v>4</v>
      </c>
      <c r="BJ284" s="2" t="str">
        <f>'CERRO EL PLOMO'!BI20</f>
        <v/>
      </c>
      <c r="BK284" s="2">
        <f>'CERRO EL PLOMO'!BJ20</f>
        <v>4</v>
      </c>
      <c r="BL284" s="2">
        <f>'CERRO EL PLOMO'!BK20</f>
        <v>3</v>
      </c>
      <c r="BM284" s="2">
        <f>'CERRO EL PLOMO'!BL20</f>
        <v>3</v>
      </c>
      <c r="BN284" s="2">
        <f>'CERRO EL PLOMO'!BM20</f>
        <v>3</v>
      </c>
      <c r="BO284" s="2">
        <f>'CERRO EL PLOMO'!BN20</f>
        <v>3</v>
      </c>
      <c r="BP284" s="2" t="str">
        <f>'CERRO EL PLOMO'!BO20</f>
        <v/>
      </c>
      <c r="BQ284" s="2">
        <f>'CERRO EL PLOMO'!BP20</f>
        <v>3</v>
      </c>
      <c r="BR284" s="2">
        <f>'CERRO EL PLOMO'!BQ20</f>
        <v>3</v>
      </c>
      <c r="BS284" s="2">
        <f>'CERRO EL PLOMO'!BR20</f>
        <v>3</v>
      </c>
      <c r="BT284" s="2" t="str">
        <f>'CERRO EL PLOMO'!BS20</f>
        <v/>
      </c>
      <c r="BU284" s="2">
        <f>'CERRO EL PLOMO'!BT20</f>
        <v>3</v>
      </c>
      <c r="BV284" s="2" t="str">
        <f>'CERRO EL PLOMO'!BU20</f>
        <v/>
      </c>
      <c r="BW284" s="2">
        <f>'CERRO EL PLOMO'!BV20</f>
        <v>3</v>
      </c>
      <c r="BX284" s="2">
        <f>'CERRO EL PLOMO'!BW20</f>
        <v>3</v>
      </c>
      <c r="BY284" s="2" t="str">
        <f>'CERRO EL PLOMO'!BX20</f>
        <v/>
      </c>
      <c r="BZ284" s="2">
        <f>'CERRO EL PLOMO'!BY20</f>
        <v>3</v>
      </c>
      <c r="CA284" s="2">
        <f>'CERRO EL PLOMO'!BZ20</f>
        <v>2</v>
      </c>
      <c r="CB284" s="2" t="str">
        <f>'CERRO EL PLOMO'!CA20</f>
        <v/>
      </c>
      <c r="CC284" s="2" t="str">
        <f>'CERRO EL PLOMO'!CB20</f>
        <v/>
      </c>
    </row>
    <row r="285">
      <c r="A285" s="2"/>
      <c r="B285" s="2" t="str">
        <f>'CERRO EL PLOMO'!A21</f>
        <v>Cerro el Plomo</v>
      </c>
      <c r="C285" s="2" t="str">
        <f>'CERRO EL PLOMO'!B21</f>
        <v>Cafeteria</v>
      </c>
      <c r="D285" s="2" t="str">
        <f>'CERRO EL PLOMO'!C21</f>
        <v>Vinagre</v>
      </c>
      <c r="E285" s="2" t="str">
        <f>'CERRO EL PLOMO'!D21</f>
        <v/>
      </c>
      <c r="F285" s="2" t="str">
        <f>'CERRO EL PLOMO'!E21</f>
        <v/>
      </c>
      <c r="G285" s="2" t="str">
        <f>'CERRO EL PLOMO'!F21</f>
        <v/>
      </c>
      <c r="H285" s="2" t="str">
        <f>'CERRO EL PLOMO'!G21</f>
        <v/>
      </c>
      <c r="I285" s="2" t="str">
        <f>'CERRO EL PLOMO'!H21</f>
        <v/>
      </c>
      <c r="J285" s="2" t="str">
        <f>'CERRO EL PLOMO'!I21</f>
        <v/>
      </c>
      <c r="K285" s="2" t="str">
        <f>'CERRO EL PLOMO'!J21</f>
        <v/>
      </c>
      <c r="L285" s="2" t="str">
        <f>'CERRO EL PLOMO'!K21</f>
        <v/>
      </c>
      <c r="M285" s="2" t="str">
        <f>'CERRO EL PLOMO'!L21</f>
        <v/>
      </c>
      <c r="N285" s="2" t="str">
        <f>'CERRO EL PLOMO'!M21</f>
        <v/>
      </c>
      <c r="O285" s="2" t="str">
        <f>'CERRO EL PLOMO'!N21</f>
        <v/>
      </c>
      <c r="P285" s="2" t="str">
        <f>'CERRO EL PLOMO'!O21</f>
        <v/>
      </c>
      <c r="Q285" s="2" t="str">
        <f>'CERRO EL PLOMO'!P21</f>
        <v/>
      </c>
      <c r="R285" s="2" t="str">
        <f>'CERRO EL PLOMO'!Q21</f>
        <v/>
      </c>
      <c r="S285" s="2" t="str">
        <f>'CERRO EL PLOMO'!R21</f>
        <v/>
      </c>
      <c r="T285" s="2" t="str">
        <f>'CERRO EL PLOMO'!S21</f>
        <v/>
      </c>
      <c r="U285" s="2" t="str">
        <f>'CERRO EL PLOMO'!T21</f>
        <v/>
      </c>
      <c r="V285" s="2" t="str">
        <f>'CERRO EL PLOMO'!U21</f>
        <v/>
      </c>
      <c r="W285" s="2" t="str">
        <f>'CERRO EL PLOMO'!V21</f>
        <v/>
      </c>
      <c r="X285" s="2" t="str">
        <f>'CERRO EL PLOMO'!W21</f>
        <v/>
      </c>
      <c r="Y285" s="2" t="str">
        <f>'CERRO EL PLOMO'!X21</f>
        <v/>
      </c>
      <c r="Z285" s="2" t="str">
        <f>'CERRO EL PLOMO'!Y21</f>
        <v/>
      </c>
      <c r="AA285" s="2" t="str">
        <f>'CERRO EL PLOMO'!Z21</f>
        <v/>
      </c>
      <c r="AB285" s="2" t="str">
        <f>'CERRO EL PLOMO'!AA21</f>
        <v/>
      </c>
      <c r="AC285" s="2" t="str">
        <f>'CERRO EL PLOMO'!AB21</f>
        <v/>
      </c>
      <c r="AD285" s="2" t="str">
        <f>'CERRO EL PLOMO'!AC21</f>
        <v/>
      </c>
      <c r="AE285" s="2" t="str">
        <f>'CERRO EL PLOMO'!AD21</f>
        <v/>
      </c>
      <c r="AF285" s="2" t="str">
        <f>'CERRO EL PLOMO'!AE21</f>
        <v/>
      </c>
      <c r="AG285" s="2" t="str">
        <f>'CERRO EL PLOMO'!AF21</f>
        <v/>
      </c>
      <c r="AH285" s="2" t="str">
        <f>'CERRO EL PLOMO'!AG21</f>
        <v/>
      </c>
      <c r="AI285" s="2" t="str">
        <f>'CERRO EL PLOMO'!AH21</f>
        <v/>
      </c>
      <c r="AJ285" s="2" t="str">
        <f>'CERRO EL PLOMO'!AI21</f>
        <v/>
      </c>
      <c r="AK285" s="2" t="str">
        <f>'CERRO EL PLOMO'!AJ21</f>
        <v/>
      </c>
      <c r="AL285" s="2" t="str">
        <f>'CERRO EL PLOMO'!AK21</f>
        <v/>
      </c>
      <c r="AM285" s="2" t="str">
        <f>'CERRO EL PLOMO'!AL21</f>
        <v/>
      </c>
      <c r="AN285" s="2" t="str">
        <f>'CERRO EL PLOMO'!AM21</f>
        <v/>
      </c>
      <c r="AO285" s="2" t="str">
        <f>'CERRO EL PLOMO'!AN21</f>
        <v/>
      </c>
      <c r="AP285" s="2" t="str">
        <f>'CERRO EL PLOMO'!AO21</f>
        <v/>
      </c>
      <c r="AQ285" s="2" t="str">
        <f>'CERRO EL PLOMO'!AP21</f>
        <v/>
      </c>
      <c r="AR285" s="2" t="str">
        <f>'CERRO EL PLOMO'!AQ21</f>
        <v/>
      </c>
      <c r="AS285" s="2" t="str">
        <f>'CERRO EL PLOMO'!AR21</f>
        <v/>
      </c>
      <c r="AT285" s="2" t="str">
        <f>'CERRO EL PLOMO'!AS21</f>
        <v/>
      </c>
      <c r="AU285" s="2" t="str">
        <f>'CERRO EL PLOMO'!AT21</f>
        <v/>
      </c>
      <c r="AV285" s="2" t="str">
        <f>'CERRO EL PLOMO'!AU21</f>
        <v/>
      </c>
      <c r="AW285" s="2" t="str">
        <f>'CERRO EL PLOMO'!AV21</f>
        <v/>
      </c>
      <c r="AX285" s="2" t="str">
        <f>'CERRO EL PLOMO'!AW21</f>
        <v/>
      </c>
      <c r="AY285" s="2" t="str">
        <f>'CERRO EL PLOMO'!AX21</f>
        <v/>
      </c>
      <c r="AZ285" s="2" t="str">
        <f>'CERRO EL PLOMO'!AY21</f>
        <v/>
      </c>
      <c r="BA285" s="2" t="str">
        <f>'CERRO EL PLOMO'!AZ21</f>
        <v/>
      </c>
      <c r="BB285" s="2">
        <f>'CERRO EL PLOMO'!BA21</f>
        <v>4</v>
      </c>
      <c r="BC285" s="2" t="str">
        <f>'CERRO EL PLOMO'!BB21</f>
        <v/>
      </c>
      <c r="BD285" s="2">
        <f>'CERRO EL PLOMO'!BC21</f>
        <v>4</v>
      </c>
      <c r="BE285" s="2" t="str">
        <f>'CERRO EL PLOMO'!BD21</f>
        <v/>
      </c>
      <c r="BF285" s="2">
        <f>'CERRO EL PLOMO'!BE21</f>
        <v>4</v>
      </c>
      <c r="BG285" s="2">
        <f>'CERRO EL PLOMO'!BF21</f>
        <v>4</v>
      </c>
      <c r="BH285" s="2">
        <f>'CERRO EL PLOMO'!BG21</f>
        <v>4</v>
      </c>
      <c r="BI285" s="2">
        <f>'CERRO EL PLOMO'!BH21</f>
        <v>4</v>
      </c>
      <c r="BJ285" s="2" t="str">
        <f>'CERRO EL PLOMO'!BI21</f>
        <v/>
      </c>
      <c r="BK285" s="2">
        <f>'CERRO EL PLOMO'!BJ21</f>
        <v>4</v>
      </c>
      <c r="BL285" s="2">
        <f>'CERRO EL PLOMO'!BK21</f>
        <v>4</v>
      </c>
      <c r="BM285" s="2">
        <f>'CERRO EL PLOMO'!BL21</f>
        <v>4</v>
      </c>
      <c r="BN285" s="2">
        <f>'CERRO EL PLOMO'!BM21</f>
        <v>4</v>
      </c>
      <c r="BO285" s="2">
        <f>'CERRO EL PLOMO'!BN21</f>
        <v>4</v>
      </c>
      <c r="BP285" s="2" t="str">
        <f>'CERRO EL PLOMO'!BO21</f>
        <v/>
      </c>
      <c r="BQ285" s="2">
        <f>'CERRO EL PLOMO'!BP21</f>
        <v>4</v>
      </c>
      <c r="BR285" s="2">
        <f>'CERRO EL PLOMO'!BQ21</f>
        <v>4</v>
      </c>
      <c r="BS285" s="2">
        <f>'CERRO EL PLOMO'!BR21</f>
        <v>4</v>
      </c>
      <c r="BT285" s="2" t="str">
        <f>'CERRO EL PLOMO'!BS21</f>
        <v/>
      </c>
      <c r="BU285" s="2">
        <f>'CERRO EL PLOMO'!BT21</f>
        <v>4</v>
      </c>
      <c r="BV285" s="2" t="str">
        <f>'CERRO EL PLOMO'!BU21</f>
        <v/>
      </c>
      <c r="BW285" s="2">
        <f>'CERRO EL PLOMO'!BV21</f>
        <v>4</v>
      </c>
      <c r="BX285" s="2">
        <f>'CERRO EL PLOMO'!BW21</f>
        <v>4</v>
      </c>
      <c r="BY285" s="2" t="str">
        <f>'CERRO EL PLOMO'!BX21</f>
        <v/>
      </c>
      <c r="BZ285" s="2">
        <f>'CERRO EL PLOMO'!BY21</f>
        <v>4</v>
      </c>
      <c r="CA285" s="2">
        <f>'CERRO EL PLOMO'!BZ21</f>
        <v>4</v>
      </c>
      <c r="CB285" s="2" t="str">
        <f>'CERRO EL PLOMO'!CA21</f>
        <v/>
      </c>
      <c r="CC285" s="2" t="str">
        <f>'CERRO EL PLOMO'!CB21</f>
        <v/>
      </c>
    </row>
    <row r="286">
      <c r="A286" s="2"/>
      <c r="B286" s="2" t="str">
        <f>'CERRO EL PLOMO'!A22</f>
        <v>Cerro el Plomo</v>
      </c>
      <c r="C286" s="2" t="str">
        <f>'CERRO EL PLOMO'!B22</f>
        <v>Cafeteria</v>
      </c>
      <c r="D286" s="2" t="str">
        <f>'CERRO EL PLOMO'!C22</f>
        <v>Sucedaneo Limon</v>
      </c>
      <c r="E286" s="2" t="str">
        <f>'CERRO EL PLOMO'!D22</f>
        <v/>
      </c>
      <c r="F286" s="2" t="str">
        <f>'CERRO EL PLOMO'!E22</f>
        <v/>
      </c>
      <c r="G286" s="2" t="str">
        <f>'CERRO EL PLOMO'!F22</f>
        <v/>
      </c>
      <c r="H286" s="2" t="str">
        <f>'CERRO EL PLOMO'!G22</f>
        <v/>
      </c>
      <c r="I286" s="2" t="str">
        <f>'CERRO EL PLOMO'!H22</f>
        <v/>
      </c>
      <c r="J286" s="2" t="str">
        <f>'CERRO EL PLOMO'!I22</f>
        <v/>
      </c>
      <c r="K286" s="2" t="str">
        <f>'CERRO EL PLOMO'!J22</f>
        <v/>
      </c>
      <c r="L286" s="2" t="str">
        <f>'CERRO EL PLOMO'!K22</f>
        <v/>
      </c>
      <c r="M286" s="2" t="str">
        <f>'CERRO EL PLOMO'!L22</f>
        <v/>
      </c>
      <c r="N286" s="2" t="str">
        <f>'CERRO EL PLOMO'!M22</f>
        <v/>
      </c>
      <c r="O286" s="2" t="str">
        <f>'CERRO EL PLOMO'!N22</f>
        <v/>
      </c>
      <c r="P286" s="2" t="str">
        <f>'CERRO EL PLOMO'!O22</f>
        <v/>
      </c>
      <c r="Q286" s="2" t="str">
        <f>'CERRO EL PLOMO'!P22</f>
        <v/>
      </c>
      <c r="R286" s="2" t="str">
        <f>'CERRO EL PLOMO'!Q22</f>
        <v/>
      </c>
      <c r="S286" s="2" t="str">
        <f>'CERRO EL PLOMO'!R22</f>
        <v/>
      </c>
      <c r="T286" s="2" t="str">
        <f>'CERRO EL PLOMO'!S22</f>
        <v/>
      </c>
      <c r="U286" s="2" t="str">
        <f>'CERRO EL PLOMO'!T22</f>
        <v/>
      </c>
      <c r="V286" s="2" t="str">
        <f>'CERRO EL PLOMO'!U22</f>
        <v/>
      </c>
      <c r="W286" s="2" t="str">
        <f>'CERRO EL PLOMO'!V22</f>
        <v/>
      </c>
      <c r="X286" s="2" t="str">
        <f>'CERRO EL PLOMO'!W22</f>
        <v/>
      </c>
      <c r="Y286" s="2" t="str">
        <f>'CERRO EL PLOMO'!X22</f>
        <v/>
      </c>
      <c r="Z286" s="2" t="str">
        <f>'CERRO EL PLOMO'!Y22</f>
        <v/>
      </c>
      <c r="AA286" s="2" t="str">
        <f>'CERRO EL PLOMO'!Z22</f>
        <v/>
      </c>
      <c r="AB286" s="2" t="str">
        <f>'CERRO EL PLOMO'!AA22</f>
        <v/>
      </c>
      <c r="AC286" s="2" t="str">
        <f>'CERRO EL PLOMO'!AB22</f>
        <v/>
      </c>
      <c r="AD286" s="2" t="str">
        <f>'CERRO EL PLOMO'!AC22</f>
        <v/>
      </c>
      <c r="AE286" s="2" t="str">
        <f>'CERRO EL PLOMO'!AD22</f>
        <v/>
      </c>
      <c r="AF286" s="2" t="str">
        <f>'CERRO EL PLOMO'!AE22</f>
        <v/>
      </c>
      <c r="AG286" s="2" t="str">
        <f>'CERRO EL PLOMO'!AF22</f>
        <v/>
      </c>
      <c r="AH286" s="2" t="str">
        <f>'CERRO EL PLOMO'!AG22</f>
        <v/>
      </c>
      <c r="AI286" s="2" t="str">
        <f>'CERRO EL PLOMO'!AH22</f>
        <v/>
      </c>
      <c r="AJ286" s="2" t="str">
        <f>'CERRO EL PLOMO'!AI22</f>
        <v/>
      </c>
      <c r="AK286" s="2" t="str">
        <f>'CERRO EL PLOMO'!AJ22</f>
        <v/>
      </c>
      <c r="AL286" s="2" t="str">
        <f>'CERRO EL PLOMO'!AK22</f>
        <v/>
      </c>
      <c r="AM286" s="2" t="str">
        <f>'CERRO EL PLOMO'!AL22</f>
        <v/>
      </c>
      <c r="AN286" s="2" t="str">
        <f>'CERRO EL PLOMO'!AM22</f>
        <v/>
      </c>
      <c r="AO286" s="2" t="str">
        <f>'CERRO EL PLOMO'!AN22</f>
        <v/>
      </c>
      <c r="AP286" s="2" t="str">
        <f>'CERRO EL PLOMO'!AO22</f>
        <v/>
      </c>
      <c r="AQ286" s="2" t="str">
        <f>'CERRO EL PLOMO'!AP22</f>
        <v/>
      </c>
      <c r="AR286" s="2" t="str">
        <f>'CERRO EL PLOMO'!AQ22</f>
        <v/>
      </c>
      <c r="AS286" s="2" t="str">
        <f>'CERRO EL PLOMO'!AR22</f>
        <v/>
      </c>
      <c r="AT286" s="2" t="str">
        <f>'CERRO EL PLOMO'!AS22</f>
        <v/>
      </c>
      <c r="AU286" s="2" t="str">
        <f>'CERRO EL PLOMO'!AT22</f>
        <v/>
      </c>
      <c r="AV286" s="2" t="str">
        <f>'CERRO EL PLOMO'!AU22</f>
        <v/>
      </c>
      <c r="AW286" s="2" t="str">
        <f>'CERRO EL PLOMO'!AV22</f>
        <v/>
      </c>
      <c r="AX286" s="2" t="str">
        <f>'CERRO EL PLOMO'!AW22</f>
        <v/>
      </c>
      <c r="AY286" s="2" t="str">
        <f>'CERRO EL PLOMO'!AX22</f>
        <v/>
      </c>
      <c r="AZ286" s="2" t="str">
        <f>'CERRO EL PLOMO'!AY22</f>
        <v/>
      </c>
      <c r="BA286" s="2" t="str">
        <f>'CERRO EL PLOMO'!AZ22</f>
        <v/>
      </c>
      <c r="BB286" s="2">
        <f>'CERRO EL PLOMO'!BA22</f>
        <v>3</v>
      </c>
      <c r="BC286" s="2" t="str">
        <f>'CERRO EL PLOMO'!BB22</f>
        <v/>
      </c>
      <c r="BD286" s="2">
        <f>'CERRO EL PLOMO'!BC22</f>
        <v>3</v>
      </c>
      <c r="BE286" s="2" t="str">
        <f>'CERRO EL PLOMO'!BD22</f>
        <v/>
      </c>
      <c r="BF286" s="2">
        <f>'CERRO EL PLOMO'!BE22</f>
        <v>3</v>
      </c>
      <c r="BG286" s="2">
        <f>'CERRO EL PLOMO'!BF22</f>
        <v>3</v>
      </c>
      <c r="BH286" s="2">
        <f>'CERRO EL PLOMO'!BG22</f>
        <v>3</v>
      </c>
      <c r="BI286" s="2">
        <f>'CERRO EL PLOMO'!BH22</f>
        <v>3</v>
      </c>
      <c r="BJ286" s="2" t="str">
        <f>'CERRO EL PLOMO'!BI22</f>
        <v/>
      </c>
      <c r="BK286" s="2">
        <f>'CERRO EL PLOMO'!BJ22</f>
        <v>3</v>
      </c>
      <c r="BL286" s="2">
        <f>'CERRO EL PLOMO'!BK22</f>
        <v>2</v>
      </c>
      <c r="BM286" s="2">
        <f>'CERRO EL PLOMO'!BL22</f>
        <v>2</v>
      </c>
      <c r="BN286" s="2">
        <f>'CERRO EL PLOMO'!BM22</f>
        <v>2</v>
      </c>
      <c r="BO286" s="2">
        <f>'CERRO EL PLOMO'!BN22</f>
        <v>2</v>
      </c>
      <c r="BP286" s="2" t="str">
        <f>'CERRO EL PLOMO'!BO22</f>
        <v/>
      </c>
      <c r="BQ286" s="2">
        <f>'CERRO EL PLOMO'!BP22</f>
        <v>2</v>
      </c>
      <c r="BR286" s="2">
        <f>'CERRO EL PLOMO'!BQ22</f>
        <v>2</v>
      </c>
      <c r="BS286" s="2">
        <f>'CERRO EL PLOMO'!BR22</f>
        <v>2</v>
      </c>
      <c r="BT286" s="2" t="str">
        <f>'CERRO EL PLOMO'!BS22</f>
        <v/>
      </c>
      <c r="BU286" s="2">
        <f>'CERRO EL PLOMO'!BT22</f>
        <v>2</v>
      </c>
      <c r="BV286" s="2" t="str">
        <f>'CERRO EL PLOMO'!BU22</f>
        <v/>
      </c>
      <c r="BW286" s="2">
        <f>'CERRO EL PLOMO'!BV22</f>
        <v>2</v>
      </c>
      <c r="BX286" s="2">
        <f>'CERRO EL PLOMO'!BW22</f>
        <v>4</v>
      </c>
      <c r="BY286" s="2" t="str">
        <f>'CERRO EL PLOMO'!BX22</f>
        <v/>
      </c>
      <c r="BZ286" s="2">
        <f>'CERRO EL PLOMO'!BY22</f>
        <v>4</v>
      </c>
      <c r="CA286" s="2">
        <f>'CERRO EL PLOMO'!BZ22</f>
        <v>4</v>
      </c>
      <c r="CB286" s="2" t="str">
        <f>'CERRO EL PLOMO'!CA22</f>
        <v/>
      </c>
      <c r="CC286" s="2" t="str">
        <f>'CERRO EL PLOMO'!CB22</f>
        <v/>
      </c>
    </row>
    <row r="287">
      <c r="A287" s="2"/>
      <c r="B287" s="2" t="str">
        <f>'CERRO EL PLOMO'!A23</f>
        <v>Cerro el Plomo</v>
      </c>
      <c r="C287" s="2" t="str">
        <f>'CERRO EL PLOMO'!B23</f>
        <v>Cafeteria</v>
      </c>
      <c r="D287" s="2" t="str">
        <f>'CERRO EL PLOMO'!C23</f>
        <v>Endulzante</v>
      </c>
      <c r="E287" s="2" t="str">
        <f>'CERRO EL PLOMO'!D23</f>
        <v/>
      </c>
      <c r="F287" s="2" t="str">
        <f>'CERRO EL PLOMO'!E23</f>
        <v/>
      </c>
      <c r="G287" s="2" t="str">
        <f>'CERRO EL PLOMO'!F23</f>
        <v/>
      </c>
      <c r="H287" s="2" t="str">
        <f>'CERRO EL PLOMO'!G23</f>
        <v/>
      </c>
      <c r="I287" s="2" t="str">
        <f>'CERRO EL PLOMO'!H23</f>
        <v/>
      </c>
      <c r="J287" s="2" t="str">
        <f>'CERRO EL PLOMO'!I23</f>
        <v/>
      </c>
      <c r="K287" s="2" t="str">
        <f>'CERRO EL PLOMO'!J23</f>
        <v/>
      </c>
      <c r="L287" s="2" t="str">
        <f>'CERRO EL PLOMO'!K23</f>
        <v/>
      </c>
      <c r="M287" s="2" t="str">
        <f>'CERRO EL PLOMO'!L23</f>
        <v/>
      </c>
      <c r="N287" s="2" t="str">
        <f>'CERRO EL PLOMO'!M23</f>
        <v/>
      </c>
      <c r="O287" s="2" t="str">
        <f>'CERRO EL PLOMO'!N23</f>
        <v/>
      </c>
      <c r="P287" s="2" t="str">
        <f>'CERRO EL PLOMO'!O23</f>
        <v/>
      </c>
      <c r="Q287" s="2" t="str">
        <f>'CERRO EL PLOMO'!P23</f>
        <v/>
      </c>
      <c r="R287" s="2" t="str">
        <f>'CERRO EL PLOMO'!Q23</f>
        <v>-</v>
      </c>
      <c r="S287" s="2" t="str">
        <f>'CERRO EL PLOMO'!R23</f>
        <v>-</v>
      </c>
      <c r="T287" s="2" t="str">
        <f>'CERRO EL PLOMO'!S23</f>
        <v>-</v>
      </c>
      <c r="U287" s="2" t="str">
        <f>'CERRO EL PLOMO'!T23</f>
        <v>-</v>
      </c>
      <c r="V287" s="2" t="str">
        <f>'CERRO EL PLOMO'!U23</f>
        <v>-</v>
      </c>
      <c r="W287" s="2" t="str">
        <f>'CERRO EL PLOMO'!V23</f>
        <v>-</v>
      </c>
      <c r="X287" s="2" t="str">
        <f>'CERRO EL PLOMO'!W23</f>
        <v>-</v>
      </c>
      <c r="Y287" s="2" t="str">
        <f>'CERRO EL PLOMO'!X23</f>
        <v>-</v>
      </c>
      <c r="Z287" s="2" t="str">
        <f>'CERRO EL PLOMO'!Y23</f>
        <v>-</v>
      </c>
      <c r="AA287" s="2">
        <f>'CERRO EL PLOMO'!Z23</f>
        <v>3</v>
      </c>
      <c r="AB287" s="2" t="str">
        <f>'CERRO EL PLOMO'!AA23</f>
        <v/>
      </c>
      <c r="AC287" s="2">
        <f>'CERRO EL PLOMO'!AB23</f>
        <v>3</v>
      </c>
      <c r="AD287" s="2" t="str">
        <f>'CERRO EL PLOMO'!AC23</f>
        <v/>
      </c>
      <c r="AE287" s="2">
        <f>'CERRO EL PLOMO'!AD23</f>
        <v>2</v>
      </c>
      <c r="AF287" s="2">
        <f>'CERRO EL PLOMO'!AE23</f>
        <v>2</v>
      </c>
      <c r="AG287" s="2" t="str">
        <f>'CERRO EL PLOMO'!AF23</f>
        <v/>
      </c>
      <c r="AH287" s="2">
        <f>'CERRO EL PLOMO'!AG23</f>
        <v>2</v>
      </c>
      <c r="AI287" s="2" t="str">
        <f>'CERRO EL PLOMO'!AH23</f>
        <v/>
      </c>
      <c r="AJ287" s="2">
        <f>'CERRO EL PLOMO'!AI23</f>
        <v>2</v>
      </c>
      <c r="AK287" s="2" t="str">
        <f>'CERRO EL PLOMO'!AJ23</f>
        <v/>
      </c>
      <c r="AL287" s="2" t="str">
        <f>'CERRO EL PLOMO'!AK23</f>
        <v/>
      </c>
      <c r="AM287" s="2">
        <f>'CERRO EL PLOMO'!AL23</f>
        <v>4</v>
      </c>
      <c r="AN287" s="2">
        <f>'CERRO EL PLOMO'!AM23</f>
        <v>4</v>
      </c>
      <c r="AO287" s="2">
        <f>'CERRO EL PLOMO'!AN23</f>
        <v>3</v>
      </c>
      <c r="AP287" s="2">
        <f>'CERRO EL PLOMO'!AO23</f>
        <v>3</v>
      </c>
      <c r="AQ287" s="2">
        <f>'CERRO EL PLOMO'!AP23</f>
        <v>2</v>
      </c>
      <c r="AR287" s="2">
        <f>'CERRO EL PLOMO'!AQ23</f>
        <v>2</v>
      </c>
      <c r="AS287" s="2">
        <f>'CERRO EL PLOMO'!AR23</f>
        <v>2</v>
      </c>
      <c r="AT287" s="2">
        <f>'CERRO EL PLOMO'!AS23</f>
        <v>2</v>
      </c>
      <c r="AU287" s="2" t="str">
        <f>'CERRO EL PLOMO'!AT23</f>
        <v/>
      </c>
      <c r="AV287" s="2">
        <f>'CERRO EL PLOMO'!AU23</f>
        <v>2</v>
      </c>
      <c r="AW287" s="2" t="str">
        <f>'CERRO EL PLOMO'!AV23</f>
        <v/>
      </c>
      <c r="AX287" s="2">
        <f>'CERRO EL PLOMO'!AW23</f>
        <v>2</v>
      </c>
      <c r="AY287" s="2">
        <f>'CERRO EL PLOMO'!AX23</f>
        <v>2</v>
      </c>
      <c r="AZ287" s="2">
        <f>'CERRO EL PLOMO'!AY23</f>
        <v>1</v>
      </c>
      <c r="BA287" s="2" t="str">
        <f>'CERRO EL PLOMO'!AZ23</f>
        <v/>
      </c>
      <c r="BB287" s="2">
        <f>'CERRO EL PLOMO'!BA23</f>
        <v>1</v>
      </c>
      <c r="BC287" s="2" t="str">
        <f>'CERRO EL PLOMO'!BB23</f>
        <v/>
      </c>
      <c r="BD287" s="2">
        <f>'CERRO EL PLOMO'!BC23</f>
        <v>1</v>
      </c>
      <c r="BE287" s="2" t="str">
        <f>'CERRO EL PLOMO'!BD23</f>
        <v/>
      </c>
      <c r="BF287" s="2">
        <f>'CERRO EL PLOMO'!BE23</f>
        <v>1</v>
      </c>
      <c r="BG287" s="2">
        <f>'CERRO EL PLOMO'!BF23</f>
        <v>1</v>
      </c>
      <c r="BH287" s="2">
        <f>'CERRO EL PLOMO'!BG23</f>
        <v>0</v>
      </c>
      <c r="BI287" s="2">
        <f>'CERRO EL PLOMO'!BH23</f>
        <v>0</v>
      </c>
      <c r="BJ287" s="2">
        <f>'CERRO EL PLOMO'!BI23</f>
        <v>2</v>
      </c>
      <c r="BK287" s="2">
        <f>'CERRO EL PLOMO'!BJ23</f>
        <v>2</v>
      </c>
      <c r="BL287" s="2">
        <f>'CERRO EL PLOMO'!BK23</f>
        <v>2</v>
      </c>
      <c r="BM287" s="2">
        <f>'CERRO EL PLOMO'!BL23</f>
        <v>2</v>
      </c>
      <c r="BN287" s="2">
        <f>'CERRO EL PLOMO'!BM23</f>
        <v>4</v>
      </c>
      <c r="BO287" s="2">
        <f>'CERRO EL PLOMO'!BN23</f>
        <v>4</v>
      </c>
      <c r="BP287" s="2" t="str">
        <f>'CERRO EL PLOMO'!BO23</f>
        <v/>
      </c>
      <c r="BQ287" s="2">
        <f>'CERRO EL PLOMO'!BP23</f>
        <v>4</v>
      </c>
      <c r="BR287" s="2">
        <f>'CERRO EL PLOMO'!BQ23</f>
        <v>4</v>
      </c>
      <c r="BS287" s="2">
        <f>'CERRO EL PLOMO'!BR23</f>
        <v>4</v>
      </c>
      <c r="BT287" s="2" t="str">
        <f>'CERRO EL PLOMO'!BS23</f>
        <v/>
      </c>
      <c r="BU287" s="2">
        <f>'CERRO EL PLOMO'!BT23</f>
        <v>4</v>
      </c>
      <c r="BV287" s="2" t="str">
        <f>'CERRO EL PLOMO'!BU23</f>
        <v/>
      </c>
      <c r="BW287" s="2">
        <f>'CERRO EL PLOMO'!BV23</f>
        <v>4</v>
      </c>
      <c r="BX287" s="2">
        <f>'CERRO EL PLOMO'!BW23</f>
        <v>2</v>
      </c>
      <c r="BY287" s="2" t="str">
        <f>'CERRO EL PLOMO'!BX23</f>
        <v/>
      </c>
      <c r="BZ287" s="2">
        <f>'CERRO EL PLOMO'!BY23</f>
        <v>2</v>
      </c>
      <c r="CA287" s="2">
        <f>'CERRO EL PLOMO'!BZ23</f>
        <v>2</v>
      </c>
      <c r="CB287" s="2" t="str">
        <f>'CERRO EL PLOMO'!CA23</f>
        <v/>
      </c>
      <c r="CC287" s="2" t="str">
        <f>'CERRO EL PLOMO'!CB23</f>
        <v/>
      </c>
    </row>
    <row r="288">
      <c r="A288" s="2"/>
      <c r="B288" s="2" t="str">
        <f>'CERRO EL PLOMO'!A24</f>
        <v>Cerro el Plomo</v>
      </c>
      <c r="C288" s="2" t="str">
        <f>'CERRO EL PLOMO'!B24</f>
        <v>Cafeteria</v>
      </c>
      <c r="D288" s="2" t="str">
        <f>'CERRO EL PLOMO'!C24</f>
        <v>Te caja negro supremo </v>
      </c>
      <c r="E288" s="2" t="str">
        <f>'CERRO EL PLOMO'!D24</f>
        <v/>
      </c>
      <c r="F288" s="2" t="str">
        <f>'CERRO EL PLOMO'!E24</f>
        <v/>
      </c>
      <c r="G288" s="2" t="str">
        <f>'CERRO EL PLOMO'!F24</f>
        <v/>
      </c>
      <c r="H288" s="2" t="str">
        <f>'CERRO EL PLOMO'!G24</f>
        <v/>
      </c>
      <c r="I288" s="2" t="str">
        <f>'CERRO EL PLOMO'!H24</f>
        <v/>
      </c>
      <c r="J288" s="2" t="str">
        <f>'CERRO EL PLOMO'!I24</f>
        <v/>
      </c>
      <c r="K288" s="2" t="str">
        <f>'CERRO EL PLOMO'!J24</f>
        <v/>
      </c>
      <c r="L288" s="2" t="str">
        <f>'CERRO EL PLOMO'!K24</f>
        <v/>
      </c>
      <c r="M288" s="2" t="str">
        <f>'CERRO EL PLOMO'!L24</f>
        <v/>
      </c>
      <c r="N288" s="2" t="str">
        <f>'CERRO EL PLOMO'!M24</f>
        <v/>
      </c>
      <c r="O288" s="2" t="str">
        <f>'CERRO EL PLOMO'!N24</f>
        <v/>
      </c>
      <c r="P288" s="2" t="str">
        <f>'CERRO EL PLOMO'!O24</f>
        <v/>
      </c>
      <c r="Q288" s="2" t="str">
        <f>'CERRO EL PLOMO'!P24</f>
        <v/>
      </c>
      <c r="R288" s="2" t="str">
        <f>'CERRO EL PLOMO'!Q24</f>
        <v/>
      </c>
      <c r="S288" s="2" t="str">
        <f>'CERRO EL PLOMO'!R24</f>
        <v/>
      </c>
      <c r="T288" s="2" t="str">
        <f>'CERRO EL PLOMO'!S24</f>
        <v/>
      </c>
      <c r="U288" s="2" t="str">
        <f>'CERRO EL PLOMO'!T24</f>
        <v/>
      </c>
      <c r="V288" s="2" t="str">
        <f>'CERRO EL PLOMO'!U24</f>
        <v/>
      </c>
      <c r="W288" s="2" t="str">
        <f>'CERRO EL PLOMO'!V24</f>
        <v/>
      </c>
      <c r="X288" s="2" t="str">
        <f>'CERRO EL PLOMO'!W24</f>
        <v/>
      </c>
      <c r="Y288" s="2" t="str">
        <f>'CERRO EL PLOMO'!X24</f>
        <v/>
      </c>
      <c r="Z288" s="2" t="str">
        <f>'CERRO EL PLOMO'!Y24</f>
        <v/>
      </c>
      <c r="AA288" s="2" t="str">
        <f>'CERRO EL PLOMO'!Z24</f>
        <v/>
      </c>
      <c r="AB288" s="2" t="str">
        <f>'CERRO EL PLOMO'!AA24</f>
        <v/>
      </c>
      <c r="AC288" s="2" t="str">
        <f>'CERRO EL PLOMO'!AB24</f>
        <v/>
      </c>
      <c r="AD288" s="2" t="str">
        <f>'CERRO EL PLOMO'!AC24</f>
        <v/>
      </c>
      <c r="AE288" s="2" t="str">
        <f>'CERRO EL PLOMO'!AD24</f>
        <v/>
      </c>
      <c r="AF288" s="2" t="str">
        <f>'CERRO EL PLOMO'!AE24</f>
        <v/>
      </c>
      <c r="AG288" s="2" t="str">
        <f>'CERRO EL PLOMO'!AF24</f>
        <v/>
      </c>
      <c r="AH288" s="2" t="str">
        <f>'CERRO EL PLOMO'!AG24</f>
        <v/>
      </c>
      <c r="AI288" s="2" t="str">
        <f>'CERRO EL PLOMO'!AH24</f>
        <v/>
      </c>
      <c r="AJ288" s="2" t="str">
        <f>'CERRO EL PLOMO'!AI24</f>
        <v/>
      </c>
      <c r="AK288" s="2" t="str">
        <f>'CERRO EL PLOMO'!AJ24</f>
        <v/>
      </c>
      <c r="AL288" s="2" t="str">
        <f>'CERRO EL PLOMO'!AK24</f>
        <v/>
      </c>
      <c r="AM288" s="2" t="str">
        <f>'CERRO EL PLOMO'!AL24</f>
        <v/>
      </c>
      <c r="AN288" s="2" t="str">
        <f>'CERRO EL PLOMO'!AM24</f>
        <v/>
      </c>
      <c r="AO288" s="2" t="str">
        <f>'CERRO EL PLOMO'!AN24</f>
        <v/>
      </c>
      <c r="AP288" s="2" t="str">
        <f>'CERRO EL PLOMO'!AO24</f>
        <v/>
      </c>
      <c r="AQ288" s="2">
        <f>'CERRO EL PLOMO'!AP24</f>
        <v>0</v>
      </c>
      <c r="AR288" s="2">
        <f>'CERRO EL PLOMO'!AQ24</f>
        <v>1</v>
      </c>
      <c r="AS288" s="2">
        <f>'CERRO EL PLOMO'!AR24</f>
        <v>1</v>
      </c>
      <c r="AT288" s="2">
        <f>'CERRO EL PLOMO'!AS24</f>
        <v>1</v>
      </c>
      <c r="AU288" s="2" t="str">
        <f>'CERRO EL PLOMO'!AT24</f>
        <v/>
      </c>
      <c r="AV288" s="2">
        <f>'CERRO EL PLOMO'!AU24</f>
        <v>1</v>
      </c>
      <c r="AW288" s="2" t="str">
        <f>'CERRO EL PLOMO'!AV24</f>
        <v/>
      </c>
      <c r="AX288" s="2">
        <f>'CERRO EL PLOMO'!AW24</f>
        <v>1</v>
      </c>
      <c r="AY288" s="2">
        <f>'CERRO EL PLOMO'!AX24</f>
        <v>1</v>
      </c>
      <c r="AZ288" s="2">
        <f>'CERRO EL PLOMO'!AY24</f>
        <v>1</v>
      </c>
      <c r="BA288" s="2" t="str">
        <f>'CERRO EL PLOMO'!AZ24</f>
        <v/>
      </c>
      <c r="BB288" s="2">
        <f>'CERRO EL PLOMO'!BA24</f>
        <v>1</v>
      </c>
      <c r="BC288" s="2" t="str">
        <f>'CERRO EL PLOMO'!BB24</f>
        <v/>
      </c>
      <c r="BD288" s="2">
        <f>'CERRO EL PLOMO'!BC24</f>
        <v>1</v>
      </c>
      <c r="BE288" s="2" t="str">
        <f>'CERRO EL PLOMO'!BD24</f>
        <v/>
      </c>
      <c r="BF288" s="2">
        <f>'CERRO EL PLOMO'!BE24</f>
        <v>0</v>
      </c>
      <c r="BG288" s="2">
        <f>'CERRO EL PLOMO'!BF24</f>
        <v>0</v>
      </c>
      <c r="BH288" s="2">
        <f>'CERRO EL PLOMO'!BG24</f>
        <v>0</v>
      </c>
      <c r="BI288" s="2">
        <f>'CERRO EL PLOMO'!BH24</f>
        <v>0</v>
      </c>
      <c r="BJ288" s="2">
        <f>'CERRO EL PLOMO'!BI24</f>
        <v>2</v>
      </c>
      <c r="BK288" s="2">
        <f>'CERRO EL PLOMO'!BJ24</f>
        <v>2</v>
      </c>
      <c r="BL288" s="2">
        <f>'CERRO EL PLOMO'!BK24</f>
        <v>1</v>
      </c>
      <c r="BM288" s="2">
        <f>'CERRO EL PLOMO'!BL24</f>
        <v>2</v>
      </c>
      <c r="BN288" s="2">
        <f>'CERRO EL PLOMO'!BM24</f>
        <v>1</v>
      </c>
      <c r="BO288" s="2">
        <f>'CERRO EL PLOMO'!BN24</f>
        <v>1</v>
      </c>
      <c r="BP288" s="2" t="str">
        <f>'CERRO EL PLOMO'!BO24</f>
        <v/>
      </c>
      <c r="BQ288" s="2">
        <f>'CERRO EL PLOMO'!BP24</f>
        <v>1</v>
      </c>
      <c r="BR288" s="2">
        <f>'CERRO EL PLOMO'!BQ24</f>
        <v>1</v>
      </c>
      <c r="BS288" s="2">
        <f>'CERRO EL PLOMO'!BR24</f>
        <v>1</v>
      </c>
      <c r="BT288" s="2" t="str">
        <f>'CERRO EL PLOMO'!BS24</f>
        <v/>
      </c>
      <c r="BU288" s="2">
        <f>'CERRO EL PLOMO'!BT24</f>
        <v>1</v>
      </c>
      <c r="BV288" s="2" t="str">
        <f>'CERRO EL PLOMO'!BU24</f>
        <v/>
      </c>
      <c r="BW288" s="2">
        <f>'CERRO EL PLOMO'!BV24</f>
        <v>3</v>
      </c>
      <c r="BX288" s="2">
        <f>'CERRO EL PLOMO'!BW24</f>
        <v>3</v>
      </c>
      <c r="BY288" s="2" t="str">
        <f>'CERRO EL PLOMO'!BX24</f>
        <v/>
      </c>
      <c r="BZ288" s="2">
        <f>'CERRO EL PLOMO'!BY24</f>
        <v>1</v>
      </c>
      <c r="CA288" s="2">
        <f>'CERRO EL PLOMO'!BZ24</f>
        <v>1</v>
      </c>
      <c r="CB288" s="2" t="str">
        <f>'CERRO EL PLOMO'!CA24</f>
        <v/>
      </c>
      <c r="CC288" s="2" t="str">
        <f>'CERRO EL PLOMO'!CB24</f>
        <v/>
      </c>
    </row>
    <row r="289">
      <c r="A289" s="2"/>
      <c r="B289" s="2" t="str">
        <f>'CERRO EL PLOMO'!A25</f>
        <v>Cerro el Plomo</v>
      </c>
      <c r="C289" s="2" t="str">
        <f>'CERRO EL PLOMO'!B25</f>
        <v>Cafeteria</v>
      </c>
      <c r="D289" s="2" t="str">
        <f>'CERRO EL PLOMO'!C25</f>
        <v>Te caja amarillo Lipton</v>
      </c>
      <c r="E289" s="2" t="str">
        <f>'CERRO EL PLOMO'!D25</f>
        <v/>
      </c>
      <c r="F289" s="2" t="str">
        <f>'CERRO EL PLOMO'!E25</f>
        <v/>
      </c>
      <c r="G289" s="2" t="str">
        <f>'CERRO EL PLOMO'!F25</f>
        <v/>
      </c>
      <c r="H289" s="2" t="str">
        <f>'CERRO EL PLOMO'!G25</f>
        <v/>
      </c>
      <c r="I289" s="2" t="str">
        <f>'CERRO EL PLOMO'!H25</f>
        <v/>
      </c>
      <c r="J289" s="2" t="str">
        <f>'CERRO EL PLOMO'!I25</f>
        <v/>
      </c>
      <c r="K289" s="2" t="str">
        <f>'CERRO EL PLOMO'!J25</f>
        <v/>
      </c>
      <c r="L289" s="2" t="str">
        <f>'CERRO EL PLOMO'!K25</f>
        <v/>
      </c>
      <c r="M289" s="2" t="str">
        <f>'CERRO EL PLOMO'!L25</f>
        <v/>
      </c>
      <c r="N289" s="2" t="str">
        <f>'CERRO EL PLOMO'!M25</f>
        <v/>
      </c>
      <c r="O289" s="2" t="str">
        <f>'CERRO EL PLOMO'!N25</f>
        <v/>
      </c>
      <c r="P289" s="2" t="str">
        <f>'CERRO EL PLOMO'!O25</f>
        <v/>
      </c>
      <c r="Q289" s="2" t="str">
        <f>'CERRO EL PLOMO'!P25</f>
        <v/>
      </c>
      <c r="R289" s="2" t="str">
        <f>'CERRO EL PLOMO'!Q25</f>
        <v/>
      </c>
      <c r="S289" s="2" t="str">
        <f>'CERRO EL PLOMO'!R25</f>
        <v/>
      </c>
      <c r="T289" s="2" t="str">
        <f>'CERRO EL PLOMO'!S25</f>
        <v/>
      </c>
      <c r="U289" s="2" t="str">
        <f>'CERRO EL PLOMO'!T25</f>
        <v/>
      </c>
      <c r="V289" s="2" t="str">
        <f>'CERRO EL PLOMO'!U25</f>
        <v/>
      </c>
      <c r="W289" s="2" t="str">
        <f>'CERRO EL PLOMO'!V25</f>
        <v/>
      </c>
      <c r="X289" s="2" t="str">
        <f>'CERRO EL PLOMO'!W25</f>
        <v/>
      </c>
      <c r="Y289" s="2" t="str">
        <f>'CERRO EL PLOMO'!X25</f>
        <v/>
      </c>
      <c r="Z289" s="2" t="str">
        <f>'CERRO EL PLOMO'!Y25</f>
        <v/>
      </c>
      <c r="AA289" s="2" t="str">
        <f>'CERRO EL PLOMO'!Z25</f>
        <v/>
      </c>
      <c r="AB289" s="2" t="str">
        <f>'CERRO EL PLOMO'!AA25</f>
        <v/>
      </c>
      <c r="AC289" s="2" t="str">
        <f>'CERRO EL PLOMO'!AB25</f>
        <v/>
      </c>
      <c r="AD289" s="2" t="str">
        <f>'CERRO EL PLOMO'!AC25</f>
        <v/>
      </c>
      <c r="AE289" s="2" t="str">
        <f>'CERRO EL PLOMO'!AD25</f>
        <v/>
      </c>
      <c r="AF289" s="2" t="str">
        <f>'CERRO EL PLOMO'!AE25</f>
        <v/>
      </c>
      <c r="AG289" s="2" t="str">
        <f>'CERRO EL PLOMO'!AF25</f>
        <v/>
      </c>
      <c r="AH289" s="2" t="str">
        <f>'CERRO EL PLOMO'!AG25</f>
        <v/>
      </c>
      <c r="AI289" s="2" t="str">
        <f>'CERRO EL PLOMO'!AH25</f>
        <v/>
      </c>
      <c r="AJ289" s="2" t="str">
        <f>'CERRO EL PLOMO'!AI25</f>
        <v/>
      </c>
      <c r="AK289" s="2" t="str">
        <f>'CERRO EL PLOMO'!AJ25</f>
        <v/>
      </c>
      <c r="AL289" s="2" t="str">
        <f>'CERRO EL PLOMO'!AK25</f>
        <v/>
      </c>
      <c r="AM289" s="2" t="str">
        <f>'CERRO EL PLOMO'!AL25</f>
        <v/>
      </c>
      <c r="AN289" s="2" t="str">
        <f>'CERRO EL PLOMO'!AM25</f>
        <v/>
      </c>
      <c r="AO289" s="2" t="str">
        <f>'CERRO EL PLOMO'!AN25</f>
        <v/>
      </c>
      <c r="AP289" s="2" t="str">
        <f>'CERRO EL PLOMO'!AO25</f>
        <v/>
      </c>
      <c r="AQ289" s="2">
        <f>'CERRO EL PLOMO'!AP25</f>
        <v>0</v>
      </c>
      <c r="AR289" s="2">
        <f>'CERRO EL PLOMO'!AQ25</f>
        <v>2</v>
      </c>
      <c r="AS289" s="2">
        <f>'CERRO EL PLOMO'!AR25</f>
        <v>2</v>
      </c>
      <c r="AT289" s="2">
        <f>'CERRO EL PLOMO'!AS25</f>
        <v>2</v>
      </c>
      <c r="AU289" s="2" t="str">
        <f>'CERRO EL PLOMO'!AT25</f>
        <v/>
      </c>
      <c r="AV289" s="2">
        <f>'CERRO EL PLOMO'!AU25</f>
        <v>2</v>
      </c>
      <c r="AW289" s="2" t="str">
        <f>'CERRO EL PLOMO'!AV25</f>
        <v/>
      </c>
      <c r="AX289" s="2">
        <f>'CERRO EL PLOMO'!AW25</f>
        <v>1</v>
      </c>
      <c r="AY289" s="2">
        <f>'CERRO EL PLOMO'!AX25</f>
        <v>1</v>
      </c>
      <c r="AZ289" s="2">
        <f>'CERRO EL PLOMO'!AY25</f>
        <v>1</v>
      </c>
      <c r="BA289" s="2" t="str">
        <f>'CERRO EL PLOMO'!AZ25</f>
        <v/>
      </c>
      <c r="BB289" s="2">
        <f>'CERRO EL PLOMO'!BA25</f>
        <v>1</v>
      </c>
      <c r="BC289" s="2" t="str">
        <f>'CERRO EL PLOMO'!BB25</f>
        <v/>
      </c>
      <c r="BD289" s="2">
        <f>'CERRO EL PLOMO'!BC25</f>
        <v>1</v>
      </c>
      <c r="BE289" s="2" t="str">
        <f>'CERRO EL PLOMO'!BD25</f>
        <v/>
      </c>
      <c r="BF289" s="2">
        <f>'CERRO EL PLOMO'!BE25</f>
        <v>0</v>
      </c>
      <c r="BG289" s="2">
        <f>'CERRO EL PLOMO'!BF25</f>
        <v>0</v>
      </c>
      <c r="BH289" s="2">
        <f>'CERRO EL PLOMO'!BG25</f>
        <v>0</v>
      </c>
      <c r="BI289" s="2">
        <f>'CERRO EL PLOMO'!BH25</f>
        <v>0</v>
      </c>
      <c r="BJ289" s="2">
        <f>'CERRO EL PLOMO'!BI25</f>
        <v>2</v>
      </c>
      <c r="BK289" s="2">
        <f>'CERRO EL PLOMO'!BJ25</f>
        <v>2</v>
      </c>
      <c r="BL289" s="2">
        <f>'CERRO EL PLOMO'!BK25</f>
        <v>2</v>
      </c>
      <c r="BM289" s="2">
        <f>'CERRO EL PLOMO'!BL25</f>
        <v>2</v>
      </c>
      <c r="BN289" s="2">
        <f>'CERRO EL PLOMO'!BM25</f>
        <v>2</v>
      </c>
      <c r="BO289" s="2">
        <f>'CERRO EL PLOMO'!BN25</f>
        <v>2</v>
      </c>
      <c r="BP289" s="2" t="str">
        <f>'CERRO EL PLOMO'!BO25</f>
        <v/>
      </c>
      <c r="BQ289" s="2">
        <f>'CERRO EL PLOMO'!BP25</f>
        <v>2</v>
      </c>
      <c r="BR289" s="2">
        <f>'CERRO EL PLOMO'!BQ25</f>
        <v>2</v>
      </c>
      <c r="BS289" s="2">
        <f>'CERRO EL PLOMO'!BR25</f>
        <v>2</v>
      </c>
      <c r="BT289" s="2" t="str">
        <f>'CERRO EL PLOMO'!BS25</f>
        <v/>
      </c>
      <c r="BU289" s="2">
        <f>'CERRO EL PLOMO'!BT25</f>
        <v>2</v>
      </c>
      <c r="BV289" s="2" t="str">
        <f>'CERRO EL PLOMO'!BU25</f>
        <v/>
      </c>
      <c r="BW289" s="2">
        <f>'CERRO EL PLOMO'!BV25</f>
        <v>3</v>
      </c>
      <c r="BX289" s="2">
        <f>'CERRO EL PLOMO'!BW25</f>
        <v>3</v>
      </c>
      <c r="BY289" s="2" t="str">
        <f>'CERRO EL PLOMO'!BX25</f>
        <v/>
      </c>
      <c r="BZ289" s="2">
        <f>'CERRO EL PLOMO'!BY25</f>
        <v>1</v>
      </c>
      <c r="CA289" s="2">
        <f>'CERRO EL PLOMO'!BZ25</f>
        <v>1</v>
      </c>
      <c r="CB289" s="2" t="str">
        <f>'CERRO EL PLOMO'!CA25</f>
        <v/>
      </c>
      <c r="CC289" s="2" t="str">
        <f>'CERRO EL PLOMO'!CB25</f>
        <v/>
      </c>
    </row>
    <row r="290">
      <c r="A290" s="2"/>
      <c r="B290" s="2" t="str">
        <f>'CERRO EL PLOMO'!A26</f>
        <v>Cerro el Plomo</v>
      </c>
      <c r="C290" s="2" t="str">
        <f>'CERRO EL PLOMO'!B26</f>
        <v>Cafeteria</v>
      </c>
      <c r="D290" s="2" t="str">
        <f>'CERRO EL PLOMO'!C26</f>
        <v>Te caja surtidos</v>
      </c>
      <c r="E290" s="2" t="str">
        <f>'CERRO EL PLOMO'!D26</f>
        <v/>
      </c>
      <c r="F290" s="2" t="str">
        <f>'CERRO EL PLOMO'!E26</f>
        <v/>
      </c>
      <c r="G290" s="2" t="str">
        <f>'CERRO EL PLOMO'!F26</f>
        <v/>
      </c>
      <c r="H290" s="2" t="str">
        <f>'CERRO EL PLOMO'!G26</f>
        <v/>
      </c>
      <c r="I290" s="2" t="str">
        <f>'CERRO EL PLOMO'!H26</f>
        <v/>
      </c>
      <c r="J290" s="2" t="str">
        <f>'CERRO EL PLOMO'!I26</f>
        <v/>
      </c>
      <c r="K290" s="2" t="str">
        <f>'CERRO EL PLOMO'!J26</f>
        <v/>
      </c>
      <c r="L290" s="2" t="str">
        <f>'CERRO EL PLOMO'!K26</f>
        <v/>
      </c>
      <c r="M290" s="2" t="str">
        <f>'CERRO EL PLOMO'!L26</f>
        <v/>
      </c>
      <c r="N290" s="2" t="str">
        <f>'CERRO EL PLOMO'!M26</f>
        <v/>
      </c>
      <c r="O290" s="2" t="str">
        <f>'CERRO EL PLOMO'!N26</f>
        <v/>
      </c>
      <c r="P290" s="2" t="str">
        <f>'CERRO EL PLOMO'!O26</f>
        <v/>
      </c>
      <c r="Q290" s="2" t="str">
        <f>'CERRO EL PLOMO'!P26</f>
        <v/>
      </c>
      <c r="R290" s="2" t="str">
        <f>'CERRO EL PLOMO'!Q26</f>
        <v/>
      </c>
      <c r="S290" s="2" t="str">
        <f>'CERRO EL PLOMO'!R26</f>
        <v/>
      </c>
      <c r="T290" s="2" t="str">
        <f>'CERRO EL PLOMO'!S26</f>
        <v/>
      </c>
      <c r="U290" s="2" t="str">
        <f>'CERRO EL PLOMO'!T26</f>
        <v/>
      </c>
      <c r="V290" s="2" t="str">
        <f>'CERRO EL PLOMO'!U26</f>
        <v/>
      </c>
      <c r="W290" s="2" t="str">
        <f>'CERRO EL PLOMO'!V26</f>
        <v/>
      </c>
      <c r="X290" s="2" t="str">
        <f>'CERRO EL PLOMO'!W26</f>
        <v/>
      </c>
      <c r="Y290" s="2" t="str">
        <f>'CERRO EL PLOMO'!X26</f>
        <v/>
      </c>
      <c r="Z290" s="2" t="str">
        <f>'CERRO EL PLOMO'!Y26</f>
        <v/>
      </c>
      <c r="AA290" s="2" t="str">
        <f>'CERRO EL PLOMO'!Z26</f>
        <v/>
      </c>
      <c r="AB290" s="2" t="str">
        <f>'CERRO EL PLOMO'!AA26</f>
        <v/>
      </c>
      <c r="AC290" s="2" t="str">
        <f>'CERRO EL PLOMO'!AB26</f>
        <v/>
      </c>
      <c r="AD290" s="2" t="str">
        <f>'CERRO EL PLOMO'!AC26</f>
        <v/>
      </c>
      <c r="AE290" s="2" t="str">
        <f>'CERRO EL PLOMO'!AD26</f>
        <v/>
      </c>
      <c r="AF290" s="2" t="str">
        <f>'CERRO EL PLOMO'!AE26</f>
        <v/>
      </c>
      <c r="AG290" s="2" t="str">
        <f>'CERRO EL PLOMO'!AF26</f>
        <v/>
      </c>
      <c r="AH290" s="2" t="str">
        <f>'CERRO EL PLOMO'!AG26</f>
        <v/>
      </c>
      <c r="AI290" s="2" t="str">
        <f>'CERRO EL PLOMO'!AH26</f>
        <v/>
      </c>
      <c r="AJ290" s="2" t="str">
        <f>'CERRO EL PLOMO'!AI26</f>
        <v/>
      </c>
      <c r="AK290" s="2" t="str">
        <f>'CERRO EL PLOMO'!AJ26</f>
        <v/>
      </c>
      <c r="AL290" s="2" t="str">
        <f>'CERRO EL PLOMO'!AK26</f>
        <v/>
      </c>
      <c r="AM290" s="2" t="str">
        <f>'CERRO EL PLOMO'!AL26</f>
        <v/>
      </c>
      <c r="AN290" s="2" t="str">
        <f>'CERRO EL PLOMO'!AM26</f>
        <v/>
      </c>
      <c r="AO290" s="2" t="str">
        <f>'CERRO EL PLOMO'!AN26</f>
        <v/>
      </c>
      <c r="AP290" s="2" t="str">
        <f>'CERRO EL PLOMO'!AO26</f>
        <v/>
      </c>
      <c r="AQ290" s="2">
        <f>'CERRO EL PLOMO'!AP26</f>
        <v>3</v>
      </c>
      <c r="AR290" s="2">
        <f>'CERRO EL PLOMO'!AQ26</f>
        <v>5</v>
      </c>
      <c r="AS290" s="2">
        <f>'CERRO EL PLOMO'!AR26</f>
        <v>5</v>
      </c>
      <c r="AT290" s="2">
        <f>'CERRO EL PLOMO'!AS26</f>
        <v>5</v>
      </c>
      <c r="AU290" s="2" t="str">
        <f>'CERRO EL PLOMO'!AT26</f>
        <v/>
      </c>
      <c r="AV290" s="2">
        <f>'CERRO EL PLOMO'!AU26</f>
        <v>5</v>
      </c>
      <c r="AW290" s="2" t="str">
        <f>'CERRO EL PLOMO'!AV26</f>
        <v/>
      </c>
      <c r="AX290" s="2">
        <f>'CERRO EL PLOMO'!AW26</f>
        <v>4</v>
      </c>
      <c r="AY290" s="2">
        <f>'CERRO EL PLOMO'!AX26</f>
        <v>4</v>
      </c>
      <c r="AZ290" s="2">
        <f>'CERRO EL PLOMO'!AY26</f>
        <v>4</v>
      </c>
      <c r="BA290" s="2" t="str">
        <f>'CERRO EL PLOMO'!AZ26</f>
        <v/>
      </c>
      <c r="BB290" s="2">
        <f>'CERRO EL PLOMO'!BA26</f>
        <v>4</v>
      </c>
      <c r="BC290" s="2" t="str">
        <f>'CERRO EL PLOMO'!BB26</f>
        <v/>
      </c>
      <c r="BD290" s="2">
        <f>'CERRO EL PLOMO'!BC26</f>
        <v>4</v>
      </c>
      <c r="BE290" s="2" t="str">
        <f>'CERRO EL PLOMO'!BD26</f>
        <v/>
      </c>
      <c r="BF290" s="2">
        <f>'CERRO EL PLOMO'!BE26</f>
        <v>3</v>
      </c>
      <c r="BG290" s="2">
        <f>'CERRO EL PLOMO'!BF26</f>
        <v>3</v>
      </c>
      <c r="BH290" s="2">
        <f>'CERRO EL PLOMO'!BG26</f>
        <v>2</v>
      </c>
      <c r="BI290" s="2">
        <f>'CERRO EL PLOMO'!BH26</f>
        <v>2</v>
      </c>
      <c r="BJ290" s="2" t="str">
        <f>'CERRO EL PLOMO'!BI26</f>
        <v/>
      </c>
      <c r="BK290" s="2">
        <f>'CERRO EL PLOMO'!BJ26</f>
        <v>2</v>
      </c>
      <c r="BL290" s="2">
        <f>'CERRO EL PLOMO'!BK26</f>
        <v>2</v>
      </c>
      <c r="BM290" s="2">
        <f>'CERRO EL PLOMO'!BL26</f>
        <v>2</v>
      </c>
      <c r="BN290" s="2">
        <f>'CERRO EL PLOMO'!BM26</f>
        <v>2</v>
      </c>
      <c r="BO290" s="2">
        <f>'CERRO EL PLOMO'!BN26</f>
        <v>2</v>
      </c>
      <c r="BP290" s="2" t="str">
        <f>'CERRO EL PLOMO'!BO26</f>
        <v/>
      </c>
      <c r="BQ290" s="2">
        <f>'CERRO EL PLOMO'!BP26</f>
        <v>2</v>
      </c>
      <c r="BR290" s="2">
        <f>'CERRO EL PLOMO'!BQ26</f>
        <v>2</v>
      </c>
      <c r="BS290" s="2">
        <f>'CERRO EL PLOMO'!BR26</f>
        <v>1</v>
      </c>
      <c r="BT290" s="2" t="str">
        <f>'CERRO EL PLOMO'!BS26</f>
        <v/>
      </c>
      <c r="BU290" s="2">
        <f>'CERRO EL PLOMO'!BT26</f>
        <v>1</v>
      </c>
      <c r="BV290" s="2" t="str">
        <f>'CERRO EL PLOMO'!BU26</f>
        <v/>
      </c>
      <c r="BW290" s="2">
        <f>'CERRO EL PLOMO'!BV26</f>
        <v>3</v>
      </c>
      <c r="BX290" s="2">
        <f>'CERRO EL PLOMO'!BW26</f>
        <v>3</v>
      </c>
      <c r="BY290" s="2" t="str">
        <f>'CERRO EL PLOMO'!BX26</f>
        <v/>
      </c>
      <c r="BZ290" s="2">
        <f>'CERRO EL PLOMO'!BY26</f>
        <v>1</v>
      </c>
      <c r="CA290" s="2">
        <f>'CERRO EL PLOMO'!BZ26</f>
        <v>1</v>
      </c>
      <c r="CB290" s="2" t="str">
        <f>'CERRO EL PLOMO'!CA26</f>
        <v/>
      </c>
      <c r="CC290" s="2" t="str">
        <f>'CERRO EL PLOMO'!CB26</f>
        <v/>
      </c>
    </row>
    <row r="291">
      <c r="A291" s="2"/>
      <c r="B291" s="2" t="str">
        <f>'CERRO EL PLOMO'!A27</f>
        <v>Cerro el Plomo</v>
      </c>
      <c r="C291" s="2" t="str">
        <f>'CERRO EL PLOMO'!B27</f>
        <v>Aseo</v>
      </c>
      <c r="D291" s="2" t="str">
        <f>'CERRO EL PLOMO'!C27</f>
        <v>Cloro Gel</v>
      </c>
      <c r="E291" s="2" t="str">
        <f>'CERRO EL PLOMO'!D27</f>
        <v/>
      </c>
      <c r="F291" s="2" t="str">
        <f>'CERRO EL PLOMO'!E27</f>
        <v/>
      </c>
      <c r="G291" s="2" t="str">
        <f>'CERRO EL PLOMO'!F27</f>
        <v/>
      </c>
      <c r="H291" s="2" t="str">
        <f>'CERRO EL PLOMO'!G27</f>
        <v/>
      </c>
      <c r="I291" s="2" t="str">
        <f>'CERRO EL PLOMO'!H27</f>
        <v/>
      </c>
      <c r="J291" s="2" t="str">
        <f>'CERRO EL PLOMO'!I27</f>
        <v/>
      </c>
      <c r="K291" s="2" t="str">
        <f>'CERRO EL PLOMO'!J27</f>
        <v/>
      </c>
      <c r="L291" s="2" t="str">
        <f>'CERRO EL PLOMO'!K27</f>
        <v/>
      </c>
      <c r="M291" s="2" t="str">
        <f>'CERRO EL PLOMO'!L27</f>
        <v/>
      </c>
      <c r="N291" s="2" t="str">
        <f>'CERRO EL PLOMO'!M27</f>
        <v/>
      </c>
      <c r="O291" s="2" t="str">
        <f>'CERRO EL PLOMO'!N27</f>
        <v/>
      </c>
      <c r="P291" s="2" t="str">
        <f>'CERRO EL PLOMO'!O27</f>
        <v/>
      </c>
      <c r="Q291" s="2" t="str">
        <f>'CERRO EL PLOMO'!P27</f>
        <v/>
      </c>
      <c r="R291" s="2" t="str">
        <f>'CERRO EL PLOMO'!Q27</f>
        <v>-</v>
      </c>
      <c r="S291" s="2" t="str">
        <f>'CERRO EL PLOMO'!R27</f>
        <v>-</v>
      </c>
      <c r="T291" s="2" t="str">
        <f>'CERRO EL PLOMO'!S27</f>
        <v>-</v>
      </c>
      <c r="U291" s="2" t="str">
        <f>'CERRO EL PLOMO'!T27</f>
        <v>-</v>
      </c>
      <c r="V291" s="2" t="str">
        <f>'CERRO EL PLOMO'!U27</f>
        <v>-</v>
      </c>
      <c r="W291" s="2" t="str">
        <f>'CERRO EL PLOMO'!V27</f>
        <v>-</v>
      </c>
      <c r="X291" s="2" t="str">
        <f>'CERRO EL PLOMO'!W27</f>
        <v>-</v>
      </c>
      <c r="Y291" s="2" t="str">
        <f>'CERRO EL PLOMO'!X27</f>
        <v>-</v>
      </c>
      <c r="Z291" s="2" t="str">
        <f>'CERRO EL PLOMO'!Y27</f>
        <v>-</v>
      </c>
      <c r="AA291" s="2" t="str">
        <f>'CERRO EL PLOMO'!Z27</f>
        <v>-</v>
      </c>
      <c r="AB291" s="2" t="str">
        <f>'CERRO EL PLOMO'!AA27</f>
        <v/>
      </c>
      <c r="AC291" s="2">
        <f>'CERRO EL PLOMO'!AB27</f>
        <v>1</v>
      </c>
      <c r="AD291" s="2" t="str">
        <f>'CERRO EL PLOMO'!AC27</f>
        <v/>
      </c>
      <c r="AE291" s="2">
        <f>'CERRO EL PLOMO'!AD27</f>
        <v>2</v>
      </c>
      <c r="AF291" s="2">
        <f>'CERRO EL PLOMO'!AE27</f>
        <v>2</v>
      </c>
      <c r="AG291" s="2" t="str">
        <f>'CERRO EL PLOMO'!AF27</f>
        <v/>
      </c>
      <c r="AH291" s="2">
        <f>'CERRO EL PLOMO'!AG27</f>
        <v>2</v>
      </c>
      <c r="AI291" s="2" t="str">
        <f>'CERRO EL PLOMO'!AH27</f>
        <v/>
      </c>
      <c r="AJ291" s="2">
        <f>'CERRO EL PLOMO'!AI27</f>
        <v>2</v>
      </c>
      <c r="AK291" s="2" t="str">
        <f>'CERRO EL PLOMO'!AJ27</f>
        <v/>
      </c>
      <c r="AL291" s="2" t="str">
        <f>'CERRO EL PLOMO'!AK27</f>
        <v/>
      </c>
      <c r="AM291" s="2">
        <f>'CERRO EL PLOMO'!AL27</f>
        <v>2</v>
      </c>
      <c r="AN291" s="2">
        <f>'CERRO EL PLOMO'!AM27</f>
        <v>2</v>
      </c>
      <c r="AO291" s="2">
        <f>'CERRO EL PLOMO'!AN27</f>
        <v>2</v>
      </c>
      <c r="AP291" s="2">
        <f>'CERRO EL PLOMO'!AO27</f>
        <v>2</v>
      </c>
      <c r="AQ291" s="2">
        <f>'CERRO EL PLOMO'!AP27</f>
        <v>1</v>
      </c>
      <c r="AR291" s="2">
        <f>'CERRO EL PLOMO'!AQ27</f>
        <v>2</v>
      </c>
      <c r="AS291" s="2">
        <f>'CERRO EL PLOMO'!AR27</f>
        <v>2</v>
      </c>
      <c r="AT291" s="2">
        <f>'CERRO EL PLOMO'!AS27</f>
        <v>2</v>
      </c>
      <c r="AU291" s="2" t="str">
        <f>'CERRO EL PLOMO'!AT27</f>
        <v/>
      </c>
      <c r="AV291" s="2">
        <f>'CERRO EL PLOMO'!AU27</f>
        <v>2</v>
      </c>
      <c r="AW291" s="2" t="str">
        <f>'CERRO EL PLOMO'!AV27</f>
        <v/>
      </c>
      <c r="AX291" s="2">
        <f>'CERRO EL PLOMO'!AW27</f>
        <v>2</v>
      </c>
      <c r="AY291" s="2">
        <f>'CERRO EL PLOMO'!AX27</f>
        <v>2</v>
      </c>
      <c r="AZ291" s="2">
        <f>'CERRO EL PLOMO'!AY27</f>
        <v>2</v>
      </c>
      <c r="BA291" s="2" t="str">
        <f>'CERRO EL PLOMO'!AZ27</f>
        <v/>
      </c>
      <c r="BB291" s="2">
        <f>'CERRO EL PLOMO'!BA27</f>
        <v>2</v>
      </c>
      <c r="BC291" s="2" t="str">
        <f>'CERRO EL PLOMO'!BB27</f>
        <v/>
      </c>
      <c r="BD291" s="2">
        <f>'CERRO EL PLOMO'!BC27</f>
        <v>2</v>
      </c>
      <c r="BE291" s="2" t="str">
        <f>'CERRO EL PLOMO'!BD27</f>
        <v/>
      </c>
      <c r="BF291" s="2">
        <f>'CERRO EL PLOMO'!BE27</f>
        <v>2</v>
      </c>
      <c r="BG291" s="2">
        <f>'CERRO EL PLOMO'!BF27</f>
        <v>2</v>
      </c>
      <c r="BH291" s="2">
        <f>'CERRO EL PLOMO'!BG27</f>
        <v>2</v>
      </c>
      <c r="BI291" s="2">
        <f>'CERRO EL PLOMO'!BH27</f>
        <v>2</v>
      </c>
      <c r="BJ291" s="2" t="str">
        <f>'CERRO EL PLOMO'!BI27</f>
        <v/>
      </c>
      <c r="BK291" s="2">
        <f>'CERRO EL PLOMO'!BJ27</f>
        <v>2</v>
      </c>
      <c r="BL291" s="2">
        <f>'CERRO EL PLOMO'!BK27</f>
        <v>2</v>
      </c>
      <c r="BM291" s="2">
        <f>'CERRO EL PLOMO'!BL27</f>
        <v>2</v>
      </c>
      <c r="BN291" s="2">
        <f>'CERRO EL PLOMO'!BM27</f>
        <v>2</v>
      </c>
      <c r="BO291" s="2">
        <f>'CERRO EL PLOMO'!BN27</f>
        <v>2</v>
      </c>
      <c r="BP291" s="2" t="str">
        <f>'CERRO EL PLOMO'!BO27</f>
        <v/>
      </c>
      <c r="BQ291" s="2">
        <f>'CERRO EL PLOMO'!BP27</f>
        <v>2</v>
      </c>
      <c r="BR291" s="2">
        <f>'CERRO EL PLOMO'!BQ27</f>
        <v>2</v>
      </c>
      <c r="BS291" s="2">
        <f>'CERRO EL PLOMO'!BR27</f>
        <v>1</v>
      </c>
      <c r="BT291" s="2" t="str">
        <f>'CERRO EL PLOMO'!BS27</f>
        <v/>
      </c>
      <c r="BU291" s="2">
        <f>'CERRO EL PLOMO'!BT27</f>
        <v>1</v>
      </c>
      <c r="BV291" s="2">
        <f>'CERRO EL PLOMO'!BU27</f>
        <v>1</v>
      </c>
      <c r="BW291" s="2">
        <f>'CERRO EL PLOMO'!BV27</f>
        <v>2</v>
      </c>
      <c r="BX291" s="2">
        <f>'CERRO EL PLOMO'!BW27</f>
        <v>2</v>
      </c>
      <c r="BY291" s="2" t="str">
        <f>'CERRO EL PLOMO'!BX27</f>
        <v/>
      </c>
      <c r="BZ291" s="2">
        <f>'CERRO EL PLOMO'!BY27</f>
        <v>2</v>
      </c>
      <c r="CA291" s="2">
        <f>'CERRO EL PLOMO'!BZ27</f>
        <v>2</v>
      </c>
      <c r="CB291" s="2" t="str">
        <f>'CERRO EL PLOMO'!CA27</f>
        <v/>
      </c>
      <c r="CC291" s="2" t="str">
        <f>'CERRO EL PLOMO'!CB27</f>
        <v/>
      </c>
    </row>
    <row r="292">
      <c r="A292" s="2"/>
      <c r="B292" s="2" t="str">
        <f>'CERRO EL PLOMO'!A28</f>
        <v>Cerro el Plomo</v>
      </c>
      <c r="C292" s="2" t="str">
        <f>'CERRO EL PLOMO'!B28</f>
        <v>Aseo</v>
      </c>
      <c r="D292" s="2" t="str">
        <f>'CERRO EL PLOMO'!C28</f>
        <v>Limpia Piso</v>
      </c>
      <c r="E292" s="2" t="str">
        <f>'CERRO EL PLOMO'!D28</f>
        <v/>
      </c>
      <c r="F292" s="2" t="str">
        <f>'CERRO EL PLOMO'!E28</f>
        <v/>
      </c>
      <c r="G292" s="2" t="str">
        <f>'CERRO EL PLOMO'!F28</f>
        <v/>
      </c>
      <c r="H292" s="2" t="str">
        <f>'CERRO EL PLOMO'!G28</f>
        <v/>
      </c>
      <c r="I292" s="2" t="str">
        <f>'CERRO EL PLOMO'!H28</f>
        <v/>
      </c>
      <c r="J292" s="2" t="str">
        <f>'CERRO EL PLOMO'!I28</f>
        <v/>
      </c>
      <c r="K292" s="2" t="str">
        <f>'CERRO EL PLOMO'!J28</f>
        <v/>
      </c>
      <c r="L292" s="2" t="str">
        <f>'CERRO EL PLOMO'!K28</f>
        <v/>
      </c>
      <c r="M292" s="2" t="str">
        <f>'CERRO EL PLOMO'!L28</f>
        <v/>
      </c>
      <c r="N292" s="2" t="str">
        <f>'CERRO EL PLOMO'!M28</f>
        <v/>
      </c>
      <c r="O292" s="2" t="str">
        <f>'CERRO EL PLOMO'!N28</f>
        <v/>
      </c>
      <c r="P292" s="2" t="str">
        <f>'CERRO EL PLOMO'!O28</f>
        <v/>
      </c>
      <c r="Q292" s="2" t="str">
        <f>'CERRO EL PLOMO'!P28</f>
        <v/>
      </c>
      <c r="R292" s="2" t="str">
        <f>'CERRO EL PLOMO'!Q28</f>
        <v>-</v>
      </c>
      <c r="S292" s="2" t="str">
        <f>'CERRO EL PLOMO'!R28</f>
        <v>-</v>
      </c>
      <c r="T292" s="2" t="str">
        <f>'CERRO EL PLOMO'!S28</f>
        <v>-</v>
      </c>
      <c r="U292" s="2" t="str">
        <f>'CERRO EL PLOMO'!T28</f>
        <v>-</v>
      </c>
      <c r="V292" s="2" t="str">
        <f>'CERRO EL PLOMO'!U28</f>
        <v>-</v>
      </c>
      <c r="W292" s="2" t="str">
        <f>'CERRO EL PLOMO'!V28</f>
        <v>-</v>
      </c>
      <c r="X292" s="2" t="str">
        <f>'CERRO EL PLOMO'!W28</f>
        <v>-</v>
      </c>
      <c r="Y292" s="2" t="str">
        <f>'CERRO EL PLOMO'!X28</f>
        <v>-</v>
      </c>
      <c r="Z292" s="2" t="str">
        <f>'CERRO EL PLOMO'!Y28</f>
        <v>-</v>
      </c>
      <c r="AA292" s="2" t="str">
        <f>'CERRO EL PLOMO'!Z28</f>
        <v>-</v>
      </c>
      <c r="AB292" s="2" t="str">
        <f>'CERRO EL PLOMO'!AA28</f>
        <v/>
      </c>
      <c r="AC292" s="2">
        <f>'CERRO EL PLOMO'!AB28</f>
        <v>3</v>
      </c>
      <c r="AD292" s="2" t="str">
        <f>'CERRO EL PLOMO'!AC28</f>
        <v/>
      </c>
      <c r="AE292" s="2">
        <f>'CERRO EL PLOMO'!AD28</f>
        <v>3</v>
      </c>
      <c r="AF292" s="2">
        <f>'CERRO EL PLOMO'!AE28</f>
        <v>3</v>
      </c>
      <c r="AG292" s="2" t="str">
        <f>'CERRO EL PLOMO'!AF28</f>
        <v/>
      </c>
      <c r="AH292" s="2">
        <f>'CERRO EL PLOMO'!AG28</f>
        <v>3</v>
      </c>
      <c r="AI292" s="2" t="str">
        <f>'CERRO EL PLOMO'!AH28</f>
        <v/>
      </c>
      <c r="AJ292" s="2">
        <f>'CERRO EL PLOMO'!AI28</f>
        <v>2</v>
      </c>
      <c r="AK292" s="2" t="str">
        <f>'CERRO EL PLOMO'!AJ28</f>
        <v/>
      </c>
      <c r="AL292" s="2" t="str">
        <f>'CERRO EL PLOMO'!AK28</f>
        <v/>
      </c>
      <c r="AM292" s="2">
        <f>'CERRO EL PLOMO'!AL28</f>
        <v>2</v>
      </c>
      <c r="AN292" s="2">
        <f>'CERRO EL PLOMO'!AM28</f>
        <v>2</v>
      </c>
      <c r="AO292" s="2">
        <f>'CERRO EL PLOMO'!AN28</f>
        <v>2</v>
      </c>
      <c r="AP292" s="2">
        <f>'CERRO EL PLOMO'!AO28</f>
        <v>2</v>
      </c>
      <c r="AQ292" s="2">
        <f>'CERRO EL PLOMO'!AP28</f>
        <v>2</v>
      </c>
      <c r="AR292" s="2">
        <f>'CERRO EL PLOMO'!AQ28</f>
        <v>3</v>
      </c>
      <c r="AS292" s="2">
        <f>'CERRO EL PLOMO'!AR28</f>
        <v>3</v>
      </c>
      <c r="AT292" s="2">
        <f>'CERRO EL PLOMO'!AS28</f>
        <v>3</v>
      </c>
      <c r="AU292" s="2" t="str">
        <f>'CERRO EL PLOMO'!AT28</f>
        <v/>
      </c>
      <c r="AV292" s="2">
        <f>'CERRO EL PLOMO'!AU28</f>
        <v>3</v>
      </c>
      <c r="AW292" s="2" t="str">
        <f>'CERRO EL PLOMO'!AV28</f>
        <v/>
      </c>
      <c r="AX292" s="2">
        <f>'CERRO EL PLOMO'!AW28</f>
        <v>2</v>
      </c>
      <c r="AY292" s="2">
        <f>'CERRO EL PLOMO'!AX28</f>
        <v>2</v>
      </c>
      <c r="AZ292" s="2">
        <f>'CERRO EL PLOMO'!AY28</f>
        <v>2</v>
      </c>
      <c r="BA292" s="2" t="str">
        <f>'CERRO EL PLOMO'!AZ28</f>
        <v/>
      </c>
      <c r="BB292" s="2">
        <f>'CERRO EL PLOMO'!BA28</f>
        <v>2</v>
      </c>
      <c r="BC292" s="2" t="str">
        <f>'CERRO EL PLOMO'!BB28</f>
        <v/>
      </c>
      <c r="BD292" s="2">
        <f>'CERRO EL PLOMO'!BC28</f>
        <v>2</v>
      </c>
      <c r="BE292" s="2" t="str">
        <f>'CERRO EL PLOMO'!BD28</f>
        <v/>
      </c>
      <c r="BF292" s="2">
        <f>'CERRO EL PLOMO'!BE28</f>
        <v>2</v>
      </c>
      <c r="BG292" s="2">
        <f>'CERRO EL PLOMO'!BF28</f>
        <v>2</v>
      </c>
      <c r="BH292" s="2">
        <f>'CERRO EL PLOMO'!BG28</f>
        <v>2</v>
      </c>
      <c r="BI292" s="2">
        <f>'CERRO EL PLOMO'!BH28</f>
        <v>2</v>
      </c>
      <c r="BJ292" s="2" t="str">
        <f>'CERRO EL PLOMO'!BI28</f>
        <v/>
      </c>
      <c r="BK292" s="2">
        <f>'CERRO EL PLOMO'!BJ28</f>
        <v>1</v>
      </c>
      <c r="BL292" s="2">
        <f>'CERRO EL PLOMO'!BK28</f>
        <v>1</v>
      </c>
      <c r="BM292" s="2">
        <f>'CERRO EL PLOMO'!BL28</f>
        <v>1</v>
      </c>
      <c r="BN292" s="2">
        <f>'CERRO EL PLOMO'!BM28</f>
        <v>1</v>
      </c>
      <c r="BO292" s="2">
        <f>'CERRO EL PLOMO'!BN28</f>
        <v>1</v>
      </c>
      <c r="BP292" s="2" t="str">
        <f>'CERRO EL PLOMO'!BO28</f>
        <v/>
      </c>
      <c r="BQ292" s="2">
        <f>'CERRO EL PLOMO'!BP28</f>
        <v>0</v>
      </c>
      <c r="BR292" s="2">
        <f>'CERRO EL PLOMO'!BQ28</f>
        <v>0</v>
      </c>
      <c r="BS292" s="2">
        <f>'CERRO EL PLOMO'!BR28</f>
        <v>0</v>
      </c>
      <c r="BT292" s="2" t="str">
        <f>'CERRO EL PLOMO'!BS28</f>
        <v/>
      </c>
      <c r="BU292" s="2">
        <f>'CERRO EL PLOMO'!BT28</f>
        <v>0</v>
      </c>
      <c r="BV292" s="2">
        <f>'CERRO EL PLOMO'!BU28</f>
        <v>2</v>
      </c>
      <c r="BW292" s="2">
        <f>'CERRO EL PLOMO'!BV28</f>
        <v>2</v>
      </c>
      <c r="BX292" s="2">
        <f>'CERRO EL PLOMO'!BW28</f>
        <v>2</v>
      </c>
      <c r="BY292" s="2" t="str">
        <f>'CERRO EL PLOMO'!BX28</f>
        <v/>
      </c>
      <c r="BZ292" s="2">
        <f>'CERRO EL PLOMO'!BY28</f>
        <v>2</v>
      </c>
      <c r="CA292" s="2">
        <f>'CERRO EL PLOMO'!BZ28</f>
        <v>2</v>
      </c>
      <c r="CB292" s="2" t="str">
        <f>'CERRO EL PLOMO'!CA28</f>
        <v/>
      </c>
      <c r="CC292" s="2" t="str">
        <f>'CERRO EL PLOMO'!CB28</f>
        <v/>
      </c>
    </row>
    <row r="293">
      <c r="A293" s="2"/>
      <c r="B293" s="2" t="str">
        <f>'CERRO EL PLOMO'!A29</f>
        <v>Cerro el Plomo</v>
      </c>
      <c r="C293" s="2" t="str">
        <f>'CERRO EL PLOMO'!B29</f>
        <v>Aseo</v>
      </c>
      <c r="D293" s="2" t="str">
        <f>'CERRO EL PLOMO'!C29</f>
        <v>Bolsas Basura 50x70</v>
      </c>
      <c r="E293" s="2" t="str">
        <f>'CERRO EL PLOMO'!D29</f>
        <v/>
      </c>
      <c r="F293" s="2" t="str">
        <f>'CERRO EL PLOMO'!E29</f>
        <v/>
      </c>
      <c r="G293" s="2" t="str">
        <f>'CERRO EL PLOMO'!F29</f>
        <v/>
      </c>
      <c r="H293" s="2" t="str">
        <f>'CERRO EL PLOMO'!G29</f>
        <v/>
      </c>
      <c r="I293" s="2" t="str">
        <f>'CERRO EL PLOMO'!H29</f>
        <v/>
      </c>
      <c r="J293" s="2" t="str">
        <f>'CERRO EL PLOMO'!I29</f>
        <v/>
      </c>
      <c r="K293" s="2" t="str">
        <f>'CERRO EL PLOMO'!J29</f>
        <v/>
      </c>
      <c r="L293" s="2" t="str">
        <f>'CERRO EL PLOMO'!K29</f>
        <v/>
      </c>
      <c r="M293" s="2" t="str">
        <f>'CERRO EL PLOMO'!L29</f>
        <v/>
      </c>
      <c r="N293" s="2" t="str">
        <f>'CERRO EL PLOMO'!M29</f>
        <v/>
      </c>
      <c r="O293" s="2" t="str">
        <f>'CERRO EL PLOMO'!N29</f>
        <v/>
      </c>
      <c r="P293" s="2" t="str">
        <f>'CERRO EL PLOMO'!O29</f>
        <v/>
      </c>
      <c r="Q293" s="2" t="str">
        <f>'CERRO EL PLOMO'!P29</f>
        <v/>
      </c>
      <c r="R293" s="2" t="str">
        <f>'CERRO EL PLOMO'!Q29</f>
        <v>-</v>
      </c>
      <c r="S293" s="2" t="str">
        <f>'CERRO EL PLOMO'!R29</f>
        <v>-</v>
      </c>
      <c r="T293" s="2" t="str">
        <f>'CERRO EL PLOMO'!S29</f>
        <v>-</v>
      </c>
      <c r="U293" s="2" t="str">
        <f>'CERRO EL PLOMO'!T29</f>
        <v>-</v>
      </c>
      <c r="V293" s="2" t="str">
        <f>'CERRO EL PLOMO'!U29</f>
        <v>-</v>
      </c>
      <c r="W293" s="2" t="str">
        <f>'CERRO EL PLOMO'!V29</f>
        <v>-</v>
      </c>
      <c r="X293" s="2" t="str">
        <f>'CERRO EL PLOMO'!W29</f>
        <v>-</v>
      </c>
      <c r="Y293" s="2" t="str">
        <f>'CERRO EL PLOMO'!X29</f>
        <v>-</v>
      </c>
      <c r="Z293" s="2" t="str">
        <f>'CERRO EL PLOMO'!Y29</f>
        <v>-</v>
      </c>
      <c r="AA293" s="2" t="str">
        <f>'CERRO EL PLOMO'!Z29</f>
        <v>-</v>
      </c>
      <c r="AB293" s="2" t="str">
        <f>'CERRO EL PLOMO'!AA29</f>
        <v/>
      </c>
      <c r="AC293" s="2">
        <f>'CERRO EL PLOMO'!AB29</f>
        <v>8</v>
      </c>
      <c r="AD293" s="2" t="str">
        <f>'CERRO EL PLOMO'!AC29</f>
        <v/>
      </c>
      <c r="AE293" s="2" t="str">
        <f>'CERRO EL PLOMO'!AD29</f>
        <v>Paqte,50=6,70=4, 80=1</v>
      </c>
      <c r="AF293" s="2" t="str">
        <f>'CERRO EL PLOMO'!AE29</f>
        <v>Paqte,50=3,70=4, 80=1</v>
      </c>
      <c r="AG293" s="2" t="str">
        <f>'CERRO EL PLOMO'!AF29</f>
        <v/>
      </c>
      <c r="AH293" s="2" t="str">
        <f>'CERRO EL PLOMO'!AG29</f>
        <v>Paqte,50=3,70=4, 80=1</v>
      </c>
      <c r="AI293" s="2" t="str">
        <f>'CERRO EL PLOMO'!AH29</f>
        <v/>
      </c>
      <c r="AJ293" s="2" t="str">
        <f>'CERRO EL PLOMO'!AI29</f>
        <v>Paqte,70=3, 50=2, 80=1</v>
      </c>
      <c r="AK293" s="2" t="str">
        <f>'CERRO EL PLOMO'!AJ29</f>
        <v/>
      </c>
      <c r="AL293" s="2" t="str">
        <f>'CERRO EL PLOMO'!AK29</f>
        <v>Paqte,70=4, 50=10, 80=15</v>
      </c>
      <c r="AM293" s="2" t="str">
        <f>'CERRO EL PLOMO'!AL29</f>
        <v>Paqte,70=13, 50=15, 80=12</v>
      </c>
      <c r="AN293" s="2" t="str">
        <f>'CERRO EL PLOMO'!AM29</f>
        <v>Paqte,70=13, 50=11, 80=12</v>
      </c>
      <c r="AO293" s="2" t="str">
        <f>'CERRO EL PLOMO'!AN29</f>
        <v>Paqte,70=10, 50=09, 80=11</v>
      </c>
      <c r="AP293" s="2" t="str">
        <f>'CERRO EL PLOMO'!AO29</f>
        <v>Paqte,70=9, 50=03, 80=09</v>
      </c>
      <c r="AQ293" s="2" t="str">
        <f>'CERRO EL PLOMO'!AP29</f>
        <v>Paqte,70=8, 50=01, 80=09</v>
      </c>
      <c r="AR293" s="2" t="str">
        <f>'CERRO EL PLOMO'!AQ29</f>
        <v>Paqte,70=18, 50=16, 80=19</v>
      </c>
      <c r="AS293" s="2">
        <f>'CERRO EL PLOMO'!AR29</f>
        <v>18</v>
      </c>
      <c r="AT293" s="2">
        <f>'CERRO EL PLOMO'!AS29</f>
        <v>18</v>
      </c>
      <c r="AU293" s="2" t="str">
        <f>'CERRO EL PLOMO'!AT29</f>
        <v/>
      </c>
      <c r="AV293" s="2">
        <f>'CERRO EL PLOMO'!AU29</f>
        <v>14</v>
      </c>
      <c r="AW293" s="2" t="str">
        <f>'CERRO EL PLOMO'!AV29</f>
        <v/>
      </c>
      <c r="AX293" s="2">
        <f>'CERRO EL PLOMO'!AW29</f>
        <v>14</v>
      </c>
      <c r="AY293" s="2">
        <f>'CERRO EL PLOMO'!AX29</f>
        <v>14</v>
      </c>
      <c r="AZ293" s="2">
        <f>'CERRO EL PLOMO'!AY29</f>
        <v>7</v>
      </c>
      <c r="BA293" s="2" t="str">
        <f>'CERRO EL PLOMO'!AZ29</f>
        <v/>
      </c>
      <c r="BB293" s="2">
        <f>'CERRO EL PLOMO'!BA29</f>
        <v>12</v>
      </c>
      <c r="BC293" s="2" t="str">
        <f>'CERRO EL PLOMO'!BB29</f>
        <v/>
      </c>
      <c r="BD293" s="2">
        <f>'CERRO EL PLOMO'!BC29</f>
        <v>12</v>
      </c>
      <c r="BE293" s="2" t="str">
        <f>'CERRO EL PLOMO'!BD29</f>
        <v/>
      </c>
      <c r="BF293" s="2">
        <f>'CERRO EL PLOMO'!BE29</f>
        <v>6</v>
      </c>
      <c r="BG293" s="2">
        <f>'CERRO EL PLOMO'!BF29</f>
        <v>6</v>
      </c>
      <c r="BH293" s="2">
        <f>'CERRO EL PLOMO'!BG29</f>
        <v>6</v>
      </c>
      <c r="BI293" s="2">
        <f>'CERRO EL PLOMO'!BH29</f>
        <v>6</v>
      </c>
      <c r="BJ293" s="2" t="str">
        <f>'CERRO EL PLOMO'!BI29</f>
        <v/>
      </c>
      <c r="BK293" s="2">
        <f>'CERRO EL PLOMO'!BJ29</f>
        <v>6</v>
      </c>
      <c r="BL293" s="2">
        <f>'CERRO EL PLOMO'!BK29</f>
        <v>4</v>
      </c>
      <c r="BM293" s="2">
        <f>'CERRO EL PLOMO'!BL29</f>
        <v>4</v>
      </c>
      <c r="BN293" s="2">
        <f>'CERRO EL PLOMO'!BM29</f>
        <v>14</v>
      </c>
      <c r="BO293" s="2">
        <f>'CERRO EL PLOMO'!BN29</f>
        <v>14</v>
      </c>
      <c r="BP293" s="2" t="str">
        <f>'CERRO EL PLOMO'!BO29</f>
        <v/>
      </c>
      <c r="BQ293" s="2">
        <f>'CERRO EL PLOMO'!BP29</f>
        <v>11</v>
      </c>
      <c r="BR293" s="2">
        <f>'CERRO EL PLOMO'!BQ29</f>
        <v>11</v>
      </c>
      <c r="BS293" s="2">
        <f>'CERRO EL PLOMO'!BR29</f>
        <v>6</v>
      </c>
      <c r="BT293" s="2" t="str">
        <f>'CERRO EL PLOMO'!BS29</f>
        <v/>
      </c>
      <c r="BU293" s="2">
        <f>'CERRO EL PLOMO'!BT29</f>
        <v>5</v>
      </c>
      <c r="BV293" s="2">
        <f>'CERRO EL PLOMO'!BU29</f>
        <v>20</v>
      </c>
      <c r="BW293" s="2">
        <f>'CERRO EL PLOMO'!BV29</f>
        <v>20</v>
      </c>
      <c r="BX293" s="2">
        <f>'CERRO EL PLOMO'!BW29</f>
        <v>20</v>
      </c>
      <c r="BY293" s="2" t="str">
        <f>'CERRO EL PLOMO'!BX29</f>
        <v/>
      </c>
      <c r="BZ293" s="2">
        <f>'CERRO EL PLOMO'!BY29</f>
        <v>14</v>
      </c>
      <c r="CA293" s="2">
        <f>'CERRO EL PLOMO'!BZ29</f>
        <v>14</v>
      </c>
      <c r="CB293" s="2" t="str">
        <f>'CERRO EL PLOMO'!CA29</f>
        <v/>
      </c>
      <c r="CC293" s="2" t="str">
        <f>'CERRO EL PLOMO'!CB29</f>
        <v/>
      </c>
    </row>
    <row r="294">
      <c r="A294" s="2"/>
      <c r="B294" s="2" t="str">
        <f>'CERRO EL PLOMO'!A30</f>
        <v>Cerro el Plomo</v>
      </c>
      <c r="C294" s="2" t="str">
        <f>'CERRO EL PLOMO'!B30</f>
        <v>Aseo</v>
      </c>
      <c r="D294" s="2" t="str">
        <f>'CERRO EL PLOMO'!C30</f>
        <v>Bolsas Basura 70x90</v>
      </c>
      <c r="E294" s="2" t="str">
        <f>'CERRO EL PLOMO'!D30</f>
        <v/>
      </c>
      <c r="F294" s="2" t="str">
        <f>'CERRO EL PLOMO'!E30</f>
        <v/>
      </c>
      <c r="G294" s="2" t="str">
        <f>'CERRO EL PLOMO'!F30</f>
        <v/>
      </c>
      <c r="H294" s="2" t="str">
        <f>'CERRO EL PLOMO'!G30</f>
        <v/>
      </c>
      <c r="I294" s="2" t="str">
        <f>'CERRO EL PLOMO'!H30</f>
        <v/>
      </c>
      <c r="J294" s="2" t="str">
        <f>'CERRO EL PLOMO'!I30</f>
        <v/>
      </c>
      <c r="K294" s="2" t="str">
        <f>'CERRO EL PLOMO'!J30</f>
        <v/>
      </c>
      <c r="L294" s="2" t="str">
        <f>'CERRO EL PLOMO'!K30</f>
        <v/>
      </c>
      <c r="M294" s="2" t="str">
        <f>'CERRO EL PLOMO'!L30</f>
        <v/>
      </c>
      <c r="N294" s="2" t="str">
        <f>'CERRO EL PLOMO'!M30</f>
        <v/>
      </c>
      <c r="O294" s="2" t="str">
        <f>'CERRO EL PLOMO'!N30</f>
        <v/>
      </c>
      <c r="P294" s="2" t="str">
        <f>'CERRO EL PLOMO'!O30</f>
        <v/>
      </c>
      <c r="Q294" s="2" t="str">
        <f>'CERRO EL PLOMO'!P30</f>
        <v/>
      </c>
      <c r="R294" s="2" t="str">
        <f>'CERRO EL PLOMO'!Q30</f>
        <v/>
      </c>
      <c r="S294" s="2" t="str">
        <f>'CERRO EL PLOMO'!R30</f>
        <v/>
      </c>
      <c r="T294" s="2" t="str">
        <f>'CERRO EL PLOMO'!S30</f>
        <v/>
      </c>
      <c r="U294" s="2" t="str">
        <f>'CERRO EL PLOMO'!T30</f>
        <v/>
      </c>
      <c r="V294" s="2" t="str">
        <f>'CERRO EL PLOMO'!U30</f>
        <v/>
      </c>
      <c r="W294" s="2" t="str">
        <f>'CERRO EL PLOMO'!V30</f>
        <v/>
      </c>
      <c r="X294" s="2" t="str">
        <f>'CERRO EL PLOMO'!W30</f>
        <v/>
      </c>
      <c r="Y294" s="2" t="str">
        <f>'CERRO EL PLOMO'!X30</f>
        <v/>
      </c>
      <c r="Z294" s="2" t="str">
        <f>'CERRO EL PLOMO'!Y30</f>
        <v/>
      </c>
      <c r="AA294" s="2" t="str">
        <f>'CERRO EL PLOMO'!Z30</f>
        <v/>
      </c>
      <c r="AB294" s="2" t="str">
        <f>'CERRO EL PLOMO'!AA30</f>
        <v/>
      </c>
      <c r="AC294" s="2" t="str">
        <f>'CERRO EL PLOMO'!AB30</f>
        <v/>
      </c>
      <c r="AD294" s="2" t="str">
        <f>'CERRO EL PLOMO'!AC30</f>
        <v/>
      </c>
      <c r="AE294" s="2" t="str">
        <f>'CERRO EL PLOMO'!AD30</f>
        <v/>
      </c>
      <c r="AF294" s="2" t="str">
        <f>'CERRO EL PLOMO'!AE30</f>
        <v/>
      </c>
      <c r="AG294" s="2" t="str">
        <f>'CERRO EL PLOMO'!AF30</f>
        <v/>
      </c>
      <c r="AH294" s="2" t="str">
        <f>'CERRO EL PLOMO'!AG30</f>
        <v/>
      </c>
      <c r="AI294" s="2" t="str">
        <f>'CERRO EL PLOMO'!AH30</f>
        <v/>
      </c>
      <c r="AJ294" s="2" t="str">
        <f>'CERRO EL PLOMO'!AI30</f>
        <v/>
      </c>
      <c r="AK294" s="2" t="str">
        <f>'CERRO EL PLOMO'!AJ30</f>
        <v/>
      </c>
      <c r="AL294" s="2" t="str">
        <f>'CERRO EL PLOMO'!AK30</f>
        <v/>
      </c>
      <c r="AM294" s="2" t="str">
        <f>'CERRO EL PLOMO'!AL30</f>
        <v/>
      </c>
      <c r="AN294" s="2" t="str">
        <f>'CERRO EL PLOMO'!AM30</f>
        <v/>
      </c>
      <c r="AO294" s="2" t="str">
        <f>'CERRO EL PLOMO'!AN30</f>
        <v/>
      </c>
      <c r="AP294" s="2" t="str">
        <f>'CERRO EL PLOMO'!AO30</f>
        <v/>
      </c>
      <c r="AQ294" s="2" t="str">
        <f>'CERRO EL PLOMO'!AP30</f>
        <v/>
      </c>
      <c r="AR294" s="2" t="str">
        <f>'CERRO EL PLOMO'!AQ30</f>
        <v/>
      </c>
      <c r="AS294" s="2">
        <f>'CERRO EL PLOMO'!AR30</f>
        <v>16</v>
      </c>
      <c r="AT294" s="2">
        <f>'CERRO EL PLOMO'!AS30</f>
        <v>16</v>
      </c>
      <c r="AU294" s="2" t="str">
        <f>'CERRO EL PLOMO'!AT30</f>
        <v/>
      </c>
      <c r="AV294" s="2">
        <f>'CERRO EL PLOMO'!AU30</f>
        <v>10</v>
      </c>
      <c r="AW294" s="2" t="str">
        <f>'CERRO EL PLOMO'!AV30</f>
        <v/>
      </c>
      <c r="AX294" s="2">
        <f>'CERRO EL PLOMO'!AW30</f>
        <v>10</v>
      </c>
      <c r="AY294" s="2">
        <f>'CERRO EL PLOMO'!AX30</f>
        <v>7</v>
      </c>
      <c r="AZ294" s="2">
        <f>'CERRO EL PLOMO'!AY30</f>
        <v>14</v>
      </c>
      <c r="BA294" s="2" t="str">
        <f>'CERRO EL PLOMO'!AZ30</f>
        <v/>
      </c>
      <c r="BB294" s="2">
        <f>'CERRO EL PLOMO'!BA30</f>
        <v>17</v>
      </c>
      <c r="BC294" s="2" t="str">
        <f>'CERRO EL PLOMO'!BB30</f>
        <v/>
      </c>
      <c r="BD294" s="2">
        <f>'CERRO EL PLOMO'!BC30</f>
        <v>16</v>
      </c>
      <c r="BE294" s="2" t="str">
        <f>'CERRO EL PLOMO'!BD30</f>
        <v/>
      </c>
      <c r="BF294" s="2">
        <f>'CERRO EL PLOMO'!BE30</f>
        <v>16</v>
      </c>
      <c r="BG294" s="2">
        <f>'CERRO EL PLOMO'!BF30</f>
        <v>16</v>
      </c>
      <c r="BH294" s="2">
        <f>'CERRO EL PLOMO'!BG30</f>
        <v>16</v>
      </c>
      <c r="BI294" s="2">
        <f>'CERRO EL PLOMO'!BH30</f>
        <v>16</v>
      </c>
      <c r="BJ294" s="2" t="str">
        <f>'CERRO EL PLOMO'!BI30</f>
        <v/>
      </c>
      <c r="BK294" s="2">
        <f>'CERRO EL PLOMO'!BJ30</f>
        <v>16</v>
      </c>
      <c r="BL294" s="2">
        <f>'CERRO EL PLOMO'!BK30</f>
        <v>16</v>
      </c>
      <c r="BM294" s="2">
        <f>'CERRO EL PLOMO'!BL30</f>
        <v>16</v>
      </c>
      <c r="BN294" s="2">
        <f>'CERRO EL PLOMO'!BM30</f>
        <v>25</v>
      </c>
      <c r="BO294" s="2">
        <f>'CERRO EL PLOMO'!BN30</f>
        <v>25</v>
      </c>
      <c r="BP294" s="2" t="str">
        <f>'CERRO EL PLOMO'!BO30</f>
        <v/>
      </c>
      <c r="BQ294" s="2">
        <f>'CERRO EL PLOMO'!BP30</f>
        <v>22</v>
      </c>
      <c r="BR294" s="2">
        <f>'CERRO EL PLOMO'!BQ30</f>
        <v>22</v>
      </c>
      <c r="BS294" s="2">
        <f>'CERRO EL PLOMO'!BR30</f>
        <v>22</v>
      </c>
      <c r="BT294" s="2" t="str">
        <f>'CERRO EL PLOMO'!BS30</f>
        <v/>
      </c>
      <c r="BU294" s="2">
        <f>'CERRO EL PLOMO'!BT30</f>
        <v>22</v>
      </c>
      <c r="BV294" s="2" t="str">
        <f>'CERRO EL PLOMO'!BU30</f>
        <v/>
      </c>
      <c r="BW294" s="2">
        <f>'CERRO EL PLOMO'!BV30</f>
        <v>22</v>
      </c>
      <c r="BX294" s="2">
        <f>'CERRO EL PLOMO'!BW30</f>
        <v>22</v>
      </c>
      <c r="BY294" s="2" t="str">
        <f>'CERRO EL PLOMO'!BX30</f>
        <v/>
      </c>
      <c r="BZ294" s="2">
        <f>'CERRO EL PLOMO'!BY30</f>
        <v>17</v>
      </c>
      <c r="CA294" s="2">
        <f>'CERRO EL PLOMO'!BZ30</f>
        <v>14</v>
      </c>
      <c r="CB294" s="2" t="str">
        <f>'CERRO EL PLOMO'!CA30</f>
        <v/>
      </c>
      <c r="CC294" s="2" t="str">
        <f>'CERRO EL PLOMO'!CB30</f>
        <v/>
      </c>
    </row>
    <row r="295">
      <c r="A295" s="2"/>
      <c r="B295" s="2" t="str">
        <f>'CERRO EL PLOMO'!A31</f>
        <v>Cerro el Plomo</v>
      </c>
      <c r="C295" s="2" t="str">
        <f>'CERRO EL PLOMO'!B31</f>
        <v>Aseo</v>
      </c>
      <c r="D295" s="2" t="str">
        <f>'CERRO EL PLOMO'!C31</f>
        <v>Bolsas Basura 80x110</v>
      </c>
      <c r="E295" s="2" t="str">
        <f>'CERRO EL PLOMO'!D31</f>
        <v/>
      </c>
      <c r="F295" s="2" t="str">
        <f>'CERRO EL PLOMO'!E31</f>
        <v/>
      </c>
      <c r="G295" s="2" t="str">
        <f>'CERRO EL PLOMO'!F31</f>
        <v/>
      </c>
      <c r="H295" s="2" t="str">
        <f>'CERRO EL PLOMO'!G31</f>
        <v/>
      </c>
      <c r="I295" s="2" t="str">
        <f>'CERRO EL PLOMO'!H31</f>
        <v/>
      </c>
      <c r="J295" s="2" t="str">
        <f>'CERRO EL PLOMO'!I31</f>
        <v/>
      </c>
      <c r="K295" s="2" t="str">
        <f>'CERRO EL PLOMO'!J31</f>
        <v/>
      </c>
      <c r="L295" s="2" t="str">
        <f>'CERRO EL PLOMO'!K31</f>
        <v/>
      </c>
      <c r="M295" s="2" t="str">
        <f>'CERRO EL PLOMO'!L31</f>
        <v/>
      </c>
      <c r="N295" s="2" t="str">
        <f>'CERRO EL PLOMO'!M31</f>
        <v/>
      </c>
      <c r="O295" s="2" t="str">
        <f>'CERRO EL PLOMO'!N31</f>
        <v/>
      </c>
      <c r="P295" s="2" t="str">
        <f>'CERRO EL PLOMO'!O31</f>
        <v/>
      </c>
      <c r="Q295" s="2" t="str">
        <f>'CERRO EL PLOMO'!P31</f>
        <v/>
      </c>
      <c r="R295" s="2" t="str">
        <f>'CERRO EL PLOMO'!Q31</f>
        <v/>
      </c>
      <c r="S295" s="2" t="str">
        <f>'CERRO EL PLOMO'!R31</f>
        <v/>
      </c>
      <c r="T295" s="2" t="str">
        <f>'CERRO EL PLOMO'!S31</f>
        <v/>
      </c>
      <c r="U295" s="2" t="str">
        <f>'CERRO EL PLOMO'!T31</f>
        <v/>
      </c>
      <c r="V295" s="2" t="str">
        <f>'CERRO EL PLOMO'!U31</f>
        <v/>
      </c>
      <c r="W295" s="2" t="str">
        <f>'CERRO EL PLOMO'!V31</f>
        <v/>
      </c>
      <c r="X295" s="2" t="str">
        <f>'CERRO EL PLOMO'!W31</f>
        <v/>
      </c>
      <c r="Y295" s="2" t="str">
        <f>'CERRO EL PLOMO'!X31</f>
        <v/>
      </c>
      <c r="Z295" s="2" t="str">
        <f>'CERRO EL PLOMO'!Y31</f>
        <v/>
      </c>
      <c r="AA295" s="2" t="str">
        <f>'CERRO EL PLOMO'!Z31</f>
        <v/>
      </c>
      <c r="AB295" s="2" t="str">
        <f>'CERRO EL PLOMO'!AA31</f>
        <v/>
      </c>
      <c r="AC295" s="2" t="str">
        <f>'CERRO EL PLOMO'!AB31</f>
        <v/>
      </c>
      <c r="AD295" s="2" t="str">
        <f>'CERRO EL PLOMO'!AC31</f>
        <v/>
      </c>
      <c r="AE295" s="2" t="str">
        <f>'CERRO EL PLOMO'!AD31</f>
        <v/>
      </c>
      <c r="AF295" s="2" t="str">
        <f>'CERRO EL PLOMO'!AE31</f>
        <v/>
      </c>
      <c r="AG295" s="2" t="str">
        <f>'CERRO EL PLOMO'!AF31</f>
        <v/>
      </c>
      <c r="AH295" s="2" t="str">
        <f>'CERRO EL PLOMO'!AG31</f>
        <v/>
      </c>
      <c r="AI295" s="2" t="str">
        <f>'CERRO EL PLOMO'!AH31</f>
        <v/>
      </c>
      <c r="AJ295" s="2" t="str">
        <f>'CERRO EL PLOMO'!AI31</f>
        <v/>
      </c>
      <c r="AK295" s="2" t="str">
        <f>'CERRO EL PLOMO'!AJ31</f>
        <v/>
      </c>
      <c r="AL295" s="2" t="str">
        <f>'CERRO EL PLOMO'!AK31</f>
        <v/>
      </c>
      <c r="AM295" s="2" t="str">
        <f>'CERRO EL PLOMO'!AL31</f>
        <v/>
      </c>
      <c r="AN295" s="2" t="str">
        <f>'CERRO EL PLOMO'!AM31</f>
        <v/>
      </c>
      <c r="AO295" s="2" t="str">
        <f>'CERRO EL PLOMO'!AN31</f>
        <v/>
      </c>
      <c r="AP295" s="2" t="str">
        <f>'CERRO EL PLOMO'!AO31</f>
        <v/>
      </c>
      <c r="AQ295" s="2" t="str">
        <f>'CERRO EL PLOMO'!AP31</f>
        <v/>
      </c>
      <c r="AR295" s="2" t="str">
        <f>'CERRO EL PLOMO'!AQ31</f>
        <v/>
      </c>
      <c r="AS295" s="2">
        <f>'CERRO EL PLOMO'!AR31</f>
        <v>19</v>
      </c>
      <c r="AT295" s="2">
        <f>'CERRO EL PLOMO'!AS31</f>
        <v>19</v>
      </c>
      <c r="AU295" s="2" t="str">
        <f>'CERRO EL PLOMO'!AT31</f>
        <v/>
      </c>
      <c r="AV295" s="2">
        <f>'CERRO EL PLOMO'!AU31</f>
        <v>17</v>
      </c>
      <c r="AW295" s="2" t="str">
        <f>'CERRO EL PLOMO'!AV31</f>
        <v/>
      </c>
      <c r="AX295" s="2">
        <f>'CERRO EL PLOMO'!AW31</f>
        <v>17</v>
      </c>
      <c r="AY295" s="2">
        <f>'CERRO EL PLOMO'!AX31</f>
        <v>17</v>
      </c>
      <c r="AZ295" s="2">
        <f>'CERRO EL PLOMO'!AY31</f>
        <v>15</v>
      </c>
      <c r="BA295" s="2" t="str">
        <f>'CERRO EL PLOMO'!AZ31</f>
        <v/>
      </c>
      <c r="BB295" s="2">
        <f>'CERRO EL PLOMO'!BA31</f>
        <v>12</v>
      </c>
      <c r="BC295" s="2" t="str">
        <f>'CERRO EL PLOMO'!BB31</f>
        <v/>
      </c>
      <c r="BD295" s="2">
        <f>'CERRO EL PLOMO'!BC31</f>
        <v>12</v>
      </c>
      <c r="BE295" s="2" t="str">
        <f>'CERRO EL PLOMO'!BD31</f>
        <v/>
      </c>
      <c r="BF295" s="2">
        <f>'CERRO EL PLOMO'!BE31</f>
        <v>6</v>
      </c>
      <c r="BG295" s="2">
        <f>'CERRO EL PLOMO'!BF31</f>
        <v>6</v>
      </c>
      <c r="BH295" s="2">
        <f>'CERRO EL PLOMO'!BG31</f>
        <v>6</v>
      </c>
      <c r="BI295" s="2">
        <f>'CERRO EL PLOMO'!BH31</f>
        <v>6</v>
      </c>
      <c r="BJ295" s="2" t="str">
        <f>'CERRO EL PLOMO'!BI31</f>
        <v/>
      </c>
      <c r="BK295" s="2">
        <f>'CERRO EL PLOMO'!BJ31</f>
        <v>6</v>
      </c>
      <c r="BL295" s="2">
        <f>'CERRO EL PLOMO'!BK31</f>
        <v>5</v>
      </c>
      <c r="BM295" s="2">
        <f>'CERRO EL PLOMO'!BL31</f>
        <v>5</v>
      </c>
      <c r="BN295" s="2">
        <f>'CERRO EL PLOMO'!BM31</f>
        <v>24</v>
      </c>
      <c r="BO295" s="2">
        <f>'CERRO EL PLOMO'!BN31</f>
        <v>21</v>
      </c>
      <c r="BP295" s="2" t="str">
        <f>'CERRO EL PLOMO'!BO31</f>
        <v/>
      </c>
      <c r="BQ295" s="2">
        <f>'CERRO EL PLOMO'!BP31</f>
        <v>10</v>
      </c>
      <c r="BR295" s="2">
        <f>'CERRO EL PLOMO'!BQ31</f>
        <v>10</v>
      </c>
      <c r="BS295" s="2">
        <f>'CERRO EL PLOMO'!BR31</f>
        <v>10</v>
      </c>
      <c r="BT295" s="2" t="str">
        <f>'CERRO EL PLOMO'!BS31</f>
        <v/>
      </c>
      <c r="BU295" s="2">
        <f>'CERRO EL PLOMO'!BT31</f>
        <v>9</v>
      </c>
      <c r="BV295" s="2">
        <f>'CERRO EL PLOMO'!BU31</f>
        <v>15</v>
      </c>
      <c r="BW295" s="2">
        <f>'CERRO EL PLOMO'!BV31</f>
        <v>22</v>
      </c>
      <c r="BX295" s="2">
        <f>'CERRO EL PLOMO'!BW31</f>
        <v>22</v>
      </c>
      <c r="BY295" s="2" t="str">
        <f>'CERRO EL PLOMO'!BX31</f>
        <v/>
      </c>
      <c r="BZ295" s="2">
        <f>'CERRO EL PLOMO'!BY31</f>
        <v>18</v>
      </c>
      <c r="CA295" s="2">
        <f>'CERRO EL PLOMO'!BZ31</f>
        <v>18</v>
      </c>
      <c r="CB295" s="2" t="str">
        <f>'CERRO EL PLOMO'!CA31</f>
        <v/>
      </c>
      <c r="CC295" s="2" t="str">
        <f>'CERRO EL PLOMO'!CB31</f>
        <v/>
      </c>
    </row>
    <row r="296">
      <c r="A296" s="2"/>
      <c r="B296" s="2" t="str">
        <f>'CERRO EL PLOMO'!A32</f>
        <v>Cerro el Plomo</v>
      </c>
      <c r="C296" s="2" t="str">
        <f>'CERRO EL PLOMO'!B32</f>
        <v>Aseo</v>
      </c>
      <c r="D296" s="2" t="str">
        <f>'CERRO EL PLOMO'!C32</f>
        <v>Esponja 4U</v>
      </c>
      <c r="E296" s="2" t="str">
        <f>'CERRO EL PLOMO'!D32</f>
        <v/>
      </c>
      <c r="F296" s="2" t="str">
        <f>'CERRO EL PLOMO'!E32</f>
        <v/>
      </c>
      <c r="G296" s="2" t="str">
        <f>'CERRO EL PLOMO'!F32</f>
        <v/>
      </c>
      <c r="H296" s="2" t="str">
        <f>'CERRO EL PLOMO'!G32</f>
        <v/>
      </c>
      <c r="I296" s="2" t="str">
        <f>'CERRO EL PLOMO'!H32</f>
        <v/>
      </c>
      <c r="J296" s="2" t="str">
        <f>'CERRO EL PLOMO'!I32</f>
        <v/>
      </c>
      <c r="K296" s="2" t="str">
        <f>'CERRO EL PLOMO'!J32</f>
        <v/>
      </c>
      <c r="L296" s="2" t="str">
        <f>'CERRO EL PLOMO'!K32</f>
        <v/>
      </c>
      <c r="M296" s="2" t="str">
        <f>'CERRO EL PLOMO'!L32</f>
        <v/>
      </c>
      <c r="N296" s="2" t="str">
        <f>'CERRO EL PLOMO'!M32</f>
        <v/>
      </c>
      <c r="O296" s="2" t="str">
        <f>'CERRO EL PLOMO'!N32</f>
        <v/>
      </c>
      <c r="P296" s="2" t="str">
        <f>'CERRO EL PLOMO'!O32</f>
        <v/>
      </c>
      <c r="Q296" s="2" t="str">
        <f>'CERRO EL PLOMO'!P32</f>
        <v/>
      </c>
      <c r="R296" s="2" t="str">
        <f>'CERRO EL PLOMO'!Q32</f>
        <v>-</v>
      </c>
      <c r="S296" s="2" t="str">
        <f>'CERRO EL PLOMO'!R32</f>
        <v>-</v>
      </c>
      <c r="T296" s="2" t="str">
        <f>'CERRO EL PLOMO'!S32</f>
        <v>-</v>
      </c>
      <c r="U296" s="2" t="str">
        <f>'CERRO EL PLOMO'!T32</f>
        <v>-</v>
      </c>
      <c r="V296" s="2" t="str">
        <f>'CERRO EL PLOMO'!U32</f>
        <v>-</v>
      </c>
      <c r="W296" s="2" t="str">
        <f>'CERRO EL PLOMO'!V32</f>
        <v>-</v>
      </c>
      <c r="X296" s="2" t="str">
        <f>'CERRO EL PLOMO'!W32</f>
        <v>-</v>
      </c>
      <c r="Y296" s="2" t="str">
        <f>'CERRO EL PLOMO'!X32</f>
        <v>-</v>
      </c>
      <c r="Z296" s="2" t="str">
        <f>'CERRO EL PLOMO'!Y32</f>
        <v>-</v>
      </c>
      <c r="AA296" s="2" t="str">
        <f>'CERRO EL PLOMO'!Z32</f>
        <v>-</v>
      </c>
      <c r="AB296" s="2" t="str">
        <f>'CERRO EL PLOMO'!AA32</f>
        <v/>
      </c>
      <c r="AC296" s="2">
        <f>'CERRO EL PLOMO'!AB32</f>
        <v>9</v>
      </c>
      <c r="AD296" s="2" t="str">
        <f>'CERRO EL PLOMO'!AC32</f>
        <v/>
      </c>
      <c r="AE296" s="2">
        <f>'CERRO EL PLOMO'!AD32</f>
        <v>8</v>
      </c>
      <c r="AF296" s="2">
        <f>'CERRO EL PLOMO'!AE32</f>
        <v>7</v>
      </c>
      <c r="AG296" s="2" t="str">
        <f>'CERRO EL PLOMO'!AF32</f>
        <v/>
      </c>
      <c r="AH296" s="2">
        <f>'CERRO EL PLOMO'!AG32</f>
        <v>1.5</v>
      </c>
      <c r="AI296" s="2" t="str">
        <f>'CERRO EL PLOMO'!AH32</f>
        <v/>
      </c>
      <c r="AJ296" s="2">
        <f>'CERRO EL PLOMO'!AI32</f>
        <v>1.2</v>
      </c>
      <c r="AK296" s="2" t="str">
        <f>'CERRO EL PLOMO'!AJ32</f>
        <v/>
      </c>
      <c r="AL296" s="2" t="str">
        <f>'CERRO EL PLOMO'!AK32</f>
        <v/>
      </c>
      <c r="AM296" s="2">
        <f>'CERRO EL PLOMO'!AL32</f>
        <v>5</v>
      </c>
      <c r="AN296" s="2">
        <f>'CERRO EL PLOMO'!AM32</f>
        <v>4</v>
      </c>
      <c r="AO296" s="2">
        <f>'CERRO EL PLOMO'!AN32</f>
        <v>4</v>
      </c>
      <c r="AP296" s="2">
        <f>'CERRO EL PLOMO'!AO32</f>
        <v>3</v>
      </c>
      <c r="AQ296" s="2">
        <f>'CERRO EL PLOMO'!AP32</f>
        <v>3</v>
      </c>
      <c r="AR296" s="2">
        <f>'CERRO EL PLOMO'!AQ32</f>
        <v>10</v>
      </c>
      <c r="AS296" s="2">
        <f>'CERRO EL PLOMO'!AR32</f>
        <v>10</v>
      </c>
      <c r="AT296" s="2">
        <f>'CERRO EL PLOMO'!AS32</f>
        <v>6</v>
      </c>
      <c r="AU296" s="2" t="str">
        <f>'CERRO EL PLOMO'!AT32</f>
        <v/>
      </c>
      <c r="AV296" s="2">
        <f>'CERRO EL PLOMO'!AU32</f>
        <v>6</v>
      </c>
      <c r="AW296" s="2" t="str">
        <f>'CERRO EL PLOMO'!AV32</f>
        <v/>
      </c>
      <c r="AX296" s="2">
        <f>'CERRO EL PLOMO'!AW32</f>
        <v>6</v>
      </c>
      <c r="AY296" s="2">
        <f>'CERRO EL PLOMO'!AX32</f>
        <v>6</v>
      </c>
      <c r="AZ296" s="2">
        <f>'CERRO EL PLOMO'!AY32</f>
        <v>4</v>
      </c>
      <c r="BA296" s="2" t="str">
        <f>'CERRO EL PLOMO'!AZ32</f>
        <v/>
      </c>
      <c r="BB296" s="2">
        <f>'CERRO EL PLOMO'!BA32</f>
        <v>4</v>
      </c>
      <c r="BC296" s="2" t="str">
        <f>'CERRO EL PLOMO'!BB32</f>
        <v/>
      </c>
      <c r="BD296" s="2">
        <f>'CERRO EL PLOMO'!BC32</f>
        <v>4</v>
      </c>
      <c r="BE296" s="2" t="str">
        <f>'CERRO EL PLOMO'!BD32</f>
        <v/>
      </c>
      <c r="BF296" s="2">
        <f>'CERRO EL PLOMO'!BE32</f>
        <v>4</v>
      </c>
      <c r="BG296" s="2">
        <f>'CERRO EL PLOMO'!BF32</f>
        <v>4</v>
      </c>
      <c r="BH296" s="2">
        <f>'CERRO EL PLOMO'!BG32</f>
        <v>3</v>
      </c>
      <c r="BI296" s="2">
        <f>'CERRO EL PLOMO'!BH32</f>
        <v>1</v>
      </c>
      <c r="BJ296" s="2">
        <f>'CERRO EL PLOMO'!BI32</f>
        <v>8</v>
      </c>
      <c r="BK296" s="2">
        <f>'CERRO EL PLOMO'!BJ32</f>
        <v>9</v>
      </c>
      <c r="BL296" s="2">
        <f>'CERRO EL PLOMO'!BK32</f>
        <v>9</v>
      </c>
      <c r="BM296" s="2">
        <f>'CERRO EL PLOMO'!BL32</f>
        <v>8</v>
      </c>
      <c r="BN296" s="2">
        <f>'CERRO EL PLOMO'!BM32</f>
        <v>7</v>
      </c>
      <c r="BO296" s="2">
        <f>'CERRO EL PLOMO'!BN32</f>
        <v>7</v>
      </c>
      <c r="BP296" s="2" t="str">
        <f>'CERRO EL PLOMO'!BO32</f>
        <v/>
      </c>
      <c r="BQ296" s="2">
        <f>'CERRO EL PLOMO'!BP32</f>
        <v>5</v>
      </c>
      <c r="BR296" s="2">
        <f>'CERRO EL PLOMO'!BQ32</f>
        <v>5</v>
      </c>
      <c r="BS296" s="2">
        <f>'CERRO EL PLOMO'!BR32</f>
        <v>4</v>
      </c>
      <c r="BT296" s="2" t="str">
        <f>'CERRO EL PLOMO'!BS32</f>
        <v/>
      </c>
      <c r="BU296" s="2">
        <f>'CERRO EL PLOMO'!BT32</f>
        <v>4</v>
      </c>
      <c r="BV296" s="2" t="str">
        <f>'CERRO EL PLOMO'!BU32</f>
        <v/>
      </c>
      <c r="BW296" s="2">
        <f>'CERRO EL PLOMO'!BV32</f>
        <v>3</v>
      </c>
      <c r="BX296" s="2">
        <f>'CERRO EL PLOMO'!BW32</f>
        <v>2</v>
      </c>
      <c r="BY296" s="2" t="str">
        <f>'CERRO EL PLOMO'!BX32</f>
        <v/>
      </c>
      <c r="BZ296" s="2">
        <f>'CERRO EL PLOMO'!BY32</f>
        <v>1</v>
      </c>
      <c r="CA296" s="2">
        <f>'CERRO EL PLOMO'!BZ32</f>
        <v>1</v>
      </c>
      <c r="CB296" s="2" t="str">
        <f>'CERRO EL PLOMO'!CA32</f>
        <v/>
      </c>
      <c r="CC296" s="2" t="str">
        <f>'CERRO EL PLOMO'!CB32</f>
        <v/>
      </c>
    </row>
    <row r="297">
      <c r="A297" s="2"/>
      <c r="B297" s="2" t="str">
        <f>'CERRO EL PLOMO'!A33</f>
        <v>Cerro el Plomo</v>
      </c>
      <c r="C297" s="2" t="str">
        <f>'CERRO EL PLOMO'!B33</f>
        <v>Aseo</v>
      </c>
      <c r="D297" s="2" t="str">
        <f>'CERRO EL PLOMO'!C33</f>
        <v>Mopa Redonda </v>
      </c>
      <c r="E297" s="2" t="str">
        <f>'CERRO EL PLOMO'!D33</f>
        <v/>
      </c>
      <c r="F297" s="2" t="str">
        <f>'CERRO EL PLOMO'!E33</f>
        <v/>
      </c>
      <c r="G297" s="2" t="str">
        <f>'CERRO EL PLOMO'!F33</f>
        <v/>
      </c>
      <c r="H297" s="2" t="str">
        <f>'CERRO EL PLOMO'!G33</f>
        <v/>
      </c>
      <c r="I297" s="2" t="str">
        <f>'CERRO EL PLOMO'!H33</f>
        <v/>
      </c>
      <c r="J297" s="2" t="str">
        <f>'CERRO EL PLOMO'!I33</f>
        <v/>
      </c>
      <c r="K297" s="2" t="str">
        <f>'CERRO EL PLOMO'!J33</f>
        <v/>
      </c>
      <c r="L297" s="2" t="str">
        <f>'CERRO EL PLOMO'!K33</f>
        <v/>
      </c>
      <c r="M297" s="2" t="str">
        <f>'CERRO EL PLOMO'!L33</f>
        <v/>
      </c>
      <c r="N297" s="2" t="str">
        <f>'CERRO EL PLOMO'!M33</f>
        <v/>
      </c>
      <c r="O297" s="2" t="str">
        <f>'CERRO EL PLOMO'!N33</f>
        <v/>
      </c>
      <c r="P297" s="2" t="str">
        <f>'CERRO EL PLOMO'!O33</f>
        <v/>
      </c>
      <c r="Q297" s="2" t="str">
        <f>'CERRO EL PLOMO'!P33</f>
        <v/>
      </c>
      <c r="R297" s="2" t="str">
        <f>'CERRO EL PLOMO'!Q33</f>
        <v>-</v>
      </c>
      <c r="S297" s="2" t="str">
        <f>'CERRO EL PLOMO'!R33</f>
        <v>-</v>
      </c>
      <c r="T297" s="2" t="str">
        <f>'CERRO EL PLOMO'!S33</f>
        <v>-</v>
      </c>
      <c r="U297" s="2" t="str">
        <f>'CERRO EL PLOMO'!T33</f>
        <v>-</v>
      </c>
      <c r="V297" s="2" t="str">
        <f>'CERRO EL PLOMO'!U33</f>
        <v>-</v>
      </c>
      <c r="W297" s="2" t="str">
        <f>'CERRO EL PLOMO'!V33</f>
        <v>-</v>
      </c>
      <c r="X297" s="2" t="str">
        <f>'CERRO EL PLOMO'!W33</f>
        <v>-</v>
      </c>
      <c r="Y297" s="2" t="str">
        <f>'CERRO EL PLOMO'!X33</f>
        <v>-</v>
      </c>
      <c r="Z297" s="2" t="str">
        <f>'CERRO EL PLOMO'!Y33</f>
        <v>-</v>
      </c>
      <c r="AA297" s="2" t="str">
        <f>'CERRO EL PLOMO'!Z33</f>
        <v>-</v>
      </c>
      <c r="AB297" s="2" t="str">
        <f>'CERRO EL PLOMO'!AA33</f>
        <v/>
      </c>
      <c r="AC297" s="2">
        <f>'CERRO EL PLOMO'!AB33</f>
        <v>4</v>
      </c>
      <c r="AD297" s="2" t="str">
        <f>'CERRO EL PLOMO'!AC33</f>
        <v/>
      </c>
      <c r="AE297" s="2">
        <f>'CERRO EL PLOMO'!AD33</f>
        <v>3</v>
      </c>
      <c r="AF297" s="2">
        <f>'CERRO EL PLOMO'!AE33</f>
        <v>3</v>
      </c>
      <c r="AG297" s="2" t="str">
        <f>'CERRO EL PLOMO'!AF33</f>
        <v/>
      </c>
      <c r="AH297" s="2">
        <f>'CERRO EL PLOMO'!AG33</f>
        <v>3</v>
      </c>
      <c r="AI297" s="2" t="str">
        <f>'CERRO EL PLOMO'!AH33</f>
        <v/>
      </c>
      <c r="AJ297" s="2">
        <f>'CERRO EL PLOMO'!AI33</f>
        <v>3</v>
      </c>
      <c r="AK297" s="2" t="str">
        <f>'CERRO EL PLOMO'!AJ33</f>
        <v/>
      </c>
      <c r="AL297" s="2" t="str">
        <f>'CERRO EL PLOMO'!AK33</f>
        <v/>
      </c>
      <c r="AM297" s="2">
        <f>'CERRO EL PLOMO'!AL33</f>
        <v>3</v>
      </c>
      <c r="AN297" s="2">
        <f>'CERRO EL PLOMO'!AM33</f>
        <v>3</v>
      </c>
      <c r="AO297" s="2">
        <f>'CERRO EL PLOMO'!AN33</f>
        <v>3</v>
      </c>
      <c r="AP297" s="2">
        <f>'CERRO EL PLOMO'!AO33</f>
        <v>3</v>
      </c>
      <c r="AQ297" s="2">
        <f>'CERRO EL PLOMO'!AP33</f>
        <v>3</v>
      </c>
      <c r="AR297" s="2">
        <f>'CERRO EL PLOMO'!AQ33</f>
        <v>7</v>
      </c>
      <c r="AS297" s="2">
        <f>'CERRO EL PLOMO'!AR33</f>
        <v>7</v>
      </c>
      <c r="AT297" s="2">
        <f>'CERRO EL PLOMO'!AS33</f>
        <v>7</v>
      </c>
      <c r="AU297" s="2" t="str">
        <f>'CERRO EL PLOMO'!AT33</f>
        <v/>
      </c>
      <c r="AV297" s="2">
        <f>'CERRO EL PLOMO'!AU33</f>
        <v>7</v>
      </c>
      <c r="AW297" s="2" t="str">
        <f>'CERRO EL PLOMO'!AV33</f>
        <v/>
      </c>
      <c r="AX297" s="2">
        <f>'CERRO EL PLOMO'!AW33</f>
        <v>7</v>
      </c>
      <c r="AY297" s="2">
        <f>'CERRO EL PLOMO'!AX33</f>
        <v>7</v>
      </c>
      <c r="AZ297" s="2">
        <f>'CERRO EL PLOMO'!AY33</f>
        <v>7</v>
      </c>
      <c r="BA297" s="2" t="str">
        <f>'CERRO EL PLOMO'!AZ33</f>
        <v/>
      </c>
      <c r="BB297" s="2">
        <f>'CERRO EL PLOMO'!BA33</f>
        <v>7</v>
      </c>
      <c r="BC297" s="2" t="str">
        <f>'CERRO EL PLOMO'!BB33</f>
        <v/>
      </c>
      <c r="BD297" s="2">
        <f>'CERRO EL PLOMO'!BC33</f>
        <v>7</v>
      </c>
      <c r="BE297" s="2" t="str">
        <f>'CERRO EL PLOMO'!BD33</f>
        <v/>
      </c>
      <c r="BF297" s="2">
        <f>'CERRO EL PLOMO'!BE33</f>
        <v>7</v>
      </c>
      <c r="BG297" s="2">
        <f>'CERRO EL PLOMO'!BF33</f>
        <v>7</v>
      </c>
      <c r="BH297" s="2">
        <f>'CERRO EL PLOMO'!BG33</f>
        <v>7</v>
      </c>
      <c r="BI297" s="2">
        <f>'CERRO EL PLOMO'!BH33</f>
        <v>6</v>
      </c>
      <c r="BJ297" s="2" t="str">
        <f>'CERRO EL PLOMO'!BI33</f>
        <v/>
      </c>
      <c r="BK297" s="2">
        <f>'CERRO EL PLOMO'!BJ33</f>
        <v>6</v>
      </c>
      <c r="BL297" s="2">
        <f>'CERRO EL PLOMO'!BK33</f>
        <v>6</v>
      </c>
      <c r="BM297" s="2">
        <f>'CERRO EL PLOMO'!BL33</f>
        <v>6</v>
      </c>
      <c r="BN297" s="2">
        <f>'CERRO EL PLOMO'!BM33</f>
        <v>6</v>
      </c>
      <c r="BO297" s="2">
        <f>'CERRO EL PLOMO'!BN33</f>
        <v>6</v>
      </c>
      <c r="BP297" s="2" t="str">
        <f>'CERRO EL PLOMO'!BO33</f>
        <v/>
      </c>
      <c r="BQ297" s="2">
        <f>'CERRO EL PLOMO'!BP33</f>
        <v>5</v>
      </c>
      <c r="BR297" s="2">
        <f>'CERRO EL PLOMO'!BQ33</f>
        <v>5</v>
      </c>
      <c r="BS297" s="2">
        <f>'CERRO EL PLOMO'!BR33</f>
        <v>5</v>
      </c>
      <c r="BT297" s="2" t="str">
        <f>'CERRO EL PLOMO'!BS33</f>
        <v/>
      </c>
      <c r="BU297" s="2">
        <f>'CERRO EL PLOMO'!BT33</f>
        <v>5</v>
      </c>
      <c r="BV297" s="2" t="str">
        <f>'CERRO EL PLOMO'!BU33</f>
        <v/>
      </c>
      <c r="BW297" s="2">
        <f>'CERRO EL PLOMO'!BV33</f>
        <v>5</v>
      </c>
      <c r="BX297" s="2">
        <f>'CERRO EL PLOMO'!BW33</f>
        <v>5</v>
      </c>
      <c r="BY297" s="2" t="str">
        <f>'CERRO EL PLOMO'!BX33</f>
        <v/>
      </c>
      <c r="BZ297" s="2">
        <f>'CERRO EL PLOMO'!BY33</f>
        <v>5</v>
      </c>
      <c r="CA297" s="2">
        <f>'CERRO EL PLOMO'!BZ33</f>
        <v>5</v>
      </c>
      <c r="CB297" s="2" t="str">
        <f>'CERRO EL PLOMO'!CA33</f>
        <v/>
      </c>
      <c r="CC297" s="2" t="str">
        <f>'CERRO EL PLOMO'!CB33</f>
        <v/>
      </c>
    </row>
    <row r="298">
      <c r="A298" s="2"/>
      <c r="B298" s="2" t="str">
        <f>'CERRO EL PLOMO'!A34</f>
        <v>Cerro el Plomo</v>
      </c>
      <c r="C298" s="2" t="str">
        <f>'CERRO EL PLOMO'!B34</f>
        <v>Aseo</v>
      </c>
      <c r="D298" s="2" t="str">
        <f>'CERRO EL PLOMO'!C34</f>
        <v>Jabon liquido</v>
      </c>
      <c r="E298" s="2" t="str">
        <f>'CERRO EL PLOMO'!D34</f>
        <v/>
      </c>
      <c r="F298" s="2" t="str">
        <f>'CERRO EL PLOMO'!E34</f>
        <v/>
      </c>
      <c r="G298" s="2" t="str">
        <f>'CERRO EL PLOMO'!F34</f>
        <v/>
      </c>
      <c r="H298" s="2" t="str">
        <f>'CERRO EL PLOMO'!G34</f>
        <v/>
      </c>
      <c r="I298" s="2" t="str">
        <f>'CERRO EL PLOMO'!H34</f>
        <v/>
      </c>
      <c r="J298" s="2" t="str">
        <f>'CERRO EL PLOMO'!I34</f>
        <v/>
      </c>
      <c r="K298" s="2" t="str">
        <f>'CERRO EL PLOMO'!J34</f>
        <v/>
      </c>
      <c r="L298" s="2" t="str">
        <f>'CERRO EL PLOMO'!K34</f>
        <v/>
      </c>
      <c r="M298" s="2" t="str">
        <f>'CERRO EL PLOMO'!L34</f>
        <v/>
      </c>
      <c r="N298" s="2" t="str">
        <f>'CERRO EL PLOMO'!M34</f>
        <v/>
      </c>
      <c r="O298" s="2" t="str">
        <f>'CERRO EL PLOMO'!N34</f>
        <v/>
      </c>
      <c r="P298" s="2" t="str">
        <f>'CERRO EL PLOMO'!O34</f>
        <v/>
      </c>
      <c r="Q298" s="2" t="str">
        <f>'CERRO EL PLOMO'!P34</f>
        <v/>
      </c>
      <c r="R298" s="2" t="str">
        <f>'CERRO EL PLOMO'!Q34</f>
        <v/>
      </c>
      <c r="S298" s="2" t="str">
        <f>'CERRO EL PLOMO'!R34</f>
        <v/>
      </c>
      <c r="T298" s="2" t="str">
        <f>'CERRO EL PLOMO'!S34</f>
        <v/>
      </c>
      <c r="U298" s="2" t="str">
        <f>'CERRO EL PLOMO'!T34</f>
        <v/>
      </c>
      <c r="V298" s="2" t="str">
        <f>'CERRO EL PLOMO'!U34</f>
        <v/>
      </c>
      <c r="W298" s="2" t="str">
        <f>'CERRO EL PLOMO'!V34</f>
        <v/>
      </c>
      <c r="X298" s="2" t="str">
        <f>'CERRO EL PLOMO'!W34</f>
        <v/>
      </c>
      <c r="Y298" s="2" t="str">
        <f>'CERRO EL PLOMO'!X34</f>
        <v/>
      </c>
      <c r="Z298" s="2" t="str">
        <f>'CERRO EL PLOMO'!Y34</f>
        <v/>
      </c>
      <c r="AA298" s="2" t="str">
        <f>'CERRO EL PLOMO'!Z34</f>
        <v/>
      </c>
      <c r="AB298" s="2" t="str">
        <f>'CERRO EL PLOMO'!AA34</f>
        <v/>
      </c>
      <c r="AC298" s="2" t="str">
        <f>'CERRO EL PLOMO'!AB34</f>
        <v/>
      </c>
      <c r="AD298" s="2" t="str">
        <f>'CERRO EL PLOMO'!AC34</f>
        <v/>
      </c>
      <c r="AE298" s="2">
        <f>'CERRO EL PLOMO'!AD34</f>
        <v>0</v>
      </c>
      <c r="AF298" s="2">
        <f>'CERRO EL PLOMO'!AE34</f>
        <v>0</v>
      </c>
      <c r="AG298" s="2" t="str">
        <f>'CERRO EL PLOMO'!AF34</f>
        <v/>
      </c>
      <c r="AH298" s="2">
        <f>'CERRO EL PLOMO'!AG34</f>
        <v>0</v>
      </c>
      <c r="AI298" s="2" t="str">
        <f>'CERRO EL PLOMO'!AH34</f>
        <v/>
      </c>
      <c r="AJ298" s="2">
        <f>'CERRO EL PLOMO'!AI34</f>
        <v>0</v>
      </c>
      <c r="AK298" s="2" t="str">
        <f>'CERRO EL PLOMO'!AJ34</f>
        <v/>
      </c>
      <c r="AL298" s="2">
        <f>'CERRO EL PLOMO'!AK34</f>
        <v>2</v>
      </c>
      <c r="AM298" s="2">
        <f>'CERRO EL PLOMO'!AL34</f>
        <v>2</v>
      </c>
      <c r="AN298" s="2">
        <f>'CERRO EL PLOMO'!AM34</f>
        <v>2</v>
      </c>
      <c r="AO298" s="2">
        <f>'CERRO EL PLOMO'!AN34</f>
        <v>2</v>
      </c>
      <c r="AP298" s="2">
        <f>'CERRO EL PLOMO'!AO34</f>
        <v>2</v>
      </c>
      <c r="AQ298" s="2">
        <f>'CERRO EL PLOMO'!AP34</f>
        <v>2</v>
      </c>
      <c r="AR298" s="2">
        <f>'CERRO EL PLOMO'!AQ34</f>
        <v>3</v>
      </c>
      <c r="AS298" s="2">
        <f>'CERRO EL PLOMO'!AR34</f>
        <v>3</v>
      </c>
      <c r="AT298" s="2">
        <f>'CERRO EL PLOMO'!AS34</f>
        <v>3</v>
      </c>
      <c r="AU298" s="2" t="str">
        <f>'CERRO EL PLOMO'!AT34</f>
        <v/>
      </c>
      <c r="AV298" s="2">
        <f>'CERRO EL PLOMO'!AU34</f>
        <v>3</v>
      </c>
      <c r="AW298" s="2" t="str">
        <f>'CERRO EL PLOMO'!AV34</f>
        <v/>
      </c>
      <c r="AX298" s="2">
        <f>'CERRO EL PLOMO'!AW34</f>
        <v>3</v>
      </c>
      <c r="AY298" s="2">
        <f>'CERRO EL PLOMO'!AX34</f>
        <v>3</v>
      </c>
      <c r="AZ298" s="2">
        <f>'CERRO EL PLOMO'!AY34</f>
        <v>3</v>
      </c>
      <c r="BA298" s="2" t="str">
        <f>'CERRO EL PLOMO'!AZ34</f>
        <v/>
      </c>
      <c r="BB298" s="2">
        <f>'CERRO EL PLOMO'!BA34</f>
        <v>2</v>
      </c>
      <c r="BC298" s="2" t="str">
        <f>'CERRO EL PLOMO'!BB34</f>
        <v/>
      </c>
      <c r="BD298" s="2">
        <f>'CERRO EL PLOMO'!BC34</f>
        <v>2</v>
      </c>
      <c r="BE298" s="2" t="str">
        <f>'CERRO EL PLOMO'!BD34</f>
        <v/>
      </c>
      <c r="BF298" s="2">
        <f>'CERRO EL PLOMO'!BE34</f>
        <v>2</v>
      </c>
      <c r="BG298" s="2">
        <f>'CERRO EL PLOMO'!BF34</f>
        <v>2</v>
      </c>
      <c r="BH298" s="2">
        <f>'CERRO EL PLOMO'!BG34</f>
        <v>2</v>
      </c>
      <c r="BI298" s="2">
        <f>'CERRO EL PLOMO'!BH34</f>
        <v>2</v>
      </c>
      <c r="BJ298" s="2" t="str">
        <f>'CERRO EL PLOMO'!BI34</f>
        <v/>
      </c>
      <c r="BK298" s="2">
        <f>'CERRO EL PLOMO'!BJ34</f>
        <v>2</v>
      </c>
      <c r="BL298" s="2">
        <f>'CERRO EL PLOMO'!BK34</f>
        <v>2</v>
      </c>
      <c r="BM298" s="2">
        <f>'CERRO EL PLOMO'!BL34</f>
        <v>2</v>
      </c>
      <c r="BN298" s="2">
        <f>'CERRO EL PLOMO'!BM34</f>
        <v>2</v>
      </c>
      <c r="BO298" s="2">
        <f>'CERRO EL PLOMO'!BN34</f>
        <v>2</v>
      </c>
      <c r="BP298" s="2" t="str">
        <f>'CERRO EL PLOMO'!BO34</f>
        <v/>
      </c>
      <c r="BQ298" s="2">
        <f>'CERRO EL PLOMO'!BP34</f>
        <v>2</v>
      </c>
      <c r="BR298" s="2">
        <f>'CERRO EL PLOMO'!BQ34</f>
        <v>1</v>
      </c>
      <c r="BS298" s="2">
        <f>'CERRO EL PLOMO'!BR34</f>
        <v>1</v>
      </c>
      <c r="BT298" s="2" t="str">
        <f>'CERRO EL PLOMO'!BS34</f>
        <v/>
      </c>
      <c r="BU298" s="2">
        <f>'CERRO EL PLOMO'!BT34</f>
        <v>1</v>
      </c>
      <c r="BV298" s="2">
        <f>'CERRO EL PLOMO'!BU34</f>
        <v>1</v>
      </c>
      <c r="BW298" s="2">
        <f>'CERRO EL PLOMO'!BV34</f>
        <v>2</v>
      </c>
      <c r="BX298" s="2">
        <f>'CERRO EL PLOMO'!BW34</f>
        <v>2</v>
      </c>
      <c r="BY298" s="2" t="str">
        <f>'CERRO EL PLOMO'!BX34</f>
        <v/>
      </c>
      <c r="BZ298" s="2">
        <f>'CERRO EL PLOMO'!BY34</f>
        <v>2</v>
      </c>
      <c r="CA298" s="2">
        <f>'CERRO EL PLOMO'!BZ34</f>
        <v>2</v>
      </c>
      <c r="CB298" s="2" t="str">
        <f>'CERRO EL PLOMO'!CA34</f>
        <v/>
      </c>
      <c r="CC298" s="2" t="str">
        <f>'CERRO EL PLOMO'!CB34</f>
        <v/>
      </c>
    </row>
    <row r="299">
      <c r="A299" s="2"/>
      <c r="B299" s="2" t="str">
        <f>'CERRO EL PLOMO'!A35</f>
        <v>Cerro el Plomo</v>
      </c>
      <c r="C299" s="2" t="str">
        <f>'CERRO EL PLOMO'!B35</f>
        <v>Aseo</v>
      </c>
      <c r="D299" s="2" t="str">
        <f>'CERRO EL PLOMO'!C35</f>
        <v>Ambientador</v>
      </c>
      <c r="E299" s="2" t="str">
        <f>'CERRO EL PLOMO'!D35</f>
        <v/>
      </c>
      <c r="F299" s="2" t="str">
        <f>'CERRO EL PLOMO'!E35</f>
        <v/>
      </c>
      <c r="G299" s="2" t="str">
        <f>'CERRO EL PLOMO'!F35</f>
        <v/>
      </c>
      <c r="H299" s="2" t="str">
        <f>'CERRO EL PLOMO'!G35</f>
        <v/>
      </c>
      <c r="I299" s="2" t="str">
        <f>'CERRO EL PLOMO'!H35</f>
        <v/>
      </c>
      <c r="J299" s="2" t="str">
        <f>'CERRO EL PLOMO'!I35</f>
        <v/>
      </c>
      <c r="K299" s="2" t="str">
        <f>'CERRO EL PLOMO'!J35</f>
        <v/>
      </c>
      <c r="L299" s="2" t="str">
        <f>'CERRO EL PLOMO'!K35</f>
        <v/>
      </c>
      <c r="M299" s="2" t="str">
        <f>'CERRO EL PLOMO'!L35</f>
        <v/>
      </c>
      <c r="N299" s="2" t="str">
        <f>'CERRO EL PLOMO'!M35</f>
        <v/>
      </c>
      <c r="O299" s="2" t="str">
        <f>'CERRO EL PLOMO'!N35</f>
        <v/>
      </c>
      <c r="P299" s="2" t="str">
        <f>'CERRO EL PLOMO'!O35</f>
        <v/>
      </c>
      <c r="Q299" s="2" t="str">
        <f>'CERRO EL PLOMO'!P35</f>
        <v/>
      </c>
      <c r="R299" s="2" t="str">
        <f>'CERRO EL PLOMO'!Q35</f>
        <v/>
      </c>
      <c r="S299" s="2" t="str">
        <f>'CERRO EL PLOMO'!R35</f>
        <v/>
      </c>
      <c r="T299" s="2" t="str">
        <f>'CERRO EL PLOMO'!S35</f>
        <v/>
      </c>
      <c r="U299" s="2" t="str">
        <f>'CERRO EL PLOMO'!T35</f>
        <v/>
      </c>
      <c r="V299" s="2" t="str">
        <f>'CERRO EL PLOMO'!U35</f>
        <v/>
      </c>
      <c r="W299" s="2" t="str">
        <f>'CERRO EL PLOMO'!V35</f>
        <v/>
      </c>
      <c r="X299" s="2" t="str">
        <f>'CERRO EL PLOMO'!W35</f>
        <v/>
      </c>
      <c r="Y299" s="2" t="str">
        <f>'CERRO EL PLOMO'!X35</f>
        <v/>
      </c>
      <c r="Z299" s="2" t="str">
        <f>'CERRO EL PLOMO'!Y35</f>
        <v/>
      </c>
      <c r="AA299" s="2" t="str">
        <f>'CERRO EL PLOMO'!Z35</f>
        <v/>
      </c>
      <c r="AB299" s="2" t="str">
        <f>'CERRO EL PLOMO'!AA35</f>
        <v/>
      </c>
      <c r="AC299" s="2" t="str">
        <f>'CERRO EL PLOMO'!AB35</f>
        <v/>
      </c>
      <c r="AD299" s="2" t="str">
        <f>'CERRO EL PLOMO'!AC35</f>
        <v/>
      </c>
      <c r="AE299" s="2">
        <f>'CERRO EL PLOMO'!AD35</f>
        <v>0</v>
      </c>
      <c r="AF299" s="2">
        <f>'CERRO EL PLOMO'!AE35</f>
        <v>0</v>
      </c>
      <c r="AG299" s="2" t="str">
        <f>'CERRO EL PLOMO'!AF35</f>
        <v/>
      </c>
      <c r="AH299" s="2">
        <f>'CERRO EL PLOMO'!AG35</f>
        <v>0</v>
      </c>
      <c r="AI299" s="2" t="str">
        <f>'CERRO EL PLOMO'!AH35</f>
        <v/>
      </c>
      <c r="AJ299" s="2">
        <f>'CERRO EL PLOMO'!AI35</f>
        <v>0</v>
      </c>
      <c r="AK299" s="2" t="str">
        <f>'CERRO EL PLOMO'!AJ35</f>
        <v/>
      </c>
      <c r="AL299" s="2" t="str">
        <f>'CERRO EL PLOMO'!AK35</f>
        <v/>
      </c>
      <c r="AM299" s="2">
        <f>'CERRO EL PLOMO'!AL35</f>
        <v>0</v>
      </c>
      <c r="AN299" s="2">
        <f>'CERRO EL PLOMO'!AM35</f>
        <v>0</v>
      </c>
      <c r="AO299" s="2">
        <f>'CERRO EL PLOMO'!AN35</f>
        <v>0</v>
      </c>
      <c r="AP299" s="2">
        <f>'CERRO EL PLOMO'!AO35</f>
        <v>0</v>
      </c>
      <c r="AQ299" s="2">
        <f>'CERRO EL PLOMO'!AP35</f>
        <v>0</v>
      </c>
      <c r="AR299" s="2">
        <f>'CERRO EL PLOMO'!AQ35</f>
        <v>4</v>
      </c>
      <c r="AS299" s="2">
        <f>'CERRO EL PLOMO'!AR35</f>
        <v>4</v>
      </c>
      <c r="AT299" s="2">
        <f>'CERRO EL PLOMO'!AS35</f>
        <v>2</v>
      </c>
      <c r="AU299" s="2" t="str">
        <f>'CERRO EL PLOMO'!AT35</f>
        <v/>
      </c>
      <c r="AV299" s="2">
        <f>'CERRO EL PLOMO'!AU35</f>
        <v>2</v>
      </c>
      <c r="AW299" s="2" t="str">
        <f>'CERRO EL PLOMO'!AV35</f>
        <v/>
      </c>
      <c r="AX299" s="2">
        <f>'CERRO EL PLOMO'!AW35</f>
        <v>2</v>
      </c>
      <c r="AY299" s="2">
        <f>'CERRO EL PLOMO'!AX35</f>
        <v>0</v>
      </c>
      <c r="AZ299" s="2">
        <f>'CERRO EL PLOMO'!AY35</f>
        <v>0</v>
      </c>
      <c r="BA299" s="2" t="str">
        <f>'CERRO EL PLOMO'!AZ35</f>
        <v/>
      </c>
      <c r="BB299" s="2">
        <f>'CERRO EL PLOMO'!BA35</f>
        <v>8</v>
      </c>
      <c r="BC299" s="2" t="str">
        <f>'CERRO EL PLOMO'!BB35</f>
        <v/>
      </c>
      <c r="BD299" s="2">
        <f>'CERRO EL PLOMO'!BC35</f>
        <v>7</v>
      </c>
      <c r="BE299" s="2" t="str">
        <f>'CERRO EL PLOMO'!BD35</f>
        <v/>
      </c>
      <c r="BF299" s="2">
        <f>'CERRO EL PLOMO'!BE35</f>
        <v>2</v>
      </c>
      <c r="BG299" s="2">
        <f>'CERRO EL PLOMO'!BF35</f>
        <v>2</v>
      </c>
      <c r="BH299" s="2">
        <f>'CERRO EL PLOMO'!BG35</f>
        <v>2</v>
      </c>
      <c r="BI299" s="2">
        <f>'CERRO EL PLOMO'!BH35</f>
        <v>1</v>
      </c>
      <c r="BJ299" s="2">
        <f>'CERRO EL PLOMO'!BI35</f>
        <v>10</v>
      </c>
      <c r="BK299" s="2">
        <f>'CERRO EL PLOMO'!BJ35</f>
        <v>10</v>
      </c>
      <c r="BL299" s="2">
        <f>'CERRO EL PLOMO'!BK35</f>
        <v>8</v>
      </c>
      <c r="BM299" s="2">
        <f>'CERRO EL PLOMO'!BL35</f>
        <v>8</v>
      </c>
      <c r="BN299" s="2">
        <f>'CERRO EL PLOMO'!BM35</f>
        <v>6</v>
      </c>
      <c r="BO299" s="2">
        <f>'CERRO EL PLOMO'!BN35</f>
        <v>6</v>
      </c>
      <c r="BP299" s="2" t="str">
        <f>'CERRO EL PLOMO'!BO35</f>
        <v/>
      </c>
      <c r="BQ299" s="2">
        <f>'CERRO EL PLOMO'!BP35</f>
        <v>3</v>
      </c>
      <c r="BR299" s="2">
        <f>'CERRO EL PLOMO'!BQ35</f>
        <v>3</v>
      </c>
      <c r="BS299" s="2">
        <f>'CERRO EL PLOMO'!BR35</f>
        <v>2</v>
      </c>
      <c r="BT299" s="2" t="str">
        <f>'CERRO EL PLOMO'!BS35</f>
        <v/>
      </c>
      <c r="BU299" s="2">
        <f>'CERRO EL PLOMO'!BT35</f>
        <v>2</v>
      </c>
      <c r="BV299" s="2">
        <f>'CERRO EL PLOMO'!BU35</f>
        <v>8</v>
      </c>
      <c r="BW299" s="2">
        <f>'CERRO EL PLOMO'!BV35</f>
        <v>2</v>
      </c>
      <c r="BX299" s="2">
        <f>'CERRO EL PLOMO'!BW35</f>
        <v>7</v>
      </c>
      <c r="BY299" s="2" t="str">
        <f>'CERRO EL PLOMO'!BX35</f>
        <v/>
      </c>
      <c r="BZ299" s="2">
        <f>'CERRO EL PLOMO'!BY35</f>
        <v>7</v>
      </c>
      <c r="CA299" s="2">
        <f>'CERRO EL PLOMO'!BZ35</f>
        <v>4</v>
      </c>
      <c r="CB299" s="2" t="str">
        <f>'CERRO EL PLOMO'!CA35</f>
        <v/>
      </c>
      <c r="CC299" s="2" t="str">
        <f>'CERRO EL PLOMO'!CB35</f>
        <v/>
      </c>
    </row>
    <row r="300">
      <c r="A300" s="2"/>
      <c r="B300" s="2" t="str">
        <f>'CERRO EL PLOMO'!A36</f>
        <v>Cerro el Plomo</v>
      </c>
      <c r="C300" s="2" t="str">
        <f>'CERRO EL PLOMO'!B36</f>
        <v>Aseo</v>
      </c>
      <c r="D300" s="2" t="str">
        <f>'CERRO EL PLOMO'!C36</f>
        <v>Atomizador Pistola</v>
      </c>
      <c r="E300" s="2" t="str">
        <f>'CERRO EL PLOMO'!D36</f>
        <v/>
      </c>
      <c r="F300" s="2" t="str">
        <f>'CERRO EL PLOMO'!E36</f>
        <v/>
      </c>
      <c r="G300" s="2" t="str">
        <f>'CERRO EL PLOMO'!F36</f>
        <v/>
      </c>
      <c r="H300" s="2" t="str">
        <f>'CERRO EL PLOMO'!G36</f>
        <v/>
      </c>
      <c r="I300" s="2" t="str">
        <f>'CERRO EL PLOMO'!H36</f>
        <v/>
      </c>
      <c r="J300" s="2" t="str">
        <f>'CERRO EL PLOMO'!I36</f>
        <v/>
      </c>
      <c r="K300" s="2" t="str">
        <f>'CERRO EL PLOMO'!J36</f>
        <v/>
      </c>
      <c r="L300" s="2" t="str">
        <f>'CERRO EL PLOMO'!K36</f>
        <v/>
      </c>
      <c r="M300" s="2" t="str">
        <f>'CERRO EL PLOMO'!L36</f>
        <v/>
      </c>
      <c r="N300" s="2" t="str">
        <f>'CERRO EL PLOMO'!M36</f>
        <v/>
      </c>
      <c r="O300" s="2" t="str">
        <f>'CERRO EL PLOMO'!N36</f>
        <v/>
      </c>
      <c r="P300" s="2" t="str">
        <f>'CERRO EL PLOMO'!O36</f>
        <v/>
      </c>
      <c r="Q300" s="2" t="str">
        <f>'CERRO EL PLOMO'!P36</f>
        <v/>
      </c>
      <c r="R300" s="2" t="str">
        <f>'CERRO EL PLOMO'!Q36</f>
        <v/>
      </c>
      <c r="S300" s="2" t="str">
        <f>'CERRO EL PLOMO'!R36</f>
        <v/>
      </c>
      <c r="T300" s="2" t="str">
        <f>'CERRO EL PLOMO'!S36</f>
        <v/>
      </c>
      <c r="U300" s="2" t="str">
        <f>'CERRO EL PLOMO'!T36</f>
        <v/>
      </c>
      <c r="V300" s="2" t="str">
        <f>'CERRO EL PLOMO'!U36</f>
        <v/>
      </c>
      <c r="W300" s="2" t="str">
        <f>'CERRO EL PLOMO'!V36</f>
        <v/>
      </c>
      <c r="X300" s="2" t="str">
        <f>'CERRO EL PLOMO'!W36</f>
        <v/>
      </c>
      <c r="Y300" s="2" t="str">
        <f>'CERRO EL PLOMO'!X36</f>
        <v/>
      </c>
      <c r="Z300" s="2" t="str">
        <f>'CERRO EL PLOMO'!Y36</f>
        <v/>
      </c>
      <c r="AA300" s="2" t="str">
        <f>'CERRO EL PLOMO'!Z36</f>
        <v/>
      </c>
      <c r="AB300" s="2" t="str">
        <f>'CERRO EL PLOMO'!AA36</f>
        <v/>
      </c>
      <c r="AC300" s="2" t="str">
        <f>'CERRO EL PLOMO'!AB36</f>
        <v/>
      </c>
      <c r="AD300" s="2" t="str">
        <f>'CERRO EL PLOMO'!AC36</f>
        <v/>
      </c>
      <c r="AE300" s="2" t="str">
        <f>'CERRO EL PLOMO'!AD36</f>
        <v/>
      </c>
      <c r="AF300" s="2" t="str">
        <f>'CERRO EL PLOMO'!AE36</f>
        <v/>
      </c>
      <c r="AG300" s="2" t="str">
        <f>'CERRO EL PLOMO'!AF36</f>
        <v/>
      </c>
      <c r="AH300" s="2" t="str">
        <f>'CERRO EL PLOMO'!AG36</f>
        <v/>
      </c>
      <c r="AI300" s="2" t="str">
        <f>'CERRO EL PLOMO'!AH36</f>
        <v/>
      </c>
      <c r="AJ300" s="2" t="str">
        <f>'CERRO EL PLOMO'!AI36</f>
        <v/>
      </c>
      <c r="AK300" s="2" t="str">
        <f>'CERRO EL PLOMO'!AJ36</f>
        <v/>
      </c>
      <c r="AL300" s="2">
        <f>'CERRO EL PLOMO'!AK36</f>
        <v>4</v>
      </c>
      <c r="AM300" s="2">
        <f>'CERRO EL PLOMO'!AL36</f>
        <v>4</v>
      </c>
      <c r="AN300" s="2">
        <f>'CERRO EL PLOMO'!AM36</f>
        <v>3</v>
      </c>
      <c r="AO300" s="2">
        <f>'CERRO EL PLOMO'!AN36</f>
        <v>3</v>
      </c>
      <c r="AP300" s="2">
        <f>'CERRO EL PLOMO'!AO36</f>
        <v>2</v>
      </c>
      <c r="AQ300" s="2">
        <f>'CERRO EL PLOMO'!AP36</f>
        <v>2</v>
      </c>
      <c r="AR300" s="2">
        <f>'CERRO EL PLOMO'!AQ36</f>
        <v>4</v>
      </c>
      <c r="AS300" s="2">
        <f>'CERRO EL PLOMO'!AR36</f>
        <v>4</v>
      </c>
      <c r="AT300" s="2">
        <f>'CERRO EL PLOMO'!AS36</f>
        <v>4</v>
      </c>
      <c r="AU300" s="2" t="str">
        <f>'CERRO EL PLOMO'!AT36</f>
        <v/>
      </c>
      <c r="AV300" s="2">
        <f>'CERRO EL PLOMO'!AU36</f>
        <v>4</v>
      </c>
      <c r="AW300" s="2" t="str">
        <f>'CERRO EL PLOMO'!AV36</f>
        <v/>
      </c>
      <c r="AX300" s="2">
        <f>'CERRO EL PLOMO'!AW36</f>
        <v>4</v>
      </c>
      <c r="AY300" s="2">
        <f>'CERRO EL PLOMO'!AX36</f>
        <v>4</v>
      </c>
      <c r="AZ300" s="2">
        <f>'CERRO EL PLOMO'!AY36</f>
        <v>4</v>
      </c>
      <c r="BA300" s="2" t="str">
        <f>'CERRO EL PLOMO'!AZ36</f>
        <v/>
      </c>
      <c r="BB300" s="2">
        <f>'CERRO EL PLOMO'!BA36</f>
        <v>4</v>
      </c>
      <c r="BC300" s="2" t="str">
        <f>'CERRO EL PLOMO'!BB36</f>
        <v/>
      </c>
      <c r="BD300" s="2">
        <f>'CERRO EL PLOMO'!BC36</f>
        <v>4</v>
      </c>
      <c r="BE300" s="2" t="str">
        <f>'CERRO EL PLOMO'!BD36</f>
        <v/>
      </c>
      <c r="BF300" s="2">
        <f>'CERRO EL PLOMO'!BE36</f>
        <v>4</v>
      </c>
      <c r="BG300" s="2">
        <f>'CERRO EL PLOMO'!BF36</f>
        <v>4</v>
      </c>
      <c r="BH300" s="2">
        <f>'CERRO EL PLOMO'!BG36</f>
        <v>4</v>
      </c>
      <c r="BI300" s="2">
        <f>'CERRO EL PLOMO'!BH36</f>
        <v>4</v>
      </c>
      <c r="BJ300" s="2" t="str">
        <f>'CERRO EL PLOMO'!BI36</f>
        <v/>
      </c>
      <c r="BK300" s="2">
        <f>'CERRO EL PLOMO'!BJ36</f>
        <v>4</v>
      </c>
      <c r="BL300" s="2">
        <f>'CERRO EL PLOMO'!BK36</f>
        <v>4</v>
      </c>
      <c r="BM300" s="2">
        <f>'CERRO EL PLOMO'!BL36</f>
        <v>4</v>
      </c>
      <c r="BN300" s="2">
        <f>'CERRO EL PLOMO'!BM36</f>
        <v>4</v>
      </c>
      <c r="BO300" s="2">
        <f>'CERRO EL PLOMO'!BN36</f>
        <v>4</v>
      </c>
      <c r="BP300" s="2" t="str">
        <f>'CERRO EL PLOMO'!BO36</f>
        <v/>
      </c>
      <c r="BQ300" s="2">
        <f>'CERRO EL PLOMO'!BP36</f>
        <v>4</v>
      </c>
      <c r="BR300" s="2">
        <f>'CERRO EL PLOMO'!BQ36</f>
        <v>4</v>
      </c>
      <c r="BS300" s="2">
        <f>'CERRO EL PLOMO'!BR36</f>
        <v>4</v>
      </c>
      <c r="BT300" s="2" t="str">
        <f>'CERRO EL PLOMO'!BS36</f>
        <v/>
      </c>
      <c r="BU300" s="2">
        <f>'CERRO EL PLOMO'!BT36</f>
        <v>4</v>
      </c>
      <c r="BV300" s="2" t="str">
        <f>'CERRO EL PLOMO'!BU36</f>
        <v/>
      </c>
      <c r="BW300" s="2">
        <f>'CERRO EL PLOMO'!BV36</f>
        <v>9</v>
      </c>
      <c r="BX300" s="2">
        <f>'CERRO EL PLOMO'!BW36</f>
        <v>4</v>
      </c>
      <c r="BY300" s="2" t="str">
        <f>'CERRO EL PLOMO'!BX36</f>
        <v/>
      </c>
      <c r="BZ300" s="2">
        <f>'CERRO EL PLOMO'!BY36</f>
        <v>4</v>
      </c>
      <c r="CA300" s="2">
        <f>'CERRO EL PLOMO'!BZ36</f>
        <v>4</v>
      </c>
      <c r="CB300" s="2" t="str">
        <f>'CERRO EL PLOMO'!CA36</f>
        <v/>
      </c>
      <c r="CC300" s="2" t="str">
        <f>'CERRO EL PLOMO'!CB36</f>
        <v/>
      </c>
    </row>
    <row r="301">
      <c r="A301" s="2"/>
      <c r="B301" s="2" t="str">
        <f>'CERRO EL PLOMO'!A37</f>
        <v>Cerro el Plomo</v>
      </c>
      <c r="C301" s="2" t="str">
        <f>'CERRO EL PLOMO'!B37</f>
        <v>Aseo</v>
      </c>
      <c r="D301" s="2" t="str">
        <f>'CERRO EL PLOMO'!C37</f>
        <v>Lavaloza</v>
      </c>
      <c r="E301" s="2" t="str">
        <f>'CERRO EL PLOMO'!D37</f>
        <v/>
      </c>
      <c r="F301" s="2" t="str">
        <f>'CERRO EL PLOMO'!E37</f>
        <v/>
      </c>
      <c r="G301" s="2" t="str">
        <f>'CERRO EL PLOMO'!F37</f>
        <v/>
      </c>
      <c r="H301" s="2" t="str">
        <f>'CERRO EL PLOMO'!G37</f>
        <v/>
      </c>
      <c r="I301" s="2" t="str">
        <f>'CERRO EL PLOMO'!H37</f>
        <v/>
      </c>
      <c r="J301" s="2" t="str">
        <f>'CERRO EL PLOMO'!I37</f>
        <v/>
      </c>
      <c r="K301" s="2" t="str">
        <f>'CERRO EL PLOMO'!J37</f>
        <v/>
      </c>
      <c r="L301" s="2" t="str">
        <f>'CERRO EL PLOMO'!K37</f>
        <v/>
      </c>
      <c r="M301" s="2" t="str">
        <f>'CERRO EL PLOMO'!L37</f>
        <v/>
      </c>
      <c r="N301" s="2" t="str">
        <f>'CERRO EL PLOMO'!M37</f>
        <v/>
      </c>
      <c r="O301" s="2" t="str">
        <f>'CERRO EL PLOMO'!N37</f>
        <v/>
      </c>
      <c r="P301" s="2" t="str">
        <f>'CERRO EL PLOMO'!O37</f>
        <v/>
      </c>
      <c r="Q301" s="2" t="str">
        <f>'CERRO EL PLOMO'!P37</f>
        <v/>
      </c>
      <c r="R301" s="2" t="str">
        <f>'CERRO EL PLOMO'!Q37</f>
        <v/>
      </c>
      <c r="S301" s="2" t="str">
        <f>'CERRO EL PLOMO'!R37</f>
        <v/>
      </c>
      <c r="T301" s="2" t="str">
        <f>'CERRO EL PLOMO'!S37</f>
        <v/>
      </c>
      <c r="U301" s="2" t="str">
        <f>'CERRO EL PLOMO'!T37</f>
        <v/>
      </c>
      <c r="V301" s="2" t="str">
        <f>'CERRO EL PLOMO'!U37</f>
        <v/>
      </c>
      <c r="W301" s="2" t="str">
        <f>'CERRO EL PLOMO'!V37</f>
        <v/>
      </c>
      <c r="X301" s="2" t="str">
        <f>'CERRO EL PLOMO'!W37</f>
        <v/>
      </c>
      <c r="Y301" s="2" t="str">
        <f>'CERRO EL PLOMO'!X37</f>
        <v/>
      </c>
      <c r="Z301" s="2" t="str">
        <f>'CERRO EL PLOMO'!Y37</f>
        <v/>
      </c>
      <c r="AA301" s="2" t="str">
        <f>'CERRO EL PLOMO'!Z37</f>
        <v/>
      </c>
      <c r="AB301" s="2" t="str">
        <f>'CERRO EL PLOMO'!AA37</f>
        <v/>
      </c>
      <c r="AC301" s="2" t="str">
        <f>'CERRO EL PLOMO'!AB37</f>
        <v/>
      </c>
      <c r="AD301" s="2" t="str">
        <f>'CERRO EL PLOMO'!AC37</f>
        <v/>
      </c>
      <c r="AE301" s="2" t="str">
        <f>'CERRO EL PLOMO'!AD37</f>
        <v/>
      </c>
      <c r="AF301" s="2" t="str">
        <f>'CERRO EL PLOMO'!AE37</f>
        <v/>
      </c>
      <c r="AG301" s="2" t="str">
        <f>'CERRO EL PLOMO'!AF37</f>
        <v/>
      </c>
      <c r="AH301" s="2" t="str">
        <f>'CERRO EL PLOMO'!AG37</f>
        <v/>
      </c>
      <c r="AI301" s="2" t="str">
        <f>'CERRO EL PLOMO'!AH37</f>
        <v/>
      </c>
      <c r="AJ301" s="2" t="str">
        <f>'CERRO EL PLOMO'!AI37</f>
        <v/>
      </c>
      <c r="AK301" s="2" t="str">
        <f>'CERRO EL PLOMO'!AJ37</f>
        <v/>
      </c>
      <c r="AL301" s="2" t="str">
        <f>'CERRO EL PLOMO'!AK37</f>
        <v/>
      </c>
      <c r="AM301" s="2">
        <f>'CERRO EL PLOMO'!AL37</f>
        <v>2</v>
      </c>
      <c r="AN301" s="2">
        <f>'CERRO EL PLOMO'!AM37</f>
        <v>2</v>
      </c>
      <c r="AO301" s="2">
        <f>'CERRO EL PLOMO'!AN37</f>
        <v>2</v>
      </c>
      <c r="AP301" s="2">
        <f>'CERRO EL PLOMO'!AO37</f>
        <v>2</v>
      </c>
      <c r="AQ301" s="2">
        <f>'CERRO EL PLOMO'!AP37</f>
        <v>2</v>
      </c>
      <c r="AR301" s="2">
        <f>'CERRO EL PLOMO'!AQ37</f>
        <v>3</v>
      </c>
      <c r="AS301" s="2">
        <f>'CERRO EL PLOMO'!AR37</f>
        <v>3</v>
      </c>
      <c r="AT301" s="2">
        <f>'CERRO EL PLOMO'!AS37</f>
        <v>3</v>
      </c>
      <c r="AU301" s="2" t="str">
        <f>'CERRO EL PLOMO'!AT37</f>
        <v/>
      </c>
      <c r="AV301" s="2">
        <f>'CERRO EL PLOMO'!AU37</f>
        <v>3</v>
      </c>
      <c r="AW301" s="2" t="str">
        <f>'CERRO EL PLOMO'!AV37</f>
        <v/>
      </c>
      <c r="AX301" s="2">
        <f>'CERRO EL PLOMO'!AW37</f>
        <v>3</v>
      </c>
      <c r="AY301" s="2">
        <f>'CERRO EL PLOMO'!AX37</f>
        <v>3</v>
      </c>
      <c r="AZ301" s="2">
        <f>'CERRO EL PLOMO'!AY37</f>
        <v>3</v>
      </c>
      <c r="BA301" s="2" t="str">
        <f>'CERRO EL PLOMO'!AZ37</f>
        <v/>
      </c>
      <c r="BB301" s="2">
        <f>'CERRO EL PLOMO'!BA37</f>
        <v>3</v>
      </c>
      <c r="BC301" s="2" t="str">
        <f>'CERRO EL PLOMO'!BB37</f>
        <v/>
      </c>
      <c r="BD301" s="2">
        <f>'CERRO EL PLOMO'!BC37</f>
        <v>3</v>
      </c>
      <c r="BE301" s="2" t="str">
        <f>'CERRO EL PLOMO'!BD37</f>
        <v/>
      </c>
      <c r="BF301" s="2">
        <f>'CERRO EL PLOMO'!BE37</f>
        <v>3</v>
      </c>
      <c r="BG301" s="2">
        <f>'CERRO EL PLOMO'!BF37</f>
        <v>3</v>
      </c>
      <c r="BH301" s="2">
        <f>'CERRO EL PLOMO'!BG37</f>
        <v>3</v>
      </c>
      <c r="BI301" s="2">
        <f>'CERRO EL PLOMO'!BH37</f>
        <v>3</v>
      </c>
      <c r="BJ301" s="2">
        <f>'CERRO EL PLOMO'!BI37</f>
        <v>1</v>
      </c>
      <c r="BK301" s="2">
        <f>'CERRO EL PLOMO'!BJ37</f>
        <v>4</v>
      </c>
      <c r="BL301" s="2">
        <f>'CERRO EL PLOMO'!BK37</f>
        <v>3</v>
      </c>
      <c r="BM301" s="2">
        <f>'CERRO EL PLOMO'!BL37</f>
        <v>3</v>
      </c>
      <c r="BN301" s="2">
        <f>'CERRO EL PLOMO'!BM37</f>
        <v>3</v>
      </c>
      <c r="BO301" s="2">
        <f>'CERRO EL PLOMO'!BN37</f>
        <v>3</v>
      </c>
      <c r="BP301" s="2" t="str">
        <f>'CERRO EL PLOMO'!BO37</f>
        <v/>
      </c>
      <c r="BQ301" s="2">
        <f>'CERRO EL PLOMO'!BP37</f>
        <v>3</v>
      </c>
      <c r="BR301" s="2">
        <f>'CERRO EL PLOMO'!BQ37</f>
        <v>3</v>
      </c>
      <c r="BS301" s="2">
        <f>'CERRO EL PLOMO'!BR37</f>
        <v>3</v>
      </c>
      <c r="BT301" s="2" t="str">
        <f>'CERRO EL PLOMO'!BS37</f>
        <v/>
      </c>
      <c r="BU301" s="2">
        <f>'CERRO EL PLOMO'!BT37</f>
        <v>3</v>
      </c>
      <c r="BV301" s="2" t="str">
        <f>'CERRO EL PLOMO'!BU37</f>
        <v/>
      </c>
      <c r="BW301" s="2">
        <f>'CERRO EL PLOMO'!BV37</f>
        <v>3</v>
      </c>
      <c r="BX301" s="2">
        <f>'CERRO EL PLOMO'!BW37</f>
        <v>3</v>
      </c>
      <c r="BY301" s="2" t="str">
        <f>'CERRO EL PLOMO'!BX37</f>
        <v/>
      </c>
      <c r="BZ301" s="2">
        <f>'CERRO EL PLOMO'!BY37</f>
        <v>3</v>
      </c>
      <c r="CA301" s="2">
        <f>'CERRO EL PLOMO'!BZ37</f>
        <v>3</v>
      </c>
      <c r="CB301" s="2" t="str">
        <f>'CERRO EL PLOMO'!CA37</f>
        <v/>
      </c>
      <c r="CC301" s="2" t="str">
        <f>'CERRO EL PLOMO'!CB37</f>
        <v/>
      </c>
    </row>
    <row r="302">
      <c r="A302" s="2"/>
      <c r="B302" s="2" t="str">
        <f>'CERRO EL PLOMO'!A38</f>
        <v>Cerro el Plomo</v>
      </c>
      <c r="C302" s="2" t="str">
        <f>'CERRO EL PLOMO'!B38</f>
        <v>Aseo</v>
      </c>
      <c r="D302" s="2" t="str">
        <f>'CERRO EL PLOMO'!C38</f>
        <v>Limpiador Antigrasa </v>
      </c>
      <c r="E302" s="2" t="str">
        <f>'CERRO EL PLOMO'!D38</f>
        <v/>
      </c>
      <c r="F302" s="2" t="str">
        <f>'CERRO EL PLOMO'!E38</f>
        <v/>
      </c>
      <c r="G302" s="2" t="str">
        <f>'CERRO EL PLOMO'!F38</f>
        <v/>
      </c>
      <c r="H302" s="2" t="str">
        <f>'CERRO EL PLOMO'!G38</f>
        <v/>
      </c>
      <c r="I302" s="2" t="str">
        <f>'CERRO EL PLOMO'!H38</f>
        <v/>
      </c>
      <c r="J302" s="2" t="str">
        <f>'CERRO EL PLOMO'!I38</f>
        <v/>
      </c>
      <c r="K302" s="2" t="str">
        <f>'CERRO EL PLOMO'!J38</f>
        <v/>
      </c>
      <c r="L302" s="2" t="str">
        <f>'CERRO EL PLOMO'!K38</f>
        <v/>
      </c>
      <c r="M302" s="2" t="str">
        <f>'CERRO EL PLOMO'!L38</f>
        <v/>
      </c>
      <c r="N302" s="2" t="str">
        <f>'CERRO EL PLOMO'!M38</f>
        <v/>
      </c>
      <c r="O302" s="2" t="str">
        <f>'CERRO EL PLOMO'!N38</f>
        <v/>
      </c>
      <c r="P302" s="2" t="str">
        <f>'CERRO EL PLOMO'!O38</f>
        <v/>
      </c>
      <c r="Q302" s="2" t="str">
        <f>'CERRO EL PLOMO'!P38</f>
        <v/>
      </c>
      <c r="R302" s="2" t="str">
        <f>'CERRO EL PLOMO'!Q38</f>
        <v/>
      </c>
      <c r="S302" s="2" t="str">
        <f>'CERRO EL PLOMO'!R38</f>
        <v/>
      </c>
      <c r="T302" s="2" t="str">
        <f>'CERRO EL PLOMO'!S38</f>
        <v/>
      </c>
      <c r="U302" s="2" t="str">
        <f>'CERRO EL PLOMO'!T38</f>
        <v/>
      </c>
      <c r="V302" s="2" t="str">
        <f>'CERRO EL PLOMO'!U38</f>
        <v/>
      </c>
      <c r="W302" s="2" t="str">
        <f>'CERRO EL PLOMO'!V38</f>
        <v/>
      </c>
      <c r="X302" s="2" t="str">
        <f>'CERRO EL PLOMO'!W38</f>
        <v/>
      </c>
      <c r="Y302" s="2" t="str">
        <f>'CERRO EL PLOMO'!X38</f>
        <v/>
      </c>
      <c r="Z302" s="2" t="str">
        <f>'CERRO EL PLOMO'!Y38</f>
        <v/>
      </c>
      <c r="AA302" s="2" t="str">
        <f>'CERRO EL PLOMO'!Z38</f>
        <v/>
      </c>
      <c r="AB302" s="2" t="str">
        <f>'CERRO EL PLOMO'!AA38</f>
        <v/>
      </c>
      <c r="AC302" s="2" t="str">
        <f>'CERRO EL PLOMO'!AB38</f>
        <v/>
      </c>
      <c r="AD302" s="2" t="str">
        <f>'CERRO EL PLOMO'!AC38</f>
        <v/>
      </c>
      <c r="AE302" s="2" t="str">
        <f>'CERRO EL PLOMO'!AD38</f>
        <v/>
      </c>
      <c r="AF302" s="2" t="str">
        <f>'CERRO EL PLOMO'!AE38</f>
        <v/>
      </c>
      <c r="AG302" s="2" t="str">
        <f>'CERRO EL PLOMO'!AF38</f>
        <v/>
      </c>
      <c r="AH302" s="2" t="str">
        <f>'CERRO EL PLOMO'!AG38</f>
        <v/>
      </c>
      <c r="AI302" s="2" t="str">
        <f>'CERRO EL PLOMO'!AH38</f>
        <v/>
      </c>
      <c r="AJ302" s="2" t="str">
        <f>'CERRO EL PLOMO'!AI38</f>
        <v/>
      </c>
      <c r="AK302" s="2" t="str">
        <f>'CERRO EL PLOMO'!AJ38</f>
        <v/>
      </c>
      <c r="AL302" s="2" t="str">
        <f>'CERRO EL PLOMO'!AK38</f>
        <v/>
      </c>
      <c r="AM302" s="2" t="str">
        <f>'CERRO EL PLOMO'!AL38</f>
        <v/>
      </c>
      <c r="AN302" s="2" t="str">
        <f>'CERRO EL PLOMO'!AM38</f>
        <v/>
      </c>
      <c r="AO302" s="2" t="str">
        <f>'CERRO EL PLOMO'!AN38</f>
        <v/>
      </c>
      <c r="AP302" s="2" t="str">
        <f>'CERRO EL PLOMO'!AO38</f>
        <v/>
      </c>
      <c r="AQ302" s="2" t="str">
        <f>'CERRO EL PLOMO'!AP38</f>
        <v/>
      </c>
      <c r="AR302" s="2" t="str">
        <f>'CERRO EL PLOMO'!AQ38</f>
        <v/>
      </c>
      <c r="AS302" s="2" t="str">
        <f>'CERRO EL PLOMO'!AR38</f>
        <v/>
      </c>
      <c r="AT302" s="2" t="str">
        <f>'CERRO EL PLOMO'!AS38</f>
        <v/>
      </c>
      <c r="AU302" s="2" t="str">
        <f>'CERRO EL PLOMO'!AT38</f>
        <v/>
      </c>
      <c r="AV302" s="2" t="str">
        <f>'CERRO EL PLOMO'!AU38</f>
        <v/>
      </c>
      <c r="AW302" s="2" t="str">
        <f>'CERRO EL PLOMO'!AV38</f>
        <v/>
      </c>
      <c r="AX302" s="2" t="str">
        <f>'CERRO EL PLOMO'!AW38</f>
        <v/>
      </c>
      <c r="AY302" s="2" t="str">
        <f>'CERRO EL PLOMO'!AX38</f>
        <v/>
      </c>
      <c r="AZ302" s="2" t="str">
        <f>'CERRO EL PLOMO'!AY38</f>
        <v/>
      </c>
      <c r="BA302" s="2" t="str">
        <f>'CERRO EL PLOMO'!AZ38</f>
        <v/>
      </c>
      <c r="BB302" s="2" t="str">
        <f>'CERRO EL PLOMO'!BA38</f>
        <v/>
      </c>
      <c r="BC302" s="2" t="str">
        <f>'CERRO EL PLOMO'!BB38</f>
        <v/>
      </c>
      <c r="BD302" s="2" t="str">
        <f>'CERRO EL PLOMO'!BC38</f>
        <v/>
      </c>
      <c r="BE302" s="2" t="str">
        <f>'CERRO EL PLOMO'!BD38</f>
        <v/>
      </c>
      <c r="BF302" s="2" t="str">
        <f>'CERRO EL PLOMO'!BE38</f>
        <v/>
      </c>
      <c r="BG302" s="2" t="str">
        <f>'CERRO EL PLOMO'!BF38</f>
        <v/>
      </c>
      <c r="BH302" s="2" t="str">
        <f>'CERRO EL PLOMO'!BG38</f>
        <v/>
      </c>
      <c r="BI302" s="2" t="str">
        <f>'CERRO EL PLOMO'!BH38</f>
        <v/>
      </c>
      <c r="BJ302" s="2">
        <f>'CERRO EL PLOMO'!BI38</f>
        <v>2</v>
      </c>
      <c r="BK302" s="2">
        <f>'CERRO EL PLOMO'!BJ38</f>
        <v>2</v>
      </c>
      <c r="BL302" s="2">
        <f>'CERRO EL PLOMO'!BK38</f>
        <v>0</v>
      </c>
      <c r="BM302" s="2">
        <f>'CERRO EL PLOMO'!BL38</f>
        <v>0</v>
      </c>
      <c r="BN302" s="2">
        <f>'CERRO EL PLOMO'!BM38</f>
        <v>0</v>
      </c>
      <c r="BO302" s="2">
        <f>'CERRO EL PLOMO'!BN38</f>
        <v>0</v>
      </c>
      <c r="BP302" s="2" t="str">
        <f>'CERRO EL PLOMO'!BO38</f>
        <v/>
      </c>
      <c r="BQ302" s="2">
        <f>'CERRO EL PLOMO'!BP38</f>
        <v>0</v>
      </c>
      <c r="BR302" s="2">
        <f>'CERRO EL PLOMO'!BQ38</f>
        <v>0</v>
      </c>
      <c r="BS302" s="2">
        <f>'CERRO EL PLOMO'!BR38</f>
        <v>0</v>
      </c>
      <c r="BT302" s="2" t="str">
        <f>'CERRO EL PLOMO'!BS38</f>
        <v/>
      </c>
      <c r="BU302" s="2">
        <f>'CERRO EL PLOMO'!BT38</f>
        <v>0</v>
      </c>
      <c r="BV302" s="2">
        <f>'CERRO EL PLOMO'!BU38</f>
        <v>3</v>
      </c>
      <c r="BW302" s="2">
        <f>'CERRO EL PLOMO'!BV38</f>
        <v>3</v>
      </c>
      <c r="BX302" s="2">
        <f>'CERRO EL PLOMO'!BW38</f>
        <v>3</v>
      </c>
      <c r="BY302" s="2" t="str">
        <f>'CERRO EL PLOMO'!BX38</f>
        <v/>
      </c>
      <c r="BZ302" s="2">
        <f>'CERRO EL PLOMO'!BY38</f>
        <v>3</v>
      </c>
      <c r="CA302" s="2">
        <f>'CERRO EL PLOMO'!BZ38</f>
        <v>3</v>
      </c>
      <c r="CB302" s="2" t="str">
        <f>'CERRO EL PLOMO'!CA38</f>
        <v/>
      </c>
      <c r="CC302" s="2" t="str">
        <f>'CERRO EL PLOMO'!CB38</f>
        <v/>
      </c>
    </row>
    <row r="303">
      <c r="A303" s="2"/>
      <c r="B303" s="2" t="str">
        <f>'CERRO EL PLOMO'!A39</f>
        <v>Cerro el Plomo</v>
      </c>
      <c r="C303" s="2" t="str">
        <f>'CERRO EL PLOMO'!B39</f>
        <v>Aseo</v>
      </c>
      <c r="D303" s="2" t="str">
        <f>'CERRO EL PLOMO'!C39</f>
        <v>Lustra muebles</v>
      </c>
      <c r="E303" s="2" t="str">
        <f>'CERRO EL PLOMO'!D39</f>
        <v/>
      </c>
      <c r="F303" s="2" t="str">
        <f>'CERRO EL PLOMO'!E39</f>
        <v/>
      </c>
      <c r="G303" s="2" t="str">
        <f>'CERRO EL PLOMO'!F39</f>
        <v/>
      </c>
      <c r="H303" s="2" t="str">
        <f>'CERRO EL PLOMO'!G39</f>
        <v/>
      </c>
      <c r="I303" s="2" t="str">
        <f>'CERRO EL PLOMO'!H39</f>
        <v/>
      </c>
      <c r="J303" s="2" t="str">
        <f>'CERRO EL PLOMO'!I39</f>
        <v/>
      </c>
      <c r="K303" s="2" t="str">
        <f>'CERRO EL PLOMO'!J39</f>
        <v/>
      </c>
      <c r="L303" s="2" t="str">
        <f>'CERRO EL PLOMO'!K39</f>
        <v/>
      </c>
      <c r="M303" s="2" t="str">
        <f>'CERRO EL PLOMO'!L39</f>
        <v/>
      </c>
      <c r="N303" s="2" t="str">
        <f>'CERRO EL PLOMO'!M39</f>
        <v/>
      </c>
      <c r="O303" s="2" t="str">
        <f>'CERRO EL PLOMO'!N39</f>
        <v/>
      </c>
      <c r="P303" s="2" t="str">
        <f>'CERRO EL PLOMO'!O39</f>
        <v/>
      </c>
      <c r="Q303" s="2" t="str">
        <f>'CERRO EL PLOMO'!P39</f>
        <v/>
      </c>
      <c r="R303" s="2" t="str">
        <f>'CERRO EL PLOMO'!Q39</f>
        <v/>
      </c>
      <c r="S303" s="2" t="str">
        <f>'CERRO EL PLOMO'!R39</f>
        <v/>
      </c>
      <c r="T303" s="2" t="str">
        <f>'CERRO EL PLOMO'!S39</f>
        <v/>
      </c>
      <c r="U303" s="2" t="str">
        <f>'CERRO EL PLOMO'!T39</f>
        <v/>
      </c>
      <c r="V303" s="2" t="str">
        <f>'CERRO EL PLOMO'!U39</f>
        <v/>
      </c>
      <c r="W303" s="2" t="str">
        <f>'CERRO EL PLOMO'!V39</f>
        <v/>
      </c>
      <c r="X303" s="2" t="str">
        <f>'CERRO EL PLOMO'!W39</f>
        <v/>
      </c>
      <c r="Y303" s="2" t="str">
        <f>'CERRO EL PLOMO'!X39</f>
        <v/>
      </c>
      <c r="Z303" s="2" t="str">
        <f>'CERRO EL PLOMO'!Y39</f>
        <v/>
      </c>
      <c r="AA303" s="2" t="str">
        <f>'CERRO EL PLOMO'!Z39</f>
        <v/>
      </c>
      <c r="AB303" s="2" t="str">
        <f>'CERRO EL PLOMO'!AA39</f>
        <v/>
      </c>
      <c r="AC303" s="2" t="str">
        <f>'CERRO EL PLOMO'!AB39</f>
        <v/>
      </c>
      <c r="AD303" s="2" t="str">
        <f>'CERRO EL PLOMO'!AC39</f>
        <v/>
      </c>
      <c r="AE303" s="2" t="str">
        <f>'CERRO EL PLOMO'!AD39</f>
        <v/>
      </c>
      <c r="AF303" s="2" t="str">
        <f>'CERRO EL PLOMO'!AE39</f>
        <v/>
      </c>
      <c r="AG303" s="2" t="str">
        <f>'CERRO EL PLOMO'!AF39</f>
        <v/>
      </c>
      <c r="AH303" s="2" t="str">
        <f>'CERRO EL PLOMO'!AG39</f>
        <v/>
      </c>
      <c r="AI303" s="2" t="str">
        <f>'CERRO EL PLOMO'!AH39</f>
        <v/>
      </c>
      <c r="AJ303" s="2" t="str">
        <f>'CERRO EL PLOMO'!AI39</f>
        <v/>
      </c>
      <c r="AK303" s="2" t="str">
        <f>'CERRO EL PLOMO'!AJ39</f>
        <v/>
      </c>
      <c r="AL303" s="2" t="str">
        <f>'CERRO EL PLOMO'!AK39</f>
        <v/>
      </c>
      <c r="AM303" s="2" t="str">
        <f>'CERRO EL PLOMO'!AL39</f>
        <v/>
      </c>
      <c r="AN303" s="2" t="str">
        <f>'CERRO EL PLOMO'!AM39</f>
        <v/>
      </c>
      <c r="AO303" s="2" t="str">
        <f>'CERRO EL PLOMO'!AN39</f>
        <v/>
      </c>
      <c r="AP303" s="2" t="str">
        <f>'CERRO EL PLOMO'!AO39</f>
        <v/>
      </c>
      <c r="AQ303" s="2" t="str">
        <f>'CERRO EL PLOMO'!AP39</f>
        <v/>
      </c>
      <c r="AR303" s="2" t="str">
        <f>'CERRO EL PLOMO'!AQ39</f>
        <v/>
      </c>
      <c r="AS303" s="2" t="str">
        <f>'CERRO EL PLOMO'!AR39</f>
        <v/>
      </c>
      <c r="AT303" s="2" t="str">
        <f>'CERRO EL PLOMO'!AS39</f>
        <v/>
      </c>
      <c r="AU303" s="2" t="str">
        <f>'CERRO EL PLOMO'!AT39</f>
        <v/>
      </c>
      <c r="AV303" s="2" t="str">
        <f>'CERRO EL PLOMO'!AU39</f>
        <v/>
      </c>
      <c r="AW303" s="2" t="str">
        <f>'CERRO EL PLOMO'!AV39</f>
        <v/>
      </c>
      <c r="AX303" s="2" t="str">
        <f>'CERRO EL PLOMO'!AW39</f>
        <v/>
      </c>
      <c r="AY303" s="2" t="str">
        <f>'CERRO EL PLOMO'!AX39</f>
        <v/>
      </c>
      <c r="AZ303" s="2" t="str">
        <f>'CERRO EL PLOMO'!AY39</f>
        <v/>
      </c>
      <c r="BA303" s="2" t="str">
        <f>'CERRO EL PLOMO'!AZ39</f>
        <v/>
      </c>
      <c r="BB303" s="2" t="str">
        <f>'CERRO EL PLOMO'!BA39</f>
        <v/>
      </c>
      <c r="BC303" s="2" t="str">
        <f>'CERRO EL PLOMO'!BB39</f>
        <v/>
      </c>
      <c r="BD303" s="2" t="str">
        <f>'CERRO EL PLOMO'!BC39</f>
        <v/>
      </c>
      <c r="BE303" s="2" t="str">
        <f>'CERRO EL PLOMO'!BD39</f>
        <v/>
      </c>
      <c r="BF303" s="2" t="str">
        <f>'CERRO EL PLOMO'!BE39</f>
        <v/>
      </c>
      <c r="BG303" s="2" t="str">
        <f>'CERRO EL PLOMO'!BF39</f>
        <v/>
      </c>
      <c r="BH303" s="2" t="str">
        <f>'CERRO EL PLOMO'!BG39</f>
        <v/>
      </c>
      <c r="BI303" s="2" t="str">
        <f>'CERRO EL PLOMO'!BH39</f>
        <v/>
      </c>
      <c r="BJ303" s="2" t="str">
        <f>'CERRO EL PLOMO'!BI39</f>
        <v/>
      </c>
      <c r="BK303" s="2" t="str">
        <f>'CERRO EL PLOMO'!BJ39</f>
        <v/>
      </c>
      <c r="BL303" s="2" t="str">
        <f>'CERRO EL PLOMO'!BK39</f>
        <v/>
      </c>
      <c r="BM303" s="2" t="str">
        <f>'CERRO EL PLOMO'!BL39</f>
        <v/>
      </c>
      <c r="BN303" s="2" t="str">
        <f>'CERRO EL PLOMO'!BM39</f>
        <v/>
      </c>
      <c r="BO303" s="2" t="str">
        <f>'CERRO EL PLOMO'!BN39</f>
        <v/>
      </c>
      <c r="BP303" s="2" t="str">
        <f>'CERRO EL PLOMO'!BO39</f>
        <v/>
      </c>
      <c r="BQ303" s="2" t="str">
        <f>'CERRO EL PLOMO'!BP39</f>
        <v/>
      </c>
      <c r="BR303" s="2" t="str">
        <f>'CERRO EL PLOMO'!BQ39</f>
        <v/>
      </c>
      <c r="BS303" s="2">
        <f>'CERRO EL PLOMO'!BR39</f>
        <v>2</v>
      </c>
      <c r="BT303" s="2" t="str">
        <f>'CERRO EL PLOMO'!BS39</f>
        <v/>
      </c>
      <c r="BU303" s="2">
        <f>'CERRO EL PLOMO'!BT39</f>
        <v>2</v>
      </c>
      <c r="BV303" s="2" t="str">
        <f>'CERRO EL PLOMO'!BU39</f>
        <v/>
      </c>
      <c r="BW303" s="2">
        <f>'CERRO EL PLOMO'!BV39</f>
        <v>2</v>
      </c>
      <c r="BX303" s="2">
        <f>'CERRO EL PLOMO'!BW39</f>
        <v>2</v>
      </c>
      <c r="BY303" s="2" t="str">
        <f>'CERRO EL PLOMO'!BX39</f>
        <v/>
      </c>
      <c r="BZ303" s="2">
        <f>'CERRO EL PLOMO'!BY39</f>
        <v>2</v>
      </c>
      <c r="CA303" s="2">
        <f>'CERRO EL PLOMO'!BZ39</f>
        <v>2</v>
      </c>
      <c r="CB303" s="2" t="str">
        <f>'CERRO EL PLOMO'!CA39</f>
        <v/>
      </c>
      <c r="CC303" s="2" t="str">
        <f>'CERRO EL PLOMO'!CB39</f>
        <v/>
      </c>
    </row>
    <row r="304">
      <c r="A304" s="2"/>
      <c r="B304" s="2" t="str">
        <f>'CERRO EL PLOMO'!A40</f>
        <v>Cerro el Plomo</v>
      </c>
      <c r="C304" s="2" t="str">
        <f>'CERRO EL PLOMO'!B40</f>
        <v>Aseo</v>
      </c>
      <c r="D304" s="2" t="str">
        <f>'CERRO EL PLOMO'!C40</f>
        <v>Cif en crema</v>
      </c>
      <c r="E304" s="2" t="str">
        <f>'CERRO EL PLOMO'!D40</f>
        <v/>
      </c>
      <c r="F304" s="2" t="str">
        <f>'CERRO EL PLOMO'!E40</f>
        <v/>
      </c>
      <c r="G304" s="2" t="str">
        <f>'CERRO EL PLOMO'!F40</f>
        <v/>
      </c>
      <c r="H304" s="2" t="str">
        <f>'CERRO EL PLOMO'!G40</f>
        <v/>
      </c>
      <c r="I304" s="2" t="str">
        <f>'CERRO EL PLOMO'!H40</f>
        <v/>
      </c>
      <c r="J304" s="2" t="str">
        <f>'CERRO EL PLOMO'!I40</f>
        <v/>
      </c>
      <c r="K304" s="2" t="str">
        <f>'CERRO EL PLOMO'!J40</f>
        <v/>
      </c>
      <c r="L304" s="2" t="str">
        <f>'CERRO EL PLOMO'!K40</f>
        <v/>
      </c>
      <c r="M304" s="2" t="str">
        <f>'CERRO EL PLOMO'!L40</f>
        <v/>
      </c>
      <c r="N304" s="2" t="str">
        <f>'CERRO EL PLOMO'!M40</f>
        <v/>
      </c>
      <c r="O304" s="2" t="str">
        <f>'CERRO EL PLOMO'!N40</f>
        <v/>
      </c>
      <c r="P304" s="2" t="str">
        <f>'CERRO EL PLOMO'!O40</f>
        <v/>
      </c>
      <c r="Q304" s="2" t="str">
        <f>'CERRO EL PLOMO'!P40</f>
        <v/>
      </c>
      <c r="R304" s="2" t="str">
        <f>'CERRO EL PLOMO'!Q40</f>
        <v/>
      </c>
      <c r="S304" s="2" t="str">
        <f>'CERRO EL PLOMO'!R40</f>
        <v/>
      </c>
      <c r="T304" s="2" t="str">
        <f>'CERRO EL PLOMO'!S40</f>
        <v/>
      </c>
      <c r="U304" s="2" t="str">
        <f>'CERRO EL PLOMO'!T40</f>
        <v/>
      </c>
      <c r="V304" s="2" t="str">
        <f>'CERRO EL PLOMO'!U40</f>
        <v/>
      </c>
      <c r="W304" s="2" t="str">
        <f>'CERRO EL PLOMO'!V40</f>
        <v/>
      </c>
      <c r="X304" s="2" t="str">
        <f>'CERRO EL PLOMO'!W40</f>
        <v/>
      </c>
      <c r="Y304" s="2" t="str">
        <f>'CERRO EL PLOMO'!X40</f>
        <v/>
      </c>
      <c r="Z304" s="2" t="str">
        <f>'CERRO EL PLOMO'!Y40</f>
        <v/>
      </c>
      <c r="AA304" s="2" t="str">
        <f>'CERRO EL PLOMO'!Z40</f>
        <v/>
      </c>
      <c r="AB304" s="2" t="str">
        <f>'CERRO EL PLOMO'!AA40</f>
        <v/>
      </c>
      <c r="AC304" s="2" t="str">
        <f>'CERRO EL PLOMO'!AB40</f>
        <v/>
      </c>
      <c r="AD304" s="2" t="str">
        <f>'CERRO EL PLOMO'!AC40</f>
        <v/>
      </c>
      <c r="AE304" s="2" t="str">
        <f>'CERRO EL PLOMO'!AD40</f>
        <v/>
      </c>
      <c r="AF304" s="2" t="str">
        <f>'CERRO EL PLOMO'!AE40</f>
        <v/>
      </c>
      <c r="AG304" s="2" t="str">
        <f>'CERRO EL PLOMO'!AF40</f>
        <v/>
      </c>
      <c r="AH304" s="2" t="str">
        <f>'CERRO EL PLOMO'!AG40</f>
        <v/>
      </c>
      <c r="AI304" s="2" t="str">
        <f>'CERRO EL PLOMO'!AH40</f>
        <v/>
      </c>
      <c r="AJ304" s="2" t="str">
        <f>'CERRO EL PLOMO'!AI40</f>
        <v/>
      </c>
      <c r="AK304" s="2" t="str">
        <f>'CERRO EL PLOMO'!AJ40</f>
        <v/>
      </c>
      <c r="AL304" s="2" t="str">
        <f>'CERRO EL PLOMO'!AK40</f>
        <v/>
      </c>
      <c r="AM304" s="2" t="str">
        <f>'CERRO EL PLOMO'!AL40</f>
        <v/>
      </c>
      <c r="AN304" s="2" t="str">
        <f>'CERRO EL PLOMO'!AM40</f>
        <v/>
      </c>
      <c r="AO304" s="2" t="str">
        <f>'CERRO EL PLOMO'!AN40</f>
        <v/>
      </c>
      <c r="AP304" s="2" t="str">
        <f>'CERRO EL PLOMO'!AO40</f>
        <v/>
      </c>
      <c r="AQ304" s="2" t="str">
        <f>'CERRO EL PLOMO'!AP40</f>
        <v/>
      </c>
      <c r="AR304" s="2" t="str">
        <f>'CERRO EL PLOMO'!AQ40</f>
        <v/>
      </c>
      <c r="AS304" s="2" t="str">
        <f>'CERRO EL PLOMO'!AR40</f>
        <v/>
      </c>
      <c r="AT304" s="2" t="str">
        <f>'CERRO EL PLOMO'!AS40</f>
        <v/>
      </c>
      <c r="AU304" s="2" t="str">
        <f>'CERRO EL PLOMO'!AT40</f>
        <v/>
      </c>
      <c r="AV304" s="2" t="str">
        <f>'CERRO EL PLOMO'!AU40</f>
        <v/>
      </c>
      <c r="AW304" s="2" t="str">
        <f>'CERRO EL PLOMO'!AV40</f>
        <v/>
      </c>
      <c r="AX304" s="2" t="str">
        <f>'CERRO EL PLOMO'!AW40</f>
        <v/>
      </c>
      <c r="AY304" s="2" t="str">
        <f>'CERRO EL PLOMO'!AX40</f>
        <v/>
      </c>
      <c r="AZ304" s="2" t="str">
        <f>'CERRO EL PLOMO'!AY40</f>
        <v/>
      </c>
      <c r="BA304" s="2" t="str">
        <f>'CERRO EL PLOMO'!AZ40</f>
        <v/>
      </c>
      <c r="BB304" s="2" t="str">
        <f>'CERRO EL PLOMO'!BA40</f>
        <v/>
      </c>
      <c r="BC304" s="2" t="str">
        <f>'CERRO EL PLOMO'!BB40</f>
        <v/>
      </c>
      <c r="BD304" s="2" t="str">
        <f>'CERRO EL PLOMO'!BC40</f>
        <v/>
      </c>
      <c r="BE304" s="2" t="str">
        <f>'CERRO EL PLOMO'!BD40</f>
        <v/>
      </c>
      <c r="BF304" s="2" t="str">
        <f>'CERRO EL PLOMO'!BE40</f>
        <v/>
      </c>
      <c r="BG304" s="2" t="str">
        <f>'CERRO EL PLOMO'!BF40</f>
        <v/>
      </c>
      <c r="BH304" s="2" t="str">
        <f>'CERRO EL PLOMO'!BG40</f>
        <v/>
      </c>
      <c r="BI304" s="2" t="str">
        <f>'CERRO EL PLOMO'!BH40</f>
        <v/>
      </c>
      <c r="BJ304" s="2" t="str">
        <f>'CERRO EL PLOMO'!BI40</f>
        <v/>
      </c>
      <c r="BK304" s="2" t="str">
        <f>'CERRO EL PLOMO'!BJ40</f>
        <v/>
      </c>
      <c r="BL304" s="2" t="str">
        <f>'CERRO EL PLOMO'!BK40</f>
        <v/>
      </c>
      <c r="BM304" s="2" t="str">
        <f>'CERRO EL PLOMO'!BL40</f>
        <v/>
      </c>
      <c r="BN304" s="2" t="str">
        <f>'CERRO EL PLOMO'!BM40</f>
        <v/>
      </c>
      <c r="BO304" s="2" t="str">
        <f>'CERRO EL PLOMO'!BN40</f>
        <v/>
      </c>
      <c r="BP304" s="2" t="str">
        <f>'CERRO EL PLOMO'!BO40</f>
        <v/>
      </c>
      <c r="BQ304" s="2" t="str">
        <f>'CERRO EL PLOMO'!BP40</f>
        <v/>
      </c>
      <c r="BR304" s="2" t="str">
        <f>'CERRO EL PLOMO'!BQ40</f>
        <v/>
      </c>
      <c r="BS304" s="2">
        <f>'CERRO EL PLOMO'!BR40</f>
        <v>3</v>
      </c>
      <c r="BT304" s="2" t="str">
        <f>'CERRO EL PLOMO'!BS40</f>
        <v/>
      </c>
      <c r="BU304" s="2">
        <f>'CERRO EL PLOMO'!BT40</f>
        <v>3</v>
      </c>
      <c r="BV304" s="2" t="str">
        <f>'CERRO EL PLOMO'!BU40</f>
        <v/>
      </c>
      <c r="BW304" s="2">
        <f>'CERRO EL PLOMO'!BV40</f>
        <v>3</v>
      </c>
      <c r="BX304" s="2">
        <f>'CERRO EL PLOMO'!BW40</f>
        <v>3</v>
      </c>
      <c r="BY304" s="2" t="str">
        <f>'CERRO EL PLOMO'!BX40</f>
        <v/>
      </c>
      <c r="BZ304" s="2">
        <f>'CERRO EL PLOMO'!BY40</f>
        <v>3</v>
      </c>
      <c r="CA304" s="2">
        <f>'CERRO EL PLOMO'!BZ40</f>
        <v>3</v>
      </c>
      <c r="CB304" s="2" t="str">
        <f>'CERRO EL PLOMO'!CA40</f>
        <v/>
      </c>
      <c r="CC304" s="2" t="str">
        <f>'CERRO EL PLOMO'!CB40</f>
        <v/>
      </c>
    </row>
    <row r="305">
      <c r="A305" s="2"/>
      <c r="B305" s="2" t="str">
        <f>'CERRO EL PLOMO'!A41</f>
        <v/>
      </c>
      <c r="C305" s="2" t="str">
        <f>'CERRO EL PLOMO'!B41</f>
        <v/>
      </c>
      <c r="D305" s="2" t="str">
        <f>'CERRO EL PLOMO'!C41</f>
        <v/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 t="str">
        <f>'CERRO EL PLOMO'!AQ48</f>
        <v/>
      </c>
      <c r="AS305" s="2" t="str">
        <f>'CERRO EL PLOMO'!AR48</f>
        <v/>
      </c>
      <c r="AT305" s="2" t="str">
        <f>'CERRO EL PLOMO'!AS48</f>
        <v/>
      </c>
      <c r="AU305" s="2" t="str">
        <f>'CERRO EL PLOMO'!AT48</f>
        <v/>
      </c>
      <c r="AV305" s="2" t="str">
        <f>'CERRO EL PLOMO'!AU48</f>
        <v/>
      </c>
      <c r="AW305" s="2" t="str">
        <f>'CERRO EL PLOMO'!AV48</f>
        <v/>
      </c>
      <c r="AX305" s="2" t="str">
        <f>'CERRO EL PLOMO'!AW48</f>
        <v/>
      </c>
      <c r="AY305" s="2" t="str">
        <f>'CERRO EL PLOMO'!AX48</f>
        <v/>
      </c>
      <c r="AZ305" s="2" t="str">
        <f>'CERRO EL PLOMO'!AY48</f>
        <v/>
      </c>
      <c r="BA305" s="2" t="str">
        <f>'CERRO EL PLOMO'!AZ48</f>
        <v/>
      </c>
      <c r="BB305" s="2" t="str">
        <f>'CERRO EL PLOMO'!BA48</f>
        <v/>
      </c>
      <c r="BC305" s="2" t="str">
        <f>'CERRO EL PLOMO'!BB48</f>
        <v/>
      </c>
      <c r="BD305" s="2" t="str">
        <f>'CERRO EL PLOMO'!BC48</f>
        <v/>
      </c>
      <c r="BE305" s="2" t="str">
        <f>'CERRO EL PLOMO'!BD48</f>
        <v/>
      </c>
      <c r="BF305" s="2" t="str">
        <f>'CERRO EL PLOMO'!BE48</f>
        <v/>
      </c>
      <c r="BG305" s="2" t="str">
        <f>'CERRO EL PLOMO'!BF48</f>
        <v/>
      </c>
      <c r="BH305" s="2" t="str">
        <f>'CERRO EL PLOMO'!BG48</f>
        <v/>
      </c>
      <c r="BI305" s="2" t="str">
        <f>'CERRO EL PLOMO'!BH48</f>
        <v/>
      </c>
      <c r="BJ305" s="2" t="str">
        <f>'CERRO EL PLOMO'!BI48</f>
        <v/>
      </c>
      <c r="BK305" s="2" t="str">
        <f>'CERRO EL PLOMO'!BJ48</f>
        <v/>
      </c>
      <c r="BL305" s="2" t="str">
        <f>'CERRO EL PLOMO'!BK48</f>
        <v/>
      </c>
      <c r="BM305" s="2" t="str">
        <f t="shared" ref="BM305:BN305" si="13">#REF!</f>
        <v>#REF!</v>
      </c>
      <c r="BN305" s="2" t="str">
        <f t="shared" si="13"/>
        <v>#REF!</v>
      </c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 t="str">
        <f>'CERRO EL PLOMO'!AQ49</f>
        <v/>
      </c>
      <c r="AS306" s="2" t="str">
        <f>'CERRO EL PLOMO'!AR49</f>
        <v/>
      </c>
      <c r="AT306" s="2" t="str">
        <f>'CERRO EL PLOMO'!AS49</f>
        <v/>
      </c>
      <c r="AU306" s="2" t="str">
        <f>'CERRO EL PLOMO'!AT49</f>
        <v/>
      </c>
      <c r="AV306" s="2" t="str">
        <f>'CERRO EL PLOMO'!AU49</f>
        <v/>
      </c>
      <c r="AW306" s="2" t="str">
        <f>'CERRO EL PLOMO'!AV49</f>
        <v/>
      </c>
      <c r="AX306" s="2" t="str">
        <f>'CERRO EL PLOMO'!AW49</f>
        <v/>
      </c>
      <c r="AY306" s="2" t="str">
        <f>'CERRO EL PLOMO'!AX49</f>
        <v/>
      </c>
      <c r="AZ306" s="2" t="str">
        <f>'CERRO EL PLOMO'!AY49</f>
        <v/>
      </c>
      <c r="BA306" s="2" t="str">
        <f>'CERRO EL PLOMO'!AZ49</f>
        <v/>
      </c>
      <c r="BB306" s="2" t="str">
        <f>'CERRO EL PLOMO'!BA49</f>
        <v/>
      </c>
      <c r="BC306" s="2" t="str">
        <f>'CERRO EL PLOMO'!BB49</f>
        <v/>
      </c>
      <c r="BD306" s="2" t="str">
        <f>'CERRO EL PLOMO'!BC49</f>
        <v/>
      </c>
      <c r="BE306" s="2" t="str">
        <f>'CERRO EL PLOMO'!BD49</f>
        <v/>
      </c>
      <c r="BF306" s="2" t="str">
        <f>'CERRO EL PLOMO'!BE49</f>
        <v/>
      </c>
      <c r="BG306" s="2" t="str">
        <f>'CERRO EL PLOMO'!BF49</f>
        <v/>
      </c>
      <c r="BH306" s="2" t="str">
        <f>'CERRO EL PLOMO'!BG49</f>
        <v/>
      </c>
      <c r="BI306" s="2" t="str">
        <f>'CERRO EL PLOMO'!BH49</f>
        <v/>
      </c>
      <c r="BJ306" s="2" t="str">
        <f>'CERRO EL PLOMO'!BI49</f>
        <v/>
      </c>
      <c r="BK306" s="2" t="str">
        <f>'CERRO EL PLOMO'!BJ49</f>
        <v/>
      </c>
      <c r="BL306" s="2" t="str">
        <f>'CERRO EL PLOMO'!BK49</f>
        <v/>
      </c>
      <c r="BM306" s="2" t="str">
        <f>'CERRO EL PLOMO'!BL41</f>
        <v/>
      </c>
      <c r="BN306" s="2" t="str">
        <f>'CERRO EL PLOMO'!BM41</f>
        <v/>
      </c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 t="str">
        <f>'CERRO EL PLOMO'!AQ50</f>
        <v/>
      </c>
      <c r="AS307" s="2" t="str">
        <f>'CERRO EL PLOMO'!AR50</f>
        <v/>
      </c>
      <c r="AT307" s="2" t="str">
        <f>'CERRO EL PLOMO'!AS50</f>
        <v/>
      </c>
      <c r="AU307" s="2" t="str">
        <f>'CERRO EL PLOMO'!AT50</f>
        <v/>
      </c>
      <c r="AV307" s="2" t="str">
        <f>'CERRO EL PLOMO'!AU50</f>
        <v/>
      </c>
      <c r="AW307" s="2" t="str">
        <f>'CERRO EL PLOMO'!AV50</f>
        <v/>
      </c>
      <c r="AX307" s="2" t="str">
        <f>'CERRO EL PLOMO'!AW50</f>
        <v/>
      </c>
      <c r="AY307" s="2" t="str">
        <f>'CERRO EL PLOMO'!AX50</f>
        <v/>
      </c>
      <c r="AZ307" s="2" t="str">
        <f>'CERRO EL PLOMO'!AY50</f>
        <v/>
      </c>
      <c r="BA307" s="2" t="str">
        <f>'CERRO EL PLOMO'!AZ50</f>
        <v/>
      </c>
      <c r="BB307" s="2" t="str">
        <f>'CERRO EL PLOMO'!BA50</f>
        <v/>
      </c>
      <c r="BC307" s="2" t="str">
        <f>'CERRO EL PLOMO'!BB50</f>
        <v/>
      </c>
      <c r="BD307" s="2" t="str">
        <f>'CERRO EL PLOMO'!BC50</f>
        <v/>
      </c>
      <c r="BE307" s="2" t="str">
        <f>'CERRO EL PLOMO'!BD50</f>
        <v/>
      </c>
      <c r="BF307" s="2" t="str">
        <f>'CERRO EL PLOMO'!BE50</f>
        <v/>
      </c>
      <c r="BG307" s="2" t="str">
        <f>'CERRO EL PLOMO'!BF50</f>
        <v/>
      </c>
      <c r="BH307" s="2" t="str">
        <f>'CERRO EL PLOMO'!BG50</f>
        <v/>
      </c>
      <c r="BI307" s="2" t="str">
        <f>'CERRO EL PLOMO'!BH50</f>
        <v/>
      </c>
      <c r="BJ307" s="2" t="str">
        <f>'CERRO EL PLOMO'!BI50</f>
        <v/>
      </c>
      <c r="BK307" s="2" t="str">
        <f>'CERRO EL PLOMO'!BJ50</f>
        <v/>
      </c>
      <c r="BL307" s="2" t="str">
        <f>'CERRO EL PLOMO'!BK50</f>
        <v/>
      </c>
      <c r="BM307" s="2" t="str">
        <f>'CERRO EL PLOMO'!BL42</f>
        <v/>
      </c>
      <c r="BN307" s="2" t="str">
        <f>'CERRO EL PLOMO'!BM42</f>
        <v/>
      </c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 t="str">
        <f>'CERRO EL PLOMO'!AQ51</f>
        <v/>
      </c>
      <c r="AS308" s="2" t="str">
        <f>'CERRO EL PLOMO'!AR51</f>
        <v/>
      </c>
      <c r="AT308" s="2" t="str">
        <f>'CERRO EL PLOMO'!AS51</f>
        <v/>
      </c>
      <c r="AU308" s="2" t="str">
        <f>'CERRO EL PLOMO'!AT51</f>
        <v/>
      </c>
      <c r="AV308" s="2" t="str">
        <f>'CERRO EL PLOMO'!AU51</f>
        <v/>
      </c>
      <c r="AW308" s="2" t="str">
        <f>'CERRO EL PLOMO'!AV51</f>
        <v/>
      </c>
      <c r="AX308" s="2" t="str">
        <f>'CERRO EL PLOMO'!AW51</f>
        <v/>
      </c>
      <c r="AY308" s="2" t="str">
        <f>'CERRO EL PLOMO'!AX51</f>
        <v/>
      </c>
      <c r="AZ308" s="2" t="str">
        <f>'CERRO EL PLOMO'!AY51</f>
        <v/>
      </c>
      <c r="BA308" s="2" t="str">
        <f>'CERRO EL PLOMO'!AZ51</f>
        <v/>
      </c>
      <c r="BB308" s="2" t="str">
        <f>'CERRO EL PLOMO'!BA51</f>
        <v/>
      </c>
      <c r="BC308" s="2" t="str">
        <f>'CERRO EL PLOMO'!BB51</f>
        <v/>
      </c>
      <c r="BD308" s="2" t="str">
        <f>'CERRO EL PLOMO'!BC51</f>
        <v/>
      </c>
      <c r="BE308" s="2" t="str">
        <f>'CERRO EL PLOMO'!BD51</f>
        <v/>
      </c>
      <c r="BF308" s="2" t="str">
        <f>'CERRO EL PLOMO'!BE51</f>
        <v/>
      </c>
      <c r="BG308" s="2" t="str">
        <f>'CERRO EL PLOMO'!BF51</f>
        <v/>
      </c>
      <c r="BH308" s="2" t="str">
        <f>'CERRO EL PLOMO'!BG51</f>
        <v/>
      </c>
      <c r="BI308" s="2" t="str">
        <f>'CERRO EL PLOMO'!BH51</f>
        <v/>
      </c>
      <c r="BJ308" s="2" t="str">
        <f>'CERRO EL PLOMO'!BI51</f>
        <v/>
      </c>
      <c r="BK308" s="2" t="str">
        <f>'CERRO EL PLOMO'!BJ51</f>
        <v/>
      </c>
      <c r="BL308" s="2" t="str">
        <f>'CERRO EL PLOMO'!BK51</f>
        <v/>
      </c>
      <c r="BM308" s="2" t="str">
        <f>'CERRO EL PLOMO'!BL43</f>
        <v/>
      </c>
      <c r="BN308" s="2" t="str">
        <f>'CERRO EL PLOMO'!BM43</f>
        <v/>
      </c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 t="str">
        <f>'CERRO EL PLOMO'!AQ52</f>
        <v/>
      </c>
      <c r="AS309" s="2" t="str">
        <f>'CERRO EL PLOMO'!AR52</f>
        <v/>
      </c>
      <c r="AT309" s="2" t="str">
        <f>'CERRO EL PLOMO'!AS52</f>
        <v/>
      </c>
      <c r="AU309" s="2" t="str">
        <f>'CERRO EL PLOMO'!AT52</f>
        <v/>
      </c>
      <c r="AV309" s="2" t="str">
        <f>'CERRO EL PLOMO'!AU52</f>
        <v/>
      </c>
      <c r="AW309" s="2" t="str">
        <f>'CERRO EL PLOMO'!AV52</f>
        <v/>
      </c>
      <c r="AX309" s="2" t="str">
        <f>'CERRO EL PLOMO'!AW52</f>
        <v/>
      </c>
      <c r="AY309" s="2" t="str">
        <f>'CERRO EL PLOMO'!AX52</f>
        <v/>
      </c>
      <c r="AZ309" s="2" t="str">
        <f>'CERRO EL PLOMO'!AY52</f>
        <v/>
      </c>
      <c r="BA309" s="2" t="str">
        <f>'CERRO EL PLOMO'!AZ52</f>
        <v/>
      </c>
      <c r="BB309" s="2" t="str">
        <f>'CERRO EL PLOMO'!BA52</f>
        <v/>
      </c>
      <c r="BC309" s="2" t="str">
        <f>'CERRO EL PLOMO'!BB52</f>
        <v/>
      </c>
      <c r="BD309" s="2" t="str">
        <f>'CERRO EL PLOMO'!BC52</f>
        <v/>
      </c>
      <c r="BE309" s="2" t="str">
        <f>'CERRO EL PLOMO'!BD52</f>
        <v/>
      </c>
      <c r="BF309" s="2" t="str">
        <f>'CERRO EL PLOMO'!BE52</f>
        <v/>
      </c>
      <c r="BG309" s="2" t="str">
        <f>'CERRO EL PLOMO'!BF52</f>
        <v/>
      </c>
      <c r="BH309" s="2" t="str">
        <f>'CERRO EL PLOMO'!BG52</f>
        <v/>
      </c>
      <c r="BI309" s="2" t="str">
        <f>'CERRO EL PLOMO'!BH52</f>
        <v/>
      </c>
      <c r="BJ309" s="2" t="str">
        <f>'CERRO EL PLOMO'!BI52</f>
        <v/>
      </c>
      <c r="BK309" s="2" t="str">
        <f>'CERRO EL PLOMO'!BJ52</f>
        <v/>
      </c>
      <c r="BL309" s="2" t="str">
        <f>'CERRO EL PLOMO'!BK52</f>
        <v/>
      </c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 t="str">
        <f>'CERRO EL PLOMO'!AQ53</f>
        <v/>
      </c>
      <c r="AS310" s="2" t="str">
        <f>'CERRO EL PLOMO'!AR53</f>
        <v/>
      </c>
      <c r="AT310" s="2" t="str">
        <f>'CERRO EL PLOMO'!AS53</f>
        <v/>
      </c>
      <c r="AU310" s="2" t="str">
        <f>'CERRO EL PLOMO'!AT53</f>
        <v/>
      </c>
      <c r="AV310" s="2" t="str">
        <f>'CERRO EL PLOMO'!AU53</f>
        <v/>
      </c>
      <c r="AW310" s="2" t="str">
        <f>'CERRO EL PLOMO'!AV53</f>
        <v/>
      </c>
      <c r="AX310" s="2" t="str">
        <f>'CERRO EL PLOMO'!AW53</f>
        <v/>
      </c>
      <c r="AY310" s="2" t="str">
        <f>'CERRO EL PLOMO'!AX53</f>
        <v/>
      </c>
      <c r="AZ310" s="2" t="str">
        <f>'CERRO EL PLOMO'!AY53</f>
        <v/>
      </c>
      <c r="BA310" s="2" t="str">
        <f>'CERRO EL PLOMO'!AZ53</f>
        <v/>
      </c>
      <c r="BB310" s="2" t="str">
        <f>'CERRO EL PLOMO'!BA53</f>
        <v/>
      </c>
      <c r="BC310" s="2" t="str">
        <f>'CERRO EL PLOMO'!BB53</f>
        <v/>
      </c>
      <c r="BD310" s="2" t="str">
        <f>'CERRO EL PLOMO'!BC53</f>
        <v/>
      </c>
      <c r="BE310" s="2" t="str">
        <f>'CERRO EL PLOMO'!BD53</f>
        <v/>
      </c>
      <c r="BF310" s="2" t="str">
        <f>'CERRO EL PLOMO'!BE53</f>
        <v/>
      </c>
      <c r="BG310" s="2" t="str">
        <f>'CERRO EL PLOMO'!BF53</f>
        <v/>
      </c>
      <c r="BH310" s="2" t="str">
        <f>'CERRO EL PLOMO'!BG53</f>
        <v/>
      </c>
      <c r="BI310" s="2" t="str">
        <f>'CERRO EL PLOMO'!BH53</f>
        <v/>
      </c>
      <c r="BJ310" s="2" t="str">
        <f>'CERRO EL PLOMO'!BI53</f>
        <v/>
      </c>
      <c r="BK310" s="2" t="str">
        <f>'CERRO EL PLOMO'!BJ53</f>
        <v/>
      </c>
      <c r="BL310" s="2" t="str">
        <f>'CERRO EL PLOMO'!BK53</f>
        <v/>
      </c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 t="str">
        <f>'CERRO EL PLOMO'!AQ54</f>
        <v/>
      </c>
      <c r="AS311" s="2" t="str">
        <f>'CERRO EL PLOMO'!AR54</f>
        <v/>
      </c>
      <c r="AT311" s="2" t="str">
        <f>'CERRO EL PLOMO'!AS54</f>
        <v/>
      </c>
      <c r="AU311" s="2" t="str">
        <f>'CERRO EL PLOMO'!AT54</f>
        <v/>
      </c>
      <c r="AV311" s="2" t="str">
        <f>'CERRO EL PLOMO'!AU54</f>
        <v/>
      </c>
      <c r="AW311" s="2" t="str">
        <f>'CERRO EL PLOMO'!AV54</f>
        <v/>
      </c>
      <c r="AX311" s="2" t="str">
        <f>'CERRO EL PLOMO'!AW54</f>
        <v/>
      </c>
      <c r="AY311" s="2" t="str">
        <f>'CERRO EL PLOMO'!AX54</f>
        <v/>
      </c>
      <c r="AZ311" s="2" t="str">
        <f>'CERRO EL PLOMO'!AY54</f>
        <v/>
      </c>
      <c r="BA311" s="2" t="str">
        <f>'CERRO EL PLOMO'!AZ54</f>
        <v/>
      </c>
      <c r="BB311" s="2" t="str">
        <f>'CERRO EL PLOMO'!BA54</f>
        <v/>
      </c>
      <c r="BC311" s="2" t="str">
        <f>'CERRO EL PLOMO'!BB54</f>
        <v/>
      </c>
      <c r="BD311" s="2" t="str">
        <f>'CERRO EL PLOMO'!BC54</f>
        <v/>
      </c>
      <c r="BE311" s="2" t="str">
        <f>'CERRO EL PLOMO'!BD54</f>
        <v/>
      </c>
      <c r="BF311" s="2" t="str">
        <f>'CERRO EL PLOMO'!BE54</f>
        <v/>
      </c>
      <c r="BG311" s="2" t="str">
        <f>'CERRO EL PLOMO'!BF54</f>
        <v/>
      </c>
      <c r="BH311" s="2" t="str">
        <f>'CERRO EL PLOMO'!BG54</f>
        <v/>
      </c>
      <c r="BI311" s="2" t="str">
        <f>'CERRO EL PLOMO'!BH54</f>
        <v/>
      </c>
      <c r="BJ311" s="2" t="str">
        <f>'CERRO EL PLOMO'!BI54</f>
        <v/>
      </c>
      <c r="BK311" s="2" t="str">
        <f>'CERRO EL PLOMO'!BJ54</f>
        <v/>
      </c>
      <c r="BL311" s="2" t="str">
        <f>'CERRO EL PLOMO'!BK54</f>
        <v/>
      </c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 t="str">
        <f>'CERRO EL PLOMO'!AQ55</f>
        <v/>
      </c>
      <c r="AS312" s="2" t="str">
        <f>'CERRO EL PLOMO'!AR55</f>
        <v/>
      </c>
      <c r="AT312" s="2" t="str">
        <f>'CERRO EL PLOMO'!AS55</f>
        <v/>
      </c>
      <c r="AU312" s="2" t="str">
        <f>'CERRO EL PLOMO'!AT55</f>
        <v/>
      </c>
      <c r="AV312" s="2" t="str">
        <f>'CERRO EL PLOMO'!AU55</f>
        <v/>
      </c>
      <c r="AW312" s="2" t="str">
        <f>'CERRO EL PLOMO'!AV55</f>
        <v/>
      </c>
      <c r="AX312" s="2" t="str">
        <f>'CERRO EL PLOMO'!AW55</f>
        <v/>
      </c>
      <c r="AY312" s="2" t="str">
        <f>'CERRO EL PLOMO'!AX55</f>
        <v/>
      </c>
      <c r="AZ312" s="2" t="str">
        <f>'CERRO EL PLOMO'!AY55</f>
        <v/>
      </c>
      <c r="BA312" s="2" t="str">
        <f>'CERRO EL PLOMO'!AZ55</f>
        <v/>
      </c>
      <c r="BB312" s="2" t="str">
        <f>'CERRO EL PLOMO'!BA55</f>
        <v/>
      </c>
      <c r="BC312" s="2" t="str">
        <f>'CERRO EL PLOMO'!BB55</f>
        <v/>
      </c>
      <c r="BD312" s="2" t="str">
        <f>'CERRO EL PLOMO'!BC55</f>
        <v/>
      </c>
      <c r="BE312" s="2" t="str">
        <f>'CERRO EL PLOMO'!BD55</f>
        <v/>
      </c>
      <c r="BF312" s="2" t="str">
        <f>'CERRO EL PLOMO'!BE55</f>
        <v/>
      </c>
      <c r="BG312" s="2" t="str">
        <f>'CERRO EL PLOMO'!BF55</f>
        <v/>
      </c>
      <c r="BH312" s="2" t="str">
        <f>'CERRO EL PLOMO'!BG55</f>
        <v/>
      </c>
      <c r="BI312" s="2" t="str">
        <f>'CERRO EL PLOMO'!BH55</f>
        <v/>
      </c>
      <c r="BJ312" s="2" t="str">
        <f>'CERRO EL PLOMO'!BI55</f>
        <v/>
      </c>
      <c r="BK312" s="2" t="str">
        <f>'CERRO EL PLOMO'!BJ55</f>
        <v/>
      </c>
      <c r="BL312" s="2" t="str">
        <f>'CERRO EL PLOMO'!BK55</f>
        <v/>
      </c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 t="str">
        <f>'CERRO EL PLOMO'!AQ56</f>
        <v/>
      </c>
      <c r="AS313" s="2" t="str">
        <f>'CERRO EL PLOMO'!AR56</f>
        <v/>
      </c>
      <c r="AT313" s="2" t="str">
        <f>'CERRO EL PLOMO'!AS56</f>
        <v/>
      </c>
      <c r="AU313" s="2" t="str">
        <f>'CERRO EL PLOMO'!AT56</f>
        <v/>
      </c>
      <c r="AV313" s="2" t="str">
        <f>'CERRO EL PLOMO'!AU56</f>
        <v/>
      </c>
      <c r="AW313" s="2" t="str">
        <f>'CERRO EL PLOMO'!AV56</f>
        <v/>
      </c>
      <c r="AX313" s="2" t="str">
        <f>'CERRO EL PLOMO'!AW56</f>
        <v/>
      </c>
      <c r="AY313" s="2" t="str">
        <f>'CERRO EL PLOMO'!AX56</f>
        <v/>
      </c>
      <c r="AZ313" s="2" t="str">
        <f>'CERRO EL PLOMO'!AY56</f>
        <v/>
      </c>
      <c r="BA313" s="2" t="str">
        <f>'CERRO EL PLOMO'!AZ56</f>
        <v/>
      </c>
      <c r="BB313" s="2" t="str">
        <f>'CERRO EL PLOMO'!BA56</f>
        <v/>
      </c>
      <c r="BC313" s="2" t="str">
        <f>'CERRO EL PLOMO'!BB56</f>
        <v/>
      </c>
      <c r="BD313" s="2" t="str">
        <f>'CERRO EL PLOMO'!BC56</f>
        <v/>
      </c>
      <c r="BE313" s="2" t="str">
        <f>'CERRO EL PLOMO'!BD56</f>
        <v/>
      </c>
      <c r="BF313" s="2" t="str">
        <f>'CERRO EL PLOMO'!BE56</f>
        <v/>
      </c>
      <c r="BG313" s="2" t="str">
        <f>'CERRO EL PLOMO'!BF56</f>
        <v/>
      </c>
      <c r="BH313" s="2" t="str">
        <f>'CERRO EL PLOMO'!BG56</f>
        <v/>
      </c>
      <c r="BI313" s="2" t="str">
        <f>'CERRO EL PLOMO'!BH56</f>
        <v/>
      </c>
      <c r="BJ313" s="2" t="str">
        <f>'CERRO EL PLOMO'!BI56</f>
        <v/>
      </c>
      <c r="BK313" s="2" t="str">
        <f>'CERRO EL PLOMO'!BJ56</f>
        <v/>
      </c>
      <c r="BL313" s="2" t="str">
        <f>'CERRO EL PLOMO'!BK56</f>
        <v/>
      </c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 t="str">
        <f>'CERRO EL PLOMO'!AQ57</f>
        <v/>
      </c>
      <c r="AS314" s="2" t="str">
        <f>'CERRO EL PLOMO'!AR57</f>
        <v/>
      </c>
      <c r="AT314" s="2" t="str">
        <f>'CERRO EL PLOMO'!AS57</f>
        <v/>
      </c>
      <c r="AU314" s="2" t="str">
        <f>'CERRO EL PLOMO'!AT57</f>
        <v/>
      </c>
      <c r="AV314" s="2" t="str">
        <f>'CERRO EL PLOMO'!AU57</f>
        <v/>
      </c>
      <c r="AW314" s="2" t="str">
        <f>'CERRO EL PLOMO'!AV57</f>
        <v/>
      </c>
      <c r="AX314" s="2" t="str">
        <f>'CERRO EL PLOMO'!AW57</f>
        <v/>
      </c>
      <c r="AY314" s="2" t="str">
        <f>'CERRO EL PLOMO'!AX57</f>
        <v/>
      </c>
      <c r="AZ314" s="2" t="str">
        <f>'CERRO EL PLOMO'!AY57</f>
        <v/>
      </c>
      <c r="BA314" s="2" t="str">
        <f>'CERRO EL PLOMO'!AZ57</f>
        <v/>
      </c>
      <c r="BB314" s="2" t="str">
        <f>'CERRO EL PLOMO'!BA57</f>
        <v/>
      </c>
      <c r="BC314" s="2" t="str">
        <f>'CERRO EL PLOMO'!BB57</f>
        <v/>
      </c>
      <c r="BD314" s="2" t="str">
        <f>'CERRO EL PLOMO'!BC57</f>
        <v/>
      </c>
      <c r="BE314" s="2" t="str">
        <f>'CERRO EL PLOMO'!BD57</f>
        <v/>
      </c>
      <c r="BF314" s="2" t="str">
        <f>'CERRO EL PLOMO'!BE57</f>
        <v/>
      </c>
      <c r="BG314" s="2" t="str">
        <f>'CERRO EL PLOMO'!BF57</f>
        <v/>
      </c>
      <c r="BH314" s="2" t="str">
        <f>'CERRO EL PLOMO'!BG57</f>
        <v/>
      </c>
      <c r="BI314" s="2" t="str">
        <f>'CERRO EL PLOMO'!BH57</f>
        <v/>
      </c>
      <c r="BJ314" s="2" t="str">
        <f>'CERRO EL PLOMO'!BI57</f>
        <v/>
      </c>
      <c r="BK314" s="2" t="str">
        <f>'CERRO EL PLOMO'!BJ57</f>
        <v/>
      </c>
      <c r="BL314" s="2" t="str">
        <f>'CERRO EL PLOMO'!BK57</f>
        <v/>
      </c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 t="str">
        <f>'CERRO EL PLOMO'!AQ58</f>
        <v/>
      </c>
      <c r="AS315" s="2" t="str">
        <f>'CERRO EL PLOMO'!AR58</f>
        <v/>
      </c>
      <c r="AT315" s="2" t="str">
        <f>'CERRO EL PLOMO'!AS58</f>
        <v/>
      </c>
      <c r="AU315" s="2" t="str">
        <f>'CERRO EL PLOMO'!AT58</f>
        <v/>
      </c>
      <c r="AV315" s="2" t="str">
        <f>'CERRO EL PLOMO'!AU58</f>
        <v/>
      </c>
      <c r="AW315" s="2" t="str">
        <f>'CERRO EL PLOMO'!AV58</f>
        <v/>
      </c>
      <c r="AX315" s="2" t="str">
        <f>'CERRO EL PLOMO'!AW58</f>
        <v/>
      </c>
      <c r="AY315" s="2" t="str">
        <f>'CERRO EL PLOMO'!AX58</f>
        <v/>
      </c>
      <c r="AZ315" s="2" t="str">
        <f>'CERRO EL PLOMO'!AY58</f>
        <v/>
      </c>
      <c r="BA315" s="2" t="str">
        <f>'CERRO EL PLOMO'!AZ58</f>
        <v/>
      </c>
      <c r="BB315" s="2" t="str">
        <f>'CERRO EL PLOMO'!BA58</f>
        <v/>
      </c>
      <c r="BC315" s="2" t="str">
        <f>'CERRO EL PLOMO'!BB58</f>
        <v/>
      </c>
      <c r="BD315" s="2" t="str">
        <f>'CERRO EL PLOMO'!BC58</f>
        <v/>
      </c>
      <c r="BE315" s="2" t="str">
        <f>'CERRO EL PLOMO'!BD58</f>
        <v/>
      </c>
      <c r="BF315" s="2" t="str">
        <f>'CERRO EL PLOMO'!BE58</f>
        <v/>
      </c>
      <c r="BG315" s="2" t="str">
        <f>'CERRO EL PLOMO'!BF58</f>
        <v/>
      </c>
      <c r="BH315" s="2" t="str">
        <f>'CERRO EL PLOMO'!BG58</f>
        <v/>
      </c>
      <c r="BI315" s="2" t="str">
        <f>'CERRO EL PLOMO'!BH58</f>
        <v/>
      </c>
      <c r="BJ315" s="2" t="str">
        <f>'CERRO EL PLOMO'!BI58</f>
        <v/>
      </c>
      <c r="BK315" s="2" t="str">
        <f>'CERRO EL PLOMO'!BJ58</f>
        <v/>
      </c>
      <c r="BL315" s="2" t="str">
        <f>'CERRO EL PLOMO'!BK58</f>
        <v/>
      </c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 t="str">
        <f>'CERRO EL PLOMO'!AQ59</f>
        <v/>
      </c>
      <c r="AS316" s="2" t="str">
        <f>'CERRO EL PLOMO'!AR59</f>
        <v/>
      </c>
      <c r="AT316" s="2" t="str">
        <f>'CERRO EL PLOMO'!AS59</f>
        <v/>
      </c>
      <c r="AU316" s="2" t="str">
        <f>'CERRO EL PLOMO'!AT59</f>
        <v/>
      </c>
      <c r="AV316" s="2" t="str">
        <f>'CERRO EL PLOMO'!AU59</f>
        <v/>
      </c>
      <c r="AW316" s="2" t="str">
        <f>'CERRO EL PLOMO'!AV59</f>
        <v/>
      </c>
      <c r="AX316" s="2" t="str">
        <f>'CERRO EL PLOMO'!AW59</f>
        <v/>
      </c>
      <c r="AY316" s="2" t="str">
        <f>'CERRO EL PLOMO'!AX59</f>
        <v/>
      </c>
      <c r="AZ316" s="2" t="str">
        <f>'CERRO EL PLOMO'!AY59</f>
        <v/>
      </c>
      <c r="BA316" s="2" t="str">
        <f>'CERRO EL PLOMO'!AZ59</f>
        <v/>
      </c>
      <c r="BB316" s="2" t="str">
        <f>'CERRO EL PLOMO'!BA59</f>
        <v/>
      </c>
      <c r="BC316" s="2" t="str">
        <f>'CERRO EL PLOMO'!BB59</f>
        <v/>
      </c>
      <c r="BD316" s="2" t="str">
        <f>'CERRO EL PLOMO'!BC59</f>
        <v/>
      </c>
      <c r="BE316" s="2" t="str">
        <f>'CERRO EL PLOMO'!BD59</f>
        <v/>
      </c>
      <c r="BF316" s="2" t="str">
        <f>'CERRO EL PLOMO'!BE59</f>
        <v/>
      </c>
      <c r="BG316" s="2" t="str">
        <f>'CERRO EL PLOMO'!BF59</f>
        <v/>
      </c>
      <c r="BH316" s="2" t="str">
        <f>'CERRO EL PLOMO'!BG59</f>
        <v/>
      </c>
      <c r="BI316" s="2" t="str">
        <f>'CERRO EL PLOMO'!BH59</f>
        <v/>
      </c>
      <c r="BJ316" s="2" t="str">
        <f>'CERRO EL PLOMO'!BI59</f>
        <v/>
      </c>
      <c r="BK316" s="2" t="str">
        <f>'CERRO EL PLOMO'!BJ59</f>
        <v/>
      </c>
      <c r="BL316" s="2" t="str">
        <f>'CERRO EL PLOMO'!BK59</f>
        <v/>
      </c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 t="str">
        <f>'CERRO EL PLOMO'!AQ60</f>
        <v/>
      </c>
      <c r="AS317" s="2" t="str">
        <f>'CERRO EL PLOMO'!AR60</f>
        <v/>
      </c>
      <c r="AT317" s="2" t="str">
        <f>'CERRO EL PLOMO'!AS60</f>
        <v/>
      </c>
      <c r="AU317" s="2" t="str">
        <f>'CERRO EL PLOMO'!AT60</f>
        <v/>
      </c>
      <c r="AV317" s="2" t="str">
        <f>'CERRO EL PLOMO'!AU60</f>
        <v/>
      </c>
      <c r="AW317" s="2" t="str">
        <f>'CERRO EL PLOMO'!AV60</f>
        <v/>
      </c>
      <c r="AX317" s="2" t="str">
        <f>'CERRO EL PLOMO'!AW60</f>
        <v/>
      </c>
      <c r="AY317" s="2" t="str">
        <f>'CERRO EL PLOMO'!AX60</f>
        <v/>
      </c>
      <c r="AZ317" s="2" t="str">
        <f>'CERRO EL PLOMO'!AY60</f>
        <v/>
      </c>
      <c r="BA317" s="2" t="str">
        <f>'CERRO EL PLOMO'!AZ60</f>
        <v/>
      </c>
      <c r="BB317" s="2" t="str">
        <f>'CERRO EL PLOMO'!BA60</f>
        <v/>
      </c>
      <c r="BC317" s="2" t="str">
        <f>'CERRO EL PLOMO'!BB60</f>
        <v/>
      </c>
      <c r="BD317" s="2" t="str">
        <f>'CERRO EL PLOMO'!BC60</f>
        <v/>
      </c>
      <c r="BE317" s="2" t="str">
        <f>'CERRO EL PLOMO'!BD60</f>
        <v/>
      </c>
      <c r="BF317" s="2" t="str">
        <f>'CERRO EL PLOMO'!BE60</f>
        <v/>
      </c>
      <c r="BG317" s="2" t="str">
        <f>'CERRO EL PLOMO'!BF60</f>
        <v/>
      </c>
      <c r="BH317" s="2" t="str">
        <f>'CERRO EL PLOMO'!BG60</f>
        <v/>
      </c>
      <c r="BI317" s="2" t="str">
        <f>'CERRO EL PLOMO'!BH60</f>
        <v/>
      </c>
      <c r="BJ317" s="2" t="str">
        <f>'CERRO EL PLOMO'!BI60</f>
        <v/>
      </c>
      <c r="BK317" s="2" t="str">
        <f>'CERRO EL PLOMO'!BJ60</f>
        <v/>
      </c>
      <c r="BL317" s="2" t="str">
        <f>'CERRO EL PLOMO'!BK60</f>
        <v/>
      </c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 t="str">
        <f>'CERRO EL PLOMO'!AQ61</f>
        <v/>
      </c>
      <c r="AS318" s="2" t="str">
        <f>'CERRO EL PLOMO'!AR61</f>
        <v/>
      </c>
      <c r="AT318" s="2" t="str">
        <f>'CERRO EL PLOMO'!AS61</f>
        <v/>
      </c>
      <c r="AU318" s="2" t="str">
        <f>'CERRO EL PLOMO'!AT61</f>
        <v/>
      </c>
      <c r="AV318" s="2" t="str">
        <f>'CERRO EL PLOMO'!AU61</f>
        <v/>
      </c>
      <c r="AW318" s="2" t="str">
        <f>'CERRO EL PLOMO'!AV61</f>
        <v/>
      </c>
      <c r="AX318" s="2" t="str">
        <f>'CERRO EL PLOMO'!AW61</f>
        <v/>
      </c>
      <c r="AY318" s="2" t="str">
        <f>'CERRO EL PLOMO'!AX61</f>
        <v/>
      </c>
      <c r="AZ318" s="2" t="str">
        <f>'CERRO EL PLOMO'!AY61</f>
        <v/>
      </c>
      <c r="BA318" s="2" t="str">
        <f>'CERRO EL PLOMO'!AZ61</f>
        <v/>
      </c>
      <c r="BB318" s="2" t="str">
        <f>'CERRO EL PLOMO'!BA61</f>
        <v/>
      </c>
      <c r="BC318" s="2" t="str">
        <f>'CERRO EL PLOMO'!BB61</f>
        <v/>
      </c>
      <c r="BD318" s="2" t="str">
        <f>'CERRO EL PLOMO'!BC61</f>
        <v/>
      </c>
      <c r="BE318" s="2" t="str">
        <f>'CERRO EL PLOMO'!BD61</f>
        <v/>
      </c>
      <c r="BF318" s="2" t="str">
        <f>'CERRO EL PLOMO'!BE61</f>
        <v/>
      </c>
      <c r="BG318" s="2" t="str">
        <f>'CERRO EL PLOMO'!BF61</f>
        <v/>
      </c>
      <c r="BH318" s="2" t="str">
        <f>'CERRO EL PLOMO'!BG61</f>
        <v/>
      </c>
      <c r="BI318" s="2" t="str">
        <f>'CERRO EL PLOMO'!BH61</f>
        <v/>
      </c>
      <c r="BJ318" s="2" t="str">
        <f>'CERRO EL PLOMO'!BI61</f>
        <v/>
      </c>
      <c r="BK318" s="2" t="str">
        <f>'CERRO EL PLOMO'!BJ61</f>
        <v/>
      </c>
      <c r="BL318" s="2" t="str">
        <f>'CERRO EL PLOMO'!BK61</f>
        <v/>
      </c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 t="str">
        <f>'CERRO EL PLOMO'!AQ62</f>
        <v/>
      </c>
      <c r="AS319" s="2" t="str">
        <f>'CERRO EL PLOMO'!AR62</f>
        <v/>
      </c>
      <c r="AT319" s="2" t="str">
        <f>'CERRO EL PLOMO'!AS62</f>
        <v/>
      </c>
      <c r="AU319" s="2" t="str">
        <f>'CERRO EL PLOMO'!AT62</f>
        <v/>
      </c>
      <c r="AV319" s="2" t="str">
        <f>'CERRO EL PLOMO'!AU62</f>
        <v/>
      </c>
      <c r="AW319" s="2" t="str">
        <f>'CERRO EL PLOMO'!AV62</f>
        <v/>
      </c>
      <c r="AX319" s="2" t="str">
        <f>'CERRO EL PLOMO'!AW62</f>
        <v/>
      </c>
      <c r="AY319" s="2" t="str">
        <f>'CERRO EL PLOMO'!AX62</f>
        <v/>
      </c>
      <c r="AZ319" s="2" t="str">
        <f>'CERRO EL PLOMO'!AY62</f>
        <v/>
      </c>
      <c r="BA319" s="2" t="str">
        <f>'CERRO EL PLOMO'!AZ62</f>
        <v/>
      </c>
      <c r="BB319" s="2" t="str">
        <f>'CERRO EL PLOMO'!BA62</f>
        <v/>
      </c>
      <c r="BC319" s="2" t="str">
        <f>'CERRO EL PLOMO'!BB62</f>
        <v/>
      </c>
      <c r="BD319" s="2" t="str">
        <f>'CERRO EL PLOMO'!BC62</f>
        <v/>
      </c>
      <c r="BE319" s="2" t="str">
        <f>'CERRO EL PLOMO'!BD62</f>
        <v/>
      </c>
      <c r="BF319" s="2" t="str">
        <f>'CERRO EL PLOMO'!BE62</f>
        <v/>
      </c>
      <c r="BG319" s="2" t="str">
        <f>'CERRO EL PLOMO'!BF62</f>
        <v/>
      </c>
      <c r="BH319" s="2" t="str">
        <f>'CERRO EL PLOMO'!BG62</f>
        <v/>
      </c>
      <c r="BI319" s="2" t="str">
        <f>'CERRO EL PLOMO'!BH62</f>
        <v/>
      </c>
      <c r="BJ319" s="2" t="str">
        <f>'CERRO EL PLOMO'!BI62</f>
        <v/>
      </c>
      <c r="BK319" s="2" t="str">
        <f>'CERRO EL PLOMO'!BJ62</f>
        <v/>
      </c>
      <c r="BL319" s="2" t="str">
        <f>'CERRO EL PLOMO'!BK62</f>
        <v/>
      </c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 t="str">
        <f>'CERRO EL PLOMO'!AQ63</f>
        <v/>
      </c>
      <c r="AS320" s="2" t="str">
        <f>'CERRO EL PLOMO'!AR63</f>
        <v/>
      </c>
      <c r="AT320" s="2" t="str">
        <f>'CERRO EL PLOMO'!AS63</f>
        <v/>
      </c>
      <c r="AU320" s="2" t="str">
        <f>'CERRO EL PLOMO'!AT63</f>
        <v/>
      </c>
      <c r="AV320" s="2" t="str">
        <f>'CERRO EL PLOMO'!AU63</f>
        <v/>
      </c>
      <c r="AW320" s="2" t="str">
        <f>'CERRO EL PLOMO'!AV63</f>
        <v/>
      </c>
      <c r="AX320" s="2" t="str">
        <f>'CERRO EL PLOMO'!AW63</f>
        <v/>
      </c>
      <c r="AY320" s="2" t="str">
        <f>'CERRO EL PLOMO'!AX63</f>
        <v/>
      </c>
      <c r="AZ320" s="2" t="str">
        <f>'CERRO EL PLOMO'!AY63</f>
        <v/>
      </c>
      <c r="BA320" s="2" t="str">
        <f>'CERRO EL PLOMO'!AZ63</f>
        <v/>
      </c>
      <c r="BB320" s="2" t="str">
        <f>'CERRO EL PLOMO'!BA63</f>
        <v/>
      </c>
      <c r="BC320" s="2" t="str">
        <f>'CERRO EL PLOMO'!BB63</f>
        <v/>
      </c>
      <c r="BD320" s="2" t="str">
        <f>'CERRO EL PLOMO'!BC63</f>
        <v/>
      </c>
      <c r="BE320" s="2" t="str">
        <f>'CERRO EL PLOMO'!BD63</f>
        <v/>
      </c>
      <c r="BF320" s="2" t="str">
        <f>'CERRO EL PLOMO'!BE63</f>
        <v/>
      </c>
      <c r="BG320" s="2" t="str">
        <f>'CERRO EL PLOMO'!BF63</f>
        <v/>
      </c>
      <c r="BH320" s="2" t="str">
        <f>'CERRO EL PLOMO'!BG63</f>
        <v/>
      </c>
      <c r="BI320" s="2" t="str">
        <f>'CERRO EL PLOMO'!BH63</f>
        <v/>
      </c>
      <c r="BJ320" s="2" t="str">
        <f>'CERRO EL PLOMO'!BI63</f>
        <v/>
      </c>
      <c r="BK320" s="2" t="str">
        <f>'CERRO EL PLOMO'!BJ63</f>
        <v/>
      </c>
      <c r="BL320" s="2" t="str">
        <f>'CERRO EL PLOMO'!BK63</f>
        <v/>
      </c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 t="str">
        <f>'CERRO EL PLOMO'!AQ64</f>
        <v/>
      </c>
      <c r="AS321" s="2" t="str">
        <f>'CERRO EL PLOMO'!AR64</f>
        <v/>
      </c>
      <c r="AT321" s="2" t="str">
        <f>'CERRO EL PLOMO'!AS64</f>
        <v/>
      </c>
      <c r="AU321" s="2" t="str">
        <f>'CERRO EL PLOMO'!AT64</f>
        <v/>
      </c>
      <c r="AV321" s="2" t="str">
        <f>'CERRO EL PLOMO'!AU64</f>
        <v/>
      </c>
      <c r="AW321" s="2" t="str">
        <f>'CERRO EL PLOMO'!AV64</f>
        <v/>
      </c>
      <c r="AX321" s="2" t="str">
        <f>'CERRO EL PLOMO'!AW64</f>
        <v/>
      </c>
      <c r="AY321" s="2" t="str">
        <f>'CERRO EL PLOMO'!AX64</f>
        <v/>
      </c>
      <c r="AZ321" s="2" t="str">
        <f>'CERRO EL PLOMO'!AY64</f>
        <v/>
      </c>
      <c r="BA321" s="2" t="str">
        <f>'CERRO EL PLOMO'!AZ64</f>
        <v/>
      </c>
      <c r="BB321" s="2" t="str">
        <f>'CERRO EL PLOMO'!BA64</f>
        <v/>
      </c>
      <c r="BC321" s="2" t="str">
        <f>'CERRO EL PLOMO'!BB64</f>
        <v/>
      </c>
      <c r="BD321" s="2" t="str">
        <f>'CERRO EL PLOMO'!BC64</f>
        <v/>
      </c>
      <c r="BE321" s="2" t="str">
        <f>'CERRO EL PLOMO'!BD64</f>
        <v/>
      </c>
      <c r="BF321" s="2" t="str">
        <f>'CERRO EL PLOMO'!BE64</f>
        <v/>
      </c>
      <c r="BG321" s="2" t="str">
        <f>'CERRO EL PLOMO'!BF64</f>
        <v/>
      </c>
      <c r="BH321" s="2" t="str">
        <f>'CERRO EL PLOMO'!BG64</f>
        <v/>
      </c>
      <c r="BI321" s="2" t="str">
        <f>'CERRO EL PLOMO'!BH64</f>
        <v/>
      </c>
      <c r="BJ321" s="2" t="str">
        <f>'CERRO EL PLOMO'!BI64</f>
        <v/>
      </c>
      <c r="BK321" s="2" t="str">
        <f>'CERRO EL PLOMO'!BJ64</f>
        <v/>
      </c>
      <c r="BL321" s="2" t="str">
        <f>'CERRO EL PLOMO'!BK64</f>
        <v/>
      </c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 t="str">
        <f>'CERRO EL PLOMO'!AQ65</f>
        <v/>
      </c>
      <c r="AS322" s="2" t="str">
        <f>'CERRO EL PLOMO'!AR65</f>
        <v/>
      </c>
      <c r="AT322" s="2" t="str">
        <f>'CERRO EL PLOMO'!AS65</f>
        <v/>
      </c>
      <c r="AU322" s="2" t="str">
        <f>'CERRO EL PLOMO'!AT65</f>
        <v/>
      </c>
      <c r="AV322" s="2" t="str">
        <f>'CERRO EL PLOMO'!AU65</f>
        <v/>
      </c>
      <c r="AW322" s="2" t="str">
        <f>'CERRO EL PLOMO'!AV65</f>
        <v/>
      </c>
      <c r="AX322" s="2" t="str">
        <f>'CERRO EL PLOMO'!AW65</f>
        <v/>
      </c>
      <c r="AY322" s="2" t="str">
        <f>'CERRO EL PLOMO'!AX65</f>
        <v/>
      </c>
      <c r="AZ322" s="2" t="str">
        <f>'CERRO EL PLOMO'!AY65</f>
        <v/>
      </c>
      <c r="BA322" s="2" t="str">
        <f>'CERRO EL PLOMO'!AZ65</f>
        <v/>
      </c>
      <c r="BB322" s="2" t="str">
        <f>'CERRO EL PLOMO'!BA65</f>
        <v/>
      </c>
      <c r="BC322" s="2" t="str">
        <f>'CERRO EL PLOMO'!BB65</f>
        <v/>
      </c>
      <c r="BD322" s="2" t="str">
        <f>'CERRO EL PLOMO'!BC65</f>
        <v/>
      </c>
      <c r="BE322" s="2" t="str">
        <f>'CERRO EL PLOMO'!BD65</f>
        <v/>
      </c>
      <c r="BF322" s="2" t="str">
        <f>'CERRO EL PLOMO'!BE65</f>
        <v/>
      </c>
      <c r="BG322" s="2" t="str">
        <f>'CERRO EL PLOMO'!BF65</f>
        <v/>
      </c>
      <c r="BH322" s="2" t="str">
        <f>'CERRO EL PLOMO'!BG65</f>
        <v/>
      </c>
      <c r="BI322" s="2" t="str">
        <f>'CERRO EL PLOMO'!BH65</f>
        <v/>
      </c>
      <c r="BJ322" s="2" t="str">
        <f>'CERRO EL PLOMO'!BI65</f>
        <v/>
      </c>
      <c r="BK322" s="2" t="str">
        <f>'CERRO EL PLOMO'!BJ65</f>
        <v/>
      </c>
      <c r="BL322" s="2" t="str">
        <f>'CERRO EL PLOMO'!BK65</f>
        <v/>
      </c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 t="str">
        <f>'CERRO EL PLOMO'!AQ66</f>
        <v/>
      </c>
      <c r="AS323" s="2" t="str">
        <f>'CERRO EL PLOMO'!AR66</f>
        <v/>
      </c>
      <c r="AT323" s="2" t="str">
        <f>'CERRO EL PLOMO'!AS66</f>
        <v/>
      </c>
      <c r="AU323" s="2" t="str">
        <f>'CERRO EL PLOMO'!AT66</f>
        <v/>
      </c>
      <c r="AV323" s="2" t="str">
        <f>'CERRO EL PLOMO'!AU66</f>
        <v/>
      </c>
      <c r="AW323" s="2" t="str">
        <f>'CERRO EL PLOMO'!AV66</f>
        <v/>
      </c>
      <c r="AX323" s="2" t="str">
        <f>'CERRO EL PLOMO'!AW66</f>
        <v/>
      </c>
      <c r="AY323" s="2" t="str">
        <f>'CERRO EL PLOMO'!AX66</f>
        <v/>
      </c>
      <c r="AZ323" s="2" t="str">
        <f>'CERRO EL PLOMO'!AY66</f>
        <v/>
      </c>
      <c r="BA323" s="2" t="str">
        <f>'CERRO EL PLOMO'!AZ66</f>
        <v/>
      </c>
      <c r="BB323" s="2" t="str">
        <f>'CERRO EL PLOMO'!BA66</f>
        <v/>
      </c>
      <c r="BC323" s="2" t="str">
        <f>'CERRO EL PLOMO'!BB66</f>
        <v/>
      </c>
      <c r="BD323" s="2" t="str">
        <f>'CERRO EL PLOMO'!BC66</f>
        <v/>
      </c>
      <c r="BE323" s="2" t="str">
        <f>'CERRO EL PLOMO'!BD66</f>
        <v/>
      </c>
      <c r="BF323" s="2" t="str">
        <f>'CERRO EL PLOMO'!BE66</f>
        <v/>
      </c>
      <c r="BG323" s="2" t="str">
        <f>'CERRO EL PLOMO'!BF66</f>
        <v/>
      </c>
      <c r="BH323" s="2" t="str">
        <f>'CERRO EL PLOMO'!BG66</f>
        <v/>
      </c>
      <c r="BI323" s="2" t="str">
        <f>'CERRO EL PLOMO'!BH66</f>
        <v/>
      </c>
      <c r="BJ323" s="2" t="str">
        <f>'CERRO EL PLOMO'!BI66</f>
        <v/>
      </c>
      <c r="BK323" s="2" t="str">
        <f>'CERRO EL PLOMO'!BJ66</f>
        <v/>
      </c>
      <c r="BL323" s="2" t="str">
        <f>'CERRO EL PLOMO'!BK66</f>
        <v/>
      </c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 t="str">
        <f>'CERRO EL PLOMO'!AQ67</f>
        <v/>
      </c>
      <c r="AS324" s="2" t="str">
        <f>'CERRO EL PLOMO'!AR67</f>
        <v/>
      </c>
      <c r="AT324" s="2" t="str">
        <f>'CERRO EL PLOMO'!AS67</f>
        <v/>
      </c>
      <c r="AU324" s="2" t="str">
        <f>'CERRO EL PLOMO'!AT67</f>
        <v/>
      </c>
      <c r="AV324" s="2" t="str">
        <f>'CERRO EL PLOMO'!AU67</f>
        <v/>
      </c>
      <c r="AW324" s="2" t="str">
        <f>'CERRO EL PLOMO'!AV67</f>
        <v/>
      </c>
      <c r="AX324" s="2" t="str">
        <f>'CERRO EL PLOMO'!AW67</f>
        <v/>
      </c>
      <c r="AY324" s="2" t="str">
        <f>'CERRO EL PLOMO'!AX67</f>
        <v/>
      </c>
      <c r="AZ324" s="2" t="str">
        <f>'CERRO EL PLOMO'!AY67</f>
        <v/>
      </c>
      <c r="BA324" s="2" t="str">
        <f>'CERRO EL PLOMO'!AZ67</f>
        <v/>
      </c>
      <c r="BB324" s="2" t="str">
        <f>'CERRO EL PLOMO'!BA67</f>
        <v/>
      </c>
      <c r="BC324" s="2" t="str">
        <f>'CERRO EL PLOMO'!BB67</f>
        <v/>
      </c>
      <c r="BD324" s="2" t="str">
        <f>'CERRO EL PLOMO'!BC67</f>
        <v/>
      </c>
      <c r="BE324" s="2" t="str">
        <f>'CERRO EL PLOMO'!BD67</f>
        <v/>
      </c>
      <c r="BF324" s="2" t="str">
        <f>'CERRO EL PLOMO'!BE67</f>
        <v/>
      </c>
      <c r="BG324" s="2" t="str">
        <f>'CERRO EL PLOMO'!BF67</f>
        <v/>
      </c>
      <c r="BH324" s="2" t="str">
        <f>'CERRO EL PLOMO'!BG67</f>
        <v/>
      </c>
      <c r="BI324" s="2" t="str">
        <f>'CERRO EL PLOMO'!BH67</f>
        <v/>
      </c>
      <c r="BJ324" s="2" t="str">
        <f>'CERRO EL PLOMO'!BI67</f>
        <v/>
      </c>
      <c r="BK324" s="2" t="str">
        <f>'CERRO EL PLOMO'!BJ67</f>
        <v/>
      </c>
      <c r="BL324" s="2" t="str">
        <f>'CERRO EL PLOMO'!BK67</f>
        <v/>
      </c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 t="str">
        <f>'CERRO EL PLOMO'!AQ68</f>
        <v/>
      </c>
      <c r="AS325" s="2" t="str">
        <f>'CERRO EL PLOMO'!AR68</f>
        <v/>
      </c>
      <c r="AT325" s="2" t="str">
        <f>'CERRO EL PLOMO'!AS68</f>
        <v/>
      </c>
      <c r="AU325" s="2" t="str">
        <f>'CERRO EL PLOMO'!AT68</f>
        <v/>
      </c>
      <c r="AV325" s="2" t="str">
        <f>'CERRO EL PLOMO'!AU68</f>
        <v/>
      </c>
      <c r="AW325" s="2" t="str">
        <f>'CERRO EL PLOMO'!AV68</f>
        <v/>
      </c>
      <c r="AX325" s="2" t="str">
        <f>'CERRO EL PLOMO'!AW68</f>
        <v/>
      </c>
      <c r="AY325" s="2" t="str">
        <f>'CERRO EL PLOMO'!AX68</f>
        <v/>
      </c>
      <c r="AZ325" s="2" t="str">
        <f>'CERRO EL PLOMO'!AY68</f>
        <v/>
      </c>
      <c r="BA325" s="2" t="str">
        <f>'CERRO EL PLOMO'!AZ68</f>
        <v/>
      </c>
      <c r="BB325" s="2" t="str">
        <f>'CERRO EL PLOMO'!BA68</f>
        <v/>
      </c>
      <c r="BC325" s="2" t="str">
        <f>'CERRO EL PLOMO'!BB68</f>
        <v/>
      </c>
      <c r="BD325" s="2" t="str">
        <f>'CERRO EL PLOMO'!BC68</f>
        <v/>
      </c>
      <c r="BE325" s="2" t="str">
        <f>'CERRO EL PLOMO'!BD68</f>
        <v/>
      </c>
      <c r="BF325" s="2" t="str">
        <f>'CERRO EL PLOMO'!BE68</f>
        <v/>
      </c>
      <c r="BG325" s="2" t="str">
        <f>'CERRO EL PLOMO'!BF68</f>
        <v/>
      </c>
      <c r="BH325" s="2" t="str">
        <f>'CERRO EL PLOMO'!BG68</f>
        <v/>
      </c>
      <c r="BI325" s="2" t="str">
        <f>'CERRO EL PLOMO'!BH68</f>
        <v/>
      </c>
      <c r="BJ325" s="2" t="str">
        <f>'CERRO EL PLOMO'!BI68</f>
        <v/>
      </c>
      <c r="BK325" s="2" t="str">
        <f>'CERRO EL PLOMO'!BJ68</f>
        <v/>
      </c>
      <c r="BL325" s="2" t="str">
        <f>'CERRO EL PLOMO'!BK68</f>
        <v/>
      </c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 t="str">
        <f>'CERRO EL PLOMO'!AQ69</f>
        <v/>
      </c>
      <c r="AS326" s="2" t="str">
        <f>'CERRO EL PLOMO'!AR69</f>
        <v/>
      </c>
      <c r="AT326" s="2" t="str">
        <f>'CERRO EL PLOMO'!AS69</f>
        <v/>
      </c>
      <c r="AU326" s="2" t="str">
        <f>'CERRO EL PLOMO'!AT69</f>
        <v/>
      </c>
      <c r="AV326" s="2" t="str">
        <f>'CERRO EL PLOMO'!AU69</f>
        <v/>
      </c>
      <c r="AW326" s="2" t="str">
        <f>'CERRO EL PLOMO'!AV69</f>
        <v/>
      </c>
      <c r="AX326" s="2" t="str">
        <f>'CERRO EL PLOMO'!AW69</f>
        <v/>
      </c>
      <c r="AY326" s="2" t="str">
        <f>'CERRO EL PLOMO'!AX69</f>
        <v/>
      </c>
      <c r="AZ326" s="2" t="str">
        <f>'CERRO EL PLOMO'!AY69</f>
        <v/>
      </c>
      <c r="BA326" s="2" t="str">
        <f>'CERRO EL PLOMO'!AZ69</f>
        <v/>
      </c>
      <c r="BB326" s="2" t="str">
        <f>'CERRO EL PLOMO'!BA69</f>
        <v/>
      </c>
      <c r="BC326" s="2" t="str">
        <f>'CERRO EL PLOMO'!BB69</f>
        <v/>
      </c>
      <c r="BD326" s="2" t="str">
        <f>'CERRO EL PLOMO'!BC69</f>
        <v/>
      </c>
      <c r="BE326" s="2" t="str">
        <f>'CERRO EL PLOMO'!BD69</f>
        <v/>
      </c>
      <c r="BF326" s="2" t="str">
        <f>'CERRO EL PLOMO'!BE69</f>
        <v/>
      </c>
      <c r="BG326" s="2" t="str">
        <f>'CERRO EL PLOMO'!BF69</f>
        <v/>
      </c>
      <c r="BH326" s="2" t="str">
        <f>'CERRO EL PLOMO'!BG69</f>
        <v/>
      </c>
      <c r="BI326" s="2" t="str">
        <f>'CERRO EL PLOMO'!BH69</f>
        <v/>
      </c>
      <c r="BJ326" s="2" t="str">
        <f>'CERRO EL PLOMO'!BI69</f>
        <v/>
      </c>
      <c r="BK326" s="2" t="str">
        <f>'CERRO EL PLOMO'!BJ69</f>
        <v/>
      </c>
      <c r="BL326" s="2" t="str">
        <f>'CERRO EL PLOMO'!BK69</f>
        <v/>
      </c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 t="str">
        <f>'CERRO EL PLOMO'!AQ70</f>
        <v/>
      </c>
      <c r="AS327" s="2" t="str">
        <f>'CERRO EL PLOMO'!AR70</f>
        <v/>
      </c>
      <c r="AT327" s="2" t="str">
        <f>'CERRO EL PLOMO'!AS70</f>
        <v/>
      </c>
      <c r="AU327" s="2" t="str">
        <f>'CERRO EL PLOMO'!AT70</f>
        <v/>
      </c>
      <c r="AV327" s="2" t="str">
        <f>'CERRO EL PLOMO'!AU70</f>
        <v/>
      </c>
      <c r="AW327" s="2" t="str">
        <f>'CERRO EL PLOMO'!AV70</f>
        <v/>
      </c>
      <c r="AX327" s="2" t="str">
        <f>'CERRO EL PLOMO'!AW70</f>
        <v/>
      </c>
      <c r="AY327" s="2" t="str">
        <f>'CERRO EL PLOMO'!AX70</f>
        <v/>
      </c>
      <c r="AZ327" s="2" t="str">
        <f>'CERRO EL PLOMO'!AY70</f>
        <v/>
      </c>
      <c r="BA327" s="2" t="str">
        <f>'CERRO EL PLOMO'!AZ70</f>
        <v/>
      </c>
      <c r="BB327" s="2" t="str">
        <f>'CERRO EL PLOMO'!BA70</f>
        <v/>
      </c>
      <c r="BC327" s="2" t="str">
        <f>'CERRO EL PLOMO'!BB70</f>
        <v/>
      </c>
      <c r="BD327" s="2" t="str">
        <f>'CERRO EL PLOMO'!BC70</f>
        <v/>
      </c>
      <c r="BE327" s="2" t="str">
        <f>'CERRO EL PLOMO'!BD70</f>
        <v/>
      </c>
      <c r="BF327" s="2" t="str">
        <f>'CERRO EL PLOMO'!BE70</f>
        <v/>
      </c>
      <c r="BG327" s="2" t="str">
        <f>'CERRO EL PLOMO'!BF70</f>
        <v/>
      </c>
      <c r="BH327" s="2" t="str">
        <f>'CERRO EL PLOMO'!BG70</f>
        <v/>
      </c>
      <c r="BI327" s="2" t="str">
        <f>'CERRO EL PLOMO'!BH70</f>
        <v/>
      </c>
      <c r="BJ327" s="2" t="str">
        <f>'CERRO EL PLOMO'!BI70</f>
        <v/>
      </c>
      <c r="BK327" s="2" t="str">
        <f>'CERRO EL PLOMO'!BJ70</f>
        <v/>
      </c>
      <c r="BL327" s="2" t="str">
        <f>'CERRO EL PLOMO'!BK70</f>
        <v/>
      </c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 t="str">
        <f>'CERRO EL PLOMO'!AQ71</f>
        <v/>
      </c>
      <c r="AS328" s="2" t="str">
        <f>'CERRO EL PLOMO'!AR71</f>
        <v/>
      </c>
      <c r="AT328" s="2" t="str">
        <f>'CERRO EL PLOMO'!AS71</f>
        <v/>
      </c>
      <c r="AU328" s="2" t="str">
        <f>'CERRO EL PLOMO'!AT71</f>
        <v/>
      </c>
      <c r="AV328" s="2" t="str">
        <f>'CERRO EL PLOMO'!AU71</f>
        <v/>
      </c>
      <c r="AW328" s="2" t="str">
        <f>'CERRO EL PLOMO'!AV71</f>
        <v/>
      </c>
      <c r="AX328" s="2" t="str">
        <f>'CERRO EL PLOMO'!AW71</f>
        <v/>
      </c>
      <c r="AY328" s="2" t="str">
        <f>'CERRO EL PLOMO'!AX71</f>
        <v/>
      </c>
      <c r="AZ328" s="2" t="str">
        <f>'CERRO EL PLOMO'!AY71</f>
        <v/>
      </c>
      <c r="BA328" s="2" t="str">
        <f>'CERRO EL PLOMO'!AZ71</f>
        <v/>
      </c>
      <c r="BB328" s="2" t="str">
        <f>'CERRO EL PLOMO'!BA71</f>
        <v/>
      </c>
      <c r="BC328" s="2" t="str">
        <f>'CERRO EL PLOMO'!BB71</f>
        <v/>
      </c>
      <c r="BD328" s="2" t="str">
        <f>'CERRO EL PLOMO'!BC71</f>
        <v/>
      </c>
      <c r="BE328" s="2" t="str">
        <f>'CERRO EL PLOMO'!BD71</f>
        <v/>
      </c>
      <c r="BF328" s="2" t="str">
        <f>'CERRO EL PLOMO'!BE71</f>
        <v/>
      </c>
      <c r="BG328" s="2" t="str">
        <f>'CERRO EL PLOMO'!BF71</f>
        <v/>
      </c>
      <c r="BH328" s="2" t="str">
        <f>'CERRO EL PLOMO'!BG71</f>
        <v/>
      </c>
      <c r="BI328" s="2" t="str">
        <f>'CERRO EL PLOMO'!BH71</f>
        <v/>
      </c>
      <c r="BJ328" s="2" t="str">
        <f>'CERRO EL PLOMO'!BI71</f>
        <v/>
      </c>
      <c r="BK328" s="2" t="str">
        <f>'CERRO EL PLOMO'!BJ71</f>
        <v/>
      </c>
      <c r="BL328" s="2" t="str">
        <f>'CERRO EL PLOMO'!BK71</f>
        <v/>
      </c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 t="str">
        <f>'CERRO EL PLOMO'!AQ72</f>
        <v/>
      </c>
      <c r="AS329" s="2" t="str">
        <f>'CERRO EL PLOMO'!AR72</f>
        <v/>
      </c>
      <c r="AT329" s="2" t="str">
        <f>'CERRO EL PLOMO'!AS72</f>
        <v/>
      </c>
      <c r="AU329" s="2" t="str">
        <f>'CERRO EL PLOMO'!AT72</f>
        <v/>
      </c>
      <c r="AV329" s="2" t="str">
        <f>'CERRO EL PLOMO'!AU72</f>
        <v/>
      </c>
      <c r="AW329" s="2" t="str">
        <f>'CERRO EL PLOMO'!AV72</f>
        <v/>
      </c>
      <c r="AX329" s="2" t="str">
        <f>'CERRO EL PLOMO'!AW72</f>
        <v/>
      </c>
      <c r="AY329" s="2" t="str">
        <f>'CERRO EL PLOMO'!AX72</f>
        <v/>
      </c>
      <c r="AZ329" s="2" t="str">
        <f>'CERRO EL PLOMO'!AY72</f>
        <v/>
      </c>
      <c r="BA329" s="2" t="str">
        <f>'CERRO EL PLOMO'!AZ72</f>
        <v/>
      </c>
      <c r="BB329" s="2" t="str">
        <f>'CERRO EL PLOMO'!BA72</f>
        <v/>
      </c>
      <c r="BC329" s="2" t="str">
        <f>'CERRO EL PLOMO'!BB72</f>
        <v/>
      </c>
      <c r="BD329" s="2" t="str">
        <f>'CERRO EL PLOMO'!BC72</f>
        <v/>
      </c>
      <c r="BE329" s="2" t="str">
        <f>'CERRO EL PLOMO'!BD72</f>
        <v/>
      </c>
      <c r="BF329" s="2" t="str">
        <f>'CERRO EL PLOMO'!BE72</f>
        <v/>
      </c>
      <c r="BG329" s="2" t="str">
        <f>'CERRO EL PLOMO'!BF72</f>
        <v/>
      </c>
      <c r="BH329" s="2" t="str">
        <f>'CERRO EL PLOMO'!BG72</f>
        <v/>
      </c>
      <c r="BI329" s="2" t="str">
        <f>'CERRO EL PLOMO'!BH72</f>
        <v/>
      </c>
      <c r="BJ329" s="2" t="str">
        <f>'CERRO EL PLOMO'!BI72</f>
        <v/>
      </c>
      <c r="BK329" s="2" t="str">
        <f>'CERRO EL PLOMO'!BJ72</f>
        <v/>
      </c>
      <c r="BL329" s="2" t="str">
        <f>'CERRO EL PLOMO'!BK72</f>
        <v/>
      </c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 t="str">
        <f>'CERRO EL PLOMO'!AQ73</f>
        <v/>
      </c>
      <c r="AS330" s="2" t="str">
        <f>'CERRO EL PLOMO'!AR73</f>
        <v/>
      </c>
      <c r="AT330" s="2" t="str">
        <f>'CERRO EL PLOMO'!AS73</f>
        <v/>
      </c>
      <c r="AU330" s="2" t="str">
        <f>'CERRO EL PLOMO'!AT73</f>
        <v/>
      </c>
      <c r="AV330" s="2" t="str">
        <f>'CERRO EL PLOMO'!AU73</f>
        <v/>
      </c>
      <c r="AW330" s="2" t="str">
        <f>'CERRO EL PLOMO'!AV73</f>
        <v/>
      </c>
      <c r="AX330" s="2" t="str">
        <f>'CERRO EL PLOMO'!AW73</f>
        <v/>
      </c>
      <c r="AY330" s="2" t="str">
        <f>'CERRO EL PLOMO'!AX73</f>
        <v/>
      </c>
      <c r="AZ330" s="2" t="str">
        <f>'CERRO EL PLOMO'!AY73</f>
        <v/>
      </c>
      <c r="BA330" s="2" t="str">
        <f>'CERRO EL PLOMO'!AZ73</f>
        <v/>
      </c>
      <c r="BB330" s="2" t="str">
        <f>'CERRO EL PLOMO'!BA73</f>
        <v/>
      </c>
      <c r="BC330" s="2" t="str">
        <f>'CERRO EL PLOMO'!BB73</f>
        <v/>
      </c>
      <c r="BD330" s="2" t="str">
        <f>'CERRO EL PLOMO'!BC73</f>
        <v/>
      </c>
      <c r="BE330" s="2" t="str">
        <f>'CERRO EL PLOMO'!BD73</f>
        <v/>
      </c>
      <c r="BF330" s="2" t="str">
        <f>'CERRO EL PLOMO'!BE73</f>
        <v/>
      </c>
      <c r="BG330" s="2" t="str">
        <f>'CERRO EL PLOMO'!BF73</f>
        <v/>
      </c>
      <c r="BH330" s="2" t="str">
        <f>'CERRO EL PLOMO'!BG73</f>
        <v/>
      </c>
      <c r="BI330" s="2" t="str">
        <f>'CERRO EL PLOMO'!BH73</f>
        <v/>
      </c>
      <c r="BJ330" s="2" t="str">
        <f>'CERRO EL PLOMO'!BI73</f>
        <v/>
      </c>
      <c r="BK330" s="2" t="str">
        <f>'CERRO EL PLOMO'!BJ73</f>
        <v/>
      </c>
      <c r="BL330" s="2" t="str">
        <f>'CERRO EL PLOMO'!BK73</f>
        <v/>
      </c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 t="str">
        <f>'CERRO EL PLOMO'!AQ74</f>
        <v/>
      </c>
      <c r="AS331" s="2" t="str">
        <f>'CERRO EL PLOMO'!AR74</f>
        <v/>
      </c>
      <c r="AT331" s="2" t="str">
        <f>'CERRO EL PLOMO'!AS74</f>
        <v/>
      </c>
      <c r="AU331" s="2" t="str">
        <f>'CERRO EL PLOMO'!AT74</f>
        <v/>
      </c>
      <c r="AV331" s="2" t="str">
        <f>'CERRO EL PLOMO'!AU74</f>
        <v/>
      </c>
      <c r="AW331" s="2" t="str">
        <f>'CERRO EL PLOMO'!AV74</f>
        <v/>
      </c>
      <c r="AX331" s="2" t="str">
        <f>'CERRO EL PLOMO'!AW74</f>
        <v/>
      </c>
      <c r="AY331" s="2" t="str">
        <f>'CERRO EL PLOMO'!AX74</f>
        <v/>
      </c>
      <c r="AZ331" s="2" t="str">
        <f>'CERRO EL PLOMO'!AY74</f>
        <v/>
      </c>
      <c r="BA331" s="2" t="str">
        <f>'CERRO EL PLOMO'!AZ74</f>
        <v/>
      </c>
      <c r="BB331" s="2" t="str">
        <f>'CERRO EL PLOMO'!BA74</f>
        <v/>
      </c>
      <c r="BC331" s="2" t="str">
        <f>'CERRO EL PLOMO'!BB74</f>
        <v/>
      </c>
      <c r="BD331" s="2" t="str">
        <f>'CERRO EL PLOMO'!BC74</f>
        <v/>
      </c>
      <c r="BE331" s="2" t="str">
        <f>'CERRO EL PLOMO'!BD74</f>
        <v/>
      </c>
      <c r="BF331" s="2" t="str">
        <f>'CERRO EL PLOMO'!BE74</f>
        <v/>
      </c>
      <c r="BG331" s="2" t="str">
        <f>'CERRO EL PLOMO'!BF74</f>
        <v/>
      </c>
      <c r="BH331" s="2" t="str">
        <f>'CERRO EL PLOMO'!BG74</f>
        <v/>
      </c>
      <c r="BI331" s="2" t="str">
        <f>'CERRO EL PLOMO'!BH74</f>
        <v/>
      </c>
      <c r="BJ331" s="2" t="str">
        <f>'CERRO EL PLOMO'!BI74</f>
        <v/>
      </c>
      <c r="BK331" s="2" t="str">
        <f>'CERRO EL PLOMO'!BJ74</f>
        <v/>
      </c>
      <c r="BL331" s="2" t="str">
        <f>'CERRO EL PLOMO'!BK74</f>
        <v/>
      </c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 t="str">
        <f>'CERRO EL PLOMO'!AQ75</f>
        <v/>
      </c>
      <c r="AS332" s="2" t="str">
        <f>'CERRO EL PLOMO'!AR75</f>
        <v/>
      </c>
      <c r="AT332" s="2" t="str">
        <f>'CERRO EL PLOMO'!AS75</f>
        <v/>
      </c>
      <c r="AU332" s="2" t="str">
        <f>'CERRO EL PLOMO'!AT75</f>
        <v/>
      </c>
      <c r="AV332" s="2" t="str">
        <f>'CERRO EL PLOMO'!AU75</f>
        <v/>
      </c>
      <c r="AW332" s="2" t="str">
        <f>'CERRO EL PLOMO'!AV75</f>
        <v/>
      </c>
      <c r="AX332" s="2" t="str">
        <f>'CERRO EL PLOMO'!AW75</f>
        <v/>
      </c>
      <c r="AY332" s="2" t="str">
        <f>'CERRO EL PLOMO'!AX75</f>
        <v/>
      </c>
      <c r="AZ332" s="2" t="str">
        <f>'CERRO EL PLOMO'!AY75</f>
        <v/>
      </c>
      <c r="BA332" s="2" t="str">
        <f>'CERRO EL PLOMO'!AZ75</f>
        <v/>
      </c>
      <c r="BB332" s="2" t="str">
        <f>'CERRO EL PLOMO'!BA75</f>
        <v/>
      </c>
      <c r="BC332" s="2" t="str">
        <f>'CERRO EL PLOMO'!BB75</f>
        <v/>
      </c>
      <c r="BD332" s="2" t="str">
        <f>'CERRO EL PLOMO'!BC75</f>
        <v/>
      </c>
      <c r="BE332" s="2" t="str">
        <f>'CERRO EL PLOMO'!BD75</f>
        <v/>
      </c>
      <c r="BF332" s="2" t="str">
        <f>'CERRO EL PLOMO'!BE75</f>
        <v/>
      </c>
      <c r="BG332" s="2" t="str">
        <f>'CERRO EL PLOMO'!BF75</f>
        <v/>
      </c>
      <c r="BH332" s="2" t="str">
        <f>'CERRO EL PLOMO'!BG75</f>
        <v/>
      </c>
      <c r="BI332" s="2" t="str">
        <f>'CERRO EL PLOMO'!BH75</f>
        <v/>
      </c>
      <c r="BJ332" s="2" t="str">
        <f>'CERRO EL PLOMO'!BI75</f>
        <v/>
      </c>
      <c r="BK332" s="2" t="str">
        <f>'CERRO EL PLOMO'!BJ75</f>
        <v/>
      </c>
      <c r="BL332" s="2" t="str">
        <f>'CERRO EL PLOMO'!BK75</f>
        <v/>
      </c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 t="str">
        <f>'CERRO EL PLOMO'!AQ76</f>
        <v/>
      </c>
      <c r="AS333" s="2" t="str">
        <f>'CERRO EL PLOMO'!AR76</f>
        <v/>
      </c>
      <c r="AT333" s="2" t="str">
        <f>'CERRO EL PLOMO'!AS76</f>
        <v/>
      </c>
      <c r="AU333" s="2" t="str">
        <f>'CERRO EL PLOMO'!AT76</f>
        <v/>
      </c>
      <c r="AV333" s="2" t="str">
        <f>'CERRO EL PLOMO'!AU76</f>
        <v/>
      </c>
      <c r="AW333" s="2" t="str">
        <f>'CERRO EL PLOMO'!AV76</f>
        <v/>
      </c>
      <c r="AX333" s="2" t="str">
        <f>'CERRO EL PLOMO'!AW76</f>
        <v/>
      </c>
      <c r="AY333" s="2" t="str">
        <f>'CERRO EL PLOMO'!AX76</f>
        <v/>
      </c>
      <c r="AZ333" s="2" t="str">
        <f>'CERRO EL PLOMO'!AY76</f>
        <v/>
      </c>
      <c r="BA333" s="2" t="str">
        <f>'CERRO EL PLOMO'!AZ76</f>
        <v/>
      </c>
      <c r="BB333" s="2" t="str">
        <f>'CERRO EL PLOMO'!BA76</f>
        <v/>
      </c>
      <c r="BC333" s="2" t="str">
        <f>'CERRO EL PLOMO'!BB76</f>
        <v/>
      </c>
      <c r="BD333" s="2" t="str">
        <f>'CERRO EL PLOMO'!BC76</f>
        <v/>
      </c>
      <c r="BE333" s="2" t="str">
        <f>'CERRO EL PLOMO'!BD76</f>
        <v/>
      </c>
      <c r="BF333" s="2" t="str">
        <f>'CERRO EL PLOMO'!BE76</f>
        <v/>
      </c>
      <c r="BG333" s="2" t="str">
        <f>'CERRO EL PLOMO'!BF76</f>
        <v/>
      </c>
      <c r="BH333" s="2" t="str">
        <f>'CERRO EL PLOMO'!BG76</f>
        <v/>
      </c>
      <c r="BI333" s="2" t="str">
        <f>'CERRO EL PLOMO'!BH76</f>
        <v/>
      </c>
      <c r="BJ333" s="2" t="str">
        <f>'CERRO EL PLOMO'!BI76</f>
        <v/>
      </c>
      <c r="BK333" s="2" t="str">
        <f>'CERRO EL PLOMO'!BJ76</f>
        <v/>
      </c>
      <c r="BL333" s="2" t="str">
        <f>'CERRO EL PLOMO'!BK76</f>
        <v/>
      </c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 t="str">
        <f>'CERRO EL PLOMO'!AQ77</f>
        <v/>
      </c>
      <c r="AS334" s="2" t="str">
        <f>'CERRO EL PLOMO'!AR77</f>
        <v/>
      </c>
      <c r="AT334" s="2" t="str">
        <f>'CERRO EL PLOMO'!AS77</f>
        <v/>
      </c>
      <c r="AU334" s="2" t="str">
        <f>'CERRO EL PLOMO'!AT77</f>
        <v/>
      </c>
      <c r="AV334" s="2" t="str">
        <f>'CERRO EL PLOMO'!AU77</f>
        <v/>
      </c>
      <c r="AW334" s="2" t="str">
        <f>'CERRO EL PLOMO'!AV77</f>
        <v/>
      </c>
      <c r="AX334" s="2" t="str">
        <f>'CERRO EL PLOMO'!AW77</f>
        <v/>
      </c>
      <c r="AY334" s="2" t="str">
        <f>'CERRO EL PLOMO'!AX77</f>
        <v/>
      </c>
      <c r="AZ334" s="2" t="str">
        <f>'CERRO EL PLOMO'!AY77</f>
        <v/>
      </c>
      <c r="BA334" s="2" t="str">
        <f>'CERRO EL PLOMO'!AZ77</f>
        <v/>
      </c>
      <c r="BB334" s="2" t="str">
        <f>'CERRO EL PLOMO'!BA77</f>
        <v/>
      </c>
      <c r="BC334" s="2" t="str">
        <f>'CERRO EL PLOMO'!BB77</f>
        <v/>
      </c>
      <c r="BD334" s="2" t="str">
        <f>'CERRO EL PLOMO'!BC77</f>
        <v/>
      </c>
      <c r="BE334" s="2" t="str">
        <f>'CERRO EL PLOMO'!BD77</f>
        <v/>
      </c>
      <c r="BF334" s="2" t="str">
        <f>'CERRO EL PLOMO'!BE77</f>
        <v/>
      </c>
      <c r="BG334" s="2" t="str">
        <f>'CERRO EL PLOMO'!BF77</f>
        <v/>
      </c>
      <c r="BH334" s="2" t="str">
        <f>'CERRO EL PLOMO'!BG77</f>
        <v/>
      </c>
      <c r="BI334" s="2" t="str">
        <f>'CERRO EL PLOMO'!BH77</f>
        <v/>
      </c>
      <c r="BJ334" s="2" t="str">
        <f>'CERRO EL PLOMO'!BI77</f>
        <v/>
      </c>
      <c r="BK334" s="2" t="str">
        <f>'CERRO EL PLOMO'!BJ77</f>
        <v/>
      </c>
      <c r="BL334" s="2" t="str">
        <f>'CERRO EL PLOMO'!BK77</f>
        <v/>
      </c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 t="str">
        <f>'CERRO EL PLOMO'!AQ78</f>
        <v/>
      </c>
      <c r="AS335" s="2" t="str">
        <f>'CERRO EL PLOMO'!AR78</f>
        <v/>
      </c>
      <c r="AT335" s="2" t="str">
        <f>'CERRO EL PLOMO'!AS78</f>
        <v/>
      </c>
      <c r="AU335" s="2" t="str">
        <f>'CERRO EL PLOMO'!AT78</f>
        <v/>
      </c>
      <c r="AV335" s="2" t="str">
        <f>'CERRO EL PLOMO'!AU78</f>
        <v/>
      </c>
      <c r="AW335" s="2" t="str">
        <f>'CERRO EL PLOMO'!AV78</f>
        <v/>
      </c>
      <c r="AX335" s="2" t="str">
        <f>'CERRO EL PLOMO'!AW78</f>
        <v/>
      </c>
      <c r="AY335" s="2" t="str">
        <f>'CERRO EL PLOMO'!AX78</f>
        <v/>
      </c>
      <c r="AZ335" s="2" t="str">
        <f>'CERRO EL PLOMO'!AY78</f>
        <v/>
      </c>
      <c r="BA335" s="2" t="str">
        <f>'CERRO EL PLOMO'!AZ78</f>
        <v/>
      </c>
      <c r="BB335" s="2" t="str">
        <f>'CERRO EL PLOMO'!BA78</f>
        <v/>
      </c>
      <c r="BC335" s="2" t="str">
        <f>'CERRO EL PLOMO'!BB78</f>
        <v/>
      </c>
      <c r="BD335" s="2" t="str">
        <f>'CERRO EL PLOMO'!BC78</f>
        <v/>
      </c>
      <c r="BE335" s="2" t="str">
        <f>'CERRO EL PLOMO'!BD78</f>
        <v/>
      </c>
      <c r="BF335" s="2" t="str">
        <f>'CERRO EL PLOMO'!BE78</f>
        <v/>
      </c>
      <c r="BG335" s="2" t="str">
        <f>'CERRO EL PLOMO'!BF78</f>
        <v/>
      </c>
      <c r="BH335" s="2" t="str">
        <f>'CERRO EL PLOMO'!BG78</f>
        <v/>
      </c>
      <c r="BI335" s="2" t="str">
        <f>'CERRO EL PLOMO'!BH78</f>
        <v/>
      </c>
      <c r="BJ335" s="2" t="str">
        <f>'CERRO EL PLOMO'!BI78</f>
        <v/>
      </c>
      <c r="BK335" s="2" t="str">
        <f>'CERRO EL PLOMO'!BJ78</f>
        <v/>
      </c>
      <c r="BL335" s="2" t="str">
        <f>'CERRO EL PLOMO'!BK78</f>
        <v/>
      </c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 t="str">
        <f>'CERRO EL PLOMO'!AQ79</f>
        <v/>
      </c>
      <c r="AS336" s="2" t="str">
        <f>'CERRO EL PLOMO'!AR79</f>
        <v/>
      </c>
      <c r="AT336" s="2" t="str">
        <f>'CERRO EL PLOMO'!AS79</f>
        <v/>
      </c>
      <c r="AU336" s="2" t="str">
        <f>'CERRO EL PLOMO'!AT79</f>
        <v/>
      </c>
      <c r="AV336" s="2" t="str">
        <f>'CERRO EL PLOMO'!AU79</f>
        <v/>
      </c>
      <c r="AW336" s="2" t="str">
        <f>'CERRO EL PLOMO'!AV79</f>
        <v/>
      </c>
      <c r="AX336" s="2" t="str">
        <f>'CERRO EL PLOMO'!AW79</f>
        <v/>
      </c>
      <c r="AY336" s="2" t="str">
        <f>'CERRO EL PLOMO'!AX79</f>
        <v/>
      </c>
      <c r="AZ336" s="2" t="str">
        <f>'CERRO EL PLOMO'!AY79</f>
        <v/>
      </c>
      <c r="BA336" s="2" t="str">
        <f>'CERRO EL PLOMO'!AZ79</f>
        <v/>
      </c>
      <c r="BB336" s="2" t="str">
        <f>'CERRO EL PLOMO'!BA79</f>
        <v/>
      </c>
      <c r="BC336" s="2" t="str">
        <f>'CERRO EL PLOMO'!BB79</f>
        <v/>
      </c>
      <c r="BD336" s="2" t="str">
        <f>'CERRO EL PLOMO'!BC79</f>
        <v/>
      </c>
      <c r="BE336" s="2" t="str">
        <f>'CERRO EL PLOMO'!BD79</f>
        <v/>
      </c>
      <c r="BF336" s="2" t="str">
        <f>'CERRO EL PLOMO'!BE79</f>
        <v/>
      </c>
      <c r="BG336" s="2" t="str">
        <f>'CERRO EL PLOMO'!BF79</f>
        <v/>
      </c>
      <c r="BH336" s="2" t="str">
        <f>'CERRO EL PLOMO'!BG79</f>
        <v/>
      </c>
      <c r="BI336" s="2" t="str">
        <f>'CERRO EL PLOMO'!BH79</f>
        <v/>
      </c>
      <c r="BJ336" s="2" t="str">
        <f>'CERRO EL PLOMO'!BI79</f>
        <v/>
      </c>
      <c r="BK336" s="2" t="str">
        <f>'CERRO EL PLOMO'!BJ79</f>
        <v/>
      </c>
      <c r="BL336" s="2" t="str">
        <f>'CERRO EL PLOMO'!BK79</f>
        <v/>
      </c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 t="str">
        <f>'CERRO EL PLOMO'!AQ80</f>
        <v/>
      </c>
      <c r="AS337" s="2" t="str">
        <f>'CERRO EL PLOMO'!AR80</f>
        <v/>
      </c>
      <c r="AT337" s="2" t="str">
        <f>'CERRO EL PLOMO'!AS80</f>
        <v/>
      </c>
      <c r="AU337" s="2" t="str">
        <f>'CERRO EL PLOMO'!AT80</f>
        <v/>
      </c>
      <c r="AV337" s="2" t="str">
        <f>'CERRO EL PLOMO'!AU80</f>
        <v/>
      </c>
      <c r="AW337" s="2" t="str">
        <f>'CERRO EL PLOMO'!AV80</f>
        <v/>
      </c>
      <c r="AX337" s="2" t="str">
        <f>'CERRO EL PLOMO'!AW80</f>
        <v/>
      </c>
      <c r="AY337" s="2" t="str">
        <f>'CERRO EL PLOMO'!AX80</f>
        <v/>
      </c>
      <c r="AZ337" s="2" t="str">
        <f>'CERRO EL PLOMO'!AY80</f>
        <v/>
      </c>
      <c r="BA337" s="2" t="str">
        <f>'CERRO EL PLOMO'!AZ80</f>
        <v/>
      </c>
      <c r="BB337" s="2" t="str">
        <f>'CERRO EL PLOMO'!BA80</f>
        <v/>
      </c>
      <c r="BC337" s="2" t="str">
        <f>'CERRO EL PLOMO'!BB80</f>
        <v/>
      </c>
      <c r="BD337" s="2" t="str">
        <f>'CERRO EL PLOMO'!BC80</f>
        <v/>
      </c>
      <c r="BE337" s="2" t="str">
        <f>'CERRO EL PLOMO'!BD80</f>
        <v/>
      </c>
      <c r="BF337" s="2" t="str">
        <f>'CERRO EL PLOMO'!BE80</f>
        <v/>
      </c>
      <c r="BG337" s="2" t="str">
        <f>'CERRO EL PLOMO'!BF80</f>
        <v/>
      </c>
      <c r="BH337" s="2" t="str">
        <f>'CERRO EL PLOMO'!BG80</f>
        <v/>
      </c>
      <c r="BI337" s="2" t="str">
        <f>'CERRO EL PLOMO'!BH80</f>
        <v/>
      </c>
      <c r="BJ337" s="2" t="str">
        <f>'CERRO EL PLOMO'!BI80</f>
        <v/>
      </c>
      <c r="BK337" s="2" t="str">
        <f>'CERRO EL PLOMO'!BJ80</f>
        <v/>
      </c>
      <c r="BL337" s="2" t="str">
        <f>'CERRO EL PLOMO'!BK80</f>
        <v/>
      </c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 t="str">
        <f>'CERRO EL PLOMO'!AQ81</f>
        <v/>
      </c>
      <c r="AS338" s="2" t="str">
        <f>'CERRO EL PLOMO'!AR81</f>
        <v/>
      </c>
      <c r="AT338" s="2" t="str">
        <f>'CERRO EL PLOMO'!AS81</f>
        <v/>
      </c>
      <c r="AU338" s="2" t="str">
        <f>'CERRO EL PLOMO'!AT81</f>
        <v/>
      </c>
      <c r="AV338" s="2" t="str">
        <f>'CERRO EL PLOMO'!AU81</f>
        <v/>
      </c>
      <c r="AW338" s="2" t="str">
        <f>'CERRO EL PLOMO'!AV81</f>
        <v/>
      </c>
      <c r="AX338" s="2" t="str">
        <f>'CERRO EL PLOMO'!AW81</f>
        <v/>
      </c>
      <c r="AY338" s="2" t="str">
        <f>'CERRO EL PLOMO'!AX81</f>
        <v/>
      </c>
      <c r="AZ338" s="2" t="str">
        <f>'CERRO EL PLOMO'!AY81</f>
        <v/>
      </c>
      <c r="BA338" s="2" t="str">
        <f>'CERRO EL PLOMO'!AZ81</f>
        <v/>
      </c>
      <c r="BB338" s="2" t="str">
        <f>'CERRO EL PLOMO'!BA81</f>
        <v/>
      </c>
      <c r="BC338" s="2" t="str">
        <f>'CERRO EL PLOMO'!BB81</f>
        <v/>
      </c>
      <c r="BD338" s="2" t="str">
        <f>'CERRO EL PLOMO'!BC81</f>
        <v/>
      </c>
      <c r="BE338" s="2" t="str">
        <f>'CERRO EL PLOMO'!BD81</f>
        <v/>
      </c>
      <c r="BF338" s="2" t="str">
        <f>'CERRO EL PLOMO'!BE81</f>
        <v/>
      </c>
      <c r="BG338" s="2" t="str">
        <f>'CERRO EL PLOMO'!BF81</f>
        <v/>
      </c>
      <c r="BH338" s="2" t="str">
        <f>'CERRO EL PLOMO'!BG81</f>
        <v/>
      </c>
      <c r="BI338" s="2" t="str">
        <f>'CERRO EL PLOMO'!BH81</f>
        <v/>
      </c>
      <c r="BJ338" s="2" t="str">
        <f>'CERRO EL PLOMO'!BI81</f>
        <v/>
      </c>
      <c r="BK338" s="2" t="str">
        <f>'CERRO EL PLOMO'!BJ81</f>
        <v/>
      </c>
      <c r="BL338" s="2" t="str">
        <f>'CERRO EL PLOMO'!BK81</f>
        <v/>
      </c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 t="str">
        <f>'CERRO EL PLOMO'!AQ82</f>
        <v/>
      </c>
      <c r="AS339" s="2" t="str">
        <f>'CERRO EL PLOMO'!AR82</f>
        <v/>
      </c>
      <c r="AT339" s="2" t="str">
        <f>'CERRO EL PLOMO'!AS82</f>
        <v/>
      </c>
      <c r="AU339" s="2" t="str">
        <f>'CERRO EL PLOMO'!AT82</f>
        <v/>
      </c>
      <c r="AV339" s="2" t="str">
        <f>'CERRO EL PLOMO'!AU82</f>
        <v/>
      </c>
      <c r="AW339" s="2" t="str">
        <f>'CERRO EL PLOMO'!AV82</f>
        <v/>
      </c>
      <c r="AX339" s="2" t="str">
        <f>'CERRO EL PLOMO'!AW82</f>
        <v/>
      </c>
      <c r="AY339" s="2" t="str">
        <f>'CERRO EL PLOMO'!AX82</f>
        <v/>
      </c>
      <c r="AZ339" s="2" t="str">
        <f>'CERRO EL PLOMO'!AY82</f>
        <v/>
      </c>
      <c r="BA339" s="2" t="str">
        <f>'CERRO EL PLOMO'!AZ82</f>
        <v/>
      </c>
      <c r="BB339" s="2" t="str">
        <f>'CERRO EL PLOMO'!BA82</f>
        <v/>
      </c>
      <c r="BC339" s="2" t="str">
        <f>'CERRO EL PLOMO'!BB82</f>
        <v/>
      </c>
      <c r="BD339" s="2" t="str">
        <f>'CERRO EL PLOMO'!BC82</f>
        <v/>
      </c>
      <c r="BE339" s="2" t="str">
        <f>'CERRO EL PLOMO'!BD82</f>
        <v/>
      </c>
      <c r="BF339" s="2" t="str">
        <f>'CERRO EL PLOMO'!BE82</f>
        <v/>
      </c>
      <c r="BG339" s="2" t="str">
        <f>'CERRO EL PLOMO'!BF82</f>
        <v/>
      </c>
      <c r="BH339" s="2" t="str">
        <f>'CERRO EL PLOMO'!BG82</f>
        <v/>
      </c>
      <c r="BI339" s="2" t="str">
        <f>'CERRO EL PLOMO'!BH82</f>
        <v/>
      </c>
      <c r="BJ339" s="2" t="str">
        <f>'CERRO EL PLOMO'!BI82</f>
        <v/>
      </c>
      <c r="BK339" s="2" t="str">
        <f>'CERRO EL PLOMO'!BJ82</f>
        <v/>
      </c>
      <c r="BL339" s="2" t="str">
        <f>'CERRO EL PLOMO'!BK82</f>
        <v/>
      </c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 t="str">
        <f>'CERRO EL PLOMO'!AQ83</f>
        <v/>
      </c>
      <c r="AS340" s="2" t="str">
        <f>'CERRO EL PLOMO'!AR83</f>
        <v/>
      </c>
      <c r="AT340" s="2" t="str">
        <f>'CERRO EL PLOMO'!AS83</f>
        <v/>
      </c>
      <c r="AU340" s="2" t="str">
        <f>'CERRO EL PLOMO'!AT83</f>
        <v/>
      </c>
      <c r="AV340" s="2" t="str">
        <f>'CERRO EL PLOMO'!AU83</f>
        <v/>
      </c>
      <c r="AW340" s="2" t="str">
        <f>'CERRO EL PLOMO'!AV83</f>
        <v/>
      </c>
      <c r="AX340" s="2" t="str">
        <f>'CERRO EL PLOMO'!AW83</f>
        <v/>
      </c>
      <c r="AY340" s="2" t="str">
        <f>'CERRO EL PLOMO'!AX83</f>
        <v/>
      </c>
      <c r="AZ340" s="2" t="str">
        <f>'CERRO EL PLOMO'!AY83</f>
        <v/>
      </c>
      <c r="BA340" s="2" t="str">
        <f>'CERRO EL PLOMO'!AZ83</f>
        <v/>
      </c>
      <c r="BB340" s="2" t="str">
        <f>'CERRO EL PLOMO'!BA83</f>
        <v/>
      </c>
      <c r="BC340" s="2" t="str">
        <f>'CERRO EL PLOMO'!BB83</f>
        <v/>
      </c>
      <c r="BD340" s="2" t="str">
        <f>'CERRO EL PLOMO'!BC83</f>
        <v/>
      </c>
      <c r="BE340" s="2" t="str">
        <f>'CERRO EL PLOMO'!BD83</f>
        <v/>
      </c>
      <c r="BF340" s="2" t="str">
        <f>'CERRO EL PLOMO'!BE83</f>
        <v/>
      </c>
      <c r="BG340" s="2" t="str">
        <f>'CERRO EL PLOMO'!BF83</f>
        <v/>
      </c>
      <c r="BH340" s="2" t="str">
        <f>'CERRO EL PLOMO'!BG83</f>
        <v/>
      </c>
      <c r="BI340" s="2" t="str">
        <f>'CERRO EL PLOMO'!BH83</f>
        <v/>
      </c>
      <c r="BJ340" s="2" t="str">
        <f>'CERRO EL PLOMO'!BI83</f>
        <v/>
      </c>
      <c r="BK340" s="2" t="str">
        <f>'CERRO EL PLOMO'!BJ83</f>
        <v/>
      </c>
      <c r="BL340" s="2" t="str">
        <f>'CERRO EL PLOMO'!BK83</f>
        <v/>
      </c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 t="str">
        <f>'CERRO EL PLOMO'!AQ84</f>
        <v/>
      </c>
      <c r="AS341" s="2" t="str">
        <f>'CERRO EL PLOMO'!AR84</f>
        <v/>
      </c>
      <c r="AT341" s="2" t="str">
        <f>'CERRO EL PLOMO'!AS84</f>
        <v/>
      </c>
      <c r="AU341" s="2" t="str">
        <f>'CERRO EL PLOMO'!AT84</f>
        <v/>
      </c>
      <c r="AV341" s="2" t="str">
        <f>'CERRO EL PLOMO'!AU84</f>
        <v/>
      </c>
      <c r="AW341" s="2" t="str">
        <f>'CERRO EL PLOMO'!AV84</f>
        <v/>
      </c>
      <c r="AX341" s="2" t="str">
        <f>'CERRO EL PLOMO'!AW84</f>
        <v/>
      </c>
      <c r="AY341" s="2" t="str">
        <f>'CERRO EL PLOMO'!AX84</f>
        <v/>
      </c>
      <c r="AZ341" s="2" t="str">
        <f>'CERRO EL PLOMO'!AY84</f>
        <v/>
      </c>
      <c r="BA341" s="2" t="str">
        <f>'CERRO EL PLOMO'!AZ84</f>
        <v/>
      </c>
      <c r="BB341" s="2" t="str">
        <f>'CERRO EL PLOMO'!BA84</f>
        <v/>
      </c>
      <c r="BC341" s="2" t="str">
        <f>'CERRO EL PLOMO'!BB84</f>
        <v/>
      </c>
      <c r="BD341" s="2" t="str">
        <f>'CERRO EL PLOMO'!BC84</f>
        <v/>
      </c>
      <c r="BE341" s="2" t="str">
        <f>'CERRO EL PLOMO'!BD84</f>
        <v/>
      </c>
      <c r="BF341" s="2" t="str">
        <f>'CERRO EL PLOMO'!BE84</f>
        <v/>
      </c>
      <c r="BG341" s="2" t="str">
        <f>'CERRO EL PLOMO'!BF84</f>
        <v/>
      </c>
      <c r="BH341" s="2" t="str">
        <f>'CERRO EL PLOMO'!BG84</f>
        <v/>
      </c>
      <c r="BI341" s="2" t="str">
        <f>'CERRO EL PLOMO'!BH84</f>
        <v/>
      </c>
      <c r="BJ341" s="2" t="str">
        <f>'CERRO EL PLOMO'!BI84</f>
        <v/>
      </c>
      <c r="BK341" s="2" t="str">
        <f>'CERRO EL PLOMO'!BJ84</f>
        <v/>
      </c>
      <c r="BL341" s="2" t="str">
        <f>'CERRO EL PLOMO'!BK84</f>
        <v/>
      </c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 t="str">
        <f>'CERRO EL PLOMO'!AQ85</f>
        <v/>
      </c>
      <c r="AS342" s="2" t="str">
        <f>'CERRO EL PLOMO'!AR85</f>
        <v/>
      </c>
      <c r="AT342" s="2" t="str">
        <f>'CERRO EL PLOMO'!AS85</f>
        <v/>
      </c>
      <c r="AU342" s="2" t="str">
        <f>'CERRO EL PLOMO'!AT85</f>
        <v/>
      </c>
      <c r="AV342" s="2" t="str">
        <f>'CERRO EL PLOMO'!AU85</f>
        <v/>
      </c>
      <c r="AW342" s="2" t="str">
        <f>'CERRO EL PLOMO'!AV85</f>
        <v/>
      </c>
      <c r="AX342" s="2" t="str">
        <f>'CERRO EL PLOMO'!AW85</f>
        <v/>
      </c>
      <c r="AY342" s="2" t="str">
        <f>'CERRO EL PLOMO'!AX85</f>
        <v/>
      </c>
      <c r="AZ342" s="2" t="str">
        <f>'CERRO EL PLOMO'!AY85</f>
        <v/>
      </c>
      <c r="BA342" s="2" t="str">
        <f>'CERRO EL PLOMO'!AZ85</f>
        <v/>
      </c>
      <c r="BB342" s="2" t="str">
        <f>'CERRO EL PLOMO'!BA85</f>
        <v/>
      </c>
      <c r="BC342" s="2" t="str">
        <f>'CERRO EL PLOMO'!BB85</f>
        <v/>
      </c>
      <c r="BD342" s="2" t="str">
        <f>'CERRO EL PLOMO'!BC85</f>
        <v/>
      </c>
      <c r="BE342" s="2" t="str">
        <f>'CERRO EL PLOMO'!BD85</f>
        <v/>
      </c>
      <c r="BF342" s="2" t="str">
        <f>'CERRO EL PLOMO'!BE85</f>
        <v/>
      </c>
      <c r="BG342" s="2" t="str">
        <f>'CERRO EL PLOMO'!BF85</f>
        <v/>
      </c>
      <c r="BH342" s="2" t="str">
        <f>'CERRO EL PLOMO'!BG85</f>
        <v/>
      </c>
      <c r="BI342" s="2" t="str">
        <f>'CERRO EL PLOMO'!BH85</f>
        <v/>
      </c>
      <c r="BJ342" s="2" t="str">
        <f>'CERRO EL PLOMO'!BI85</f>
        <v/>
      </c>
      <c r="BK342" s="2" t="str">
        <f>'CERRO EL PLOMO'!BJ85</f>
        <v/>
      </c>
      <c r="BL342" s="2" t="str">
        <f>'CERRO EL PLOMO'!BK85</f>
        <v/>
      </c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 t="str">
        <f>'CERRO EL PLOMO'!AQ86</f>
        <v/>
      </c>
      <c r="AS343" s="2" t="str">
        <f>'CERRO EL PLOMO'!AR86</f>
        <v/>
      </c>
      <c r="AT343" s="2" t="str">
        <f>'CERRO EL PLOMO'!AS86</f>
        <v/>
      </c>
      <c r="AU343" s="2" t="str">
        <f>'CERRO EL PLOMO'!AT86</f>
        <v/>
      </c>
      <c r="AV343" s="2" t="str">
        <f>'CERRO EL PLOMO'!AU86</f>
        <v/>
      </c>
      <c r="AW343" s="2" t="str">
        <f>'CERRO EL PLOMO'!AV86</f>
        <v/>
      </c>
      <c r="AX343" s="2" t="str">
        <f>'CERRO EL PLOMO'!AW86</f>
        <v/>
      </c>
      <c r="AY343" s="2" t="str">
        <f>'CERRO EL PLOMO'!AX86</f>
        <v/>
      </c>
      <c r="AZ343" s="2" t="str">
        <f>'CERRO EL PLOMO'!AY86</f>
        <v/>
      </c>
      <c r="BA343" s="2" t="str">
        <f>'CERRO EL PLOMO'!AZ86</f>
        <v/>
      </c>
      <c r="BB343" s="2" t="str">
        <f>'CERRO EL PLOMO'!BA86</f>
        <v/>
      </c>
      <c r="BC343" s="2" t="str">
        <f>'CERRO EL PLOMO'!BB86</f>
        <v/>
      </c>
      <c r="BD343" s="2" t="str">
        <f>'CERRO EL PLOMO'!BC86</f>
        <v/>
      </c>
      <c r="BE343" s="2" t="str">
        <f>'CERRO EL PLOMO'!BD86</f>
        <v/>
      </c>
      <c r="BF343" s="2" t="str">
        <f>'CERRO EL PLOMO'!BE86</f>
        <v/>
      </c>
      <c r="BG343" s="2" t="str">
        <f>'CERRO EL PLOMO'!BF86</f>
        <v/>
      </c>
      <c r="BH343" s="2" t="str">
        <f>'CERRO EL PLOMO'!BG86</f>
        <v/>
      </c>
      <c r="BI343" s="2" t="str">
        <f>'CERRO EL PLOMO'!BH86</f>
        <v/>
      </c>
      <c r="BJ343" s="2" t="str">
        <f>'CERRO EL PLOMO'!BI86</f>
        <v/>
      </c>
      <c r="BK343" s="2" t="str">
        <f>'CERRO EL PLOMO'!BJ86</f>
        <v/>
      </c>
      <c r="BL343" s="2" t="str">
        <f>'CERRO EL PLOMO'!BK86</f>
        <v/>
      </c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 t="str">
        <f>'CERRO EL PLOMO'!AQ87</f>
        <v/>
      </c>
      <c r="AS344" s="2" t="str">
        <f>'CERRO EL PLOMO'!AR87</f>
        <v/>
      </c>
      <c r="AT344" s="2" t="str">
        <f>'CERRO EL PLOMO'!AS87</f>
        <v/>
      </c>
      <c r="AU344" s="2" t="str">
        <f>'CERRO EL PLOMO'!AT87</f>
        <v/>
      </c>
      <c r="AV344" s="2" t="str">
        <f>'CERRO EL PLOMO'!AU87</f>
        <v/>
      </c>
      <c r="AW344" s="2" t="str">
        <f>'CERRO EL PLOMO'!AV87</f>
        <v/>
      </c>
      <c r="AX344" s="2" t="str">
        <f>'CERRO EL PLOMO'!AW87</f>
        <v/>
      </c>
      <c r="AY344" s="2" t="str">
        <f>'CERRO EL PLOMO'!AX87</f>
        <v/>
      </c>
      <c r="AZ344" s="2" t="str">
        <f>'CERRO EL PLOMO'!AY87</f>
        <v/>
      </c>
      <c r="BA344" s="2" t="str">
        <f>'CERRO EL PLOMO'!AZ87</f>
        <v/>
      </c>
      <c r="BB344" s="2" t="str">
        <f>'CERRO EL PLOMO'!BA87</f>
        <v/>
      </c>
      <c r="BC344" s="2" t="str">
        <f>'CERRO EL PLOMO'!BB87</f>
        <v/>
      </c>
      <c r="BD344" s="2" t="str">
        <f>'CERRO EL PLOMO'!BC87</f>
        <v/>
      </c>
      <c r="BE344" s="2" t="str">
        <f>'CERRO EL PLOMO'!BD87</f>
        <v/>
      </c>
      <c r="BF344" s="2" t="str">
        <f>'CERRO EL PLOMO'!BE87</f>
        <v/>
      </c>
      <c r="BG344" s="2" t="str">
        <f>'CERRO EL PLOMO'!BF87</f>
        <v/>
      </c>
      <c r="BH344" s="2" t="str">
        <f>'CERRO EL PLOMO'!BG87</f>
        <v/>
      </c>
      <c r="BI344" s="2" t="str">
        <f>'CERRO EL PLOMO'!BH87</f>
        <v/>
      </c>
      <c r="BJ344" s="2" t="str">
        <f>'CERRO EL PLOMO'!BI87</f>
        <v/>
      </c>
      <c r="BK344" s="2" t="str">
        <f>'CERRO EL PLOMO'!BJ87</f>
        <v/>
      </c>
      <c r="BL344" s="2" t="str">
        <f>'CERRO EL PLOMO'!BK87</f>
        <v/>
      </c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 t="str">
        <f>'CERRO EL PLOMO'!AQ88</f>
        <v/>
      </c>
      <c r="AS345" s="2" t="str">
        <f>'CERRO EL PLOMO'!AR88</f>
        <v/>
      </c>
      <c r="AT345" s="2" t="str">
        <f>'CERRO EL PLOMO'!AS88</f>
        <v/>
      </c>
      <c r="AU345" s="2" t="str">
        <f>'CERRO EL PLOMO'!AT88</f>
        <v/>
      </c>
      <c r="AV345" s="2" t="str">
        <f>'CERRO EL PLOMO'!AU88</f>
        <v/>
      </c>
      <c r="AW345" s="2" t="str">
        <f>'CERRO EL PLOMO'!AV88</f>
        <v/>
      </c>
      <c r="AX345" s="2" t="str">
        <f>'CERRO EL PLOMO'!AW88</f>
        <v/>
      </c>
      <c r="AY345" s="2" t="str">
        <f>'CERRO EL PLOMO'!AX88</f>
        <v/>
      </c>
      <c r="AZ345" s="2" t="str">
        <f>'CERRO EL PLOMO'!AY88</f>
        <v/>
      </c>
      <c r="BA345" s="2" t="str">
        <f>'CERRO EL PLOMO'!AZ88</f>
        <v/>
      </c>
      <c r="BB345" s="2" t="str">
        <f>'CERRO EL PLOMO'!BA88</f>
        <v/>
      </c>
      <c r="BC345" s="2" t="str">
        <f>'CERRO EL PLOMO'!BB88</f>
        <v/>
      </c>
      <c r="BD345" s="2" t="str">
        <f>'CERRO EL PLOMO'!BC88</f>
        <v/>
      </c>
      <c r="BE345" s="2" t="str">
        <f>'CERRO EL PLOMO'!BD88</f>
        <v/>
      </c>
      <c r="BF345" s="2" t="str">
        <f>'CERRO EL PLOMO'!BE88</f>
        <v/>
      </c>
      <c r="BG345" s="2" t="str">
        <f>'CERRO EL PLOMO'!BF88</f>
        <v/>
      </c>
      <c r="BH345" s="2" t="str">
        <f>'CERRO EL PLOMO'!BG88</f>
        <v/>
      </c>
      <c r="BI345" s="2" t="str">
        <f>'CERRO EL PLOMO'!BH88</f>
        <v/>
      </c>
      <c r="BJ345" s="2" t="str">
        <f>'CERRO EL PLOMO'!BI88</f>
        <v/>
      </c>
      <c r="BK345" s="2" t="str">
        <f>'CERRO EL PLOMO'!BJ88</f>
        <v/>
      </c>
      <c r="BL345" s="2" t="str">
        <f>'CERRO EL PLOMO'!BK88</f>
        <v/>
      </c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 t="str">
        <f>'CERRO EL PLOMO'!AQ89</f>
        <v/>
      </c>
      <c r="AS346" s="2" t="str">
        <f>'CERRO EL PLOMO'!AR89</f>
        <v/>
      </c>
      <c r="AT346" s="2" t="str">
        <f>'CERRO EL PLOMO'!AS89</f>
        <v/>
      </c>
      <c r="AU346" s="2" t="str">
        <f>'CERRO EL PLOMO'!AT89</f>
        <v/>
      </c>
      <c r="AV346" s="2" t="str">
        <f>'CERRO EL PLOMO'!AU89</f>
        <v/>
      </c>
      <c r="AW346" s="2" t="str">
        <f>'CERRO EL PLOMO'!AV89</f>
        <v/>
      </c>
      <c r="AX346" s="2" t="str">
        <f>'CERRO EL PLOMO'!AW89</f>
        <v/>
      </c>
      <c r="AY346" s="2" t="str">
        <f>'CERRO EL PLOMO'!AX89</f>
        <v/>
      </c>
      <c r="AZ346" s="2" t="str">
        <f>'CERRO EL PLOMO'!AY89</f>
        <v/>
      </c>
      <c r="BA346" s="2" t="str">
        <f>'CERRO EL PLOMO'!AZ89</f>
        <v/>
      </c>
      <c r="BB346" s="2" t="str">
        <f>'CERRO EL PLOMO'!BA89</f>
        <v/>
      </c>
      <c r="BC346" s="2" t="str">
        <f>'CERRO EL PLOMO'!BB89</f>
        <v/>
      </c>
      <c r="BD346" s="2" t="str">
        <f>'CERRO EL PLOMO'!BC89</f>
        <v/>
      </c>
      <c r="BE346" s="2" t="str">
        <f>'CERRO EL PLOMO'!BD89</f>
        <v/>
      </c>
      <c r="BF346" s="2" t="str">
        <f>'CERRO EL PLOMO'!BE89</f>
        <v/>
      </c>
      <c r="BG346" s="2" t="str">
        <f>'CERRO EL PLOMO'!BF89</f>
        <v/>
      </c>
      <c r="BH346" s="2" t="str">
        <f>'CERRO EL PLOMO'!BG89</f>
        <v/>
      </c>
      <c r="BI346" s="2" t="str">
        <f>'CERRO EL PLOMO'!BH89</f>
        <v/>
      </c>
      <c r="BJ346" s="2" t="str">
        <f>'CERRO EL PLOMO'!BI89</f>
        <v/>
      </c>
      <c r="BK346" s="2" t="str">
        <f>'CERRO EL PLOMO'!BJ89</f>
        <v/>
      </c>
      <c r="BL346" s="2" t="str">
        <f>'CERRO EL PLOMO'!BK89</f>
        <v/>
      </c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 t="str">
        <f>'CERRO EL PLOMO'!AQ90</f>
        <v/>
      </c>
      <c r="AS347" s="2" t="str">
        <f>'CERRO EL PLOMO'!AR90</f>
        <v/>
      </c>
      <c r="AT347" s="2" t="str">
        <f>'CERRO EL PLOMO'!AS90</f>
        <v/>
      </c>
      <c r="AU347" s="2" t="str">
        <f>'CERRO EL PLOMO'!AT90</f>
        <v/>
      </c>
      <c r="AV347" s="2" t="str">
        <f>'CERRO EL PLOMO'!AU90</f>
        <v/>
      </c>
      <c r="AW347" s="2" t="str">
        <f>'CERRO EL PLOMO'!AV90</f>
        <v/>
      </c>
      <c r="AX347" s="2" t="str">
        <f>'CERRO EL PLOMO'!AW90</f>
        <v/>
      </c>
      <c r="AY347" s="2" t="str">
        <f>'CERRO EL PLOMO'!AX90</f>
        <v/>
      </c>
      <c r="AZ347" s="2" t="str">
        <f>'CERRO EL PLOMO'!AY90</f>
        <v/>
      </c>
      <c r="BA347" s="2" t="str">
        <f>'CERRO EL PLOMO'!AZ90</f>
        <v/>
      </c>
      <c r="BB347" s="2" t="str">
        <f>'CERRO EL PLOMO'!BA90</f>
        <v/>
      </c>
      <c r="BC347" s="2" t="str">
        <f>'CERRO EL PLOMO'!BB90</f>
        <v/>
      </c>
      <c r="BD347" s="2" t="str">
        <f>'CERRO EL PLOMO'!BC90</f>
        <v/>
      </c>
      <c r="BE347" s="2" t="str">
        <f>'CERRO EL PLOMO'!BD90</f>
        <v/>
      </c>
      <c r="BF347" s="2" t="str">
        <f>'CERRO EL PLOMO'!BE90</f>
        <v/>
      </c>
      <c r="BG347" s="2" t="str">
        <f>'CERRO EL PLOMO'!BF90</f>
        <v/>
      </c>
      <c r="BH347" s="2" t="str">
        <f>'CERRO EL PLOMO'!BG90</f>
        <v/>
      </c>
      <c r="BI347" s="2" t="str">
        <f>'CERRO EL PLOMO'!BH90</f>
        <v/>
      </c>
      <c r="BJ347" s="2" t="str">
        <f>'CERRO EL PLOMO'!BI90</f>
        <v/>
      </c>
      <c r="BK347" s="2" t="str">
        <f>'CERRO EL PLOMO'!BJ90</f>
        <v/>
      </c>
      <c r="BL347" s="2" t="str">
        <f>'CERRO EL PLOMO'!BK90</f>
        <v/>
      </c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 t="str">
        <f>'CERRO EL PLOMO'!AQ91</f>
        <v/>
      </c>
      <c r="AS348" s="2" t="str">
        <f>'CERRO EL PLOMO'!AR91</f>
        <v/>
      </c>
      <c r="AT348" s="2" t="str">
        <f>'CERRO EL PLOMO'!AS91</f>
        <v/>
      </c>
      <c r="AU348" s="2" t="str">
        <f>'CERRO EL PLOMO'!AT91</f>
        <v/>
      </c>
      <c r="AV348" s="2" t="str">
        <f>'CERRO EL PLOMO'!AU91</f>
        <v/>
      </c>
      <c r="AW348" s="2" t="str">
        <f>'CERRO EL PLOMO'!AV91</f>
        <v/>
      </c>
      <c r="AX348" s="2" t="str">
        <f>'CERRO EL PLOMO'!AW91</f>
        <v/>
      </c>
      <c r="AY348" s="2" t="str">
        <f>'CERRO EL PLOMO'!AX91</f>
        <v/>
      </c>
      <c r="AZ348" s="2" t="str">
        <f>'CERRO EL PLOMO'!AY91</f>
        <v/>
      </c>
      <c r="BA348" s="2" t="str">
        <f>'CERRO EL PLOMO'!AZ91</f>
        <v/>
      </c>
      <c r="BB348" s="2" t="str">
        <f>'CERRO EL PLOMO'!BA91</f>
        <v/>
      </c>
      <c r="BC348" s="2" t="str">
        <f>'CERRO EL PLOMO'!BB91</f>
        <v/>
      </c>
      <c r="BD348" s="2" t="str">
        <f>'CERRO EL PLOMO'!BC91</f>
        <v/>
      </c>
      <c r="BE348" s="2" t="str">
        <f>'CERRO EL PLOMO'!BD91</f>
        <v/>
      </c>
      <c r="BF348" s="2" t="str">
        <f>'CERRO EL PLOMO'!BE91</f>
        <v/>
      </c>
      <c r="BG348" s="2" t="str">
        <f>'CERRO EL PLOMO'!BF91</f>
        <v/>
      </c>
      <c r="BH348" s="2" t="str">
        <f>'CERRO EL PLOMO'!BG91</f>
        <v/>
      </c>
      <c r="BI348" s="2" t="str">
        <f>'CERRO EL PLOMO'!BH91</f>
        <v/>
      </c>
      <c r="BJ348" s="2" t="str">
        <f>'CERRO EL PLOMO'!BI91</f>
        <v/>
      </c>
      <c r="BK348" s="2" t="str">
        <f>'CERRO EL PLOMO'!BJ91</f>
        <v/>
      </c>
      <c r="BL348" s="2" t="str">
        <f>'CERRO EL PLOMO'!BK91</f>
        <v/>
      </c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 t="str">
        <f>'CERRO EL PLOMO'!AQ92</f>
        <v/>
      </c>
      <c r="AS349" s="2" t="str">
        <f>'CERRO EL PLOMO'!AR92</f>
        <v/>
      </c>
      <c r="AT349" s="2" t="str">
        <f>'CERRO EL PLOMO'!AS92</f>
        <v/>
      </c>
      <c r="AU349" s="2" t="str">
        <f>'CERRO EL PLOMO'!AT92</f>
        <v/>
      </c>
      <c r="AV349" s="2" t="str">
        <f>'CERRO EL PLOMO'!AU92</f>
        <v/>
      </c>
      <c r="AW349" s="2" t="str">
        <f>'CERRO EL PLOMO'!AV92</f>
        <v/>
      </c>
      <c r="AX349" s="2" t="str">
        <f>'CERRO EL PLOMO'!AW92</f>
        <v/>
      </c>
      <c r="AY349" s="2" t="str">
        <f>'CERRO EL PLOMO'!AX92</f>
        <v/>
      </c>
      <c r="AZ349" s="2" t="str">
        <f>'CERRO EL PLOMO'!AY92</f>
        <v/>
      </c>
      <c r="BA349" s="2" t="str">
        <f>'CERRO EL PLOMO'!AZ92</f>
        <v/>
      </c>
      <c r="BB349" s="2" t="str">
        <f>'CERRO EL PLOMO'!BA92</f>
        <v/>
      </c>
      <c r="BC349" s="2" t="str">
        <f>'CERRO EL PLOMO'!BB92</f>
        <v/>
      </c>
      <c r="BD349" s="2" t="str">
        <f>'CERRO EL PLOMO'!BC92</f>
        <v/>
      </c>
      <c r="BE349" s="2" t="str">
        <f>'CERRO EL PLOMO'!BD92</f>
        <v/>
      </c>
      <c r="BF349" s="2" t="str">
        <f>'CERRO EL PLOMO'!BE92</f>
        <v/>
      </c>
      <c r="BG349" s="2" t="str">
        <f>'CERRO EL PLOMO'!BF92</f>
        <v/>
      </c>
      <c r="BH349" s="2" t="str">
        <f>'CERRO EL PLOMO'!BG92</f>
        <v/>
      </c>
      <c r="BI349" s="2" t="str">
        <f>'CERRO EL PLOMO'!BH92</f>
        <v/>
      </c>
      <c r="BJ349" s="2" t="str">
        <f>'CERRO EL PLOMO'!BI92</f>
        <v/>
      </c>
      <c r="BK349" s="2" t="str">
        <f>'CERRO EL PLOMO'!BJ92</f>
        <v/>
      </c>
      <c r="BL349" s="2" t="str">
        <f>'CERRO EL PLOMO'!BK92</f>
        <v/>
      </c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 t="str">
        <f>'CERRO EL PLOMO'!AQ93</f>
        <v/>
      </c>
      <c r="AS350" s="2" t="str">
        <f>'CERRO EL PLOMO'!AR93</f>
        <v/>
      </c>
      <c r="AT350" s="2" t="str">
        <f>'CERRO EL PLOMO'!AS93</f>
        <v/>
      </c>
      <c r="AU350" s="2" t="str">
        <f>'CERRO EL PLOMO'!AT93</f>
        <v/>
      </c>
      <c r="AV350" s="2" t="str">
        <f>'CERRO EL PLOMO'!AU93</f>
        <v/>
      </c>
      <c r="AW350" s="2" t="str">
        <f>'CERRO EL PLOMO'!AV93</f>
        <v/>
      </c>
      <c r="AX350" s="2" t="str">
        <f>'CERRO EL PLOMO'!AW93</f>
        <v/>
      </c>
      <c r="AY350" s="2" t="str">
        <f>'CERRO EL PLOMO'!AX93</f>
        <v/>
      </c>
      <c r="AZ350" s="2" t="str">
        <f>'CERRO EL PLOMO'!AY93</f>
        <v/>
      </c>
      <c r="BA350" s="2" t="str">
        <f>'CERRO EL PLOMO'!AZ93</f>
        <v/>
      </c>
      <c r="BB350" s="2" t="str">
        <f>'CERRO EL PLOMO'!BA93</f>
        <v/>
      </c>
      <c r="BC350" s="2" t="str">
        <f>'CERRO EL PLOMO'!BB93</f>
        <v/>
      </c>
      <c r="BD350" s="2" t="str">
        <f>'CERRO EL PLOMO'!BC93</f>
        <v/>
      </c>
      <c r="BE350" s="2" t="str">
        <f>'CERRO EL PLOMO'!BD93</f>
        <v/>
      </c>
      <c r="BF350" s="2" t="str">
        <f>'CERRO EL PLOMO'!BE93</f>
        <v/>
      </c>
      <c r="BG350" s="2" t="str">
        <f>'CERRO EL PLOMO'!BF93</f>
        <v/>
      </c>
      <c r="BH350" s="2" t="str">
        <f>'CERRO EL PLOMO'!BG93</f>
        <v/>
      </c>
      <c r="BI350" s="2" t="str">
        <f>'CERRO EL PLOMO'!BH93</f>
        <v/>
      </c>
      <c r="BJ350" s="2" t="str">
        <f>'CERRO EL PLOMO'!BI93</f>
        <v/>
      </c>
      <c r="BK350" s="2" t="str">
        <f>'CERRO EL PLOMO'!BJ93</f>
        <v/>
      </c>
      <c r="BL350" s="2" t="str">
        <f>'CERRO EL PLOMO'!BK93</f>
        <v/>
      </c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 t="str">
        <f>'CERRO EL PLOMO'!AQ94</f>
        <v/>
      </c>
      <c r="AS351" s="2" t="str">
        <f>'CERRO EL PLOMO'!AR94</f>
        <v/>
      </c>
      <c r="AT351" s="2" t="str">
        <f>'CERRO EL PLOMO'!AS94</f>
        <v/>
      </c>
      <c r="AU351" s="2" t="str">
        <f>'CERRO EL PLOMO'!AT94</f>
        <v/>
      </c>
      <c r="AV351" s="2" t="str">
        <f>'CERRO EL PLOMO'!AU94</f>
        <v/>
      </c>
      <c r="AW351" s="2" t="str">
        <f>'CERRO EL PLOMO'!AV94</f>
        <v/>
      </c>
      <c r="AX351" s="2" t="str">
        <f>'CERRO EL PLOMO'!AW94</f>
        <v/>
      </c>
      <c r="AY351" s="2" t="str">
        <f>'CERRO EL PLOMO'!AX94</f>
        <v/>
      </c>
      <c r="AZ351" s="2" t="str">
        <f>'CERRO EL PLOMO'!AY94</f>
        <v/>
      </c>
      <c r="BA351" s="2" t="str">
        <f>'CERRO EL PLOMO'!AZ94</f>
        <v/>
      </c>
      <c r="BB351" s="2" t="str">
        <f>'CERRO EL PLOMO'!BA94</f>
        <v/>
      </c>
      <c r="BC351" s="2" t="str">
        <f>'CERRO EL PLOMO'!BB94</f>
        <v/>
      </c>
      <c r="BD351" s="2" t="str">
        <f>'CERRO EL PLOMO'!BC94</f>
        <v/>
      </c>
      <c r="BE351" s="2" t="str">
        <f>'CERRO EL PLOMO'!BD94</f>
        <v/>
      </c>
      <c r="BF351" s="2" t="str">
        <f>'CERRO EL PLOMO'!BE94</f>
        <v/>
      </c>
      <c r="BG351" s="2" t="str">
        <f>'CERRO EL PLOMO'!BF94</f>
        <v/>
      </c>
      <c r="BH351" s="2" t="str">
        <f>'CERRO EL PLOMO'!BG94</f>
        <v/>
      </c>
      <c r="BI351" s="2" t="str">
        <f>'CERRO EL PLOMO'!BH94</f>
        <v/>
      </c>
      <c r="BJ351" s="2" t="str">
        <f>'CERRO EL PLOMO'!BI94</f>
        <v/>
      </c>
      <c r="BK351" s="2" t="str">
        <f>'CERRO EL PLOMO'!BJ94</f>
        <v/>
      </c>
      <c r="BL351" s="2" t="str">
        <f>'CERRO EL PLOMO'!BK94</f>
        <v/>
      </c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0.13"/>
    <col customWidth="1" min="3" max="3" width="22.5"/>
    <col customWidth="1" hidden="1" min="4" max="4" width="15.5"/>
    <col customWidth="1" hidden="1" min="5" max="5" width="14.63"/>
    <col hidden="1" min="6" max="42" width="12.63"/>
  </cols>
  <sheetData>
    <row r="1">
      <c r="A1" s="16"/>
      <c r="B1" s="16"/>
      <c r="C1" s="16"/>
      <c r="D1" s="16" t="str">
        <f t="shared" ref="D1:G1" si="1">UPPER(TEXT(D2,"mmmm"))</f>
        <v>JUNIO</v>
      </c>
      <c r="E1" s="16" t="str">
        <f t="shared" si="1"/>
        <v>JUNIO</v>
      </c>
      <c r="F1" s="16" t="str">
        <f t="shared" si="1"/>
        <v>JUNIO</v>
      </c>
      <c r="G1" s="16" t="str">
        <f t="shared" si="1"/>
        <v>JUNIO</v>
      </c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G2" si="2">E2+7</f>
        <v>45824</v>
      </c>
      <c r="G2" s="18">
        <f t="shared" si="2"/>
        <v>45831</v>
      </c>
      <c r="H2" s="17">
        <v>45845.0</v>
      </c>
      <c r="I2" s="17">
        <f t="shared" ref="I2:K2" si="3">H2+7</f>
        <v>45852</v>
      </c>
      <c r="J2" s="18">
        <f t="shared" si="3"/>
        <v>45859</v>
      </c>
      <c r="K2" s="18">
        <f t="shared" si="3"/>
        <v>45866</v>
      </c>
      <c r="L2" s="17">
        <v>45873.0</v>
      </c>
      <c r="M2" s="17">
        <f t="shared" ref="M2:O2" si="4">L2+7</f>
        <v>45880</v>
      </c>
      <c r="N2" s="18">
        <f t="shared" si="4"/>
        <v>45887</v>
      </c>
      <c r="O2" s="18">
        <f t="shared" si="4"/>
        <v>45894</v>
      </c>
      <c r="P2" s="18">
        <v>45901.0</v>
      </c>
      <c r="Q2" s="17">
        <v>45915.0</v>
      </c>
      <c r="R2" s="17">
        <f t="shared" ref="R2:T2" si="5">Q2+7</f>
        <v>45922</v>
      </c>
      <c r="S2" s="18">
        <f t="shared" si="5"/>
        <v>45929</v>
      </c>
      <c r="T2" s="18">
        <f t="shared" si="5"/>
        <v>45936</v>
      </c>
      <c r="U2" s="17">
        <v>45939.0</v>
      </c>
      <c r="V2" s="17">
        <v>45957.0</v>
      </c>
      <c r="W2" s="17">
        <f>V2+7</f>
        <v>45964</v>
      </c>
      <c r="X2" s="17">
        <v>45971.0</v>
      </c>
      <c r="Y2" s="17">
        <f>X2+7</f>
        <v>45978</v>
      </c>
      <c r="Z2" s="17">
        <v>45979.0</v>
      </c>
      <c r="AA2" s="17">
        <v>45980.0</v>
      </c>
      <c r="AB2" s="17">
        <v>45985.0</v>
      </c>
      <c r="AC2" s="17">
        <v>45993.0</v>
      </c>
      <c r="AD2" s="17">
        <v>46006.0</v>
      </c>
      <c r="AE2" s="17">
        <v>46013.0</v>
      </c>
      <c r="AF2" s="17">
        <v>46027.0</v>
      </c>
      <c r="AG2" s="17">
        <v>46030.0</v>
      </c>
      <c r="AH2" s="17">
        <v>46034.0</v>
      </c>
      <c r="AI2" s="17">
        <v>46037.0</v>
      </c>
      <c r="AJ2" s="17">
        <v>46041.0</v>
      </c>
      <c r="AK2" s="17">
        <v>46048.0</v>
      </c>
      <c r="AL2" s="17">
        <v>46057.0</v>
      </c>
      <c r="AM2" s="17">
        <v>46062.0</v>
      </c>
      <c r="AN2" s="17">
        <v>46065.0</v>
      </c>
      <c r="AO2" s="17">
        <v>46069.0</v>
      </c>
      <c r="AP2" s="17">
        <v>46072.0</v>
      </c>
      <c r="AQ2" s="17">
        <v>46100.0</v>
      </c>
      <c r="AR2" s="17">
        <v>46104.0</v>
      </c>
      <c r="AS2" s="17"/>
      <c r="AT2" s="17"/>
      <c r="AU2" s="17"/>
      <c r="AV2" s="17"/>
      <c r="AW2" s="17"/>
      <c r="AX2" s="17"/>
      <c r="AY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/>
      <c r="AT3" s="16"/>
      <c r="AU3" s="16"/>
      <c r="AV3" s="16"/>
      <c r="AW3" s="16"/>
      <c r="AX3" s="16"/>
      <c r="AY3" s="16"/>
    </row>
    <row r="4">
      <c r="A4" s="19" t="s">
        <v>4</v>
      </c>
      <c r="B4" s="19" t="s">
        <v>5</v>
      </c>
      <c r="C4" s="19" t="s">
        <v>6</v>
      </c>
      <c r="D4" s="19">
        <v>1.0</v>
      </c>
      <c r="E4" s="19">
        <v>0.0</v>
      </c>
      <c r="F4" s="19">
        <v>3.0</v>
      </c>
      <c r="G4" s="19">
        <v>1.0</v>
      </c>
      <c r="H4" s="20"/>
      <c r="I4" s="20"/>
      <c r="L4" s="21">
        <v>9.0</v>
      </c>
      <c r="O4" s="22">
        <v>2.0</v>
      </c>
      <c r="P4" s="22">
        <v>0.0</v>
      </c>
      <c r="Q4" s="22">
        <v>2.0</v>
      </c>
      <c r="U4" s="22">
        <v>1.0</v>
      </c>
      <c r="W4" s="22">
        <v>1.0</v>
      </c>
      <c r="X4" s="22">
        <v>0.0</v>
      </c>
      <c r="Y4" s="22">
        <v>2.0</v>
      </c>
      <c r="Z4" s="22">
        <v>1.0</v>
      </c>
      <c r="AA4" s="22">
        <v>3.0</v>
      </c>
      <c r="AB4" s="22">
        <v>1.0</v>
      </c>
      <c r="AC4" s="22">
        <v>1.0</v>
      </c>
      <c r="AD4" s="22">
        <v>1.0</v>
      </c>
      <c r="AE4" s="22">
        <v>0.0</v>
      </c>
      <c r="AF4" s="22">
        <v>1.0</v>
      </c>
      <c r="AG4" s="22">
        <v>8.0</v>
      </c>
      <c r="AH4" s="22">
        <v>5.0</v>
      </c>
      <c r="AI4" s="22">
        <v>5.0</v>
      </c>
      <c r="AJ4" s="22">
        <v>4.0</v>
      </c>
      <c r="AK4" s="22">
        <v>0.0</v>
      </c>
      <c r="AL4" s="22">
        <v>1.0</v>
      </c>
      <c r="AM4" s="22">
        <v>0.0</v>
      </c>
      <c r="AN4" s="22">
        <v>0.0</v>
      </c>
      <c r="AO4" s="22">
        <v>2.0</v>
      </c>
      <c r="AP4" s="22">
        <v>0.0</v>
      </c>
      <c r="AQ4" s="22">
        <v>0.0</v>
      </c>
      <c r="AR4" s="22">
        <v>0.0</v>
      </c>
      <c r="AS4" s="22"/>
      <c r="AT4" s="22"/>
      <c r="AU4" s="22"/>
      <c r="AV4" s="22"/>
      <c r="AW4" s="22"/>
      <c r="AX4" s="22"/>
      <c r="AY4" s="22"/>
    </row>
    <row r="5">
      <c r="A5" s="19" t="s">
        <v>4</v>
      </c>
      <c r="B5" s="19" t="s">
        <v>7</v>
      </c>
      <c r="C5" s="19" t="s">
        <v>8</v>
      </c>
      <c r="D5" s="19">
        <v>12.0</v>
      </c>
      <c r="E5" s="19">
        <v>6.0</v>
      </c>
      <c r="F5" s="19">
        <v>0.0</v>
      </c>
      <c r="G5" s="19">
        <v>0.0</v>
      </c>
      <c r="H5" s="20"/>
      <c r="I5" s="20"/>
      <c r="L5" s="21">
        <v>0.0</v>
      </c>
      <c r="O5" s="22">
        <v>0.0</v>
      </c>
      <c r="P5" s="22">
        <v>4.0</v>
      </c>
      <c r="Q5" s="22">
        <v>6.0</v>
      </c>
      <c r="U5" s="22">
        <v>0.0</v>
      </c>
      <c r="W5" s="22">
        <v>5.0</v>
      </c>
      <c r="X5" s="22">
        <v>2.0</v>
      </c>
      <c r="Y5" s="22">
        <v>4.0</v>
      </c>
      <c r="Z5" s="22">
        <v>8.0</v>
      </c>
      <c r="AA5" s="22">
        <v>7.0</v>
      </c>
      <c r="AB5" s="22">
        <v>5.0</v>
      </c>
      <c r="AC5" s="22">
        <v>7.0</v>
      </c>
      <c r="AD5" s="22">
        <v>2.0</v>
      </c>
      <c r="AE5" s="22">
        <v>4.0</v>
      </c>
      <c r="AF5" s="22">
        <v>0.0</v>
      </c>
      <c r="AG5" s="22">
        <v>0.0</v>
      </c>
      <c r="AH5" s="22">
        <v>0.0</v>
      </c>
      <c r="AI5" s="22">
        <v>0.0</v>
      </c>
      <c r="AJ5" s="22">
        <v>1.0</v>
      </c>
      <c r="AK5" s="22">
        <v>3.0</v>
      </c>
      <c r="AL5" s="22">
        <v>1.0</v>
      </c>
      <c r="AM5" s="22">
        <v>0.0</v>
      </c>
      <c r="AN5" s="22">
        <v>4.0</v>
      </c>
      <c r="AO5" s="22">
        <v>2.0</v>
      </c>
      <c r="AP5" s="22">
        <v>8.0</v>
      </c>
      <c r="AQ5" s="22">
        <v>2.0</v>
      </c>
      <c r="AR5" s="22">
        <v>3.0</v>
      </c>
      <c r="AS5" s="22"/>
      <c r="AT5" s="22"/>
      <c r="AU5" s="22"/>
      <c r="AV5" s="22"/>
      <c r="AW5" s="22"/>
      <c r="AX5" s="22"/>
      <c r="AY5" s="22"/>
    </row>
    <row r="6">
      <c r="A6" s="19" t="s">
        <v>4</v>
      </c>
      <c r="B6" s="19" t="s">
        <v>7</v>
      </c>
      <c r="C6" s="19" t="s">
        <v>9</v>
      </c>
      <c r="D6" s="19">
        <v>31.0</v>
      </c>
      <c r="E6" s="19">
        <v>25.0</v>
      </c>
      <c r="F6" s="19">
        <v>20.0</v>
      </c>
      <c r="G6" s="19">
        <v>16.0</v>
      </c>
      <c r="H6" s="20"/>
      <c r="I6" s="20"/>
      <c r="L6" s="21">
        <v>2.0</v>
      </c>
      <c r="O6" s="22">
        <v>2.0</v>
      </c>
      <c r="P6" s="22">
        <v>4.0</v>
      </c>
      <c r="Q6" s="22">
        <v>4.0</v>
      </c>
      <c r="U6" s="22">
        <v>2.0</v>
      </c>
      <c r="W6" s="22">
        <v>8.0</v>
      </c>
      <c r="X6" s="22">
        <v>5.0</v>
      </c>
      <c r="Y6" s="22">
        <v>7.0</v>
      </c>
      <c r="Z6" s="22">
        <v>11.0</v>
      </c>
      <c r="AA6" s="22">
        <v>11.0</v>
      </c>
      <c r="AB6" s="22">
        <v>9.0</v>
      </c>
      <c r="AC6" s="22">
        <v>6.0</v>
      </c>
      <c r="AD6" s="22">
        <v>0.0</v>
      </c>
      <c r="AE6" s="22">
        <v>5.0</v>
      </c>
      <c r="AF6" s="22">
        <v>6.0</v>
      </c>
      <c r="AG6" s="22">
        <v>5.0</v>
      </c>
      <c r="AH6" s="22">
        <v>4.0</v>
      </c>
      <c r="AI6" s="22">
        <v>4.0</v>
      </c>
      <c r="AJ6" s="22">
        <v>3.0</v>
      </c>
      <c r="AK6" s="22">
        <v>6.0</v>
      </c>
      <c r="AL6" s="22">
        <v>4.0</v>
      </c>
      <c r="AM6" s="22">
        <v>2.0</v>
      </c>
      <c r="AN6" s="22">
        <v>6.0</v>
      </c>
      <c r="AO6" s="22">
        <v>5.0</v>
      </c>
      <c r="AP6" s="22">
        <v>7.0</v>
      </c>
      <c r="AQ6" s="22">
        <v>5.0</v>
      </c>
      <c r="AR6" s="22">
        <v>6.0</v>
      </c>
      <c r="AS6" s="22"/>
      <c r="AT6" s="22"/>
      <c r="AU6" s="22"/>
      <c r="AV6" s="22"/>
      <c r="AW6" s="22"/>
      <c r="AX6" s="22"/>
      <c r="AY6" s="22"/>
    </row>
    <row r="7">
      <c r="A7" s="19" t="s">
        <v>4</v>
      </c>
      <c r="B7" s="19" t="s">
        <v>7</v>
      </c>
      <c r="C7" s="19" t="s">
        <v>10</v>
      </c>
      <c r="D7" s="19">
        <v>7.0</v>
      </c>
      <c r="E7" s="19">
        <v>6.0</v>
      </c>
      <c r="F7" s="19">
        <v>0.0</v>
      </c>
      <c r="G7" s="19">
        <v>0.0</v>
      </c>
      <c r="H7" s="20"/>
      <c r="I7" s="20"/>
      <c r="L7" s="21">
        <v>2.0</v>
      </c>
      <c r="O7" s="22">
        <v>2.0</v>
      </c>
      <c r="P7" s="22">
        <v>1.0</v>
      </c>
      <c r="Q7" s="22">
        <v>1.0</v>
      </c>
      <c r="U7" s="22">
        <v>2.0</v>
      </c>
      <c r="W7" s="22">
        <v>2.0</v>
      </c>
      <c r="X7" s="22">
        <v>2.0</v>
      </c>
      <c r="Y7" s="22">
        <v>1.0</v>
      </c>
      <c r="Z7" s="22">
        <v>1.0</v>
      </c>
      <c r="AA7" s="22" t="s">
        <v>11</v>
      </c>
      <c r="AD7" s="22">
        <v>0.0</v>
      </c>
      <c r="AE7" s="22">
        <v>5.0</v>
      </c>
      <c r="AF7" s="22">
        <v>4.0</v>
      </c>
      <c r="AG7" s="22">
        <v>4.0</v>
      </c>
      <c r="AH7" s="22">
        <v>3.0</v>
      </c>
      <c r="AI7" s="22">
        <v>3.0</v>
      </c>
      <c r="AJ7" s="22">
        <v>2.0</v>
      </c>
      <c r="AK7" s="22">
        <v>0.0</v>
      </c>
      <c r="AL7" s="22">
        <v>0.0</v>
      </c>
      <c r="AM7" s="22">
        <v>0.0</v>
      </c>
      <c r="AN7" s="22">
        <v>0.0</v>
      </c>
      <c r="AO7" s="22">
        <v>0.0</v>
      </c>
      <c r="AP7" s="23">
        <v>0.0</v>
      </c>
      <c r="AQ7" s="23">
        <v>0.0</v>
      </c>
      <c r="AR7" s="24">
        <v>0.0</v>
      </c>
      <c r="AS7" s="22"/>
      <c r="AT7" s="22"/>
      <c r="AU7" s="22"/>
      <c r="AV7" s="22"/>
      <c r="AW7" s="22"/>
      <c r="AX7" s="22"/>
      <c r="AY7" s="22"/>
    </row>
    <row r="8">
      <c r="A8" s="19" t="s">
        <v>4</v>
      </c>
      <c r="B8" s="19" t="s">
        <v>7</v>
      </c>
      <c r="C8" s="19" t="s">
        <v>12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>
        <v>0.0</v>
      </c>
      <c r="AS8" s="22"/>
      <c r="AT8" s="22"/>
      <c r="AU8" s="22"/>
      <c r="AV8" s="22"/>
      <c r="AW8" s="22"/>
      <c r="AX8" s="22"/>
      <c r="AY8" s="22"/>
    </row>
    <row r="9">
      <c r="A9" s="19" t="s">
        <v>4</v>
      </c>
      <c r="B9" s="19" t="s">
        <v>13</v>
      </c>
      <c r="C9" s="19" t="s">
        <v>14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R9" s="25">
        <v>0.0</v>
      </c>
      <c r="AS9" s="22"/>
      <c r="AT9" s="22"/>
      <c r="AU9" s="22"/>
      <c r="AV9" s="22"/>
      <c r="AW9" s="22"/>
      <c r="AX9" s="22"/>
      <c r="AY9" s="22"/>
    </row>
    <row r="10">
      <c r="A10" s="19" t="s">
        <v>4</v>
      </c>
      <c r="B10" s="19" t="s">
        <v>7</v>
      </c>
      <c r="C10" s="19" t="s">
        <v>15</v>
      </c>
      <c r="P10" s="22">
        <v>0.0</v>
      </c>
      <c r="Q10" s="22">
        <v>0.0</v>
      </c>
      <c r="R10" s="22">
        <v>0.0</v>
      </c>
      <c r="S10" s="22">
        <v>0.0</v>
      </c>
      <c r="T10" s="22">
        <v>0.0</v>
      </c>
      <c r="U10" s="22">
        <v>0.0</v>
      </c>
      <c r="V10" s="22">
        <v>0.0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2">
        <v>0.0</v>
      </c>
      <c r="AF10" s="22">
        <v>0.0</v>
      </c>
      <c r="AG10" s="22">
        <v>0.0</v>
      </c>
      <c r="AH10" s="22">
        <v>0.0</v>
      </c>
      <c r="AI10" s="22">
        <v>0.0</v>
      </c>
      <c r="AJ10" s="22">
        <v>0.0</v>
      </c>
      <c r="AK10" s="22">
        <v>0.0</v>
      </c>
      <c r="AL10" s="22">
        <v>0.0</v>
      </c>
      <c r="AM10" s="22">
        <v>0.0</v>
      </c>
      <c r="AN10" s="22">
        <v>0.0</v>
      </c>
      <c r="AO10" s="22">
        <v>0.0</v>
      </c>
      <c r="AP10" s="22">
        <v>0.0</v>
      </c>
      <c r="AQ10" s="22">
        <v>0.0</v>
      </c>
      <c r="AR10" s="22">
        <v>0.0</v>
      </c>
      <c r="AS10" s="22"/>
      <c r="AT10" s="22"/>
      <c r="AU10" s="22"/>
      <c r="AV10" s="22"/>
      <c r="AW10" s="22"/>
      <c r="AX10" s="22"/>
      <c r="AY10" s="22"/>
    </row>
    <row r="11">
      <c r="A11" s="19" t="s">
        <v>4</v>
      </c>
      <c r="B11" s="19" t="s">
        <v>7</v>
      </c>
      <c r="C11" s="19" t="s">
        <v>16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>
        <v>0.0</v>
      </c>
      <c r="AD11" s="22">
        <v>1.0</v>
      </c>
      <c r="AE11" s="22">
        <v>3.0</v>
      </c>
      <c r="AF11" s="22">
        <v>4.0</v>
      </c>
      <c r="AG11" s="22">
        <v>10.0</v>
      </c>
      <c r="AH11" s="22">
        <v>8.0</v>
      </c>
      <c r="AI11" s="22">
        <v>8.0</v>
      </c>
      <c r="AJ11" s="22">
        <v>5.0</v>
      </c>
      <c r="AK11" s="22">
        <v>4.0</v>
      </c>
      <c r="AL11" s="22">
        <v>5.0</v>
      </c>
      <c r="AM11" s="22">
        <v>3.0</v>
      </c>
      <c r="AN11" s="22">
        <v>2.0</v>
      </c>
      <c r="AO11" s="22">
        <v>2.0</v>
      </c>
      <c r="AP11" s="22">
        <v>2.0</v>
      </c>
      <c r="AQ11" s="22">
        <v>2.0</v>
      </c>
      <c r="AR11" s="22">
        <v>3.0</v>
      </c>
      <c r="AS11" s="22"/>
      <c r="AT11" s="22"/>
      <c r="AU11" s="22"/>
      <c r="AV11" s="22"/>
      <c r="AW11" s="22"/>
      <c r="AX11" s="22"/>
      <c r="AY11" s="22"/>
    </row>
    <row r="12">
      <c r="A12" s="19" t="s">
        <v>4</v>
      </c>
      <c r="B12" s="19" t="s">
        <v>7</v>
      </c>
      <c r="C12" s="19" t="s">
        <v>17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>
        <v>1.0</v>
      </c>
      <c r="AD12" s="22">
        <v>2.0</v>
      </c>
      <c r="AE12" s="22">
        <v>4.0</v>
      </c>
      <c r="AF12" s="22">
        <v>4.0</v>
      </c>
      <c r="AG12" s="22">
        <v>7.0</v>
      </c>
      <c r="AH12" s="22">
        <v>5.0</v>
      </c>
      <c r="AI12" s="22">
        <v>5.0</v>
      </c>
      <c r="AJ12" s="22">
        <v>4.0</v>
      </c>
      <c r="AK12" s="22">
        <v>1.5</v>
      </c>
      <c r="AL12" s="22">
        <v>4.0</v>
      </c>
      <c r="AM12" s="22">
        <v>3.0</v>
      </c>
      <c r="AN12" s="22">
        <v>2.0</v>
      </c>
      <c r="AO12" s="22">
        <v>3.5</v>
      </c>
      <c r="AP12" s="22">
        <v>2.0</v>
      </c>
      <c r="AQ12" s="22">
        <v>3.0</v>
      </c>
      <c r="AR12" s="22">
        <v>6.0</v>
      </c>
      <c r="AS12" s="22"/>
      <c r="AT12" s="22"/>
      <c r="AU12" s="22"/>
      <c r="AV12" s="22"/>
      <c r="AW12" s="22"/>
      <c r="AX12" s="22"/>
      <c r="AY12" s="22"/>
    </row>
    <row r="13">
      <c r="A13" s="19" t="s">
        <v>4</v>
      </c>
      <c r="B13" s="19" t="s">
        <v>7</v>
      </c>
      <c r="C13" s="19" t="s">
        <v>18</v>
      </c>
      <c r="P13" s="22">
        <v>0.0</v>
      </c>
      <c r="Q13" s="22">
        <v>0.0</v>
      </c>
      <c r="R13" s="22">
        <v>0.0</v>
      </c>
      <c r="S13" s="22">
        <v>0.0</v>
      </c>
      <c r="T13" s="22">
        <v>0.0</v>
      </c>
      <c r="U13" s="22">
        <v>0.0</v>
      </c>
      <c r="W13" s="22">
        <v>1.0</v>
      </c>
      <c r="X13" s="22">
        <v>2.0</v>
      </c>
      <c r="Y13" s="22">
        <v>2.0</v>
      </c>
      <c r="Z13" s="22">
        <v>5.0</v>
      </c>
      <c r="AA13" s="22">
        <v>4.0</v>
      </c>
      <c r="AB13" s="22">
        <v>3.0</v>
      </c>
      <c r="AC13" s="22">
        <v>5.0</v>
      </c>
      <c r="AD13" s="22">
        <v>3.0</v>
      </c>
      <c r="AE13" s="22">
        <v>2.0</v>
      </c>
      <c r="AF13" s="22">
        <v>4.0</v>
      </c>
      <c r="AG13" s="22">
        <v>4.0</v>
      </c>
      <c r="AH13" s="22">
        <v>4.0</v>
      </c>
      <c r="AI13" s="22">
        <v>4.0</v>
      </c>
      <c r="AJ13" s="22">
        <v>3.0</v>
      </c>
      <c r="AK13" s="22">
        <v>6.0</v>
      </c>
      <c r="AL13" s="22">
        <v>6.0</v>
      </c>
      <c r="AM13" s="22">
        <v>5.0</v>
      </c>
      <c r="AN13" s="22">
        <v>5.0</v>
      </c>
      <c r="AO13" s="22">
        <v>4.0</v>
      </c>
      <c r="AP13" s="22">
        <v>4.0</v>
      </c>
      <c r="AQ13" s="22">
        <v>5.0</v>
      </c>
      <c r="AR13" s="22">
        <v>3.0</v>
      </c>
    </row>
    <row r="14">
      <c r="A14" s="19" t="s">
        <v>4</v>
      </c>
      <c r="B14" s="19" t="s">
        <v>7</v>
      </c>
      <c r="C14" s="19" t="s">
        <v>19</v>
      </c>
      <c r="P14" s="22"/>
      <c r="Q14" s="22"/>
      <c r="R14" s="22"/>
      <c r="S14" s="22"/>
      <c r="T14" s="22"/>
      <c r="U14" s="22"/>
      <c r="V14" s="22"/>
      <c r="W14" s="22"/>
      <c r="X14" s="22"/>
      <c r="AA14" s="22"/>
      <c r="AB14" s="22"/>
      <c r="AC14" s="22"/>
      <c r="AD14" s="22"/>
      <c r="AE14" s="22"/>
      <c r="AF14" s="22"/>
      <c r="AG14" s="22"/>
      <c r="AH14" s="22">
        <v>0.0</v>
      </c>
      <c r="AI14" s="22">
        <v>0.0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22">
        <v>20.0</v>
      </c>
      <c r="AP14" s="22">
        <v>20.0</v>
      </c>
      <c r="AQ14" s="22">
        <v>14.0</v>
      </c>
      <c r="AR14" s="22">
        <v>16.0</v>
      </c>
    </row>
    <row r="15">
      <c r="A15" s="19" t="s">
        <v>4</v>
      </c>
      <c r="B15" s="26" t="s">
        <v>13</v>
      </c>
      <c r="C15" s="19" t="s">
        <v>20</v>
      </c>
      <c r="P15" s="22" t="s">
        <v>21</v>
      </c>
      <c r="Q15" s="22" t="s">
        <v>21</v>
      </c>
      <c r="R15" s="22" t="s">
        <v>21</v>
      </c>
      <c r="S15" s="22" t="s">
        <v>21</v>
      </c>
      <c r="T15" s="22" t="s">
        <v>21</v>
      </c>
      <c r="U15" s="22" t="s">
        <v>21</v>
      </c>
      <c r="V15" s="22" t="s">
        <v>21</v>
      </c>
      <c r="W15" s="22" t="s">
        <v>21</v>
      </c>
      <c r="X15" s="22" t="s">
        <v>21</v>
      </c>
      <c r="AA15" s="22">
        <v>6.0</v>
      </c>
      <c r="AB15" s="22">
        <v>6.0</v>
      </c>
      <c r="AC15" s="22">
        <v>5.0</v>
      </c>
      <c r="AD15" s="22">
        <v>4.0</v>
      </c>
      <c r="AE15" s="22">
        <v>4.0</v>
      </c>
      <c r="AF15" s="22">
        <v>5.0</v>
      </c>
      <c r="AG15" s="22">
        <v>5.0</v>
      </c>
      <c r="AH15" s="22">
        <v>5.0</v>
      </c>
      <c r="AI15" s="22">
        <v>5.0</v>
      </c>
      <c r="AJ15" s="22">
        <v>4.0</v>
      </c>
      <c r="AK15" s="22">
        <v>4.0</v>
      </c>
      <c r="AL15" s="22">
        <v>4.0</v>
      </c>
      <c r="AM15" s="22">
        <v>4.0</v>
      </c>
      <c r="AN15" s="22">
        <v>4.0</v>
      </c>
      <c r="AO15" s="22">
        <v>3.0</v>
      </c>
      <c r="AP15" s="22">
        <v>4.0</v>
      </c>
      <c r="AQ15" s="22">
        <v>4.0</v>
      </c>
      <c r="AR15" s="22">
        <v>3.0</v>
      </c>
    </row>
    <row r="16">
      <c r="A16" s="19" t="s">
        <v>4</v>
      </c>
      <c r="B16" s="26" t="s">
        <v>13</v>
      </c>
      <c r="C16" s="19" t="s">
        <v>22</v>
      </c>
      <c r="P16" s="22" t="s">
        <v>21</v>
      </c>
      <c r="Q16" s="22" t="s">
        <v>21</v>
      </c>
      <c r="R16" s="22" t="s">
        <v>21</v>
      </c>
      <c r="S16" s="22" t="s">
        <v>21</v>
      </c>
      <c r="T16" s="22" t="s">
        <v>21</v>
      </c>
      <c r="U16" s="22" t="s">
        <v>21</v>
      </c>
      <c r="V16" s="22" t="s">
        <v>21</v>
      </c>
      <c r="W16" s="22" t="s">
        <v>21</v>
      </c>
      <c r="X16" s="22" t="s">
        <v>21</v>
      </c>
      <c r="AA16" s="22">
        <v>5.0</v>
      </c>
      <c r="AB16" s="22">
        <v>5.0</v>
      </c>
      <c r="AC16" s="22">
        <v>5.0</v>
      </c>
      <c r="AD16" s="22">
        <v>3.0</v>
      </c>
      <c r="AE16" s="22">
        <v>3.0</v>
      </c>
      <c r="AF16" s="22">
        <v>3.0</v>
      </c>
      <c r="AG16" s="22">
        <v>3.0</v>
      </c>
      <c r="AH16" s="22">
        <v>3.0</v>
      </c>
      <c r="AI16" s="22">
        <v>3.0</v>
      </c>
      <c r="AJ16" s="22">
        <v>2.0</v>
      </c>
      <c r="AK16" s="22">
        <v>2.0</v>
      </c>
      <c r="AL16" s="22">
        <v>2.0</v>
      </c>
      <c r="AM16" s="22">
        <v>2.0</v>
      </c>
      <c r="AN16" s="22">
        <v>2.0</v>
      </c>
      <c r="AO16" s="22">
        <v>5.0</v>
      </c>
      <c r="AP16" s="22">
        <v>4.0</v>
      </c>
      <c r="AQ16" s="22">
        <v>4.0</v>
      </c>
      <c r="AR16" s="22">
        <v>0.0</v>
      </c>
    </row>
    <row r="17">
      <c r="A17" s="19" t="s">
        <v>4</v>
      </c>
      <c r="B17" s="26" t="s">
        <v>13</v>
      </c>
      <c r="C17" s="19" t="s">
        <v>23</v>
      </c>
      <c r="P17" s="22" t="s">
        <v>21</v>
      </c>
      <c r="Q17" s="22" t="s">
        <v>21</v>
      </c>
      <c r="R17" s="22" t="s">
        <v>21</v>
      </c>
      <c r="S17" s="22" t="s">
        <v>21</v>
      </c>
      <c r="T17" s="22" t="s">
        <v>21</v>
      </c>
      <c r="U17" s="22" t="s">
        <v>21</v>
      </c>
      <c r="V17" s="22" t="s">
        <v>21</v>
      </c>
      <c r="W17" s="22" t="s">
        <v>21</v>
      </c>
      <c r="X17" s="22" t="s">
        <v>21</v>
      </c>
      <c r="AA17" s="22">
        <v>4.0</v>
      </c>
      <c r="AB17" s="22">
        <v>4.0</v>
      </c>
      <c r="AC17" s="22">
        <v>4.0</v>
      </c>
      <c r="AD17" s="22">
        <v>3.0</v>
      </c>
      <c r="AE17" s="22">
        <v>4.0</v>
      </c>
      <c r="AF17" s="22">
        <v>4.0</v>
      </c>
      <c r="AG17" s="22">
        <v>4.0</v>
      </c>
      <c r="AH17" s="22">
        <v>4.0</v>
      </c>
      <c r="AI17" s="22">
        <v>4.0</v>
      </c>
      <c r="AJ17" s="22">
        <v>3.0</v>
      </c>
      <c r="AK17" s="22">
        <v>3.0</v>
      </c>
      <c r="AL17" s="22">
        <v>2.0</v>
      </c>
      <c r="AM17" s="22">
        <v>2.0</v>
      </c>
      <c r="AN17" s="22">
        <v>2.0</v>
      </c>
      <c r="AO17" s="22">
        <v>3.0</v>
      </c>
      <c r="AP17" s="22">
        <v>5.0</v>
      </c>
      <c r="AQ17" s="22">
        <v>3.0</v>
      </c>
      <c r="AR17" s="22">
        <v>1.0</v>
      </c>
    </row>
    <row r="18">
      <c r="A18" s="19" t="s">
        <v>4</v>
      </c>
      <c r="B18" s="26" t="s">
        <v>13</v>
      </c>
      <c r="C18" s="19" t="s">
        <v>24</v>
      </c>
      <c r="P18" s="22" t="s">
        <v>21</v>
      </c>
      <c r="Q18" s="22" t="s">
        <v>21</v>
      </c>
      <c r="R18" s="22" t="s">
        <v>21</v>
      </c>
      <c r="S18" s="22" t="s">
        <v>21</v>
      </c>
      <c r="T18" s="22" t="s">
        <v>21</v>
      </c>
      <c r="U18" s="22" t="s">
        <v>21</v>
      </c>
      <c r="V18" s="22" t="s">
        <v>21</v>
      </c>
      <c r="W18" s="22" t="s">
        <v>21</v>
      </c>
      <c r="X18" s="22" t="s">
        <v>21</v>
      </c>
      <c r="AA18" s="22">
        <v>6.0</v>
      </c>
      <c r="AB18" s="22">
        <v>6.0</v>
      </c>
      <c r="AC18" s="22">
        <v>5.0</v>
      </c>
      <c r="AD18" s="22">
        <v>4.0</v>
      </c>
      <c r="AE18" s="22">
        <v>3.0</v>
      </c>
      <c r="AF18" s="22">
        <v>5.0</v>
      </c>
      <c r="AG18" s="22">
        <v>4.0</v>
      </c>
      <c r="AH18" s="22">
        <v>4.0</v>
      </c>
      <c r="AI18" s="22">
        <v>4.0</v>
      </c>
      <c r="AJ18" s="22">
        <v>4.0</v>
      </c>
      <c r="AK18" s="22">
        <v>3.0</v>
      </c>
      <c r="AL18" s="22">
        <v>2.0</v>
      </c>
      <c r="AM18" s="22">
        <v>2.0</v>
      </c>
      <c r="AN18" s="22">
        <v>2.0</v>
      </c>
      <c r="AO18" s="22">
        <v>3.0</v>
      </c>
      <c r="AP18" s="22">
        <v>7.0</v>
      </c>
      <c r="AQ18" s="22">
        <v>5.0</v>
      </c>
      <c r="AR18" s="22">
        <v>3.0</v>
      </c>
    </row>
    <row r="19">
      <c r="A19" s="19" t="s">
        <v>4</v>
      </c>
      <c r="B19" s="26" t="s">
        <v>13</v>
      </c>
      <c r="C19" s="19" t="s">
        <v>25</v>
      </c>
      <c r="AP19" s="22">
        <v>2.0</v>
      </c>
      <c r="AQ19" s="22">
        <v>2.0</v>
      </c>
      <c r="AR19" s="22">
        <v>2.0</v>
      </c>
    </row>
    <row r="20">
      <c r="A20" s="19" t="s">
        <v>4</v>
      </c>
      <c r="B20" s="26" t="s">
        <v>13</v>
      </c>
      <c r="C20" s="19" t="s">
        <v>26</v>
      </c>
      <c r="AP20" s="22">
        <v>6.0</v>
      </c>
      <c r="AQ20" s="22">
        <v>4.0</v>
      </c>
      <c r="AR20" s="22">
        <v>2.0</v>
      </c>
    </row>
    <row r="21">
      <c r="A21" s="19" t="s">
        <v>4</v>
      </c>
      <c r="B21" s="26" t="s">
        <v>13</v>
      </c>
      <c r="C21" s="19" t="s">
        <v>27</v>
      </c>
      <c r="AP21" s="22">
        <v>9.0</v>
      </c>
      <c r="AQ21" s="22">
        <v>8.0</v>
      </c>
      <c r="AR21" s="22">
        <v>4.0</v>
      </c>
    </row>
    <row r="22">
      <c r="A22" s="19" t="s">
        <v>4</v>
      </c>
      <c r="B22" s="26" t="s">
        <v>13</v>
      </c>
      <c r="C22" s="19" t="s">
        <v>28</v>
      </c>
      <c r="AP22" s="22">
        <v>3.0</v>
      </c>
      <c r="AQ22" s="22">
        <v>4.0</v>
      </c>
      <c r="AR22" s="22">
        <v>3.0</v>
      </c>
    </row>
    <row r="23">
      <c r="A23" s="19" t="s">
        <v>4</v>
      </c>
      <c r="B23" s="26" t="s">
        <v>13</v>
      </c>
      <c r="C23" s="19" t="s">
        <v>29</v>
      </c>
      <c r="AP23" s="22">
        <v>3.0</v>
      </c>
      <c r="AQ23" s="22">
        <v>2.0</v>
      </c>
      <c r="AR23" s="22">
        <v>0.0</v>
      </c>
    </row>
    <row r="24">
      <c r="A24" s="19" t="s">
        <v>4</v>
      </c>
      <c r="B24" s="26" t="s">
        <v>13</v>
      </c>
      <c r="C24" s="19" t="s">
        <v>30</v>
      </c>
      <c r="AP24" s="22">
        <v>17.0</v>
      </c>
      <c r="AQ24" s="22">
        <v>10.0</v>
      </c>
      <c r="AR24" s="22">
        <v>7.0</v>
      </c>
    </row>
    <row r="25">
      <c r="A25" s="19" t="s">
        <v>4</v>
      </c>
      <c r="B25" s="26" t="s">
        <v>13</v>
      </c>
      <c r="C25" s="19" t="s">
        <v>31</v>
      </c>
      <c r="AP25" s="22">
        <v>8.0</v>
      </c>
      <c r="AQ25" s="22">
        <v>6.0</v>
      </c>
      <c r="AR25" s="22">
        <v>4.0</v>
      </c>
    </row>
    <row r="26">
      <c r="A26" s="19" t="s">
        <v>4</v>
      </c>
      <c r="B26" s="26" t="s">
        <v>13</v>
      </c>
      <c r="C26" s="19" t="s">
        <v>32</v>
      </c>
      <c r="AP26" s="22">
        <v>3.0</v>
      </c>
      <c r="AQ26" s="22">
        <v>3.0</v>
      </c>
      <c r="AR26" s="22">
        <v>3.0</v>
      </c>
    </row>
    <row r="27">
      <c r="A27" s="19" t="s">
        <v>4</v>
      </c>
      <c r="B27" s="26" t="s">
        <v>13</v>
      </c>
      <c r="C27" s="19" t="s">
        <v>33</v>
      </c>
      <c r="AP27" s="22">
        <v>4.0</v>
      </c>
      <c r="AQ27" s="22">
        <v>4.0</v>
      </c>
      <c r="AR27" s="22">
        <v>3.0</v>
      </c>
    </row>
    <row r="28">
      <c r="A28" s="19" t="s">
        <v>4</v>
      </c>
      <c r="B28" s="26" t="s">
        <v>13</v>
      </c>
      <c r="C28" s="19" t="s">
        <v>34</v>
      </c>
      <c r="AP28" s="22">
        <v>3.0</v>
      </c>
      <c r="AQ28" s="22">
        <v>3.0</v>
      </c>
      <c r="AR28" s="22">
        <v>3.0</v>
      </c>
    </row>
    <row r="29">
      <c r="A29" s="19" t="s">
        <v>4</v>
      </c>
      <c r="B29" s="26" t="s">
        <v>13</v>
      </c>
      <c r="C29" s="19" t="s">
        <v>35</v>
      </c>
      <c r="AP29" s="22">
        <v>12.0</v>
      </c>
      <c r="AQ29" s="22">
        <v>7.0</v>
      </c>
      <c r="AR29" s="22">
        <v>10.0</v>
      </c>
    </row>
    <row r="30">
      <c r="A30" s="19" t="s">
        <v>4</v>
      </c>
      <c r="B30" s="26" t="s">
        <v>13</v>
      </c>
      <c r="C30" s="19" t="s">
        <v>36</v>
      </c>
      <c r="AP30" s="22">
        <v>14.0</v>
      </c>
      <c r="AQ30" s="22">
        <v>2.0</v>
      </c>
      <c r="AR30" s="23">
        <v>0.0</v>
      </c>
    </row>
    <row r="31">
      <c r="A31" s="19" t="s">
        <v>4</v>
      </c>
      <c r="B31" s="26" t="s">
        <v>13</v>
      </c>
      <c r="C31" s="19" t="s">
        <v>37</v>
      </c>
      <c r="AP31" s="22">
        <v>7.0</v>
      </c>
      <c r="AQ31" s="22">
        <v>5.0</v>
      </c>
      <c r="AR31" s="22">
        <v>10.0</v>
      </c>
    </row>
    <row r="32">
      <c r="A32" s="19" t="s">
        <v>4</v>
      </c>
      <c r="B32" s="26" t="s">
        <v>13</v>
      </c>
      <c r="C32" s="19" t="s">
        <v>38</v>
      </c>
      <c r="AP32" s="22">
        <v>5.0</v>
      </c>
      <c r="AQ32" s="22">
        <v>4.0</v>
      </c>
      <c r="AR32" s="22">
        <v>2.0</v>
      </c>
    </row>
    <row r="33">
      <c r="A33" s="19" t="s">
        <v>4</v>
      </c>
      <c r="B33" s="26" t="s">
        <v>13</v>
      </c>
      <c r="C33" s="19" t="s">
        <v>39</v>
      </c>
      <c r="AP33" s="22">
        <v>2.0</v>
      </c>
      <c r="AQ33" s="22">
        <v>2.0</v>
      </c>
      <c r="AR33" s="22">
        <v>1.0</v>
      </c>
    </row>
    <row r="34">
      <c r="A34" s="19" t="s">
        <v>4</v>
      </c>
      <c r="B34" s="26" t="s">
        <v>13</v>
      </c>
      <c r="C34" s="19" t="s">
        <v>40</v>
      </c>
      <c r="AP34" s="22">
        <v>4.0</v>
      </c>
      <c r="AQ34" s="22">
        <v>4.0</v>
      </c>
      <c r="AR34" s="22">
        <v>2.0</v>
      </c>
    </row>
    <row r="35">
      <c r="A35" s="19" t="s">
        <v>4</v>
      </c>
      <c r="B35" s="26" t="s">
        <v>13</v>
      </c>
      <c r="C35" s="19" t="s">
        <v>41</v>
      </c>
      <c r="AP35" s="22">
        <v>1.0</v>
      </c>
      <c r="AQ35" s="22">
        <v>1.0</v>
      </c>
      <c r="AR35" s="22">
        <v>0.0</v>
      </c>
    </row>
    <row r="36">
      <c r="A36" s="19" t="s">
        <v>4</v>
      </c>
      <c r="B36" s="26" t="s">
        <v>13</v>
      </c>
      <c r="C36" s="19" t="s">
        <v>42</v>
      </c>
      <c r="AP36" s="22">
        <v>14.0</v>
      </c>
      <c r="AQ36" s="22">
        <v>13.0</v>
      </c>
      <c r="AR36" s="22">
        <v>9.0</v>
      </c>
    </row>
  </sheetData>
  <dataValidations>
    <dataValidation type="list" allowBlank="1" showErrorMessage="1" sqref="B5:B36">
      <formula1>"Cafeteria,Aseo"</formula1>
    </dataValidation>
    <dataValidation type="list" allowBlank="1" showErrorMessage="1" sqref="B4">
      <formula1>"Dimerc,Coporate Coffe"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19.88"/>
    <col customWidth="1" min="3" max="3" width="22.75"/>
    <col customWidth="1" hidden="1" min="4" max="4" width="18.25"/>
    <col customWidth="1" hidden="1" min="5" max="5" width="13.38"/>
    <col hidden="1" min="6" max="6" width="12.63"/>
    <col customWidth="1" hidden="1" min="7" max="8" width="15.75"/>
    <col customWidth="1" hidden="1" min="9" max="9" width="14.13"/>
    <col hidden="1" min="10" max="49" width="12.63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7"/>
      <c r="J1" s="16"/>
      <c r="K1" s="27"/>
      <c r="L1" s="27"/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H2" si="1">E2+7</f>
        <v>45824</v>
      </c>
      <c r="G2" s="18">
        <f t="shared" si="1"/>
        <v>45831</v>
      </c>
      <c r="H2" s="17">
        <f t="shared" si="1"/>
        <v>45838</v>
      </c>
      <c r="I2" s="17">
        <v>45845.0</v>
      </c>
      <c r="J2" s="17">
        <f t="shared" ref="J2:L2" si="2">I2+7</f>
        <v>45852</v>
      </c>
      <c r="K2" s="18">
        <f t="shared" si="2"/>
        <v>45859</v>
      </c>
      <c r="L2" s="18">
        <f t="shared" si="2"/>
        <v>45866</v>
      </c>
      <c r="M2" s="17">
        <v>45873.0</v>
      </c>
      <c r="N2" s="17">
        <f t="shared" ref="N2:P2" si="3">M2+7</f>
        <v>45880</v>
      </c>
      <c r="O2" s="18">
        <f t="shared" si="3"/>
        <v>45887</v>
      </c>
      <c r="P2" s="18">
        <f t="shared" si="3"/>
        <v>45894</v>
      </c>
      <c r="Q2" s="18">
        <v>45901.0</v>
      </c>
      <c r="R2" s="18">
        <v>45908.0</v>
      </c>
      <c r="S2" s="18">
        <v>45915.0</v>
      </c>
      <c r="T2" s="18">
        <v>45922.0</v>
      </c>
      <c r="U2" s="18">
        <v>45929.0</v>
      </c>
      <c r="V2" s="18">
        <f>U2+7</f>
        <v>45936</v>
      </c>
      <c r="W2" s="18">
        <v>45943.0</v>
      </c>
      <c r="X2" s="18">
        <v>45950.0</v>
      </c>
      <c r="Y2" s="18">
        <v>45957.0</v>
      </c>
      <c r="Z2" s="18">
        <f>Y2+7</f>
        <v>45964</v>
      </c>
      <c r="AA2" s="17">
        <v>45967.0</v>
      </c>
      <c r="AB2" s="18">
        <f>AA2+4</f>
        <v>45971</v>
      </c>
      <c r="AC2" s="17">
        <v>45979.0</v>
      </c>
      <c r="AD2" s="17">
        <v>45985.0</v>
      </c>
      <c r="AE2" s="17">
        <v>45989.0</v>
      </c>
      <c r="AF2" s="17">
        <v>45992.0</v>
      </c>
      <c r="AG2" s="17">
        <v>45993.0</v>
      </c>
      <c r="AH2" s="17">
        <v>46000.0</v>
      </c>
      <c r="AI2" s="17">
        <v>46006.0</v>
      </c>
      <c r="AJ2" s="17">
        <v>46013.0</v>
      </c>
      <c r="AK2" s="17">
        <v>46020.0</v>
      </c>
      <c r="AL2" s="17">
        <v>46027.0</v>
      </c>
      <c r="AM2" s="17">
        <v>46030.0</v>
      </c>
      <c r="AN2" s="17">
        <v>46034.0</v>
      </c>
      <c r="AO2" s="17">
        <v>46037.0</v>
      </c>
      <c r="AP2" s="17">
        <v>46041.0</v>
      </c>
      <c r="AQ2" s="17">
        <v>46044.0</v>
      </c>
      <c r="AR2" s="17">
        <v>46051.0</v>
      </c>
      <c r="AS2" s="17">
        <v>46055.0</v>
      </c>
      <c r="AT2" s="17">
        <v>46062.0</v>
      </c>
      <c r="AU2" s="17">
        <v>46065.0</v>
      </c>
      <c r="AV2" s="17">
        <v>46069.0</v>
      </c>
      <c r="AW2" s="17">
        <v>46072.0</v>
      </c>
      <c r="AX2" s="17">
        <v>46076.0</v>
      </c>
      <c r="AY2" s="17">
        <v>46083.0</v>
      </c>
      <c r="AZ2" s="17">
        <v>46090.0</v>
      </c>
      <c r="BA2" s="17">
        <v>46091.0</v>
      </c>
      <c r="BB2" s="17">
        <v>46100.0</v>
      </c>
      <c r="BC2" s="17">
        <v>46104.0</v>
      </c>
      <c r="BD2" s="17"/>
      <c r="BE2" s="17"/>
      <c r="BF2" s="17"/>
      <c r="BG2" s="17"/>
      <c r="BH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/>
      <c r="BE3" s="16"/>
      <c r="BF3" s="16"/>
      <c r="BG3" s="16"/>
      <c r="BH3" s="16"/>
    </row>
    <row r="4">
      <c r="A4" s="19" t="s">
        <v>44</v>
      </c>
      <c r="B4" s="19" t="s">
        <v>45</v>
      </c>
      <c r="C4" s="19" t="s">
        <v>6</v>
      </c>
      <c r="D4" s="28">
        <v>6.5</v>
      </c>
      <c r="E4" s="28">
        <v>4.5</v>
      </c>
      <c r="F4" s="19">
        <v>13.0</v>
      </c>
      <c r="G4" s="19">
        <v>17.0</v>
      </c>
      <c r="H4" s="29">
        <v>10.5</v>
      </c>
      <c r="I4" s="30">
        <v>11.5</v>
      </c>
      <c r="J4" s="31" t="s">
        <v>46</v>
      </c>
      <c r="K4" s="31" t="s">
        <v>47</v>
      </c>
      <c r="L4" s="31" t="s">
        <v>48</v>
      </c>
      <c r="M4" s="30" t="s">
        <v>49</v>
      </c>
      <c r="N4" s="31" t="s">
        <v>50</v>
      </c>
      <c r="O4" s="31"/>
      <c r="P4" s="31">
        <v>10.0</v>
      </c>
      <c r="Q4" s="22">
        <v>8.5</v>
      </c>
      <c r="R4" s="32" t="s">
        <v>51</v>
      </c>
      <c r="S4" s="32" t="s">
        <v>52</v>
      </c>
      <c r="T4" s="32" t="s">
        <v>53</v>
      </c>
      <c r="U4" s="32" t="s">
        <v>54</v>
      </c>
      <c r="V4" s="32" t="s">
        <v>55</v>
      </c>
      <c r="W4" s="32" t="s">
        <v>56</v>
      </c>
      <c r="X4" s="32" t="s">
        <v>57</v>
      </c>
      <c r="Y4" s="32">
        <v>8.5</v>
      </c>
      <c r="Z4" s="32">
        <v>7.5</v>
      </c>
      <c r="AA4" s="32">
        <v>7.0</v>
      </c>
      <c r="AB4" s="32" t="s">
        <v>58</v>
      </c>
      <c r="AC4" s="32" t="s">
        <v>59</v>
      </c>
      <c r="AD4" s="32" t="s">
        <v>60</v>
      </c>
      <c r="AE4" s="32"/>
      <c r="AF4" s="32" t="s">
        <v>61</v>
      </c>
      <c r="AG4" s="32" t="s">
        <v>62</v>
      </c>
      <c r="AH4" s="32" t="s">
        <v>63</v>
      </c>
      <c r="AI4" s="32" t="s">
        <v>64</v>
      </c>
      <c r="AJ4" s="32" t="s">
        <v>65</v>
      </c>
      <c r="AK4" s="32" t="s">
        <v>66</v>
      </c>
      <c r="AL4" s="32" t="s">
        <v>67</v>
      </c>
      <c r="AM4" s="32" t="s">
        <v>68</v>
      </c>
      <c r="AN4" s="32" t="s">
        <v>69</v>
      </c>
      <c r="AO4" s="32" t="s">
        <v>69</v>
      </c>
      <c r="AP4" s="32" t="s">
        <v>60</v>
      </c>
      <c r="AQ4" s="32" t="s">
        <v>70</v>
      </c>
      <c r="AR4" s="32" t="s">
        <v>71</v>
      </c>
      <c r="AS4" s="32">
        <v>6.5</v>
      </c>
      <c r="AT4" s="32" t="s">
        <v>63</v>
      </c>
      <c r="AU4" s="32" t="s">
        <v>72</v>
      </c>
      <c r="AV4" s="32" t="s">
        <v>73</v>
      </c>
      <c r="AW4" s="32" t="s">
        <v>74</v>
      </c>
      <c r="AX4" s="32" t="s">
        <v>75</v>
      </c>
      <c r="AY4" s="32" t="s">
        <v>76</v>
      </c>
      <c r="AZ4" s="32" t="s">
        <v>77</v>
      </c>
      <c r="BA4" s="32" t="s">
        <v>78</v>
      </c>
      <c r="BB4" s="32" t="s">
        <v>79</v>
      </c>
      <c r="BC4" s="32" t="s">
        <v>69</v>
      </c>
      <c r="BD4" s="32"/>
      <c r="BE4" s="32"/>
      <c r="BF4" s="32"/>
      <c r="BG4" s="32"/>
      <c r="BH4" s="32"/>
    </row>
    <row r="5">
      <c r="A5" s="19" t="s">
        <v>44</v>
      </c>
      <c r="B5" s="19" t="s">
        <v>7</v>
      </c>
      <c r="C5" s="19" t="s">
        <v>8</v>
      </c>
      <c r="D5" s="28">
        <v>7.0</v>
      </c>
      <c r="E5" s="28">
        <v>10.0</v>
      </c>
      <c r="F5" s="19">
        <v>8.0</v>
      </c>
      <c r="G5" s="19">
        <v>7.0</v>
      </c>
      <c r="H5" s="33" t="s">
        <v>80</v>
      </c>
      <c r="I5" s="30" t="s">
        <v>81</v>
      </c>
      <c r="J5" s="31" t="s">
        <v>82</v>
      </c>
      <c r="K5" s="31" t="s">
        <v>83</v>
      </c>
      <c r="L5" s="31" t="s">
        <v>84</v>
      </c>
      <c r="M5" s="30">
        <v>3.0</v>
      </c>
      <c r="N5" s="31">
        <v>0.0</v>
      </c>
      <c r="O5" s="31">
        <v>0.0</v>
      </c>
      <c r="P5" s="31">
        <v>2.0</v>
      </c>
      <c r="Q5" s="22">
        <v>8.0</v>
      </c>
      <c r="R5" s="32" t="s">
        <v>85</v>
      </c>
      <c r="S5" s="32" t="s">
        <v>86</v>
      </c>
      <c r="T5" s="22">
        <v>1.0</v>
      </c>
      <c r="U5" s="22">
        <v>10.0</v>
      </c>
      <c r="V5" s="32" t="s">
        <v>86</v>
      </c>
      <c r="W5" s="22">
        <v>0.0</v>
      </c>
      <c r="X5" s="32">
        <v>0.0</v>
      </c>
      <c r="Y5" s="32" t="s">
        <v>87</v>
      </c>
      <c r="Z5" s="32">
        <v>0.0</v>
      </c>
      <c r="AA5" s="32">
        <v>10.0</v>
      </c>
      <c r="AB5" s="32" t="s">
        <v>85</v>
      </c>
      <c r="AC5" s="32">
        <v>3.0</v>
      </c>
      <c r="AD5" s="32">
        <v>0.0</v>
      </c>
      <c r="AE5" s="32" t="s">
        <v>82</v>
      </c>
      <c r="AF5" s="32">
        <v>0.0</v>
      </c>
      <c r="AG5" s="32" t="s">
        <v>88</v>
      </c>
      <c r="AH5" s="32" t="s">
        <v>89</v>
      </c>
      <c r="AI5" s="32" t="s">
        <v>85</v>
      </c>
      <c r="AJ5" s="32" t="s">
        <v>90</v>
      </c>
      <c r="AK5" s="32" t="s">
        <v>91</v>
      </c>
      <c r="AL5" s="32" t="s">
        <v>84</v>
      </c>
      <c r="AM5" s="32" t="s">
        <v>92</v>
      </c>
      <c r="AN5" s="32" t="s">
        <v>82</v>
      </c>
      <c r="AO5" s="32" t="s">
        <v>82</v>
      </c>
      <c r="AP5" s="32" t="s">
        <v>84</v>
      </c>
      <c r="AQ5" s="32" t="s">
        <v>93</v>
      </c>
      <c r="AR5" s="32" t="s">
        <v>94</v>
      </c>
      <c r="AS5" s="32" t="s">
        <v>82</v>
      </c>
      <c r="AT5" s="32" t="s">
        <v>82</v>
      </c>
      <c r="AU5" s="32" t="s">
        <v>84</v>
      </c>
      <c r="AV5" s="32" t="s">
        <v>95</v>
      </c>
      <c r="AW5" s="32" t="s">
        <v>93</v>
      </c>
      <c r="AX5" s="32" t="s">
        <v>96</v>
      </c>
      <c r="AY5" s="32" t="s">
        <v>97</v>
      </c>
      <c r="AZ5" s="32">
        <v>0.0</v>
      </c>
      <c r="BA5" s="32" t="s">
        <v>98</v>
      </c>
      <c r="BB5" s="32" t="s">
        <v>82</v>
      </c>
      <c r="BC5" s="32">
        <v>0.0</v>
      </c>
      <c r="BD5" s="32"/>
      <c r="BE5" s="32"/>
      <c r="BF5" s="32"/>
      <c r="BG5" s="32"/>
      <c r="BH5" s="32"/>
    </row>
    <row r="6">
      <c r="A6" s="19" t="s">
        <v>44</v>
      </c>
      <c r="B6" s="19" t="s">
        <v>7</v>
      </c>
      <c r="C6" s="19" t="s">
        <v>9</v>
      </c>
      <c r="D6" s="28">
        <v>8.0</v>
      </c>
      <c r="E6" s="28">
        <v>12.0</v>
      </c>
      <c r="F6" s="19">
        <v>10.0</v>
      </c>
      <c r="G6" s="34" t="s">
        <v>99</v>
      </c>
      <c r="H6" s="33" t="s">
        <v>100</v>
      </c>
      <c r="I6" s="30" t="s">
        <v>101</v>
      </c>
      <c r="J6" s="31" t="s">
        <v>102</v>
      </c>
      <c r="K6" s="31" t="s">
        <v>103</v>
      </c>
      <c r="L6" s="31" t="s">
        <v>104</v>
      </c>
      <c r="M6" s="35">
        <v>23.0</v>
      </c>
      <c r="N6" s="36">
        <v>0.0</v>
      </c>
      <c r="O6" s="31">
        <v>0.0</v>
      </c>
      <c r="P6" s="31">
        <v>1.0</v>
      </c>
      <c r="Q6" s="22">
        <v>20.0</v>
      </c>
      <c r="R6" s="32" t="s">
        <v>105</v>
      </c>
      <c r="S6" s="32" t="s">
        <v>94</v>
      </c>
      <c r="T6" s="22">
        <v>4.0</v>
      </c>
      <c r="U6" s="22">
        <v>18.0</v>
      </c>
      <c r="V6" s="32" t="s">
        <v>85</v>
      </c>
      <c r="W6" s="32" t="s">
        <v>95</v>
      </c>
      <c r="X6" s="32">
        <v>0.0</v>
      </c>
      <c r="Y6" s="32" t="s">
        <v>105</v>
      </c>
      <c r="Z6" s="32" t="s">
        <v>84</v>
      </c>
      <c r="AA6" s="32">
        <v>20.0</v>
      </c>
      <c r="AB6" s="32" t="s">
        <v>106</v>
      </c>
      <c r="AC6" s="32">
        <v>14.0</v>
      </c>
      <c r="AD6" s="32" t="s">
        <v>107</v>
      </c>
      <c r="AE6" s="32"/>
      <c r="AF6" s="32" t="s">
        <v>108</v>
      </c>
      <c r="AG6" s="32" t="s">
        <v>109</v>
      </c>
      <c r="AH6" s="32" t="s">
        <v>110</v>
      </c>
      <c r="AI6" s="32" t="s">
        <v>83</v>
      </c>
      <c r="AJ6" s="32" t="s">
        <v>111</v>
      </c>
      <c r="AK6" s="32" t="s">
        <v>111</v>
      </c>
      <c r="AL6" s="32" t="s">
        <v>112</v>
      </c>
      <c r="AM6" s="32" t="s">
        <v>113</v>
      </c>
      <c r="AN6" s="32" t="s">
        <v>114</v>
      </c>
      <c r="AO6" s="32" t="s">
        <v>114</v>
      </c>
      <c r="AP6" s="32" t="s">
        <v>115</v>
      </c>
      <c r="AQ6" s="32" t="s">
        <v>116</v>
      </c>
      <c r="AR6" s="32" t="s">
        <v>117</v>
      </c>
      <c r="AS6" s="32" t="s">
        <v>88</v>
      </c>
      <c r="AT6" s="32" t="s">
        <v>118</v>
      </c>
      <c r="AU6" s="32" t="s">
        <v>119</v>
      </c>
      <c r="AV6" s="32" t="s">
        <v>120</v>
      </c>
      <c r="AW6" s="32" t="s">
        <v>121</v>
      </c>
      <c r="AX6" s="32" t="s">
        <v>96</v>
      </c>
      <c r="AY6" s="32" t="s">
        <v>97</v>
      </c>
      <c r="AZ6" s="32">
        <v>0.0</v>
      </c>
      <c r="BA6" s="32" t="s">
        <v>84</v>
      </c>
      <c r="BB6" s="32" t="s">
        <v>82</v>
      </c>
      <c r="BC6" s="32">
        <v>0.0</v>
      </c>
      <c r="BD6" s="32"/>
      <c r="BE6" s="32"/>
      <c r="BF6" s="32"/>
      <c r="BG6" s="32"/>
      <c r="BH6" s="32"/>
    </row>
    <row r="7">
      <c r="A7" s="19" t="s">
        <v>44</v>
      </c>
      <c r="B7" s="19" t="s">
        <v>7</v>
      </c>
      <c r="C7" s="19" t="s">
        <v>10</v>
      </c>
      <c r="D7" s="28">
        <v>1.0</v>
      </c>
      <c r="E7" s="28">
        <v>6.0</v>
      </c>
      <c r="F7" s="19">
        <v>5.0</v>
      </c>
      <c r="G7" s="19">
        <v>4.0</v>
      </c>
      <c r="H7" s="29">
        <v>3.0</v>
      </c>
      <c r="I7" s="30">
        <v>3.0</v>
      </c>
      <c r="J7" s="31" t="s">
        <v>82</v>
      </c>
      <c r="K7" s="31" t="s">
        <v>82</v>
      </c>
      <c r="L7" s="31" t="s">
        <v>82</v>
      </c>
      <c r="M7" s="30">
        <v>2.0</v>
      </c>
      <c r="N7" s="37">
        <v>0.0</v>
      </c>
      <c r="O7" s="31">
        <v>1.0</v>
      </c>
      <c r="P7" s="31">
        <v>1.0</v>
      </c>
      <c r="Q7" s="22">
        <v>3.0</v>
      </c>
      <c r="R7" s="32" t="s">
        <v>122</v>
      </c>
      <c r="S7" s="32">
        <v>3.0</v>
      </c>
      <c r="T7" s="22">
        <v>3.0</v>
      </c>
      <c r="U7" s="22">
        <v>5.0</v>
      </c>
      <c r="V7" s="32">
        <v>4.0</v>
      </c>
      <c r="W7" s="32" t="s">
        <v>87</v>
      </c>
      <c r="X7" s="32">
        <v>3.5</v>
      </c>
      <c r="Y7" s="32">
        <v>3.0</v>
      </c>
      <c r="Z7" s="32">
        <v>3.0</v>
      </c>
      <c r="AA7" s="32">
        <v>2.0</v>
      </c>
      <c r="AB7" s="32">
        <v>2.0</v>
      </c>
      <c r="AC7" s="32">
        <v>1.0</v>
      </c>
      <c r="AD7" s="32">
        <v>1.0</v>
      </c>
      <c r="AE7" s="32"/>
      <c r="AF7" s="32">
        <v>1.0</v>
      </c>
      <c r="AG7" s="32">
        <v>1.0</v>
      </c>
      <c r="AH7" s="32">
        <v>1.0</v>
      </c>
      <c r="AI7" s="32">
        <v>1.0</v>
      </c>
      <c r="AJ7" s="32">
        <v>5.0</v>
      </c>
      <c r="AK7" s="32">
        <v>5.0</v>
      </c>
      <c r="AL7" s="32">
        <v>5.0</v>
      </c>
      <c r="AM7" s="32">
        <v>4.0</v>
      </c>
      <c r="AN7" s="32">
        <v>4.0</v>
      </c>
      <c r="AO7" s="32">
        <v>4.0</v>
      </c>
      <c r="AP7" s="32">
        <v>4.0</v>
      </c>
      <c r="AQ7" s="32">
        <v>3.0</v>
      </c>
      <c r="AR7" s="32">
        <v>3.0</v>
      </c>
      <c r="AS7" s="32">
        <v>3.0</v>
      </c>
      <c r="AT7" s="32">
        <v>2.0</v>
      </c>
      <c r="AU7" s="32">
        <v>2.0</v>
      </c>
      <c r="AV7" s="32">
        <v>2.0</v>
      </c>
      <c r="AW7" s="32">
        <v>2.0</v>
      </c>
      <c r="AX7" s="32">
        <v>1.0</v>
      </c>
      <c r="AY7" s="32">
        <v>1.0</v>
      </c>
      <c r="AZ7" s="32">
        <v>2.0</v>
      </c>
      <c r="BA7" s="32">
        <v>6.0</v>
      </c>
      <c r="BB7" s="32">
        <v>6.0</v>
      </c>
      <c r="BC7" s="32">
        <v>4.0</v>
      </c>
      <c r="BD7" s="32"/>
      <c r="BE7" s="32"/>
      <c r="BF7" s="32"/>
      <c r="BG7" s="32"/>
      <c r="BH7" s="32"/>
    </row>
    <row r="8">
      <c r="A8" s="19" t="s">
        <v>44</v>
      </c>
      <c r="B8" s="19" t="s">
        <v>7</v>
      </c>
      <c r="C8" s="19" t="s">
        <v>15</v>
      </c>
      <c r="Q8" s="22" t="s">
        <v>21</v>
      </c>
      <c r="R8" s="22" t="s">
        <v>21</v>
      </c>
      <c r="S8" s="22" t="s">
        <v>21</v>
      </c>
      <c r="T8" s="22" t="s">
        <v>21</v>
      </c>
      <c r="U8" s="22" t="s">
        <v>21</v>
      </c>
      <c r="V8" s="22" t="s">
        <v>21</v>
      </c>
      <c r="W8" s="22" t="s">
        <v>21</v>
      </c>
      <c r="X8" s="22" t="s">
        <v>21</v>
      </c>
      <c r="Y8" s="22" t="s">
        <v>21</v>
      </c>
      <c r="Z8" s="22">
        <v>7.0</v>
      </c>
      <c r="AA8" s="22">
        <v>12.0</v>
      </c>
      <c r="AB8" s="32" t="s">
        <v>123</v>
      </c>
      <c r="AC8" s="22">
        <v>12.0</v>
      </c>
      <c r="AD8" s="32">
        <v>3.0</v>
      </c>
      <c r="AF8" s="22">
        <v>0.0</v>
      </c>
      <c r="AG8" s="22">
        <v>12.0</v>
      </c>
      <c r="AH8" s="22">
        <v>8.0</v>
      </c>
      <c r="AI8" s="22">
        <v>3.0</v>
      </c>
      <c r="AJ8" s="22">
        <v>24.0</v>
      </c>
      <c r="AK8" s="22">
        <v>22.0</v>
      </c>
      <c r="AL8" s="32">
        <v>20.0</v>
      </c>
      <c r="AM8" s="22">
        <v>17.0</v>
      </c>
      <c r="AN8" s="22">
        <v>15.0</v>
      </c>
      <c r="AO8" s="22">
        <v>15.0</v>
      </c>
      <c r="AP8" s="32" t="s">
        <v>124</v>
      </c>
      <c r="AQ8" s="32" t="s">
        <v>125</v>
      </c>
      <c r="AR8" s="32" t="s">
        <v>126</v>
      </c>
      <c r="AS8" s="32">
        <v>0.0</v>
      </c>
      <c r="AT8" s="32">
        <v>0.0</v>
      </c>
      <c r="AU8" s="32">
        <v>24.0</v>
      </c>
      <c r="AV8" s="32">
        <v>22.0</v>
      </c>
      <c r="AW8" s="32">
        <v>19.0</v>
      </c>
      <c r="AX8" s="32">
        <v>15.0</v>
      </c>
      <c r="AY8" s="32">
        <v>10.0</v>
      </c>
      <c r="AZ8" s="32">
        <v>5.0</v>
      </c>
      <c r="BA8" s="32" t="s">
        <v>127</v>
      </c>
      <c r="BB8" s="32" t="s">
        <v>123</v>
      </c>
      <c r="BC8" s="32" t="s">
        <v>128</v>
      </c>
      <c r="BD8" s="32"/>
      <c r="BE8" s="32"/>
      <c r="BF8" s="32"/>
      <c r="BG8" s="32"/>
      <c r="BH8" s="32"/>
    </row>
    <row r="9">
      <c r="A9" s="19" t="s">
        <v>44</v>
      </c>
      <c r="B9" s="19" t="s">
        <v>7</v>
      </c>
      <c r="C9" s="19" t="s">
        <v>12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32"/>
      <c r="AF9" s="22"/>
      <c r="AG9" s="22"/>
      <c r="AH9" s="22"/>
      <c r="AI9" s="22"/>
      <c r="AJ9" s="22"/>
      <c r="AK9" s="22"/>
      <c r="AL9" s="32"/>
      <c r="AM9" s="22"/>
      <c r="AN9" s="22"/>
      <c r="AO9" s="2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>
        <v>2.0</v>
      </c>
      <c r="BB9" s="32">
        <v>1.0</v>
      </c>
      <c r="BC9" s="32">
        <v>1.0</v>
      </c>
      <c r="BD9" s="32"/>
      <c r="BE9" s="32"/>
      <c r="BF9" s="32"/>
      <c r="BG9" s="32"/>
      <c r="BH9" s="32"/>
    </row>
    <row r="10">
      <c r="A10" s="19" t="s">
        <v>44</v>
      </c>
      <c r="B10" s="19" t="s">
        <v>7</v>
      </c>
      <c r="C10" s="19" t="s">
        <v>18</v>
      </c>
      <c r="Q10" s="22" t="s">
        <v>21</v>
      </c>
      <c r="R10" s="22" t="s">
        <v>21</v>
      </c>
      <c r="S10" s="22" t="s">
        <v>21</v>
      </c>
      <c r="T10" s="22" t="s">
        <v>21</v>
      </c>
      <c r="U10" s="22" t="s">
        <v>21</v>
      </c>
      <c r="V10" s="22" t="s">
        <v>21</v>
      </c>
      <c r="W10" s="22" t="s">
        <v>21</v>
      </c>
      <c r="X10" s="22" t="s">
        <v>21</v>
      </c>
      <c r="Y10" s="22" t="s">
        <v>21</v>
      </c>
      <c r="Z10" s="22">
        <v>1.0</v>
      </c>
      <c r="AA10" s="22">
        <v>3.0</v>
      </c>
      <c r="AB10" s="22">
        <v>2.0</v>
      </c>
      <c r="AC10" s="22">
        <v>1.0</v>
      </c>
      <c r="AD10" s="32" t="s">
        <v>129</v>
      </c>
      <c r="AF10" s="22">
        <v>1.0</v>
      </c>
      <c r="AG10" s="22">
        <v>3.0</v>
      </c>
      <c r="AH10" s="22">
        <v>3.0</v>
      </c>
      <c r="AI10" s="22">
        <v>2.0</v>
      </c>
      <c r="AJ10" s="22">
        <v>1.0</v>
      </c>
      <c r="AK10" s="22">
        <v>0.0</v>
      </c>
      <c r="AL10" s="32">
        <v>0.0</v>
      </c>
      <c r="AM10" s="22">
        <v>0.0</v>
      </c>
      <c r="AN10" s="22">
        <v>0.0</v>
      </c>
      <c r="AO10" s="22">
        <v>0.0</v>
      </c>
      <c r="AP10" s="32">
        <v>2.0</v>
      </c>
      <c r="AQ10" s="32">
        <v>2.0</v>
      </c>
      <c r="AR10" s="32">
        <v>2.0</v>
      </c>
      <c r="AS10" s="32">
        <v>1.0</v>
      </c>
      <c r="AT10" s="32">
        <v>1.0</v>
      </c>
      <c r="AU10" s="32">
        <v>2.0</v>
      </c>
      <c r="AV10" s="32">
        <v>2.0</v>
      </c>
      <c r="AW10" s="32">
        <v>3.0</v>
      </c>
      <c r="AX10" s="32">
        <v>2.0</v>
      </c>
      <c r="AY10" s="32">
        <v>1.0</v>
      </c>
      <c r="AZ10" s="32">
        <v>1.0</v>
      </c>
      <c r="BA10" s="32">
        <v>0.0</v>
      </c>
      <c r="BB10" s="32">
        <v>0.0</v>
      </c>
      <c r="BC10" s="32">
        <v>0.0</v>
      </c>
      <c r="BD10" s="32"/>
      <c r="BE10" s="32"/>
      <c r="BF10" s="32"/>
      <c r="BG10" s="32"/>
      <c r="BH10" s="32"/>
    </row>
    <row r="11">
      <c r="A11" s="19" t="s">
        <v>44</v>
      </c>
      <c r="B11" s="19" t="s">
        <v>7</v>
      </c>
      <c r="C11" s="19" t="s">
        <v>19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C11" s="22"/>
      <c r="AD11" s="32"/>
      <c r="AF11" s="22"/>
      <c r="AG11" s="22"/>
      <c r="AH11" s="22"/>
      <c r="AI11" s="22"/>
      <c r="AJ11" s="22"/>
      <c r="AK11" s="22"/>
      <c r="AL11" s="32"/>
      <c r="AM11" s="22"/>
      <c r="AN11" s="22">
        <v>0.0</v>
      </c>
      <c r="AO11" s="22">
        <v>0.0</v>
      </c>
      <c r="AP11" s="22">
        <v>0.0</v>
      </c>
      <c r="AQ11" s="22">
        <v>0.0</v>
      </c>
      <c r="AR11" s="22">
        <v>0.0</v>
      </c>
      <c r="AS11" s="22">
        <v>0.0</v>
      </c>
      <c r="AT11" s="22">
        <v>0.0</v>
      </c>
      <c r="AU11" s="22">
        <v>0.0</v>
      </c>
      <c r="AV11" s="22">
        <v>0.0</v>
      </c>
      <c r="AW11" s="32" t="s">
        <v>130</v>
      </c>
      <c r="AX11" s="32" t="s">
        <v>131</v>
      </c>
      <c r="AY11" s="32" t="s">
        <v>118</v>
      </c>
      <c r="AZ11" s="32" t="s">
        <v>121</v>
      </c>
      <c r="BA11" s="32">
        <v>10.0</v>
      </c>
      <c r="BB11" s="32">
        <v>9.0</v>
      </c>
      <c r="BC11" s="32" t="s">
        <v>132</v>
      </c>
      <c r="BD11" s="32"/>
      <c r="BE11" s="32"/>
      <c r="BF11" s="32"/>
      <c r="BG11" s="32"/>
      <c r="BH11" s="32"/>
    </row>
    <row r="12">
      <c r="A12" s="19" t="s">
        <v>44</v>
      </c>
      <c r="B12" s="26" t="s">
        <v>13</v>
      </c>
      <c r="C12" s="19" t="s">
        <v>20</v>
      </c>
      <c r="Q12" s="22" t="s">
        <v>21</v>
      </c>
      <c r="R12" s="22" t="s">
        <v>21</v>
      </c>
      <c r="S12" s="22" t="s">
        <v>21</v>
      </c>
      <c r="T12" s="22" t="s">
        <v>21</v>
      </c>
      <c r="U12" s="22" t="s">
        <v>21</v>
      </c>
      <c r="V12" s="22" t="s">
        <v>21</v>
      </c>
      <c r="W12" s="22" t="s">
        <v>21</v>
      </c>
      <c r="X12" s="22" t="s">
        <v>21</v>
      </c>
      <c r="Y12" s="22" t="s">
        <v>21</v>
      </c>
      <c r="Z12" s="22" t="s">
        <v>21</v>
      </c>
      <c r="AA12" s="22" t="s">
        <v>21</v>
      </c>
      <c r="AC12" s="22">
        <v>1.0</v>
      </c>
      <c r="AD12" s="32" t="s">
        <v>133</v>
      </c>
      <c r="AF12" s="22">
        <v>0.0</v>
      </c>
      <c r="AG12" s="22">
        <v>1.0</v>
      </c>
      <c r="AH12" s="22">
        <v>1.0</v>
      </c>
      <c r="AI12" s="22">
        <v>0.0</v>
      </c>
      <c r="AJ12" s="22">
        <v>1.0</v>
      </c>
      <c r="AK12" s="22">
        <v>1.0</v>
      </c>
      <c r="AL12" s="32">
        <v>1.0</v>
      </c>
      <c r="AM12" s="22">
        <v>1.0</v>
      </c>
      <c r="AN12" s="22">
        <v>1.0</v>
      </c>
      <c r="AO12" s="22">
        <v>1.0</v>
      </c>
      <c r="AP12" s="32">
        <v>2.0</v>
      </c>
      <c r="AQ12" s="32">
        <v>1.0</v>
      </c>
      <c r="AR12" s="32">
        <v>1.0</v>
      </c>
      <c r="AS12" s="32">
        <v>1.0</v>
      </c>
      <c r="AT12" s="32">
        <v>1.0</v>
      </c>
      <c r="AU12" s="32">
        <v>1.0</v>
      </c>
      <c r="AV12" s="32">
        <v>1.0</v>
      </c>
      <c r="AW12" s="32">
        <v>1.0</v>
      </c>
      <c r="AX12" s="32">
        <v>0.0</v>
      </c>
      <c r="AY12" s="32">
        <v>0.0</v>
      </c>
      <c r="AZ12" s="32">
        <v>0.0</v>
      </c>
      <c r="BA12" s="32">
        <v>1.0</v>
      </c>
      <c r="BB12" s="32">
        <v>1.0</v>
      </c>
      <c r="BC12" s="32">
        <v>0.0</v>
      </c>
      <c r="BD12" s="32"/>
      <c r="BE12" s="32"/>
      <c r="BF12" s="32"/>
      <c r="BG12" s="32"/>
      <c r="BH12" s="32"/>
    </row>
    <row r="13">
      <c r="A13" s="19" t="s">
        <v>44</v>
      </c>
      <c r="B13" s="26" t="s">
        <v>13</v>
      </c>
      <c r="C13" s="19" t="s">
        <v>22</v>
      </c>
      <c r="Q13" s="22" t="s">
        <v>21</v>
      </c>
      <c r="R13" s="22" t="s">
        <v>21</v>
      </c>
      <c r="S13" s="22" t="s">
        <v>21</v>
      </c>
      <c r="T13" s="22" t="s">
        <v>21</v>
      </c>
      <c r="U13" s="22" t="s">
        <v>21</v>
      </c>
      <c r="V13" s="22" t="s">
        <v>21</v>
      </c>
      <c r="W13" s="22" t="s">
        <v>21</v>
      </c>
      <c r="X13" s="22" t="s">
        <v>21</v>
      </c>
      <c r="Y13" s="22" t="s">
        <v>21</v>
      </c>
      <c r="Z13" s="22" t="s">
        <v>21</v>
      </c>
      <c r="AA13" s="22" t="s">
        <v>21</v>
      </c>
      <c r="AC13" s="22">
        <v>2.0</v>
      </c>
      <c r="AD13" s="32">
        <v>2.0</v>
      </c>
      <c r="AF13" s="22">
        <v>0.0</v>
      </c>
      <c r="AG13" s="22">
        <v>2.0</v>
      </c>
      <c r="AH13" s="22">
        <v>1.0</v>
      </c>
      <c r="AI13" s="22">
        <v>1.0</v>
      </c>
      <c r="AJ13" s="22">
        <v>1.0</v>
      </c>
      <c r="AK13" s="22">
        <v>1.0</v>
      </c>
      <c r="AL13" s="32">
        <v>1.0</v>
      </c>
      <c r="AM13" s="22">
        <v>1.0</v>
      </c>
      <c r="AN13" s="22">
        <v>1.0</v>
      </c>
      <c r="AO13" s="22">
        <v>1.0</v>
      </c>
      <c r="AP13" s="32">
        <v>2.0</v>
      </c>
      <c r="AQ13" s="32">
        <v>1.0</v>
      </c>
      <c r="AR13" s="32">
        <v>1.0</v>
      </c>
      <c r="AS13" s="32">
        <v>1.0</v>
      </c>
      <c r="AT13" s="32">
        <v>1.0</v>
      </c>
      <c r="AU13" s="32">
        <v>1.0</v>
      </c>
      <c r="AV13" s="32">
        <v>1.0</v>
      </c>
      <c r="AW13" s="32">
        <v>1.0</v>
      </c>
      <c r="AX13" s="32">
        <v>0.0</v>
      </c>
      <c r="AY13" s="32">
        <v>0.0</v>
      </c>
      <c r="AZ13" s="32">
        <v>0.0</v>
      </c>
      <c r="BA13" s="32">
        <v>0.0</v>
      </c>
      <c r="BB13" s="32">
        <v>0.0</v>
      </c>
      <c r="BC13" s="32">
        <v>0.0</v>
      </c>
      <c r="BD13" s="32"/>
      <c r="BE13" s="32"/>
      <c r="BF13" s="32"/>
      <c r="BG13" s="32"/>
      <c r="BH13" s="32"/>
    </row>
    <row r="14">
      <c r="A14" s="19" t="s">
        <v>44</v>
      </c>
      <c r="B14" s="26" t="s">
        <v>13</v>
      </c>
      <c r="C14" s="19" t="s">
        <v>134</v>
      </c>
      <c r="Q14" s="22" t="s">
        <v>21</v>
      </c>
      <c r="R14" s="22" t="s">
        <v>21</v>
      </c>
      <c r="S14" s="22" t="s">
        <v>21</v>
      </c>
      <c r="T14" s="22" t="s">
        <v>21</v>
      </c>
      <c r="U14" s="22" t="s">
        <v>21</v>
      </c>
      <c r="V14" s="22" t="s">
        <v>21</v>
      </c>
      <c r="W14" s="22" t="s">
        <v>21</v>
      </c>
      <c r="X14" s="22" t="s">
        <v>21</v>
      </c>
      <c r="Y14" s="22" t="s">
        <v>21</v>
      </c>
      <c r="Z14" s="22" t="s">
        <v>21</v>
      </c>
      <c r="AA14" s="22" t="s">
        <v>21</v>
      </c>
      <c r="AC14" s="32" t="s">
        <v>130</v>
      </c>
      <c r="AD14" s="32">
        <v>0.0</v>
      </c>
      <c r="AF14" s="22">
        <v>0.0</v>
      </c>
      <c r="AG14" s="32" t="s">
        <v>135</v>
      </c>
      <c r="AH14" s="32" t="s">
        <v>136</v>
      </c>
      <c r="AI14" s="32" t="s">
        <v>137</v>
      </c>
      <c r="AJ14" s="22" t="s">
        <v>138</v>
      </c>
      <c r="AK14" s="22" t="s">
        <v>138</v>
      </c>
      <c r="AL14" s="32" t="s">
        <v>139</v>
      </c>
      <c r="AM14" s="32" t="s">
        <v>140</v>
      </c>
      <c r="AN14" s="32" t="s">
        <v>141</v>
      </c>
      <c r="AO14" s="32" t="s">
        <v>141</v>
      </c>
      <c r="AP14" s="32" t="s">
        <v>142</v>
      </c>
      <c r="AQ14" s="32" t="s">
        <v>143</v>
      </c>
      <c r="AR14" s="32" t="s">
        <v>144</v>
      </c>
      <c r="AS14" s="32" t="s">
        <v>145</v>
      </c>
      <c r="AT14" s="32" t="s">
        <v>146</v>
      </c>
      <c r="AU14" s="32" t="s">
        <v>130</v>
      </c>
      <c r="AV14" s="32" t="s">
        <v>96</v>
      </c>
      <c r="AW14" s="32" t="s">
        <v>132</v>
      </c>
      <c r="AX14" s="32" t="s">
        <v>147</v>
      </c>
      <c r="AY14" s="32">
        <v>1.0</v>
      </c>
      <c r="AZ14" s="32">
        <v>0.0</v>
      </c>
      <c r="BA14" s="32">
        <v>10.0</v>
      </c>
      <c r="BB14" s="32">
        <v>9.0</v>
      </c>
      <c r="BC14" s="32">
        <v>3.0</v>
      </c>
      <c r="BD14" s="32"/>
      <c r="BE14" s="32"/>
      <c r="BF14" s="32"/>
      <c r="BG14" s="32"/>
      <c r="BH14" s="32"/>
    </row>
    <row r="15">
      <c r="A15" s="19" t="s">
        <v>44</v>
      </c>
      <c r="B15" s="26" t="s">
        <v>13</v>
      </c>
      <c r="C15" s="19" t="s">
        <v>148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C15" s="32"/>
      <c r="AD15" s="32"/>
      <c r="AF15" s="22"/>
      <c r="AG15" s="32"/>
      <c r="AH15" s="32"/>
      <c r="AI15" s="32"/>
      <c r="AJ15" s="22"/>
      <c r="AK15" s="22"/>
      <c r="AL15" s="32"/>
      <c r="AM15" s="32"/>
      <c r="AN15" s="32"/>
      <c r="AO15" s="32"/>
      <c r="AP15" s="32"/>
      <c r="AQ15" s="32"/>
      <c r="AR15" s="32"/>
      <c r="AS15" s="32"/>
      <c r="AT15" s="32" t="s">
        <v>130</v>
      </c>
      <c r="AU15" s="32" t="s">
        <v>130</v>
      </c>
      <c r="AV15" s="32" t="s">
        <v>120</v>
      </c>
      <c r="AW15" s="32" t="s">
        <v>120</v>
      </c>
      <c r="AX15" s="32" t="s">
        <v>96</v>
      </c>
      <c r="AY15" s="32">
        <v>0.0</v>
      </c>
      <c r="AZ15" s="32">
        <v>0.0</v>
      </c>
      <c r="BA15" s="32">
        <v>5.0</v>
      </c>
      <c r="BB15" s="32">
        <v>4.0</v>
      </c>
      <c r="BC15" s="32">
        <v>3.0</v>
      </c>
      <c r="BD15" s="32"/>
      <c r="BE15" s="32"/>
      <c r="BF15" s="32"/>
      <c r="BG15" s="32"/>
      <c r="BH15" s="32"/>
    </row>
    <row r="16">
      <c r="A16" s="19" t="s">
        <v>44</v>
      </c>
      <c r="B16" s="26" t="s">
        <v>13</v>
      </c>
      <c r="C16" s="19" t="s">
        <v>149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C16" s="32"/>
      <c r="AD16" s="32"/>
      <c r="AF16" s="22"/>
      <c r="AG16" s="32"/>
      <c r="AH16" s="32"/>
      <c r="AI16" s="32"/>
      <c r="AJ16" s="22"/>
      <c r="AK16" s="22"/>
      <c r="AL16" s="32"/>
      <c r="AM16" s="32"/>
      <c r="AN16" s="32"/>
      <c r="AO16" s="32"/>
      <c r="AP16" s="32"/>
      <c r="AQ16" s="32"/>
      <c r="AR16" s="32"/>
      <c r="AS16" s="32"/>
      <c r="AT16" s="32" t="s">
        <v>130</v>
      </c>
      <c r="AU16" s="32" t="s">
        <v>130</v>
      </c>
      <c r="AV16" s="32" t="s">
        <v>121</v>
      </c>
      <c r="AW16" s="32" t="s">
        <v>96</v>
      </c>
      <c r="AX16" s="32" t="s">
        <v>96</v>
      </c>
      <c r="AY16" s="32">
        <v>1.0</v>
      </c>
      <c r="AZ16" s="32">
        <v>0.0</v>
      </c>
      <c r="BA16" s="32">
        <v>5.0</v>
      </c>
      <c r="BB16" s="32">
        <v>4.0</v>
      </c>
      <c r="BC16" s="32">
        <v>2.0</v>
      </c>
      <c r="BD16" s="32"/>
      <c r="BE16" s="32"/>
      <c r="BF16" s="32"/>
      <c r="BG16" s="32"/>
      <c r="BH16" s="32"/>
    </row>
    <row r="17">
      <c r="A17" s="19" t="s">
        <v>44</v>
      </c>
      <c r="B17" s="26" t="s">
        <v>13</v>
      </c>
      <c r="C17" s="19" t="s">
        <v>23</v>
      </c>
      <c r="Q17" s="22" t="s">
        <v>21</v>
      </c>
      <c r="R17" s="22" t="s">
        <v>21</v>
      </c>
      <c r="S17" s="22" t="s">
        <v>21</v>
      </c>
      <c r="T17" s="22" t="s">
        <v>21</v>
      </c>
      <c r="U17" s="22" t="s">
        <v>21</v>
      </c>
      <c r="V17" s="22" t="s">
        <v>21</v>
      </c>
      <c r="W17" s="22" t="s">
        <v>21</v>
      </c>
      <c r="X17" s="22" t="s">
        <v>21</v>
      </c>
      <c r="Y17" s="22" t="s">
        <v>21</v>
      </c>
      <c r="Z17" s="22" t="s">
        <v>21</v>
      </c>
      <c r="AA17" s="22" t="s">
        <v>21</v>
      </c>
      <c r="AC17" s="22">
        <v>4.0</v>
      </c>
      <c r="AD17" s="32" t="s">
        <v>82</v>
      </c>
      <c r="AF17" s="22">
        <v>0.0</v>
      </c>
      <c r="AG17" s="22">
        <v>0.0</v>
      </c>
      <c r="AH17" s="22">
        <v>0.0</v>
      </c>
      <c r="AI17" s="22">
        <v>0.0</v>
      </c>
      <c r="AJ17" s="22">
        <v>3.0</v>
      </c>
      <c r="AK17" s="22" t="s">
        <v>96</v>
      </c>
      <c r="AL17" s="32" t="s">
        <v>132</v>
      </c>
      <c r="AM17" s="32" t="s">
        <v>150</v>
      </c>
      <c r="AN17" s="32" t="s">
        <v>151</v>
      </c>
      <c r="AO17" s="32" t="s">
        <v>151</v>
      </c>
      <c r="AP17" s="32" t="s">
        <v>95</v>
      </c>
      <c r="AQ17" s="32" t="s">
        <v>87</v>
      </c>
      <c r="AR17" s="32" t="s">
        <v>87</v>
      </c>
      <c r="AS17" s="32" t="s">
        <v>82</v>
      </c>
      <c r="AT17" s="32" t="s">
        <v>87</v>
      </c>
      <c r="AU17" s="32" t="s">
        <v>86</v>
      </c>
      <c r="AV17" s="32" t="s">
        <v>82</v>
      </c>
      <c r="AW17" s="32" t="s">
        <v>108</v>
      </c>
      <c r="AX17" s="32">
        <v>0.0</v>
      </c>
      <c r="AY17" s="32">
        <v>0.0</v>
      </c>
      <c r="AZ17" s="32">
        <v>0.0</v>
      </c>
      <c r="BA17" s="32">
        <v>2.0</v>
      </c>
      <c r="BB17" s="32">
        <v>1.0</v>
      </c>
      <c r="BC17" s="32" t="s">
        <v>87</v>
      </c>
      <c r="BD17" s="32"/>
      <c r="BE17" s="32"/>
      <c r="BF17" s="32"/>
      <c r="BG17" s="32"/>
      <c r="BH17" s="32"/>
    </row>
    <row r="18">
      <c r="A18" s="19" t="s">
        <v>44</v>
      </c>
      <c r="B18" s="26" t="s">
        <v>13</v>
      </c>
      <c r="C18" s="19" t="s">
        <v>24</v>
      </c>
      <c r="Q18" s="22" t="s">
        <v>21</v>
      </c>
      <c r="R18" s="22" t="s">
        <v>21</v>
      </c>
      <c r="S18" s="22" t="s">
        <v>21</v>
      </c>
      <c r="T18" s="22" t="s">
        <v>21</v>
      </c>
      <c r="U18" s="22" t="s">
        <v>21</v>
      </c>
      <c r="V18" s="22" t="s">
        <v>21</v>
      </c>
      <c r="W18" s="22" t="s">
        <v>21</v>
      </c>
      <c r="X18" s="22" t="s">
        <v>21</v>
      </c>
      <c r="Y18" s="22" t="s">
        <v>21</v>
      </c>
      <c r="Z18" s="22" t="s">
        <v>21</v>
      </c>
      <c r="AA18" s="22" t="s">
        <v>21</v>
      </c>
      <c r="AC18" s="22">
        <v>1.0</v>
      </c>
      <c r="AD18" s="32">
        <v>2.0</v>
      </c>
      <c r="AF18" s="22">
        <v>1.0</v>
      </c>
      <c r="AG18" s="22">
        <v>3.0</v>
      </c>
      <c r="AH18" s="22">
        <v>2.0</v>
      </c>
      <c r="AI18" s="22">
        <v>2.0</v>
      </c>
      <c r="AJ18" s="22">
        <v>3.0</v>
      </c>
      <c r="AK18" s="22">
        <v>3.0</v>
      </c>
      <c r="AL18" s="32">
        <v>2.0</v>
      </c>
      <c r="AM18" s="22">
        <v>2.0</v>
      </c>
      <c r="AN18" s="32">
        <v>1.0</v>
      </c>
      <c r="AO18" s="32">
        <v>1.0</v>
      </c>
      <c r="AP18" s="32" t="s">
        <v>95</v>
      </c>
      <c r="AQ18" s="32" t="s">
        <v>85</v>
      </c>
      <c r="AR18" s="32" t="s">
        <v>82</v>
      </c>
      <c r="AS18" s="32" t="s">
        <v>108</v>
      </c>
      <c r="AT18" s="32">
        <v>0.0</v>
      </c>
      <c r="AU18" s="32">
        <v>2.0</v>
      </c>
      <c r="AV18" s="32" t="s">
        <v>82</v>
      </c>
      <c r="AW18" s="32" t="s">
        <v>82</v>
      </c>
      <c r="AX18" s="32" t="s">
        <v>108</v>
      </c>
      <c r="AY18" s="32" t="s">
        <v>108</v>
      </c>
      <c r="AZ18" s="32">
        <v>0.0</v>
      </c>
      <c r="BA18" s="32">
        <v>0.0</v>
      </c>
      <c r="BB18" s="32">
        <v>0.0</v>
      </c>
      <c r="BC18" s="32">
        <v>0.0</v>
      </c>
      <c r="BD18" s="32"/>
      <c r="BE18" s="32"/>
      <c r="BF18" s="32"/>
      <c r="BG18" s="32"/>
      <c r="BH18" s="32"/>
    </row>
  </sheetData>
  <dataValidations>
    <dataValidation type="list" allowBlank="1" showErrorMessage="1" sqref="B5:B18">
      <formula1>"Cafeteria,Aseo"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18.0"/>
    <col customWidth="1" min="3" max="3" width="22.38"/>
    <col customWidth="1" hidden="1" min="4" max="4" width="16.38"/>
    <col customWidth="1" hidden="1" min="5" max="5" width="17.38"/>
    <col hidden="1" min="6" max="36" width="12.63"/>
    <col customWidth="1" hidden="1" min="37" max="37" width="14.38"/>
    <col hidden="1" min="38" max="53" width="12.63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7"/>
      <c r="J1" s="16"/>
      <c r="K1" s="27"/>
      <c r="L1" s="27"/>
      <c r="N1" s="16"/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H2" si="1">E2+7</f>
        <v>45824</v>
      </c>
      <c r="G2" s="18">
        <f t="shared" si="1"/>
        <v>45831</v>
      </c>
      <c r="H2" s="17">
        <f t="shared" si="1"/>
        <v>45838</v>
      </c>
      <c r="I2" s="17">
        <v>45845.0</v>
      </c>
      <c r="J2" s="17">
        <f t="shared" ref="J2:L2" si="2">I2+7</f>
        <v>45852</v>
      </c>
      <c r="K2" s="18">
        <f t="shared" si="2"/>
        <v>45859</v>
      </c>
      <c r="L2" s="18">
        <f t="shared" si="2"/>
        <v>45866</v>
      </c>
      <c r="M2" s="17">
        <v>45873.0</v>
      </c>
      <c r="N2" s="17">
        <f t="shared" ref="N2:P2" si="3">M2+7</f>
        <v>45880</v>
      </c>
      <c r="O2" s="18">
        <f t="shared" si="3"/>
        <v>45887</v>
      </c>
      <c r="P2" s="18">
        <f t="shared" si="3"/>
        <v>45894</v>
      </c>
      <c r="Q2" s="18">
        <v>45901.0</v>
      </c>
      <c r="R2" s="17">
        <v>45908.0</v>
      </c>
      <c r="S2" s="17">
        <v>45915.0</v>
      </c>
      <c r="T2" s="17">
        <v>45922.0</v>
      </c>
      <c r="U2" s="17">
        <v>45929.0</v>
      </c>
      <c r="V2" s="17">
        <f t="shared" ref="V2:AA2" si="4">U2+7</f>
        <v>45936</v>
      </c>
      <c r="W2" s="17">
        <f t="shared" si="4"/>
        <v>45943</v>
      </c>
      <c r="X2" s="17">
        <f t="shared" si="4"/>
        <v>45950</v>
      </c>
      <c r="Y2" s="17">
        <f t="shared" si="4"/>
        <v>45957</v>
      </c>
      <c r="Z2" s="17">
        <f t="shared" si="4"/>
        <v>45964</v>
      </c>
      <c r="AA2" s="18">
        <f t="shared" si="4"/>
        <v>45971</v>
      </c>
      <c r="AB2" s="17">
        <v>45979.0</v>
      </c>
      <c r="AC2" s="17">
        <v>45981.0</v>
      </c>
      <c r="AD2" s="17">
        <v>45985.0</v>
      </c>
      <c r="AE2" s="17">
        <v>45993.0</v>
      </c>
      <c r="AF2" s="17">
        <v>45995.0</v>
      </c>
      <c r="AG2" s="17">
        <v>46000.0</v>
      </c>
      <c r="AH2" s="17">
        <v>46002.0</v>
      </c>
      <c r="AI2" s="17">
        <v>46006.0</v>
      </c>
      <c r="AJ2" s="17">
        <v>46009.0</v>
      </c>
      <c r="AK2" s="17">
        <v>46013.0</v>
      </c>
      <c r="AL2" s="17">
        <v>46020.0</v>
      </c>
      <c r="AM2" s="17">
        <v>46027.0</v>
      </c>
      <c r="AN2" s="17">
        <v>46030.0</v>
      </c>
      <c r="AO2" s="17">
        <v>46034.0</v>
      </c>
      <c r="AP2" s="17">
        <v>46037.0</v>
      </c>
      <c r="AQ2" s="17">
        <v>46041.0</v>
      </c>
      <c r="AR2" s="17">
        <v>46044.0</v>
      </c>
      <c r="AS2" s="17">
        <v>46049.0</v>
      </c>
      <c r="AT2" s="17">
        <v>46051.0</v>
      </c>
      <c r="AU2" s="17">
        <v>46055.0</v>
      </c>
      <c r="AV2" s="17">
        <v>46058.0</v>
      </c>
      <c r="AW2" s="17">
        <v>46062.0</v>
      </c>
      <c r="AX2" s="17">
        <v>46065.0</v>
      </c>
      <c r="AY2" s="17">
        <v>46069.0</v>
      </c>
      <c r="AZ2" s="17">
        <v>46072.0</v>
      </c>
      <c r="BA2" s="17">
        <v>46076.0</v>
      </c>
      <c r="BB2" s="17">
        <v>46086.0</v>
      </c>
      <c r="BC2" s="17">
        <v>46090.0</v>
      </c>
      <c r="BD2" s="17">
        <v>46093.0</v>
      </c>
      <c r="BE2" s="17">
        <v>46097.0</v>
      </c>
      <c r="BF2" s="17">
        <v>46100.0</v>
      </c>
      <c r="BG2" s="17">
        <v>46104.0</v>
      </c>
      <c r="BH2" s="17"/>
      <c r="BI2" s="17"/>
      <c r="BJ2" s="17"/>
      <c r="BK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 t="s">
        <v>3</v>
      </c>
      <c r="BE3" s="16" t="s">
        <v>3</v>
      </c>
      <c r="BF3" s="16" t="s">
        <v>3</v>
      </c>
      <c r="BG3" s="16" t="s">
        <v>3</v>
      </c>
      <c r="BH3" s="16"/>
      <c r="BI3" s="16"/>
      <c r="BJ3" s="16"/>
      <c r="BK3" s="16"/>
    </row>
    <row r="4">
      <c r="A4" s="19" t="s">
        <v>152</v>
      </c>
      <c r="B4" s="19" t="s">
        <v>45</v>
      </c>
      <c r="C4" s="19" t="s">
        <v>6</v>
      </c>
      <c r="D4" s="19">
        <v>6.0</v>
      </c>
      <c r="E4" s="19">
        <v>5.0</v>
      </c>
      <c r="F4" s="19">
        <v>10.0</v>
      </c>
      <c r="G4" s="19">
        <v>7.0</v>
      </c>
      <c r="H4" s="29">
        <v>7.0</v>
      </c>
      <c r="I4" s="22">
        <v>5.0</v>
      </c>
      <c r="J4" s="22">
        <v>5.0</v>
      </c>
      <c r="K4" s="22">
        <v>2.0</v>
      </c>
      <c r="L4" s="22">
        <v>0.0</v>
      </c>
      <c r="M4" s="22">
        <v>9.0</v>
      </c>
      <c r="N4" s="22">
        <v>5.0</v>
      </c>
      <c r="O4" s="22">
        <v>4.0</v>
      </c>
      <c r="P4" s="22">
        <v>3.0</v>
      </c>
      <c r="Q4" s="22">
        <v>1.5</v>
      </c>
      <c r="R4" s="22">
        <v>0.0</v>
      </c>
      <c r="S4" s="22">
        <v>8.0</v>
      </c>
      <c r="T4" s="22">
        <v>5.0</v>
      </c>
      <c r="U4" s="22">
        <v>5.0</v>
      </c>
      <c r="V4" s="22">
        <v>2.0</v>
      </c>
      <c r="W4" s="22">
        <v>8.0</v>
      </c>
      <c r="X4" s="22">
        <v>8.0</v>
      </c>
      <c r="Y4" s="22">
        <v>7.0</v>
      </c>
      <c r="Z4" s="22">
        <v>5.0</v>
      </c>
      <c r="AA4" s="22">
        <v>12.0</v>
      </c>
      <c r="AB4" s="22">
        <v>8.0</v>
      </c>
      <c r="AC4" s="22">
        <v>8.0</v>
      </c>
      <c r="AD4" s="22">
        <v>6.0</v>
      </c>
      <c r="AE4" s="22">
        <v>3.0</v>
      </c>
      <c r="AF4" s="22">
        <v>11.0</v>
      </c>
      <c r="AG4" s="22">
        <v>11.0</v>
      </c>
      <c r="AH4" s="22">
        <v>9.0</v>
      </c>
      <c r="AI4" s="22">
        <v>8.0</v>
      </c>
      <c r="AJ4" s="22">
        <v>5.0</v>
      </c>
      <c r="AK4" s="22">
        <v>9.0</v>
      </c>
      <c r="AL4" s="22">
        <v>8.0</v>
      </c>
      <c r="AM4" s="22">
        <v>8.0</v>
      </c>
      <c r="AN4" s="22">
        <v>7.0</v>
      </c>
      <c r="AO4" s="22">
        <v>5.0</v>
      </c>
      <c r="AP4" s="22">
        <v>3.0</v>
      </c>
      <c r="AQ4" s="22">
        <v>1.0</v>
      </c>
      <c r="AR4" s="22">
        <v>3.0</v>
      </c>
      <c r="AS4" s="22">
        <v>1.5</v>
      </c>
      <c r="AT4" s="22">
        <v>10.0</v>
      </c>
      <c r="AU4" s="22">
        <v>10.0</v>
      </c>
      <c r="AV4" s="22">
        <v>8.0</v>
      </c>
      <c r="AW4" s="22">
        <v>7.0</v>
      </c>
      <c r="AX4" s="22">
        <v>4.0</v>
      </c>
      <c r="AY4" s="22">
        <v>9.0</v>
      </c>
      <c r="AZ4" s="22">
        <v>9.0</v>
      </c>
      <c r="BA4" s="22">
        <v>8.0</v>
      </c>
      <c r="BB4" s="22">
        <v>17.0</v>
      </c>
      <c r="BC4" s="22">
        <v>17.0</v>
      </c>
      <c r="BD4" s="22">
        <v>15.0</v>
      </c>
      <c r="BE4" s="22">
        <v>15.0</v>
      </c>
      <c r="BF4" s="22">
        <v>14.0</v>
      </c>
      <c r="BG4" s="22">
        <v>12.0</v>
      </c>
      <c r="BH4" s="22"/>
      <c r="BI4" s="22"/>
      <c r="BJ4" s="22"/>
      <c r="BK4" s="22"/>
    </row>
    <row r="5">
      <c r="A5" s="19" t="s">
        <v>152</v>
      </c>
      <c r="B5" s="19" t="s">
        <v>7</v>
      </c>
      <c r="C5" s="19" t="s">
        <v>8</v>
      </c>
      <c r="D5" s="19">
        <v>10.0</v>
      </c>
      <c r="E5" s="19">
        <v>9.0</v>
      </c>
      <c r="F5" s="19">
        <v>9.0</v>
      </c>
      <c r="G5" s="19">
        <v>8.0</v>
      </c>
      <c r="H5" s="29">
        <v>8.0</v>
      </c>
      <c r="I5" s="22">
        <v>10.0</v>
      </c>
      <c r="J5" s="22">
        <v>8.0</v>
      </c>
      <c r="K5" s="22">
        <v>8.0</v>
      </c>
      <c r="L5" s="22">
        <v>10.0</v>
      </c>
      <c r="M5" s="22">
        <v>8.0</v>
      </c>
      <c r="N5" s="22">
        <v>14.0</v>
      </c>
      <c r="O5" s="22">
        <v>12.0</v>
      </c>
      <c r="P5" s="22">
        <v>12.0</v>
      </c>
      <c r="Q5" s="22">
        <v>10.0</v>
      </c>
      <c r="R5" s="22">
        <v>10.0</v>
      </c>
      <c r="S5" s="22">
        <v>8.0</v>
      </c>
      <c r="T5" s="22">
        <v>6.0</v>
      </c>
      <c r="U5" s="22">
        <v>14.0</v>
      </c>
      <c r="V5" s="22">
        <v>13.0</v>
      </c>
      <c r="W5" s="22">
        <v>12.0</v>
      </c>
      <c r="X5" s="22">
        <v>6.0</v>
      </c>
      <c r="Y5" s="22">
        <v>12.0</v>
      </c>
      <c r="Z5" s="22">
        <v>12.0</v>
      </c>
      <c r="AA5" s="22">
        <v>14.0</v>
      </c>
      <c r="AB5" s="22">
        <v>10.0</v>
      </c>
      <c r="AC5" s="22">
        <v>10.0</v>
      </c>
      <c r="AD5" s="22">
        <v>10.0</v>
      </c>
      <c r="AE5" s="22">
        <v>8.0</v>
      </c>
      <c r="AF5" s="22">
        <v>6.0</v>
      </c>
      <c r="AG5" s="22">
        <v>6.0</v>
      </c>
      <c r="AH5" s="22">
        <v>6.0</v>
      </c>
      <c r="AI5" s="22">
        <v>4.0</v>
      </c>
      <c r="AJ5" s="22">
        <v>3.0</v>
      </c>
      <c r="AK5" s="22">
        <v>6.0</v>
      </c>
      <c r="AL5" s="22">
        <v>6.0</v>
      </c>
      <c r="AM5" s="22">
        <v>6.0</v>
      </c>
      <c r="AN5" s="22">
        <v>5.0</v>
      </c>
      <c r="AO5" s="22">
        <v>4.0</v>
      </c>
      <c r="AP5" s="22">
        <v>8.0</v>
      </c>
      <c r="AQ5" s="22">
        <v>8.0</v>
      </c>
      <c r="AR5" s="22">
        <v>7.0</v>
      </c>
      <c r="AS5" s="22">
        <v>6.0</v>
      </c>
      <c r="AT5" s="22">
        <v>5.0</v>
      </c>
      <c r="AU5" s="22">
        <v>5.0</v>
      </c>
      <c r="AV5" s="22">
        <v>3.0</v>
      </c>
      <c r="AW5" s="22">
        <v>2.0</v>
      </c>
      <c r="AX5" s="22">
        <v>5.0</v>
      </c>
      <c r="AY5" s="22">
        <v>4.0</v>
      </c>
      <c r="AZ5" s="22">
        <v>5.0</v>
      </c>
      <c r="BA5" s="22">
        <v>4.0</v>
      </c>
      <c r="BB5" s="22">
        <v>5.0</v>
      </c>
      <c r="BC5" s="22">
        <v>5.0</v>
      </c>
      <c r="BD5" s="22">
        <v>6.0</v>
      </c>
      <c r="BE5" s="22">
        <v>6.0</v>
      </c>
      <c r="BF5" s="22">
        <v>5.0</v>
      </c>
      <c r="BG5" s="22">
        <v>4.0</v>
      </c>
      <c r="BH5" s="22"/>
      <c r="BI5" s="22"/>
      <c r="BJ5" s="22"/>
      <c r="BK5" s="22"/>
    </row>
    <row r="6">
      <c r="A6" s="19" t="s">
        <v>152</v>
      </c>
      <c r="B6" s="19" t="s">
        <v>7</v>
      </c>
      <c r="C6" s="19" t="s">
        <v>9</v>
      </c>
      <c r="D6" s="19">
        <v>16.0</v>
      </c>
      <c r="E6" s="19">
        <v>14.0</v>
      </c>
      <c r="F6" s="19">
        <v>12.0</v>
      </c>
      <c r="G6" s="19">
        <v>8.0</v>
      </c>
      <c r="H6" s="29">
        <v>4.0</v>
      </c>
      <c r="I6" s="22">
        <v>28.0</v>
      </c>
      <c r="J6" s="22">
        <v>28.0</v>
      </c>
      <c r="K6" s="22">
        <v>24.0</v>
      </c>
      <c r="L6" s="22">
        <v>20.0</v>
      </c>
      <c r="M6" s="22">
        <v>16.0</v>
      </c>
      <c r="N6" s="22">
        <v>8.0</v>
      </c>
      <c r="O6" s="22">
        <v>20.0</v>
      </c>
      <c r="P6" s="22">
        <v>16.0</v>
      </c>
      <c r="Q6" s="22">
        <v>16.0</v>
      </c>
      <c r="R6" s="22">
        <v>14.0</v>
      </c>
      <c r="S6" s="22">
        <v>8.0</v>
      </c>
      <c r="T6" s="22">
        <v>8.0</v>
      </c>
      <c r="U6" s="22">
        <v>20.0</v>
      </c>
      <c r="V6" s="22">
        <v>20.0</v>
      </c>
      <c r="W6" s="22">
        <v>16.0</v>
      </c>
      <c r="X6" s="22">
        <v>12.0</v>
      </c>
      <c r="Y6" s="22">
        <v>24.0</v>
      </c>
      <c r="Z6" s="22">
        <v>24.0</v>
      </c>
      <c r="AA6" s="22">
        <v>28.0</v>
      </c>
      <c r="AB6" s="22">
        <v>32.0</v>
      </c>
      <c r="AC6" s="22">
        <v>32.0</v>
      </c>
      <c r="AD6" s="22">
        <v>28.0</v>
      </c>
      <c r="AE6" s="22">
        <v>24.0</v>
      </c>
      <c r="AF6" s="22">
        <v>24.0</v>
      </c>
      <c r="AG6" s="22">
        <v>24.0</v>
      </c>
      <c r="AH6" s="22">
        <v>20.0</v>
      </c>
      <c r="AI6" s="22">
        <v>20.0</v>
      </c>
      <c r="AJ6" s="22">
        <v>16.0</v>
      </c>
      <c r="AK6" s="22">
        <v>24.0</v>
      </c>
      <c r="AL6" s="22">
        <v>20.0</v>
      </c>
      <c r="AM6" s="22">
        <v>20.0</v>
      </c>
      <c r="AN6" s="22">
        <v>16.0</v>
      </c>
      <c r="AO6" s="22">
        <v>16.0</v>
      </c>
      <c r="AP6" s="22">
        <v>20.0</v>
      </c>
      <c r="AQ6" s="22">
        <v>16.0</v>
      </c>
      <c r="AR6" s="22">
        <v>16.0</v>
      </c>
      <c r="AS6" s="22">
        <v>16.0</v>
      </c>
      <c r="AT6" s="22">
        <v>14.0</v>
      </c>
      <c r="AU6" s="22">
        <v>12.0</v>
      </c>
      <c r="AV6" s="22">
        <v>10.0</v>
      </c>
      <c r="AW6" s="22">
        <v>6.0</v>
      </c>
      <c r="AX6" s="22">
        <v>18.0</v>
      </c>
      <c r="AY6" s="22">
        <v>14.0</v>
      </c>
      <c r="AZ6" s="22">
        <v>24.0</v>
      </c>
      <c r="BA6" s="22">
        <v>24.0</v>
      </c>
      <c r="BB6" s="22">
        <v>24.0</v>
      </c>
      <c r="BC6" s="22">
        <v>24.0</v>
      </c>
      <c r="BD6" s="22">
        <v>20.0</v>
      </c>
      <c r="BE6" s="22">
        <v>20.0</v>
      </c>
      <c r="BF6" s="22">
        <v>16.0</v>
      </c>
      <c r="BG6" s="22">
        <v>16.0</v>
      </c>
      <c r="BH6" s="22"/>
      <c r="BI6" s="22"/>
      <c r="BJ6" s="22"/>
      <c r="BK6" s="22"/>
    </row>
    <row r="7">
      <c r="A7" s="19" t="s">
        <v>152</v>
      </c>
      <c r="B7" s="19" t="s">
        <v>7</v>
      </c>
      <c r="C7" s="19" t="s">
        <v>10</v>
      </c>
      <c r="D7" s="19">
        <v>4.0</v>
      </c>
      <c r="E7" s="19">
        <v>4.0</v>
      </c>
      <c r="F7" s="19">
        <v>4.0</v>
      </c>
      <c r="G7" s="19">
        <v>4.0</v>
      </c>
      <c r="H7" s="29">
        <v>4.0</v>
      </c>
      <c r="I7" s="22">
        <v>3.0</v>
      </c>
      <c r="J7" s="22">
        <v>3.0</v>
      </c>
      <c r="K7" s="22">
        <v>2.0</v>
      </c>
      <c r="L7" s="22">
        <v>2.0</v>
      </c>
      <c r="M7" s="22">
        <v>2.0</v>
      </c>
      <c r="N7" s="22">
        <v>1.0</v>
      </c>
      <c r="O7" s="22">
        <v>3.0</v>
      </c>
      <c r="P7" s="22">
        <v>3.0</v>
      </c>
      <c r="Q7" s="22">
        <v>3.0</v>
      </c>
      <c r="R7" s="22">
        <v>3.0</v>
      </c>
      <c r="S7" s="22">
        <v>3.0</v>
      </c>
      <c r="T7" s="22">
        <v>3.0</v>
      </c>
      <c r="U7" s="22">
        <v>6.0</v>
      </c>
      <c r="V7" s="22">
        <v>6.0</v>
      </c>
      <c r="W7" s="22">
        <v>5.0</v>
      </c>
      <c r="X7" s="22">
        <v>4.0</v>
      </c>
      <c r="Y7" s="22">
        <v>3.0</v>
      </c>
      <c r="Z7" s="22">
        <v>3.0</v>
      </c>
      <c r="AA7" s="22">
        <v>3.0</v>
      </c>
      <c r="AB7" s="22">
        <v>3.0</v>
      </c>
      <c r="AC7" s="22">
        <v>3.0</v>
      </c>
      <c r="AD7" s="22">
        <v>3.0</v>
      </c>
      <c r="AE7" s="22">
        <v>3.0</v>
      </c>
      <c r="AF7" s="22">
        <v>3.0</v>
      </c>
      <c r="AG7" s="22">
        <v>3.0</v>
      </c>
      <c r="AH7" s="22">
        <v>3.0</v>
      </c>
      <c r="AI7" s="22">
        <v>2.0</v>
      </c>
      <c r="AJ7" s="22">
        <v>2.0</v>
      </c>
      <c r="AK7" s="22">
        <v>7.0</v>
      </c>
      <c r="AL7" s="22">
        <v>7.0</v>
      </c>
      <c r="AM7" s="22">
        <v>7.0</v>
      </c>
      <c r="AN7" s="22">
        <v>7.0</v>
      </c>
      <c r="AO7" s="22">
        <v>6.0</v>
      </c>
      <c r="AP7" s="22">
        <v>6.0</v>
      </c>
      <c r="AQ7" s="22">
        <v>6.0</v>
      </c>
      <c r="AR7" s="22">
        <v>6.0</v>
      </c>
      <c r="AS7" s="22">
        <v>6.0</v>
      </c>
      <c r="AT7" s="22">
        <v>5.0</v>
      </c>
      <c r="AU7" s="22">
        <v>5.0</v>
      </c>
      <c r="AV7" s="22">
        <v>5.0</v>
      </c>
      <c r="AW7" s="22">
        <v>5.0</v>
      </c>
      <c r="AX7" s="22">
        <v>5.0</v>
      </c>
      <c r="AY7" s="22">
        <v>5.0</v>
      </c>
      <c r="AZ7" s="22">
        <v>5.0</v>
      </c>
      <c r="BA7" s="22">
        <v>5.0</v>
      </c>
      <c r="BB7" s="22">
        <v>5.0</v>
      </c>
      <c r="BC7" s="22">
        <v>5.0</v>
      </c>
      <c r="BD7" s="22">
        <v>5.0</v>
      </c>
      <c r="BE7" s="22">
        <v>5.0</v>
      </c>
      <c r="BF7" s="22">
        <v>5.0</v>
      </c>
      <c r="BG7" s="22">
        <v>5.0</v>
      </c>
      <c r="BH7" s="22"/>
      <c r="BI7" s="22"/>
      <c r="BJ7" s="22"/>
      <c r="BK7" s="22"/>
    </row>
    <row r="8">
      <c r="A8" s="19" t="s">
        <v>152</v>
      </c>
      <c r="B8" s="19" t="s">
        <v>7</v>
      </c>
      <c r="C8" s="19" t="s">
        <v>15</v>
      </c>
      <c r="Q8" s="32">
        <v>0.0</v>
      </c>
      <c r="R8" s="32">
        <v>0.0</v>
      </c>
      <c r="S8" s="32">
        <v>0.0</v>
      </c>
      <c r="T8" s="32">
        <v>0.0</v>
      </c>
      <c r="U8" s="32">
        <v>0.0</v>
      </c>
      <c r="V8" s="32">
        <v>0.0</v>
      </c>
      <c r="W8" s="32">
        <v>0.0</v>
      </c>
      <c r="X8" s="32">
        <v>0.0</v>
      </c>
      <c r="Y8" s="32">
        <v>0.0</v>
      </c>
      <c r="Z8" s="22">
        <v>10.0</v>
      </c>
      <c r="AA8" s="22">
        <v>13.0</v>
      </c>
      <c r="AB8" s="22">
        <v>19.0</v>
      </c>
      <c r="AC8" s="22">
        <v>17.0</v>
      </c>
      <c r="AD8" s="22">
        <v>16.0</v>
      </c>
      <c r="AE8" s="22">
        <v>11.0</v>
      </c>
      <c r="AF8" s="22">
        <v>9.0</v>
      </c>
      <c r="AG8" s="22">
        <v>7.0</v>
      </c>
      <c r="AH8" s="22">
        <v>5.0</v>
      </c>
      <c r="AI8" s="22">
        <v>3.0</v>
      </c>
      <c r="AJ8" s="22">
        <v>2.0</v>
      </c>
      <c r="AK8" s="22">
        <v>24.0</v>
      </c>
      <c r="AL8" s="22">
        <v>24.0</v>
      </c>
      <c r="AM8" s="22">
        <v>19.0</v>
      </c>
      <c r="AN8" s="22">
        <v>17.0</v>
      </c>
      <c r="AO8" s="22">
        <v>15.0</v>
      </c>
      <c r="AP8" s="22">
        <v>12.0</v>
      </c>
      <c r="AQ8" s="22">
        <v>9.0</v>
      </c>
      <c r="AR8" s="22">
        <v>21.0</v>
      </c>
      <c r="AS8" s="22">
        <v>17.0</v>
      </c>
      <c r="AT8" s="22">
        <v>16.0</v>
      </c>
      <c r="AU8" s="22">
        <v>15.0</v>
      </c>
      <c r="AV8" s="22">
        <v>12.0</v>
      </c>
      <c r="AW8" s="22">
        <v>10.0</v>
      </c>
      <c r="AX8" s="22">
        <v>13.0</v>
      </c>
      <c r="AY8" s="22">
        <v>12.0</v>
      </c>
      <c r="AZ8" s="22">
        <v>8.0</v>
      </c>
      <c r="BA8" s="22">
        <v>7.0</v>
      </c>
      <c r="BB8" s="22">
        <v>0.0</v>
      </c>
      <c r="BC8" s="22">
        <v>0.0</v>
      </c>
      <c r="BD8" s="22">
        <v>10.0</v>
      </c>
      <c r="BE8" s="22">
        <v>9.0</v>
      </c>
      <c r="BF8" s="22">
        <v>4.0</v>
      </c>
      <c r="BG8" s="22">
        <v>1.0</v>
      </c>
      <c r="BH8" s="22"/>
      <c r="BI8" s="22"/>
      <c r="BJ8" s="22"/>
      <c r="BK8" s="22"/>
    </row>
    <row r="9">
      <c r="A9" s="19" t="s">
        <v>152</v>
      </c>
      <c r="B9" s="19" t="s">
        <v>7</v>
      </c>
      <c r="C9" s="19" t="s">
        <v>12</v>
      </c>
      <c r="Q9" s="32"/>
      <c r="R9" s="32"/>
      <c r="S9" s="32"/>
      <c r="T9" s="32"/>
      <c r="U9" s="32"/>
      <c r="V9" s="32"/>
      <c r="W9" s="32"/>
      <c r="X9" s="32"/>
      <c r="Y9" s="3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F9" s="22"/>
      <c r="BG9" s="22"/>
      <c r="BH9" s="22"/>
      <c r="BI9" s="22"/>
      <c r="BJ9" s="22"/>
      <c r="BK9" s="22"/>
    </row>
    <row r="10">
      <c r="A10" s="19" t="s">
        <v>152</v>
      </c>
      <c r="B10" s="19" t="s">
        <v>7</v>
      </c>
      <c r="C10" s="19" t="s">
        <v>18</v>
      </c>
      <c r="Q10" s="32">
        <v>0.0</v>
      </c>
      <c r="R10" s="32">
        <v>0.0</v>
      </c>
      <c r="S10" s="32">
        <v>0.0</v>
      </c>
      <c r="T10" s="32">
        <v>0.0</v>
      </c>
      <c r="U10" s="32">
        <v>0.0</v>
      </c>
      <c r="V10" s="32">
        <v>0.0</v>
      </c>
      <c r="W10" s="32">
        <v>0.0</v>
      </c>
      <c r="X10" s="32">
        <v>0.0</v>
      </c>
      <c r="Y10" s="32">
        <v>0.0</v>
      </c>
      <c r="Z10" s="22">
        <v>0.0</v>
      </c>
      <c r="AA10" s="22">
        <v>2.0</v>
      </c>
      <c r="AB10" s="22">
        <v>3.0</v>
      </c>
      <c r="AC10" s="22">
        <v>3.0</v>
      </c>
      <c r="AD10" s="22">
        <v>3.0</v>
      </c>
      <c r="AE10" s="22">
        <v>3.0</v>
      </c>
      <c r="AF10" s="22">
        <v>2.0</v>
      </c>
      <c r="AG10" s="22">
        <v>2.0</v>
      </c>
      <c r="AH10" s="22">
        <v>2.0</v>
      </c>
      <c r="AI10" s="22">
        <v>2.0</v>
      </c>
      <c r="AJ10" s="22">
        <v>2.0</v>
      </c>
      <c r="AK10" s="22">
        <v>2.0</v>
      </c>
      <c r="AL10" s="22">
        <v>2.0</v>
      </c>
      <c r="AM10" s="22">
        <v>2.0</v>
      </c>
      <c r="AN10" s="22">
        <v>2.0</v>
      </c>
      <c r="AO10" s="22">
        <v>2.0</v>
      </c>
      <c r="AP10" s="22">
        <v>1.0</v>
      </c>
      <c r="AQ10" s="22">
        <v>1.0</v>
      </c>
      <c r="AR10" s="22">
        <v>3.0</v>
      </c>
      <c r="AS10" s="22">
        <v>3.0</v>
      </c>
      <c r="AT10" s="22">
        <v>2.0</v>
      </c>
      <c r="AU10" s="22">
        <v>2.0</v>
      </c>
      <c r="AV10" s="22">
        <v>1.0</v>
      </c>
      <c r="AW10" s="22">
        <v>1.0</v>
      </c>
      <c r="AX10" s="22">
        <v>2.0</v>
      </c>
      <c r="AY10" s="22">
        <v>2.0</v>
      </c>
      <c r="AZ10" s="22">
        <v>1.0</v>
      </c>
      <c r="BA10" s="22">
        <v>1.0</v>
      </c>
      <c r="BB10" s="22">
        <v>1.0</v>
      </c>
      <c r="BC10" s="22">
        <v>1.0</v>
      </c>
      <c r="BD10" s="22">
        <v>0.0</v>
      </c>
      <c r="BE10" s="22">
        <v>0.0</v>
      </c>
      <c r="BF10" s="22">
        <v>0.0</v>
      </c>
      <c r="BG10" s="22">
        <v>0.0</v>
      </c>
      <c r="BH10" s="22"/>
      <c r="BI10" s="22"/>
      <c r="BJ10" s="22"/>
      <c r="BK10" s="22"/>
    </row>
    <row r="11">
      <c r="A11" s="19" t="s">
        <v>152</v>
      </c>
      <c r="B11" s="19" t="s">
        <v>7</v>
      </c>
      <c r="C11" s="19" t="s">
        <v>19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>
        <v>0.0</v>
      </c>
      <c r="AQ11" s="22">
        <v>0.0</v>
      </c>
      <c r="AR11" s="22">
        <v>0.0</v>
      </c>
      <c r="AS11" s="22">
        <v>0.0</v>
      </c>
      <c r="AT11" s="22">
        <v>0.0</v>
      </c>
      <c r="AU11" s="22">
        <v>0.0</v>
      </c>
      <c r="AV11" s="22">
        <v>0.0</v>
      </c>
      <c r="AW11" s="22">
        <v>6.0</v>
      </c>
      <c r="AX11" s="22">
        <v>5.0</v>
      </c>
      <c r="AY11" s="22">
        <v>4.0</v>
      </c>
      <c r="AZ11" s="22">
        <v>2.0</v>
      </c>
      <c r="BA11" s="22">
        <v>10.0</v>
      </c>
      <c r="BB11" s="22">
        <v>5.0</v>
      </c>
      <c r="BC11" s="22">
        <v>5.0</v>
      </c>
      <c r="BD11" s="22">
        <v>15.0</v>
      </c>
      <c r="BE11" s="22">
        <v>15.0</v>
      </c>
      <c r="BF11" s="22">
        <v>14.0</v>
      </c>
      <c r="BG11" s="22">
        <v>12.0</v>
      </c>
      <c r="BH11" s="22"/>
      <c r="BI11" s="22"/>
      <c r="BJ11" s="22"/>
      <c r="BK11" s="22"/>
    </row>
    <row r="12">
      <c r="A12" s="19" t="s">
        <v>152</v>
      </c>
      <c r="B12" s="26" t="s">
        <v>13</v>
      </c>
      <c r="C12" s="19" t="s">
        <v>20</v>
      </c>
      <c r="Q12" s="22" t="s">
        <v>21</v>
      </c>
      <c r="R12" s="22" t="s">
        <v>21</v>
      </c>
      <c r="S12" s="22" t="s">
        <v>21</v>
      </c>
      <c r="T12" s="22" t="s">
        <v>21</v>
      </c>
      <c r="U12" s="22" t="s">
        <v>21</v>
      </c>
      <c r="V12" s="22" t="s">
        <v>21</v>
      </c>
      <c r="W12" s="22" t="s">
        <v>21</v>
      </c>
      <c r="X12" s="22" t="s">
        <v>21</v>
      </c>
      <c r="Y12" s="22" t="s">
        <v>21</v>
      </c>
      <c r="Z12" s="22" t="s">
        <v>21</v>
      </c>
      <c r="AA12" s="22" t="s">
        <v>21</v>
      </c>
      <c r="AB12" s="22">
        <v>3.0</v>
      </c>
      <c r="AC12" s="22">
        <v>3.0</v>
      </c>
      <c r="AD12" s="22">
        <v>3.0</v>
      </c>
      <c r="AE12" s="22">
        <v>3.0</v>
      </c>
      <c r="AF12" s="22">
        <v>3.0</v>
      </c>
      <c r="AG12" s="22">
        <v>3.0</v>
      </c>
      <c r="AH12" s="22">
        <v>3.0</v>
      </c>
      <c r="AI12" s="22">
        <v>3.0</v>
      </c>
      <c r="AJ12" s="22">
        <v>3.0</v>
      </c>
      <c r="AK12" s="22">
        <v>3.0</v>
      </c>
      <c r="AL12" s="22">
        <v>2.0</v>
      </c>
      <c r="AM12" s="22">
        <v>2.0</v>
      </c>
      <c r="AN12" s="22">
        <v>2.0</v>
      </c>
      <c r="AO12" s="22">
        <v>2.0</v>
      </c>
      <c r="AP12" s="22">
        <v>2.0</v>
      </c>
      <c r="AQ12" s="22">
        <v>2.0</v>
      </c>
      <c r="AR12" s="22">
        <v>2.0</v>
      </c>
      <c r="AS12" s="22">
        <v>2.0</v>
      </c>
      <c r="AT12" s="22">
        <v>2.0</v>
      </c>
      <c r="AU12" s="22">
        <v>2.0</v>
      </c>
      <c r="AV12" s="22">
        <v>2.0</v>
      </c>
      <c r="AW12" s="22">
        <v>2.0</v>
      </c>
      <c r="AX12" s="22">
        <v>2.0</v>
      </c>
      <c r="AY12" s="22">
        <v>2.0</v>
      </c>
      <c r="AZ12" s="22">
        <v>2.0</v>
      </c>
      <c r="BA12" s="22">
        <v>2.0</v>
      </c>
      <c r="BB12" s="22">
        <v>2.0</v>
      </c>
      <c r="BC12" s="22">
        <v>2.0</v>
      </c>
      <c r="BD12" s="22">
        <v>1.0</v>
      </c>
      <c r="BE12" s="22">
        <v>1.0</v>
      </c>
      <c r="BF12" s="22">
        <v>1.0</v>
      </c>
      <c r="BG12" s="22">
        <v>1.0</v>
      </c>
      <c r="BH12" s="22"/>
      <c r="BI12" s="22"/>
      <c r="BJ12" s="22"/>
      <c r="BK12" s="22"/>
    </row>
    <row r="13">
      <c r="A13" s="19" t="s">
        <v>152</v>
      </c>
      <c r="B13" s="26" t="s">
        <v>13</v>
      </c>
      <c r="C13" s="19" t="s">
        <v>22</v>
      </c>
      <c r="Q13" s="22" t="s">
        <v>21</v>
      </c>
      <c r="R13" s="22" t="s">
        <v>21</v>
      </c>
      <c r="S13" s="22" t="s">
        <v>21</v>
      </c>
      <c r="T13" s="22" t="s">
        <v>21</v>
      </c>
      <c r="U13" s="22" t="s">
        <v>21</v>
      </c>
      <c r="V13" s="22" t="s">
        <v>21</v>
      </c>
      <c r="W13" s="22" t="s">
        <v>21</v>
      </c>
      <c r="X13" s="22" t="s">
        <v>21</v>
      </c>
      <c r="Y13" s="22" t="s">
        <v>21</v>
      </c>
      <c r="Z13" s="22" t="s">
        <v>21</v>
      </c>
      <c r="AA13" s="22" t="s">
        <v>21</v>
      </c>
      <c r="AB13" s="22">
        <v>1.0</v>
      </c>
      <c r="AC13" s="22">
        <v>1.0</v>
      </c>
      <c r="AD13" s="22">
        <v>1.0</v>
      </c>
      <c r="AE13" s="22">
        <v>1.0</v>
      </c>
      <c r="AF13" s="22">
        <v>1.0</v>
      </c>
      <c r="AG13" s="22">
        <v>1.0</v>
      </c>
      <c r="AH13" s="22">
        <v>1.0</v>
      </c>
      <c r="AI13" s="22">
        <v>1.0</v>
      </c>
      <c r="AJ13" s="22">
        <v>1.0</v>
      </c>
      <c r="AK13" s="22">
        <v>1.0</v>
      </c>
      <c r="AL13" s="22">
        <v>1.0</v>
      </c>
      <c r="AM13" s="22">
        <v>1.0</v>
      </c>
      <c r="AN13" s="22">
        <v>1.0</v>
      </c>
      <c r="AO13" s="22">
        <v>1.0</v>
      </c>
      <c r="AP13" s="22">
        <v>1.0</v>
      </c>
      <c r="AQ13" s="22">
        <v>1.0</v>
      </c>
      <c r="AR13" s="22">
        <v>1.0</v>
      </c>
      <c r="AS13" s="22">
        <v>0.0</v>
      </c>
      <c r="AT13" s="22">
        <v>0.0</v>
      </c>
      <c r="AU13" s="22">
        <v>0.0</v>
      </c>
      <c r="AV13" s="22">
        <v>0.0</v>
      </c>
      <c r="AW13" s="22">
        <v>0.0</v>
      </c>
      <c r="AX13" s="22">
        <v>1.0</v>
      </c>
      <c r="AY13" s="22">
        <v>1.0</v>
      </c>
      <c r="AZ13" s="22">
        <v>1.0</v>
      </c>
      <c r="BA13" s="22">
        <v>1.0</v>
      </c>
      <c r="BB13" s="22">
        <v>1.0</v>
      </c>
      <c r="BC13" s="22">
        <v>1.0</v>
      </c>
      <c r="BD13" s="22">
        <v>1.0</v>
      </c>
      <c r="BE13" s="22">
        <v>1.0</v>
      </c>
      <c r="BF13" s="22">
        <v>1.0</v>
      </c>
      <c r="BG13" s="22">
        <v>1.0</v>
      </c>
      <c r="BH13" s="22"/>
      <c r="BI13" s="22"/>
      <c r="BJ13" s="22"/>
      <c r="BK13" s="22"/>
    </row>
    <row r="14">
      <c r="A14" s="19" t="s">
        <v>152</v>
      </c>
      <c r="B14" s="26" t="s">
        <v>13</v>
      </c>
      <c r="C14" s="19" t="s">
        <v>134</v>
      </c>
      <c r="Q14" s="22" t="s">
        <v>21</v>
      </c>
      <c r="R14" s="22" t="s">
        <v>21</v>
      </c>
      <c r="S14" s="22" t="s">
        <v>21</v>
      </c>
      <c r="T14" s="22" t="s">
        <v>21</v>
      </c>
      <c r="U14" s="22" t="s">
        <v>21</v>
      </c>
      <c r="V14" s="22" t="s">
        <v>21</v>
      </c>
      <c r="W14" s="22" t="s">
        <v>21</v>
      </c>
      <c r="X14" s="22" t="s">
        <v>21</v>
      </c>
      <c r="Y14" s="22" t="s">
        <v>21</v>
      </c>
      <c r="Z14" s="22" t="s">
        <v>21</v>
      </c>
      <c r="AA14" s="22" t="s">
        <v>21</v>
      </c>
      <c r="AB14" s="22">
        <v>25.0</v>
      </c>
      <c r="AC14" s="22" t="s">
        <v>153</v>
      </c>
      <c r="AD14" s="22" t="s">
        <v>154</v>
      </c>
      <c r="AE14" s="22" t="s">
        <v>154</v>
      </c>
      <c r="AF14" s="22" t="s">
        <v>154</v>
      </c>
      <c r="AG14" s="22" t="s">
        <v>155</v>
      </c>
      <c r="AH14" s="22" t="s">
        <v>156</v>
      </c>
      <c r="AI14" s="22" t="s">
        <v>157</v>
      </c>
      <c r="AJ14" s="22" t="s">
        <v>157</v>
      </c>
      <c r="AK14" s="22">
        <v>18.0</v>
      </c>
      <c r="AL14" s="22">
        <v>25.0</v>
      </c>
      <c r="AM14" s="22">
        <v>23.0</v>
      </c>
      <c r="AN14" s="22">
        <v>23.0</v>
      </c>
      <c r="AO14" s="22">
        <v>23.0</v>
      </c>
      <c r="AP14" s="22">
        <v>23.0</v>
      </c>
      <c r="AQ14" s="22">
        <v>20.0</v>
      </c>
      <c r="AR14" s="22">
        <v>20.0</v>
      </c>
      <c r="AS14" s="22">
        <v>19.0</v>
      </c>
      <c r="AT14" s="22">
        <v>19.0</v>
      </c>
      <c r="AU14" s="22">
        <v>19.0</v>
      </c>
      <c r="AV14" s="22">
        <v>19.0</v>
      </c>
      <c r="AW14" s="22">
        <v>17.0</v>
      </c>
      <c r="AX14" s="22">
        <v>27.0</v>
      </c>
      <c r="AY14" s="22">
        <v>26.0</v>
      </c>
      <c r="AZ14" s="22">
        <v>23.0</v>
      </c>
      <c r="BA14" s="22">
        <v>23.0</v>
      </c>
      <c r="BB14" s="22">
        <v>20.0</v>
      </c>
      <c r="BC14" s="22">
        <v>20.0</v>
      </c>
      <c r="BD14" s="22">
        <v>17.0</v>
      </c>
      <c r="BE14" s="22">
        <v>17.0</v>
      </c>
      <c r="BF14" s="22">
        <v>17.0</v>
      </c>
      <c r="BG14" s="22">
        <v>15.0</v>
      </c>
      <c r="BH14" s="22"/>
      <c r="BI14" s="22"/>
      <c r="BJ14" s="22"/>
      <c r="BK14" s="22"/>
    </row>
    <row r="15">
      <c r="A15" s="19" t="s">
        <v>152</v>
      </c>
      <c r="B15" s="26" t="s">
        <v>13</v>
      </c>
      <c r="C15" s="19" t="s">
        <v>148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 t="s">
        <v>158</v>
      </c>
      <c r="AD15" s="22" t="s">
        <v>159</v>
      </c>
      <c r="AE15" s="22" t="s">
        <v>160</v>
      </c>
      <c r="AF15" s="22" t="s">
        <v>160</v>
      </c>
      <c r="AG15" s="22" t="s">
        <v>160</v>
      </c>
      <c r="AH15" s="22" t="s">
        <v>161</v>
      </c>
      <c r="AI15" s="22" t="s">
        <v>162</v>
      </c>
      <c r="AJ15" s="22" t="s">
        <v>162</v>
      </c>
      <c r="AK15" s="22">
        <v>8.0</v>
      </c>
      <c r="AL15" s="22">
        <v>8.0</v>
      </c>
      <c r="AM15" s="22">
        <v>6.0</v>
      </c>
      <c r="AN15" s="22">
        <v>6.0</v>
      </c>
      <c r="AO15" s="22">
        <v>4.0</v>
      </c>
      <c r="AP15" s="22">
        <v>4.0</v>
      </c>
      <c r="AQ15" s="22">
        <v>0.0</v>
      </c>
      <c r="AR15" s="22">
        <v>0.0</v>
      </c>
      <c r="AS15" s="22">
        <v>3.0</v>
      </c>
      <c r="AT15" s="22">
        <v>3.0</v>
      </c>
      <c r="AU15" s="22">
        <v>3.0</v>
      </c>
      <c r="AV15" s="22">
        <v>3.0</v>
      </c>
      <c r="AW15" s="22">
        <v>2.0</v>
      </c>
      <c r="AX15" s="22">
        <v>10.0</v>
      </c>
      <c r="AY15" s="22">
        <v>11.0</v>
      </c>
      <c r="AZ15" s="22">
        <v>8.0</v>
      </c>
      <c r="BA15" s="22">
        <v>8.0</v>
      </c>
      <c r="BB15" s="22">
        <v>3.0</v>
      </c>
      <c r="BC15" s="22">
        <v>3.0</v>
      </c>
      <c r="BD15" s="22">
        <v>2.0</v>
      </c>
      <c r="BE15" s="22">
        <v>1.0</v>
      </c>
      <c r="BF15" s="22">
        <v>1.0</v>
      </c>
      <c r="BG15" s="22">
        <v>0.0</v>
      </c>
      <c r="BH15" s="22"/>
      <c r="BI15" s="22"/>
      <c r="BJ15" s="22"/>
      <c r="BK15" s="22"/>
    </row>
    <row r="16">
      <c r="A16" s="19" t="s">
        <v>152</v>
      </c>
      <c r="B16" s="26" t="s">
        <v>13</v>
      </c>
      <c r="C16" s="19" t="s">
        <v>149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 t="s">
        <v>163</v>
      </c>
      <c r="AD16" s="22" t="s">
        <v>163</v>
      </c>
      <c r="AE16" s="22" t="s">
        <v>163</v>
      </c>
      <c r="AF16" s="22" t="s">
        <v>163</v>
      </c>
      <c r="AG16" s="22" t="s">
        <v>164</v>
      </c>
      <c r="AH16" s="22" t="s">
        <v>164</v>
      </c>
      <c r="AI16" s="22" t="s">
        <v>164</v>
      </c>
      <c r="AJ16" s="22" t="s">
        <v>164</v>
      </c>
      <c r="AK16" s="22">
        <v>7.0</v>
      </c>
      <c r="AL16" s="22">
        <v>11.0</v>
      </c>
      <c r="AM16" s="22">
        <v>10.0</v>
      </c>
      <c r="AN16" s="22">
        <v>10.0</v>
      </c>
      <c r="AO16" s="22">
        <v>10.0</v>
      </c>
      <c r="AP16" s="22">
        <v>10.0</v>
      </c>
      <c r="AQ16" s="22">
        <v>9.0</v>
      </c>
      <c r="AR16" s="22">
        <v>9.0</v>
      </c>
      <c r="AS16" s="22">
        <v>9.0</v>
      </c>
      <c r="AT16" s="22">
        <v>9.0</v>
      </c>
      <c r="AU16" s="22">
        <v>9.0</v>
      </c>
      <c r="AV16" s="22">
        <v>8.0</v>
      </c>
      <c r="AW16" s="22">
        <v>8.0</v>
      </c>
      <c r="AX16" s="22">
        <v>17.0</v>
      </c>
      <c r="AY16" s="22">
        <v>15.0</v>
      </c>
      <c r="AZ16" s="22">
        <v>15.0</v>
      </c>
      <c r="BA16" s="22">
        <v>14.0</v>
      </c>
      <c r="BB16" s="22">
        <v>13.0</v>
      </c>
      <c r="BC16" s="22">
        <v>13.0</v>
      </c>
      <c r="BD16" s="22">
        <v>13.0</v>
      </c>
      <c r="BE16" s="22">
        <v>12.0</v>
      </c>
      <c r="BF16" s="22">
        <v>12.0</v>
      </c>
      <c r="BG16" s="22">
        <v>10.0</v>
      </c>
      <c r="BH16" s="22"/>
      <c r="BI16" s="22"/>
      <c r="BJ16" s="22"/>
      <c r="BK16" s="22"/>
    </row>
    <row r="17">
      <c r="A17" s="19" t="s">
        <v>152</v>
      </c>
      <c r="B17" s="26" t="s">
        <v>13</v>
      </c>
      <c r="C17" s="19" t="s">
        <v>23</v>
      </c>
      <c r="Q17" s="22" t="s">
        <v>21</v>
      </c>
      <c r="R17" s="22" t="s">
        <v>21</v>
      </c>
      <c r="S17" s="22" t="s">
        <v>21</v>
      </c>
      <c r="T17" s="22" t="s">
        <v>21</v>
      </c>
      <c r="U17" s="22" t="s">
        <v>21</v>
      </c>
      <c r="V17" s="22" t="s">
        <v>21</v>
      </c>
      <c r="W17" s="22" t="s">
        <v>21</v>
      </c>
      <c r="X17" s="22" t="s">
        <v>21</v>
      </c>
      <c r="Y17" s="22" t="s">
        <v>21</v>
      </c>
      <c r="Z17" s="22" t="s">
        <v>21</v>
      </c>
      <c r="AA17" s="22" t="s">
        <v>21</v>
      </c>
      <c r="AB17" s="22">
        <v>6.0</v>
      </c>
      <c r="AC17" s="22">
        <v>6.0</v>
      </c>
      <c r="AD17" s="22">
        <v>6.0</v>
      </c>
      <c r="AE17" s="22">
        <v>4.0</v>
      </c>
      <c r="AF17" s="22">
        <v>4.0</v>
      </c>
      <c r="AG17" s="22">
        <v>4.0</v>
      </c>
      <c r="AH17" s="22">
        <v>4.0</v>
      </c>
      <c r="AI17" s="22">
        <v>4.0</v>
      </c>
      <c r="AJ17" s="22">
        <v>4.0</v>
      </c>
      <c r="AK17" s="22">
        <v>4.0</v>
      </c>
      <c r="AL17" s="22">
        <v>6.0</v>
      </c>
      <c r="AM17" s="22">
        <v>5.0</v>
      </c>
      <c r="AN17" s="22">
        <v>5.0</v>
      </c>
      <c r="AO17" s="22">
        <v>4.0</v>
      </c>
      <c r="AP17" s="22">
        <v>4.0</v>
      </c>
      <c r="AQ17" s="22">
        <v>4.0</v>
      </c>
      <c r="AR17" s="22">
        <v>4.0</v>
      </c>
      <c r="AS17" s="22">
        <v>2.0</v>
      </c>
      <c r="AT17" s="22">
        <v>2.0</v>
      </c>
      <c r="AU17" s="22">
        <v>2.0</v>
      </c>
      <c r="AV17" s="22">
        <v>2.0</v>
      </c>
      <c r="AW17" s="22">
        <v>2.0</v>
      </c>
      <c r="AX17" s="22">
        <v>2.0</v>
      </c>
      <c r="AY17" s="22">
        <v>2.0</v>
      </c>
      <c r="AZ17" s="22">
        <v>4.0</v>
      </c>
      <c r="BA17" s="22">
        <v>4.0</v>
      </c>
      <c r="BB17" s="22">
        <v>4.0</v>
      </c>
      <c r="BC17" s="22">
        <v>4.0</v>
      </c>
      <c r="BD17" s="22">
        <v>3.0</v>
      </c>
      <c r="BE17" s="22">
        <v>3.0</v>
      </c>
      <c r="BF17" s="22">
        <v>3.0</v>
      </c>
      <c r="BG17" s="22">
        <v>3.0</v>
      </c>
      <c r="BH17" s="22"/>
      <c r="BI17" s="22"/>
      <c r="BJ17" s="22"/>
      <c r="BK17" s="22"/>
    </row>
    <row r="18">
      <c r="A18" s="19" t="s">
        <v>152</v>
      </c>
      <c r="B18" s="26" t="s">
        <v>13</v>
      </c>
      <c r="C18" s="19" t="s">
        <v>24</v>
      </c>
      <c r="Q18" s="22" t="s">
        <v>21</v>
      </c>
      <c r="R18" s="22" t="s">
        <v>21</v>
      </c>
      <c r="S18" s="22" t="s">
        <v>21</v>
      </c>
      <c r="T18" s="22" t="s">
        <v>21</v>
      </c>
      <c r="U18" s="22" t="s">
        <v>21</v>
      </c>
      <c r="V18" s="22" t="s">
        <v>21</v>
      </c>
      <c r="W18" s="22" t="s">
        <v>21</v>
      </c>
      <c r="X18" s="22" t="s">
        <v>21</v>
      </c>
      <c r="Y18" s="22" t="s">
        <v>21</v>
      </c>
      <c r="Z18" s="22" t="s">
        <v>21</v>
      </c>
      <c r="AA18" s="22" t="s">
        <v>21</v>
      </c>
      <c r="AB18" s="22">
        <v>6.0</v>
      </c>
      <c r="AC18" s="22">
        <v>6.0</v>
      </c>
      <c r="AD18" s="22">
        <v>5.0</v>
      </c>
      <c r="AE18" s="22">
        <v>4.0</v>
      </c>
      <c r="AF18" s="22">
        <v>4.0</v>
      </c>
      <c r="AG18" s="22">
        <v>4.0</v>
      </c>
      <c r="AH18" s="22">
        <v>4.0</v>
      </c>
      <c r="AI18" s="22">
        <v>4.0</v>
      </c>
      <c r="AJ18" s="22">
        <v>4.0</v>
      </c>
      <c r="AK18" s="22">
        <v>7.0</v>
      </c>
      <c r="AL18" s="22">
        <v>6.0</v>
      </c>
      <c r="AM18" s="22">
        <v>4.0</v>
      </c>
      <c r="AN18" s="22">
        <v>4.0</v>
      </c>
      <c r="AO18" s="22">
        <v>4.0</v>
      </c>
      <c r="AP18" s="22">
        <v>4.0</v>
      </c>
      <c r="AQ18" s="22">
        <v>4.0</v>
      </c>
      <c r="AR18" s="22">
        <v>4.0</v>
      </c>
      <c r="AS18" s="22">
        <v>4.0</v>
      </c>
      <c r="AT18" s="22">
        <v>4.0</v>
      </c>
      <c r="AU18" s="22">
        <v>3.0</v>
      </c>
      <c r="AV18" s="22">
        <v>2.0</v>
      </c>
      <c r="AW18" s="22">
        <v>2.0</v>
      </c>
      <c r="AX18" s="22">
        <v>2.0</v>
      </c>
      <c r="AY18" s="22">
        <v>2.0</v>
      </c>
      <c r="AZ18" s="22">
        <v>1.0</v>
      </c>
      <c r="BA18" s="22">
        <v>1.0</v>
      </c>
      <c r="BB18" s="22">
        <v>1.0</v>
      </c>
      <c r="BC18" s="22">
        <v>1.0</v>
      </c>
      <c r="BD18" s="22">
        <v>3.0</v>
      </c>
      <c r="BE18" s="22">
        <v>3.0</v>
      </c>
      <c r="BF18" s="22">
        <v>3.0</v>
      </c>
      <c r="BG18" s="22">
        <v>3.0</v>
      </c>
      <c r="BH18" s="22"/>
      <c r="BI18" s="22"/>
      <c r="BJ18" s="22"/>
      <c r="BK18" s="22"/>
    </row>
  </sheetData>
  <dataValidations>
    <dataValidation type="list" allowBlank="1" showErrorMessage="1" sqref="B5:B18">
      <formula1>"Cafeteria,Aseo"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1.25"/>
    <col customWidth="1" min="2" max="2" width="17.13"/>
    <col customWidth="1" min="3" max="3" width="22.38"/>
    <col customWidth="1" hidden="1" min="4" max="4" width="13.25"/>
    <col customWidth="1" hidden="1" min="5" max="8" width="13.0"/>
    <col customWidth="1" hidden="1" min="9" max="9" width="11.75"/>
    <col hidden="1" min="10" max="29" width="12.63"/>
    <col customWidth="1" hidden="1" min="30" max="30" width="13.75"/>
    <col hidden="1" min="31" max="53" width="12.63"/>
    <col customWidth="1" hidden="1" min="54" max="54" width="12.38"/>
    <col hidden="1" min="55" max="55" width="12.63"/>
    <col customWidth="1" hidden="1" min="56" max="59" width="11.38"/>
    <col customWidth="1" min="60" max="68" width="11.38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6" t="s">
        <v>43</v>
      </c>
      <c r="J1" s="16" t="s">
        <v>43</v>
      </c>
      <c r="K1" s="16" t="s">
        <v>165</v>
      </c>
      <c r="L1" s="16" t="s">
        <v>165</v>
      </c>
      <c r="M1" s="16" t="s">
        <v>165</v>
      </c>
      <c r="N1" s="16" t="s">
        <v>166</v>
      </c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</row>
    <row r="2">
      <c r="A2" s="16"/>
      <c r="B2" s="16"/>
      <c r="C2" s="17"/>
      <c r="D2" s="17">
        <v>45811.0</v>
      </c>
      <c r="E2" s="17">
        <f>D2+6</f>
        <v>45817</v>
      </c>
      <c r="F2" s="17">
        <v>45819.0</v>
      </c>
      <c r="G2" s="17">
        <v>45821.0</v>
      </c>
      <c r="H2" s="18">
        <f>E2+7</f>
        <v>45824</v>
      </c>
      <c r="I2" s="18">
        <f t="shared" ref="I2:J2" si="1">H2+7</f>
        <v>45831</v>
      </c>
      <c r="J2" s="17">
        <f t="shared" si="1"/>
        <v>45838</v>
      </c>
      <c r="K2" s="17">
        <v>45845.0</v>
      </c>
      <c r="L2" s="17">
        <f t="shared" ref="L2:N2" si="2">K2+7</f>
        <v>45852</v>
      </c>
      <c r="M2" s="18">
        <f t="shared" si="2"/>
        <v>45859</v>
      </c>
      <c r="N2" s="18">
        <f t="shared" si="2"/>
        <v>45866</v>
      </c>
      <c r="O2" s="17">
        <v>45873.0</v>
      </c>
      <c r="P2" s="17">
        <f t="shared" ref="P2:R2" si="3">O2+7</f>
        <v>45880</v>
      </c>
      <c r="Q2" s="18">
        <f t="shared" si="3"/>
        <v>45887</v>
      </c>
      <c r="R2" s="18">
        <f t="shared" si="3"/>
        <v>45894</v>
      </c>
      <c r="S2" s="18">
        <v>45901.0</v>
      </c>
      <c r="T2" s="17">
        <v>45908.0</v>
      </c>
      <c r="U2" s="17">
        <v>45915.0</v>
      </c>
      <c r="V2" s="17">
        <v>45922.0</v>
      </c>
      <c r="W2" s="17">
        <v>45929.0</v>
      </c>
      <c r="X2" s="17">
        <v>45957.0</v>
      </c>
      <c r="Y2" s="17">
        <f t="shared" ref="Y2:Z2" si="4">X2+7</f>
        <v>45964</v>
      </c>
      <c r="Z2" s="18">
        <f t="shared" si="4"/>
        <v>45971</v>
      </c>
      <c r="AA2" s="17">
        <v>45978.0</v>
      </c>
      <c r="AB2" s="17">
        <v>45979.0</v>
      </c>
      <c r="AC2" s="17">
        <v>45980.0</v>
      </c>
      <c r="AD2" s="17">
        <v>45981.0</v>
      </c>
      <c r="AE2" s="17">
        <v>45982.0</v>
      </c>
      <c r="AF2" s="17">
        <v>45985.0</v>
      </c>
      <c r="AG2" s="17">
        <v>45988.0</v>
      </c>
      <c r="AH2" s="17">
        <v>45992.0</v>
      </c>
      <c r="AI2" s="17">
        <v>45993.0</v>
      </c>
      <c r="AJ2" s="17">
        <v>45995.0</v>
      </c>
      <c r="AK2" s="17">
        <v>46000.0</v>
      </c>
      <c r="AL2" s="17">
        <v>46002.0</v>
      </c>
      <c r="AM2" s="17">
        <v>46006.0</v>
      </c>
      <c r="AN2" s="17">
        <v>46009.0</v>
      </c>
      <c r="AO2" s="17">
        <v>46013.0</v>
      </c>
      <c r="AP2" s="17">
        <v>46020.0</v>
      </c>
      <c r="AQ2" s="17">
        <v>46024.0</v>
      </c>
      <c r="AR2" s="17">
        <v>46027.0</v>
      </c>
      <c r="AS2" s="17">
        <v>46030.0</v>
      </c>
      <c r="AT2" s="17">
        <v>46034.0</v>
      </c>
      <c r="AU2" s="17">
        <v>46037.0</v>
      </c>
      <c r="AV2" s="17">
        <v>46041.0</v>
      </c>
      <c r="AW2" s="17">
        <v>46044.0</v>
      </c>
      <c r="AX2" s="17">
        <v>46048.0</v>
      </c>
      <c r="AY2" s="17">
        <v>46051.0</v>
      </c>
      <c r="AZ2" s="17">
        <v>46055.0</v>
      </c>
      <c r="BA2" s="17">
        <v>46058.0</v>
      </c>
      <c r="BB2" s="17">
        <v>46062.0</v>
      </c>
      <c r="BC2" s="17">
        <v>46065.0</v>
      </c>
      <c r="BD2" s="17">
        <v>46069.0</v>
      </c>
      <c r="BE2" s="17">
        <v>46072.0</v>
      </c>
      <c r="BF2" s="17">
        <v>46076.0</v>
      </c>
      <c r="BG2" s="17">
        <v>46079.0</v>
      </c>
      <c r="BH2" s="17">
        <v>46083.0</v>
      </c>
      <c r="BI2" s="17">
        <v>46086.0</v>
      </c>
      <c r="BJ2" s="17">
        <v>46086.0</v>
      </c>
      <c r="BK2" s="17">
        <v>46094.0</v>
      </c>
      <c r="BL2" s="17">
        <v>46097.0</v>
      </c>
      <c r="BM2" s="17">
        <v>46100.0</v>
      </c>
      <c r="BN2" s="17">
        <v>46104.0</v>
      </c>
      <c r="BO2" s="17"/>
      <c r="BP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 t="s">
        <v>3</v>
      </c>
      <c r="BE3" s="16" t="s">
        <v>3</v>
      </c>
      <c r="BF3" s="16" t="s">
        <v>3</v>
      </c>
      <c r="BG3" s="16" t="s">
        <v>3</v>
      </c>
      <c r="BH3" s="16" t="s">
        <v>3</v>
      </c>
      <c r="BI3" s="16" t="s">
        <v>3</v>
      </c>
      <c r="BJ3" s="16" t="s">
        <v>3</v>
      </c>
      <c r="BK3" s="16" t="s">
        <v>3</v>
      </c>
      <c r="BL3" s="16" t="s">
        <v>3</v>
      </c>
      <c r="BM3" s="16" t="s">
        <v>3</v>
      </c>
      <c r="BN3" s="16" t="s">
        <v>3</v>
      </c>
      <c r="BO3" s="16"/>
      <c r="BP3" s="16"/>
    </row>
    <row r="4">
      <c r="A4" s="19" t="s">
        <v>167</v>
      </c>
      <c r="B4" s="19" t="s">
        <v>5</v>
      </c>
      <c r="C4" s="19" t="s">
        <v>6</v>
      </c>
      <c r="D4" s="19" t="s">
        <v>168</v>
      </c>
      <c r="E4" s="19" t="s">
        <v>169</v>
      </c>
      <c r="F4" s="19" t="s">
        <v>170</v>
      </c>
      <c r="G4" s="19" t="s">
        <v>171</v>
      </c>
      <c r="H4" s="26"/>
      <c r="I4" s="26"/>
      <c r="J4" s="20"/>
      <c r="Q4" s="22" t="s">
        <v>172</v>
      </c>
      <c r="R4" s="22" t="s">
        <v>173</v>
      </c>
      <c r="S4" s="22">
        <v>0.0</v>
      </c>
      <c r="T4" s="22">
        <v>0.0</v>
      </c>
      <c r="U4" s="22" t="s">
        <v>174</v>
      </c>
      <c r="V4" s="22" t="s">
        <v>175</v>
      </c>
      <c r="W4" s="22" t="s">
        <v>176</v>
      </c>
      <c r="Y4" s="39" t="s">
        <v>177</v>
      </c>
      <c r="Z4" s="39" t="s">
        <v>178</v>
      </c>
      <c r="AA4" s="39" t="s">
        <v>179</v>
      </c>
      <c r="AB4" s="39" t="s">
        <v>180</v>
      </c>
      <c r="AC4" s="39" t="s">
        <v>181</v>
      </c>
      <c r="AD4" s="39" t="s">
        <v>174</v>
      </c>
      <c r="AE4" s="39" t="s">
        <v>182</v>
      </c>
      <c r="AF4" s="31" t="s">
        <v>183</v>
      </c>
      <c r="AG4" s="31" t="s">
        <v>53</v>
      </c>
      <c r="AH4" s="31" t="s">
        <v>52</v>
      </c>
      <c r="AI4" s="31" t="s">
        <v>184</v>
      </c>
      <c r="AJ4" s="31" t="s">
        <v>185</v>
      </c>
      <c r="AK4" s="31" t="s">
        <v>186</v>
      </c>
      <c r="AL4" s="31" t="s">
        <v>180</v>
      </c>
      <c r="AM4" s="31" t="s">
        <v>183</v>
      </c>
      <c r="AN4" s="31" t="s">
        <v>187</v>
      </c>
      <c r="AO4" s="31" t="s">
        <v>180</v>
      </c>
      <c r="AP4" s="31" t="s">
        <v>188</v>
      </c>
      <c r="AQ4" s="31" t="s">
        <v>180</v>
      </c>
      <c r="AR4" s="31" t="s">
        <v>189</v>
      </c>
      <c r="AS4" s="31" t="s">
        <v>190</v>
      </c>
      <c r="AT4" s="31" t="s">
        <v>174</v>
      </c>
      <c r="AU4" s="31" t="s">
        <v>182</v>
      </c>
      <c r="AV4" s="31" t="s">
        <v>191</v>
      </c>
      <c r="AW4" s="31" t="s">
        <v>192</v>
      </c>
      <c r="AX4" s="31" t="s">
        <v>176</v>
      </c>
      <c r="AY4" s="31" t="s">
        <v>187</v>
      </c>
      <c r="AZ4" s="31">
        <v>0.0</v>
      </c>
      <c r="BA4" s="31" t="s">
        <v>176</v>
      </c>
      <c r="BB4" s="31" t="s">
        <v>181</v>
      </c>
      <c r="BC4" s="31" t="s">
        <v>176</v>
      </c>
      <c r="BD4" s="31">
        <v>0.0</v>
      </c>
      <c r="BE4" s="31">
        <v>3.0</v>
      </c>
      <c r="BF4" s="31">
        <v>1.0</v>
      </c>
      <c r="BG4" s="31">
        <v>4.0</v>
      </c>
      <c r="BH4" s="31">
        <v>3.0</v>
      </c>
      <c r="BI4" s="31">
        <v>6.0</v>
      </c>
      <c r="BJ4" s="31">
        <v>4.0</v>
      </c>
      <c r="BK4" s="31">
        <v>1.0</v>
      </c>
      <c r="BL4" s="31">
        <v>0.0</v>
      </c>
      <c r="BM4" s="31">
        <v>7.0</v>
      </c>
      <c r="BN4" s="31">
        <v>6.0</v>
      </c>
      <c r="BO4" s="31"/>
      <c r="BP4" s="31"/>
    </row>
    <row r="5">
      <c r="A5" s="19" t="s">
        <v>167</v>
      </c>
      <c r="B5" s="19" t="s">
        <v>7</v>
      </c>
      <c r="C5" s="19" t="s">
        <v>8</v>
      </c>
      <c r="D5" s="19"/>
      <c r="E5" s="19" t="s">
        <v>193</v>
      </c>
      <c r="F5" s="19" t="s">
        <v>194</v>
      </c>
      <c r="G5" s="19" t="s">
        <v>194</v>
      </c>
      <c r="H5" s="26"/>
      <c r="I5" s="26"/>
      <c r="J5" s="20"/>
      <c r="Q5" s="22" t="s">
        <v>195</v>
      </c>
      <c r="R5" s="22" t="s">
        <v>118</v>
      </c>
      <c r="S5" s="22" t="s">
        <v>196</v>
      </c>
      <c r="T5" s="22" t="s">
        <v>197</v>
      </c>
      <c r="U5" s="22" t="s">
        <v>197</v>
      </c>
      <c r="V5" s="22" t="s">
        <v>120</v>
      </c>
      <c r="W5" s="22" t="s">
        <v>198</v>
      </c>
      <c r="Y5" s="39" t="s">
        <v>118</v>
      </c>
      <c r="Z5" s="39" t="s">
        <v>121</v>
      </c>
      <c r="AA5" s="39" t="s">
        <v>96</v>
      </c>
      <c r="AB5" s="39"/>
      <c r="AC5" s="39"/>
      <c r="AD5" s="39" t="s">
        <v>199</v>
      </c>
      <c r="AE5" s="39"/>
      <c r="AF5" s="31" t="s">
        <v>200</v>
      </c>
      <c r="AG5" s="31" t="s">
        <v>201</v>
      </c>
      <c r="AH5" s="31" t="s">
        <v>118</v>
      </c>
      <c r="AI5" s="31" t="s">
        <v>131</v>
      </c>
      <c r="AJ5" s="31" t="s">
        <v>130</v>
      </c>
      <c r="AK5" s="31" t="s">
        <v>200</v>
      </c>
      <c r="AL5" s="31" t="s">
        <v>201</v>
      </c>
      <c r="AM5" s="31" t="s">
        <v>202</v>
      </c>
      <c r="AN5" s="31" t="s">
        <v>202</v>
      </c>
      <c r="AO5" s="31" t="s">
        <v>131</v>
      </c>
      <c r="AP5" s="31" t="s">
        <v>130</v>
      </c>
      <c r="AQ5" s="31" t="s">
        <v>200</v>
      </c>
      <c r="AR5" s="31" t="s">
        <v>200</v>
      </c>
      <c r="AS5" s="31" t="s">
        <v>200</v>
      </c>
      <c r="AT5" s="31" t="s">
        <v>200</v>
      </c>
      <c r="AU5" s="31" t="s">
        <v>201</v>
      </c>
      <c r="AV5" s="31" t="s">
        <v>118</v>
      </c>
      <c r="AW5" s="31" t="s">
        <v>201</v>
      </c>
      <c r="AX5" s="31" t="s">
        <v>199</v>
      </c>
      <c r="AY5" s="31" t="s">
        <v>201</v>
      </c>
      <c r="AZ5" s="31" t="s">
        <v>201</v>
      </c>
      <c r="BA5" s="31" t="s">
        <v>203</v>
      </c>
      <c r="BB5" s="31" t="s">
        <v>131</v>
      </c>
      <c r="BC5" s="31" t="s">
        <v>130</v>
      </c>
      <c r="BD5" s="31" t="s">
        <v>200</v>
      </c>
      <c r="BE5" s="31" t="s">
        <v>200</v>
      </c>
      <c r="BF5" s="31" t="s">
        <v>200</v>
      </c>
      <c r="BG5" s="31" t="s">
        <v>200</v>
      </c>
      <c r="BH5" s="31" t="s">
        <v>120</v>
      </c>
      <c r="BI5" s="31" t="s">
        <v>120</v>
      </c>
      <c r="BJ5" s="31" t="s">
        <v>204</v>
      </c>
      <c r="BK5" s="31" t="s">
        <v>201</v>
      </c>
      <c r="BL5" s="31" t="s">
        <v>201</v>
      </c>
      <c r="BM5" s="31" t="s">
        <v>201</v>
      </c>
      <c r="BN5" s="31" t="s">
        <v>121</v>
      </c>
      <c r="BO5" s="31"/>
      <c r="BP5" s="31"/>
    </row>
    <row r="6">
      <c r="A6" s="19" t="s">
        <v>167</v>
      </c>
      <c r="B6" s="19" t="s">
        <v>7</v>
      </c>
      <c r="C6" s="19" t="s">
        <v>9</v>
      </c>
      <c r="D6" s="19"/>
      <c r="E6" s="19" t="s">
        <v>205</v>
      </c>
      <c r="F6" s="19" t="s">
        <v>206</v>
      </c>
      <c r="G6" s="19" t="s">
        <v>207</v>
      </c>
      <c r="H6" s="26"/>
      <c r="I6" s="26"/>
      <c r="J6" s="20"/>
      <c r="Q6" s="22" t="s">
        <v>208</v>
      </c>
      <c r="R6" s="22" t="s">
        <v>130</v>
      </c>
      <c r="S6" s="22" t="s">
        <v>209</v>
      </c>
      <c r="T6" s="22" t="s">
        <v>197</v>
      </c>
      <c r="U6" s="22" t="s">
        <v>197</v>
      </c>
      <c r="V6" s="22" t="s">
        <v>120</v>
      </c>
      <c r="W6" s="22" t="s">
        <v>120</v>
      </c>
      <c r="Y6" s="39" t="s">
        <v>121</v>
      </c>
      <c r="Z6" s="39" t="s">
        <v>96</v>
      </c>
      <c r="AA6" s="39" t="s">
        <v>96</v>
      </c>
      <c r="AB6" s="39"/>
      <c r="AC6" s="39"/>
      <c r="AD6" s="39" t="s">
        <v>200</v>
      </c>
      <c r="AE6" s="39"/>
      <c r="AF6" s="31" t="s">
        <v>200</v>
      </c>
      <c r="AG6" s="31" t="s">
        <v>201</v>
      </c>
      <c r="AH6" s="31" t="s">
        <v>120</v>
      </c>
      <c r="AI6" s="31" t="s">
        <v>130</v>
      </c>
      <c r="AJ6" s="31" t="s">
        <v>210</v>
      </c>
      <c r="AK6" s="31" t="s">
        <v>121</v>
      </c>
      <c r="AL6" s="31" t="s">
        <v>121</v>
      </c>
      <c r="AM6" s="31" t="s">
        <v>96</v>
      </c>
      <c r="AN6" s="31" t="s">
        <v>132</v>
      </c>
      <c r="AO6" s="31" t="s">
        <v>130</v>
      </c>
      <c r="AP6" s="31" t="s">
        <v>200</v>
      </c>
      <c r="AQ6" s="31" t="s">
        <v>211</v>
      </c>
      <c r="AR6" s="31" t="s">
        <v>211</v>
      </c>
      <c r="AS6" s="31" t="s">
        <v>201</v>
      </c>
      <c r="AT6" s="31" t="s">
        <v>201</v>
      </c>
      <c r="AU6" s="31" t="s">
        <v>201</v>
      </c>
      <c r="AV6" s="31" t="s">
        <v>201</v>
      </c>
      <c r="AW6" s="31" t="s">
        <v>212</v>
      </c>
      <c r="AX6" s="31" t="s">
        <v>130</v>
      </c>
      <c r="AY6" s="31" t="s">
        <v>130</v>
      </c>
      <c r="AZ6" s="31" t="s">
        <v>199</v>
      </c>
      <c r="BA6" s="31" t="s">
        <v>213</v>
      </c>
      <c r="BB6" s="31" t="s">
        <v>130</v>
      </c>
      <c r="BC6" s="31" t="s">
        <v>130</v>
      </c>
      <c r="BD6" s="31" t="s">
        <v>213</v>
      </c>
      <c r="BE6" s="31" t="s">
        <v>131</v>
      </c>
      <c r="BF6" s="31" t="s">
        <v>130</v>
      </c>
      <c r="BG6" s="31" t="s">
        <v>199</v>
      </c>
      <c r="BH6" s="31" t="s">
        <v>201</v>
      </c>
      <c r="BI6" s="31" t="s">
        <v>120</v>
      </c>
      <c r="BJ6" s="31" t="s">
        <v>214</v>
      </c>
      <c r="BK6" s="31" t="s">
        <v>201</v>
      </c>
      <c r="BL6" s="31" t="s">
        <v>201</v>
      </c>
      <c r="BM6" s="31" t="s">
        <v>201</v>
      </c>
      <c r="BN6" s="31" t="s">
        <v>121</v>
      </c>
      <c r="BO6" s="31"/>
      <c r="BP6" s="31"/>
    </row>
    <row r="7">
      <c r="A7" s="19" t="s">
        <v>167</v>
      </c>
      <c r="B7" s="19" t="s">
        <v>7</v>
      </c>
      <c r="C7" s="19" t="s">
        <v>10</v>
      </c>
      <c r="D7" s="19" t="s">
        <v>215</v>
      </c>
      <c r="E7" s="19" t="s">
        <v>215</v>
      </c>
      <c r="F7" s="19" t="s">
        <v>215</v>
      </c>
      <c r="G7" s="19" t="s">
        <v>215</v>
      </c>
      <c r="H7" s="19"/>
      <c r="I7" s="19"/>
      <c r="J7" s="20"/>
      <c r="K7" s="22"/>
      <c r="L7" s="22"/>
      <c r="M7" s="22"/>
      <c r="N7" s="22"/>
      <c r="O7" s="22"/>
      <c r="P7" s="22"/>
      <c r="Q7" s="22" t="s">
        <v>216</v>
      </c>
      <c r="R7" s="22" t="s">
        <v>217</v>
      </c>
      <c r="S7" s="22" t="s">
        <v>217</v>
      </c>
      <c r="T7" s="22" t="s">
        <v>217</v>
      </c>
      <c r="U7" s="22" t="s">
        <v>217</v>
      </c>
      <c r="V7" s="22" t="s">
        <v>217</v>
      </c>
      <c r="W7" s="22" t="s">
        <v>217</v>
      </c>
      <c r="Y7" s="39" t="s">
        <v>218</v>
      </c>
      <c r="Z7" s="39" t="s">
        <v>219</v>
      </c>
      <c r="AA7" s="39" t="s">
        <v>219</v>
      </c>
      <c r="AB7" s="39"/>
      <c r="AC7" s="39"/>
      <c r="AD7" s="39" t="s">
        <v>220</v>
      </c>
      <c r="AE7" s="39"/>
      <c r="AF7" s="31" t="s">
        <v>218</v>
      </c>
      <c r="AG7" s="31" t="s">
        <v>219</v>
      </c>
      <c r="AH7" s="31" t="s">
        <v>219</v>
      </c>
      <c r="AI7" s="31" t="s">
        <v>219</v>
      </c>
      <c r="AJ7" s="31" t="s">
        <v>221</v>
      </c>
      <c r="AK7" s="31" t="s">
        <v>221</v>
      </c>
      <c r="AL7" s="31" t="s">
        <v>221</v>
      </c>
      <c r="AM7" s="31" t="s">
        <v>222</v>
      </c>
      <c r="AN7" s="31" t="s">
        <v>222</v>
      </c>
      <c r="AO7" s="31" t="s">
        <v>223</v>
      </c>
      <c r="AP7" s="31" t="s">
        <v>222</v>
      </c>
      <c r="AQ7" s="31" t="s">
        <v>222</v>
      </c>
      <c r="AR7" s="31" t="s">
        <v>222</v>
      </c>
      <c r="AS7" s="31" t="s">
        <v>222</v>
      </c>
      <c r="AT7" s="31" t="s">
        <v>222</v>
      </c>
      <c r="AU7" s="31" t="s">
        <v>222</v>
      </c>
      <c r="AV7" s="31" t="s">
        <v>222</v>
      </c>
      <c r="AW7" s="31" t="s">
        <v>222</v>
      </c>
      <c r="AX7" s="31" t="s">
        <v>224</v>
      </c>
      <c r="AY7" s="31" t="s">
        <v>224</v>
      </c>
      <c r="AZ7" s="31" t="s">
        <v>224</v>
      </c>
      <c r="BA7" s="31" t="s">
        <v>224</v>
      </c>
      <c r="BB7" s="31" t="s">
        <v>225</v>
      </c>
      <c r="BC7" s="31" t="s">
        <v>226</v>
      </c>
      <c r="BD7" s="31" t="s">
        <v>226</v>
      </c>
      <c r="BE7" s="31" t="s">
        <v>226</v>
      </c>
      <c r="BF7" s="31" t="s">
        <v>226</v>
      </c>
      <c r="BG7" s="31" t="s">
        <v>226</v>
      </c>
      <c r="BH7" s="31" t="s">
        <v>227</v>
      </c>
      <c r="BI7" s="31" t="s">
        <v>227</v>
      </c>
      <c r="BJ7" s="31" t="s">
        <v>204</v>
      </c>
      <c r="BK7" s="31" t="s">
        <v>201</v>
      </c>
      <c r="BL7" s="31" t="s">
        <v>228</v>
      </c>
      <c r="BM7" s="31" t="s">
        <v>228</v>
      </c>
      <c r="BN7" s="31" t="s">
        <v>226</v>
      </c>
      <c r="BO7" s="31"/>
      <c r="BP7" s="31"/>
    </row>
    <row r="8">
      <c r="A8" s="19" t="s">
        <v>167</v>
      </c>
      <c r="B8" s="19" t="s">
        <v>7</v>
      </c>
      <c r="C8" s="19" t="s">
        <v>15</v>
      </c>
      <c r="S8" s="22"/>
      <c r="T8" s="22"/>
      <c r="U8" s="22"/>
      <c r="V8" s="22"/>
      <c r="W8" s="22"/>
      <c r="X8" s="22"/>
      <c r="Y8" s="22"/>
      <c r="Z8" s="22"/>
      <c r="AA8" s="39">
        <v>0.0</v>
      </c>
      <c r="AB8" s="22"/>
      <c r="AC8" s="22"/>
      <c r="AD8" s="32">
        <v>0.0</v>
      </c>
      <c r="AE8" s="22"/>
      <c r="AF8" s="31">
        <v>0.0</v>
      </c>
      <c r="AG8" s="31">
        <v>0.0</v>
      </c>
      <c r="AH8" s="31">
        <v>0.0</v>
      </c>
      <c r="AI8" s="31">
        <v>0.0</v>
      </c>
      <c r="AJ8" s="31">
        <v>0.0</v>
      </c>
      <c r="AK8" s="31">
        <v>0.0</v>
      </c>
      <c r="AL8" s="31">
        <v>0.0</v>
      </c>
      <c r="AM8" s="31">
        <v>0.0</v>
      </c>
      <c r="AN8" s="31">
        <v>0.0</v>
      </c>
      <c r="AO8" s="31" t="s">
        <v>229</v>
      </c>
      <c r="AP8" s="31" t="s">
        <v>230</v>
      </c>
      <c r="AQ8" s="31" t="s">
        <v>231</v>
      </c>
      <c r="AR8" s="31" t="s">
        <v>231</v>
      </c>
      <c r="AS8" s="31" t="s">
        <v>232</v>
      </c>
      <c r="AT8" s="31" t="s">
        <v>232</v>
      </c>
      <c r="AU8" s="31" t="s">
        <v>233</v>
      </c>
      <c r="AV8" s="31" t="s">
        <v>234</v>
      </c>
      <c r="AW8" s="31" t="s">
        <v>234</v>
      </c>
      <c r="AX8" s="31" t="s">
        <v>235</v>
      </c>
      <c r="AY8" s="31" t="s">
        <v>236</v>
      </c>
      <c r="AZ8" s="31" t="s">
        <v>236</v>
      </c>
      <c r="BA8" s="31" t="s">
        <v>236</v>
      </c>
      <c r="BB8" s="31" t="s">
        <v>237</v>
      </c>
      <c r="BC8" s="31" t="s">
        <v>237</v>
      </c>
      <c r="BD8" s="31" t="s">
        <v>238</v>
      </c>
      <c r="BE8" s="31" t="s">
        <v>238</v>
      </c>
      <c r="BF8" s="31" t="s">
        <v>239</v>
      </c>
      <c r="BG8" s="31" t="s">
        <v>239</v>
      </c>
      <c r="BH8" s="31" t="s">
        <v>240</v>
      </c>
      <c r="BI8" s="31" t="s">
        <v>240</v>
      </c>
      <c r="BJ8" s="31" t="s">
        <v>241</v>
      </c>
      <c r="BK8" s="31" t="s">
        <v>236</v>
      </c>
      <c r="BL8" s="31" t="s">
        <v>242</v>
      </c>
      <c r="BM8" s="31" t="s">
        <v>243</v>
      </c>
      <c r="BN8" s="31" t="s">
        <v>243</v>
      </c>
      <c r="BO8" s="31"/>
      <c r="BP8" s="31"/>
    </row>
    <row r="9">
      <c r="A9" s="19" t="s">
        <v>167</v>
      </c>
      <c r="B9" s="19" t="s">
        <v>7</v>
      </c>
      <c r="C9" s="19" t="s">
        <v>12</v>
      </c>
      <c r="S9" s="22"/>
      <c r="T9" s="22"/>
      <c r="U9" s="22"/>
      <c r="V9" s="22"/>
      <c r="W9" s="22"/>
      <c r="X9" s="22"/>
      <c r="Y9" s="22"/>
      <c r="Z9" s="22"/>
      <c r="AA9" s="39"/>
      <c r="AB9" s="22"/>
      <c r="AC9" s="22"/>
      <c r="AD9" s="22"/>
      <c r="AE9" s="22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>
        <v>1.0</v>
      </c>
      <c r="BL9" s="31">
        <v>1.0</v>
      </c>
      <c r="BM9" s="31">
        <v>1.0</v>
      </c>
      <c r="BN9" s="31">
        <v>0.0</v>
      </c>
      <c r="BO9" s="31"/>
      <c r="BP9" s="31"/>
    </row>
    <row r="10">
      <c r="A10" s="19" t="s">
        <v>167</v>
      </c>
      <c r="B10" s="19" t="s">
        <v>7</v>
      </c>
      <c r="C10" s="19" t="s">
        <v>18</v>
      </c>
      <c r="S10" s="22" t="s">
        <v>21</v>
      </c>
      <c r="T10" s="22" t="s">
        <v>21</v>
      </c>
      <c r="U10" s="22" t="s">
        <v>21</v>
      </c>
      <c r="V10" s="22" t="s">
        <v>21</v>
      </c>
      <c r="W10" s="22" t="s">
        <v>21</v>
      </c>
      <c r="X10" s="22" t="s">
        <v>21</v>
      </c>
      <c r="Y10" s="22" t="s">
        <v>244</v>
      </c>
      <c r="Z10" s="22" t="s">
        <v>21</v>
      </c>
      <c r="AA10" s="39" t="s">
        <v>21</v>
      </c>
      <c r="AB10" s="22"/>
      <c r="AC10" s="22"/>
      <c r="AD10" s="22" t="s">
        <v>245</v>
      </c>
      <c r="AE10" s="22"/>
      <c r="AF10" s="31" t="s">
        <v>246</v>
      </c>
      <c r="AG10" s="31" t="s">
        <v>246</v>
      </c>
      <c r="AH10" s="31" t="s">
        <v>246</v>
      </c>
      <c r="AI10" s="31" t="s">
        <v>247</v>
      </c>
      <c r="AJ10" s="31" t="s">
        <v>247</v>
      </c>
      <c r="AK10" s="31" t="s">
        <v>246</v>
      </c>
      <c r="AL10" s="31" t="s">
        <v>246</v>
      </c>
      <c r="AM10" s="31" t="s">
        <v>246</v>
      </c>
      <c r="AN10" s="31" t="s">
        <v>246</v>
      </c>
      <c r="AO10" s="31" t="s">
        <v>246</v>
      </c>
      <c r="AP10" s="31" t="s">
        <v>246</v>
      </c>
      <c r="AQ10" s="31" t="s">
        <v>246</v>
      </c>
      <c r="AR10" s="31" t="s">
        <v>246</v>
      </c>
      <c r="AS10" s="31" t="s">
        <v>246</v>
      </c>
      <c r="AT10" s="31" t="s">
        <v>246</v>
      </c>
      <c r="AU10" s="31" t="s">
        <v>248</v>
      </c>
      <c r="AV10" s="31" t="s">
        <v>248</v>
      </c>
      <c r="AW10" s="31" t="s">
        <v>248</v>
      </c>
      <c r="AX10" s="31" t="s">
        <v>248</v>
      </c>
      <c r="AY10" s="31" t="s">
        <v>248</v>
      </c>
      <c r="AZ10" s="31" t="s">
        <v>248</v>
      </c>
      <c r="BA10" s="31" t="s">
        <v>248</v>
      </c>
      <c r="BB10" s="31">
        <v>0.0</v>
      </c>
      <c r="BC10" s="31"/>
      <c r="BD10" s="31" t="s">
        <v>247</v>
      </c>
      <c r="BE10" s="31" t="s">
        <v>247</v>
      </c>
      <c r="BF10" s="31" t="s">
        <v>246</v>
      </c>
      <c r="BG10" s="31" t="s">
        <v>246</v>
      </c>
      <c r="BH10" s="31" t="s">
        <v>246</v>
      </c>
      <c r="BI10" s="31" t="s">
        <v>246</v>
      </c>
      <c r="BJ10" s="31" t="s">
        <v>249</v>
      </c>
      <c r="BK10" s="31" t="s">
        <v>250</v>
      </c>
      <c r="BL10" s="31" t="s">
        <v>250</v>
      </c>
      <c r="BM10" s="31" t="s">
        <v>250</v>
      </c>
      <c r="BN10" s="31" t="s">
        <v>251</v>
      </c>
      <c r="BO10" s="31"/>
      <c r="BP10" s="31"/>
    </row>
    <row r="11">
      <c r="A11" s="19" t="s">
        <v>167</v>
      </c>
      <c r="B11" s="19" t="s">
        <v>7</v>
      </c>
      <c r="C11" s="19" t="s">
        <v>19</v>
      </c>
      <c r="S11" s="22"/>
      <c r="T11" s="22"/>
      <c r="U11" s="22"/>
      <c r="V11" s="22"/>
      <c r="W11" s="22"/>
      <c r="X11" s="22"/>
      <c r="Y11" s="22"/>
      <c r="Z11" s="22"/>
      <c r="AA11" s="39"/>
      <c r="AD11" s="22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>
        <v>0.0</v>
      </c>
      <c r="AY11" s="31">
        <v>0.0</v>
      </c>
      <c r="AZ11" s="31">
        <v>0.0</v>
      </c>
      <c r="BA11" s="31">
        <v>0.0</v>
      </c>
      <c r="BB11" s="31">
        <v>10.0</v>
      </c>
      <c r="BC11" s="31">
        <v>9.0</v>
      </c>
      <c r="BD11" s="31">
        <v>7.0</v>
      </c>
      <c r="BE11" s="31">
        <v>5.0</v>
      </c>
      <c r="BF11" s="31" t="s">
        <v>199</v>
      </c>
      <c r="BG11" s="31" t="s">
        <v>199</v>
      </c>
      <c r="BH11" s="31" t="s">
        <v>199</v>
      </c>
      <c r="BI11" s="31" t="s">
        <v>200</v>
      </c>
      <c r="BJ11" s="31" t="s">
        <v>204</v>
      </c>
      <c r="BK11" s="31" t="s">
        <v>130</v>
      </c>
      <c r="BL11" s="31" t="s">
        <v>130</v>
      </c>
      <c r="BM11" s="31" t="s">
        <v>130</v>
      </c>
      <c r="BN11" s="31" t="s">
        <v>212</v>
      </c>
      <c r="BO11" s="31"/>
      <c r="BP11" s="31"/>
    </row>
    <row r="12">
      <c r="A12" s="19" t="s">
        <v>167</v>
      </c>
      <c r="B12" s="26" t="s">
        <v>13</v>
      </c>
      <c r="C12" s="19" t="s">
        <v>20</v>
      </c>
      <c r="S12" s="22" t="s">
        <v>21</v>
      </c>
      <c r="T12" s="22" t="s">
        <v>21</v>
      </c>
      <c r="U12" s="22" t="s">
        <v>21</v>
      </c>
      <c r="V12" s="22" t="s">
        <v>21</v>
      </c>
      <c r="W12" s="22" t="s">
        <v>21</v>
      </c>
      <c r="X12" s="22" t="s">
        <v>21</v>
      </c>
      <c r="Y12" s="22" t="s">
        <v>21</v>
      </c>
      <c r="Z12" s="22" t="s">
        <v>21</v>
      </c>
      <c r="AA12" s="39">
        <v>1.0</v>
      </c>
      <c r="AD12" s="22">
        <v>1.0</v>
      </c>
      <c r="AF12" s="31">
        <v>1.0</v>
      </c>
      <c r="AG12" s="31">
        <v>1.0</v>
      </c>
      <c r="AH12" s="31">
        <v>0.0</v>
      </c>
      <c r="AI12" s="31">
        <v>4.0</v>
      </c>
      <c r="AJ12" s="31">
        <v>4.0</v>
      </c>
      <c r="AK12" s="31">
        <v>2.0</v>
      </c>
      <c r="AL12" s="31">
        <v>1.0</v>
      </c>
      <c r="AM12" s="31">
        <v>0.0</v>
      </c>
      <c r="AN12" s="31">
        <v>1.0</v>
      </c>
      <c r="AO12" s="31">
        <v>2.0</v>
      </c>
      <c r="AP12" s="31">
        <v>2.0</v>
      </c>
      <c r="AQ12" s="31">
        <v>2.0</v>
      </c>
      <c r="AR12" s="31">
        <v>2.0</v>
      </c>
      <c r="AS12" s="31">
        <v>2.0</v>
      </c>
      <c r="AT12" s="31">
        <v>2.0</v>
      </c>
      <c r="AU12" s="31">
        <v>1.0</v>
      </c>
      <c r="AV12" s="31">
        <v>1.0</v>
      </c>
      <c r="AW12" s="31">
        <v>2.0</v>
      </c>
      <c r="AX12" s="31">
        <v>2.0</v>
      </c>
      <c r="AY12" s="31">
        <v>1.0</v>
      </c>
      <c r="AZ12" s="31">
        <v>1.0</v>
      </c>
      <c r="BA12" s="31">
        <v>1.0</v>
      </c>
      <c r="BB12" s="31">
        <v>1.0</v>
      </c>
      <c r="BC12" s="31">
        <v>1.0</v>
      </c>
      <c r="BD12" s="31">
        <v>0.0</v>
      </c>
      <c r="BE12" s="31">
        <v>1.0</v>
      </c>
      <c r="BF12" s="31">
        <v>1.0</v>
      </c>
      <c r="BG12" s="31">
        <v>0.0</v>
      </c>
      <c r="BH12" s="31">
        <v>0.0</v>
      </c>
      <c r="BI12" s="31">
        <v>0.0</v>
      </c>
      <c r="BJ12" s="31">
        <v>0.0</v>
      </c>
      <c r="BK12" s="31">
        <v>0.0</v>
      </c>
      <c r="BL12" s="31">
        <v>1.0</v>
      </c>
      <c r="BM12" s="31">
        <v>1.0</v>
      </c>
      <c r="BN12" s="31">
        <v>0.0</v>
      </c>
      <c r="BO12" s="31"/>
      <c r="BP12" s="31"/>
    </row>
    <row r="13">
      <c r="A13" s="19" t="s">
        <v>167</v>
      </c>
      <c r="B13" s="26" t="s">
        <v>13</v>
      </c>
      <c r="C13" s="19" t="s">
        <v>22</v>
      </c>
      <c r="S13" s="22" t="s">
        <v>21</v>
      </c>
      <c r="T13" s="22" t="s">
        <v>21</v>
      </c>
      <c r="U13" s="22" t="s">
        <v>21</v>
      </c>
      <c r="V13" s="22" t="s">
        <v>21</v>
      </c>
      <c r="W13" s="22" t="s">
        <v>21</v>
      </c>
      <c r="X13" s="22" t="s">
        <v>21</v>
      </c>
      <c r="Y13" s="22" t="s">
        <v>21</v>
      </c>
      <c r="Z13" s="22" t="s">
        <v>21</v>
      </c>
      <c r="AA13" s="39" t="s">
        <v>21</v>
      </c>
      <c r="AD13" s="22" t="s">
        <v>252</v>
      </c>
      <c r="AF13" s="31">
        <v>1.0</v>
      </c>
      <c r="AG13" s="31">
        <v>1.0</v>
      </c>
      <c r="AH13" s="31">
        <v>1.0</v>
      </c>
      <c r="AI13" s="31">
        <v>2.0</v>
      </c>
      <c r="AJ13" s="31">
        <v>2.0</v>
      </c>
      <c r="AK13" s="31">
        <v>2.0</v>
      </c>
      <c r="AL13" s="31">
        <v>1.0</v>
      </c>
      <c r="AM13" s="31">
        <v>0.0</v>
      </c>
      <c r="AN13" s="31">
        <v>1.0</v>
      </c>
      <c r="AO13" s="31">
        <v>3.0</v>
      </c>
      <c r="AP13" s="31">
        <v>3.0</v>
      </c>
      <c r="AQ13" s="31">
        <v>3.0</v>
      </c>
      <c r="AR13" s="31">
        <v>3.0</v>
      </c>
      <c r="AS13" s="31">
        <v>3.0</v>
      </c>
      <c r="AT13" s="31">
        <v>2.0</v>
      </c>
      <c r="AU13" s="31">
        <v>2.0</v>
      </c>
      <c r="AV13" s="31">
        <v>2.0</v>
      </c>
      <c r="AW13" s="31" t="s">
        <v>253</v>
      </c>
      <c r="AX13" s="31">
        <v>2.0</v>
      </c>
      <c r="AY13" s="31">
        <v>2.0</v>
      </c>
      <c r="AZ13" s="31">
        <v>2.0</v>
      </c>
      <c r="BA13" s="31">
        <v>2.0</v>
      </c>
      <c r="BB13" s="31">
        <v>3.0</v>
      </c>
      <c r="BC13" s="31">
        <v>2.0</v>
      </c>
      <c r="BD13" s="31">
        <v>2.0</v>
      </c>
      <c r="BE13" s="31">
        <v>2.0</v>
      </c>
      <c r="BF13" s="31">
        <v>2.0</v>
      </c>
      <c r="BG13" s="31">
        <v>2.0</v>
      </c>
      <c r="BH13" s="31">
        <v>2.0</v>
      </c>
      <c r="BI13" s="31">
        <v>1.0</v>
      </c>
      <c r="BJ13" s="31">
        <v>0.0</v>
      </c>
      <c r="BK13" s="31">
        <v>0.0</v>
      </c>
      <c r="BL13" s="31">
        <v>0.0</v>
      </c>
      <c r="BM13" s="31">
        <v>0.0</v>
      </c>
      <c r="BN13" s="31">
        <v>0.0</v>
      </c>
      <c r="BO13" s="31"/>
      <c r="BP13" s="31"/>
    </row>
    <row r="14">
      <c r="A14" s="19" t="s">
        <v>167</v>
      </c>
      <c r="B14" s="19" t="s">
        <v>13</v>
      </c>
      <c r="C14" s="19" t="s">
        <v>134</v>
      </c>
      <c r="S14" s="22" t="s">
        <v>21</v>
      </c>
      <c r="T14" s="22" t="s">
        <v>21</v>
      </c>
      <c r="U14" s="22" t="s">
        <v>21</v>
      </c>
      <c r="V14" s="22" t="s">
        <v>21</v>
      </c>
      <c r="W14" s="22" t="s">
        <v>21</v>
      </c>
      <c r="X14" s="22" t="s">
        <v>21</v>
      </c>
      <c r="Y14" s="22" t="s">
        <v>21</v>
      </c>
      <c r="Z14" s="22" t="s">
        <v>21</v>
      </c>
      <c r="AA14" s="39" t="s">
        <v>254</v>
      </c>
      <c r="AB14" s="22"/>
      <c r="AC14" s="22"/>
      <c r="AD14" s="22" t="s">
        <v>255</v>
      </c>
      <c r="AE14" s="22" t="s">
        <v>21</v>
      </c>
      <c r="AF14" s="31" t="s">
        <v>256</v>
      </c>
      <c r="AG14" s="31" t="s">
        <v>257</v>
      </c>
      <c r="AH14" s="31" t="s">
        <v>258</v>
      </c>
      <c r="AI14" s="31" t="s">
        <v>259</v>
      </c>
      <c r="AJ14" s="31" t="s">
        <v>260</v>
      </c>
      <c r="AK14" s="31" t="s">
        <v>257</v>
      </c>
      <c r="AL14" s="31" t="s">
        <v>261</v>
      </c>
      <c r="AM14" s="31" t="s">
        <v>262</v>
      </c>
      <c r="AN14" s="31"/>
      <c r="AO14" s="31"/>
      <c r="AP14" s="31">
        <v>4.0</v>
      </c>
      <c r="AQ14" s="31">
        <v>1.0</v>
      </c>
      <c r="AR14" s="31">
        <v>1.0</v>
      </c>
      <c r="AS14" s="31">
        <v>0.0</v>
      </c>
      <c r="AT14" s="31">
        <v>0.0</v>
      </c>
      <c r="AU14" s="31">
        <v>6.0</v>
      </c>
      <c r="AV14" s="31">
        <v>4.0</v>
      </c>
      <c r="AW14" s="31">
        <v>8.0</v>
      </c>
      <c r="AX14" s="31" t="s">
        <v>263</v>
      </c>
      <c r="AY14" s="31" t="s">
        <v>263</v>
      </c>
      <c r="AZ14" s="31" t="s">
        <v>235</v>
      </c>
      <c r="BA14" s="31" t="s">
        <v>264</v>
      </c>
      <c r="BB14" s="31" t="s">
        <v>130</v>
      </c>
      <c r="BC14" s="31" t="s">
        <v>130</v>
      </c>
      <c r="BD14" s="31" t="s">
        <v>120</v>
      </c>
      <c r="BE14" s="31" t="s">
        <v>130</v>
      </c>
      <c r="BF14" s="31" t="s">
        <v>130</v>
      </c>
      <c r="BG14" s="31" t="s">
        <v>118</v>
      </c>
      <c r="BH14" s="31">
        <v>0.0</v>
      </c>
      <c r="BI14" s="31" t="s">
        <v>97</v>
      </c>
      <c r="BJ14" s="31">
        <v>0.0</v>
      </c>
      <c r="BK14" s="31" t="s">
        <v>210</v>
      </c>
      <c r="BL14" s="31">
        <v>0.0</v>
      </c>
      <c r="BM14" s="31">
        <v>0.0</v>
      </c>
      <c r="BN14" s="31">
        <v>0.0</v>
      </c>
      <c r="BO14" s="31"/>
      <c r="BP14" s="31"/>
    </row>
    <row r="15">
      <c r="A15" s="19" t="s">
        <v>167</v>
      </c>
      <c r="B15" s="19" t="s">
        <v>13</v>
      </c>
      <c r="C15" s="19" t="s">
        <v>148</v>
      </c>
      <c r="S15" s="22"/>
      <c r="T15" s="22"/>
      <c r="U15" s="22"/>
      <c r="V15" s="22"/>
      <c r="W15" s="22"/>
      <c r="X15" s="22"/>
      <c r="Y15" s="22"/>
      <c r="Z15" s="22"/>
      <c r="AA15" s="39"/>
      <c r="AB15" s="22"/>
      <c r="AC15" s="22"/>
      <c r="AD15" s="22"/>
      <c r="AE15" s="22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>
        <v>4.0</v>
      </c>
      <c r="AQ15" s="31">
        <v>0.0</v>
      </c>
      <c r="AR15" s="31">
        <v>0.0</v>
      </c>
      <c r="AS15" s="31">
        <v>4.0</v>
      </c>
      <c r="AT15" s="31">
        <v>0.0</v>
      </c>
      <c r="AU15" s="31">
        <v>6.0</v>
      </c>
      <c r="AV15" s="31">
        <v>5.0</v>
      </c>
      <c r="AW15" s="31">
        <v>5.0</v>
      </c>
      <c r="AX15" s="31" t="s">
        <v>265</v>
      </c>
      <c r="AY15" s="31" t="s">
        <v>265</v>
      </c>
      <c r="AZ15" s="31" t="s">
        <v>263</v>
      </c>
      <c r="BA15" s="31" t="s">
        <v>235</v>
      </c>
      <c r="BB15" s="31" t="s">
        <v>130</v>
      </c>
      <c r="BC15" s="31" t="s">
        <v>130</v>
      </c>
      <c r="BD15" s="31" t="s">
        <v>118</v>
      </c>
      <c r="BE15" s="31" t="s">
        <v>130</v>
      </c>
      <c r="BF15" s="31" t="s">
        <v>130</v>
      </c>
      <c r="BG15" s="31" t="s">
        <v>96</v>
      </c>
      <c r="BH15" s="31" t="s">
        <v>132</v>
      </c>
      <c r="BI15" s="31">
        <v>0.0</v>
      </c>
      <c r="BJ15" s="31">
        <v>0.0</v>
      </c>
      <c r="BK15" s="31" t="s">
        <v>266</v>
      </c>
      <c r="BL15" s="31" t="s">
        <v>121</v>
      </c>
      <c r="BM15" s="31" t="s">
        <v>121</v>
      </c>
      <c r="BN15" s="31" t="s">
        <v>132</v>
      </c>
      <c r="BO15" s="31"/>
      <c r="BP15" s="31"/>
    </row>
    <row r="16">
      <c r="A16" s="19" t="s">
        <v>167</v>
      </c>
      <c r="B16" s="19" t="s">
        <v>13</v>
      </c>
      <c r="C16" s="19" t="s">
        <v>149</v>
      </c>
      <c r="S16" s="22"/>
      <c r="T16" s="22"/>
      <c r="U16" s="22"/>
      <c r="V16" s="22"/>
      <c r="W16" s="22"/>
      <c r="X16" s="22"/>
      <c r="Y16" s="22"/>
      <c r="Z16" s="22"/>
      <c r="AA16" s="39"/>
      <c r="AB16" s="22"/>
      <c r="AC16" s="22"/>
      <c r="AD16" s="22"/>
      <c r="AE16" s="22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>
        <v>4.0</v>
      </c>
      <c r="AQ16" s="31">
        <v>4.0</v>
      </c>
      <c r="AR16" s="31">
        <v>4.0</v>
      </c>
      <c r="AS16" s="31">
        <v>2.0</v>
      </c>
      <c r="AT16" s="31">
        <v>2.0</v>
      </c>
      <c r="AU16" s="31">
        <v>6.0</v>
      </c>
      <c r="AV16" s="31">
        <v>5.0</v>
      </c>
      <c r="AW16" s="31">
        <v>3.0</v>
      </c>
      <c r="AX16" s="31" t="s">
        <v>267</v>
      </c>
      <c r="AY16" s="31" t="s">
        <v>267</v>
      </c>
      <c r="AZ16" s="31" t="s">
        <v>264</v>
      </c>
      <c r="BA16" s="31" t="s">
        <v>240</v>
      </c>
      <c r="BB16" s="31" t="s">
        <v>130</v>
      </c>
      <c r="BC16" s="31" t="s">
        <v>130</v>
      </c>
      <c r="BD16" s="31" t="s">
        <v>200</v>
      </c>
      <c r="BE16" s="31" t="s">
        <v>201</v>
      </c>
      <c r="BF16" s="31" t="s">
        <v>201</v>
      </c>
      <c r="BG16" s="31" t="s">
        <v>121</v>
      </c>
      <c r="BH16" s="31" t="s">
        <v>121</v>
      </c>
      <c r="BI16" s="31" t="s">
        <v>132</v>
      </c>
      <c r="BJ16" s="31" t="s">
        <v>268</v>
      </c>
      <c r="BK16" s="31" t="s">
        <v>96</v>
      </c>
      <c r="BL16" s="31" t="s">
        <v>120</v>
      </c>
      <c r="BM16" s="31" t="s">
        <v>120</v>
      </c>
      <c r="BN16" s="31" t="s">
        <v>97</v>
      </c>
      <c r="BO16" s="31"/>
      <c r="BP16" s="31"/>
    </row>
    <row r="17">
      <c r="A17" s="19" t="s">
        <v>167</v>
      </c>
      <c r="B17" s="26" t="s">
        <v>13</v>
      </c>
      <c r="C17" s="19" t="s">
        <v>23</v>
      </c>
      <c r="S17" s="22" t="s">
        <v>21</v>
      </c>
      <c r="T17" s="22" t="s">
        <v>21</v>
      </c>
      <c r="U17" s="22" t="s">
        <v>21</v>
      </c>
      <c r="V17" s="22" t="s">
        <v>21</v>
      </c>
      <c r="W17" s="22" t="s">
        <v>21</v>
      </c>
      <c r="X17" s="22" t="s">
        <v>21</v>
      </c>
      <c r="Y17" s="22" t="s">
        <v>21</v>
      </c>
      <c r="Z17" s="22" t="s">
        <v>21</v>
      </c>
      <c r="AA17" s="39" t="s">
        <v>119</v>
      </c>
      <c r="AD17" s="22" t="s">
        <v>201</v>
      </c>
      <c r="AF17" s="31" t="s">
        <v>201</v>
      </c>
      <c r="AG17" s="31" t="s">
        <v>201</v>
      </c>
      <c r="AH17" s="31" t="s">
        <v>201</v>
      </c>
      <c r="AI17" s="31" t="s">
        <v>201</v>
      </c>
      <c r="AJ17" s="31" t="s">
        <v>201</v>
      </c>
      <c r="AK17" s="31" t="s">
        <v>118</v>
      </c>
      <c r="AL17" s="31" t="s">
        <v>120</v>
      </c>
      <c r="AM17" s="31" t="s">
        <v>269</v>
      </c>
      <c r="AN17" s="31" t="s">
        <v>269</v>
      </c>
      <c r="AO17" s="31" t="s">
        <v>270</v>
      </c>
      <c r="AP17" s="31" t="s">
        <v>201</v>
      </c>
      <c r="AQ17" s="31" t="s">
        <v>201</v>
      </c>
      <c r="AR17" s="31" t="s">
        <v>201</v>
      </c>
      <c r="AS17" s="31" t="s">
        <v>118</v>
      </c>
      <c r="AT17" s="31" t="s">
        <v>118</v>
      </c>
      <c r="AU17" s="31" t="s">
        <v>120</v>
      </c>
      <c r="AV17" s="31" t="s">
        <v>120</v>
      </c>
      <c r="AW17" s="31" t="s">
        <v>121</v>
      </c>
      <c r="AX17" s="31" t="s">
        <v>121</v>
      </c>
      <c r="AY17" s="31" t="s">
        <v>121</v>
      </c>
      <c r="AZ17" s="31" t="s">
        <v>121</v>
      </c>
      <c r="BA17" s="31" t="s">
        <v>121</v>
      </c>
      <c r="BB17" s="31">
        <v>4.0</v>
      </c>
      <c r="BC17" s="31" t="s">
        <v>121</v>
      </c>
      <c r="BD17" s="31" t="s">
        <v>121</v>
      </c>
      <c r="BE17" s="31" t="s">
        <v>121</v>
      </c>
      <c r="BF17" s="31" t="s">
        <v>121</v>
      </c>
      <c r="BG17" s="31" t="s">
        <v>96</v>
      </c>
      <c r="BH17" s="31" t="s">
        <v>96</v>
      </c>
      <c r="BI17" s="31" t="s">
        <v>96</v>
      </c>
      <c r="BJ17" s="31" t="s">
        <v>271</v>
      </c>
      <c r="BK17" s="31" t="s">
        <v>96</v>
      </c>
      <c r="BL17" s="31" t="s">
        <v>96</v>
      </c>
      <c r="BM17" s="31" t="s">
        <v>96</v>
      </c>
      <c r="BN17" s="31" t="s">
        <v>96</v>
      </c>
      <c r="BO17" s="31"/>
      <c r="BP17" s="31"/>
    </row>
    <row r="18">
      <c r="A18" s="19" t="s">
        <v>167</v>
      </c>
      <c r="B18" s="26" t="s">
        <v>13</v>
      </c>
      <c r="C18" s="19" t="s">
        <v>24</v>
      </c>
      <c r="S18" s="22" t="s">
        <v>21</v>
      </c>
      <c r="T18" s="22" t="s">
        <v>21</v>
      </c>
      <c r="U18" s="22" t="s">
        <v>21</v>
      </c>
      <c r="V18" s="22" t="s">
        <v>21</v>
      </c>
      <c r="W18" s="22" t="s">
        <v>21</v>
      </c>
      <c r="X18" s="22" t="s">
        <v>21</v>
      </c>
      <c r="Y18" s="22" t="s">
        <v>21</v>
      </c>
      <c r="Z18" s="22" t="s">
        <v>21</v>
      </c>
      <c r="AA18" s="39">
        <v>3.0</v>
      </c>
      <c r="AD18" s="22">
        <v>5.0</v>
      </c>
      <c r="AF18" s="31">
        <v>4.0</v>
      </c>
      <c r="AG18" s="31">
        <v>4.0</v>
      </c>
      <c r="AH18" s="31">
        <v>4.0</v>
      </c>
      <c r="AI18" s="31">
        <v>7.0</v>
      </c>
      <c r="AJ18" s="31">
        <v>7.0</v>
      </c>
      <c r="AK18" s="31">
        <v>6.0</v>
      </c>
      <c r="AL18" s="31">
        <v>6.0</v>
      </c>
      <c r="AM18" s="31">
        <v>6.0</v>
      </c>
      <c r="AN18" s="31">
        <v>5.0</v>
      </c>
      <c r="AO18" s="31">
        <v>8.0</v>
      </c>
      <c r="AP18" s="31">
        <v>7.0</v>
      </c>
      <c r="AQ18" s="31">
        <v>7.0</v>
      </c>
      <c r="AR18" s="31">
        <v>7.0</v>
      </c>
      <c r="AS18" s="31">
        <v>7.0</v>
      </c>
      <c r="AT18" s="31">
        <v>7.0</v>
      </c>
      <c r="AU18" s="31">
        <v>10.0</v>
      </c>
      <c r="AV18" s="31">
        <v>9.0</v>
      </c>
      <c r="AW18" s="31">
        <v>9.0</v>
      </c>
      <c r="AX18" s="31">
        <v>9.0</v>
      </c>
      <c r="AY18" s="31">
        <v>9.0</v>
      </c>
      <c r="AZ18" s="31">
        <v>8.0</v>
      </c>
      <c r="BA18" s="31">
        <v>7.0</v>
      </c>
      <c r="BB18" s="31">
        <v>11.0</v>
      </c>
      <c r="BC18" s="31">
        <v>9.0</v>
      </c>
      <c r="BD18" s="31">
        <v>9.0</v>
      </c>
      <c r="BE18" s="31">
        <v>9.0</v>
      </c>
      <c r="BF18" s="31">
        <v>9.0</v>
      </c>
      <c r="BG18" s="31">
        <v>7.0</v>
      </c>
      <c r="BH18" s="31">
        <v>7.0</v>
      </c>
      <c r="BI18" s="31">
        <v>6.0</v>
      </c>
      <c r="BJ18" s="31" t="s">
        <v>272</v>
      </c>
      <c r="BK18" s="31" t="s">
        <v>120</v>
      </c>
      <c r="BL18" s="31" t="s">
        <v>240</v>
      </c>
      <c r="BM18" s="31" t="s">
        <v>240</v>
      </c>
      <c r="BN18" s="31" t="s">
        <v>273</v>
      </c>
      <c r="BO18" s="31"/>
      <c r="BP18" s="31"/>
    </row>
    <row r="19">
      <c r="A19" s="40"/>
      <c r="B19" s="40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</row>
    <row r="20">
      <c r="A20" s="40"/>
      <c r="B20" s="40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</row>
    <row r="21">
      <c r="A21" s="40"/>
      <c r="B21" s="40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</row>
    <row r="22">
      <c r="A22" s="40"/>
      <c r="B22" s="40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</row>
    <row r="23">
      <c r="A23" s="40"/>
      <c r="B23" s="40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</row>
    <row r="24">
      <c r="A24" s="40"/>
      <c r="B24" s="40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</row>
    <row r="25">
      <c r="A25" s="40"/>
      <c r="B25" s="40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</row>
    <row r="26">
      <c r="A26" s="40"/>
      <c r="B26" s="40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</row>
    <row r="27">
      <c r="A27" s="40"/>
      <c r="B27" s="40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</row>
    <row r="28">
      <c r="A28" s="40"/>
      <c r="B28" s="40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</row>
    <row r="29">
      <c r="A29" s="40"/>
      <c r="B29" s="40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</row>
    <row r="30">
      <c r="A30" s="40"/>
      <c r="B30" s="40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</row>
    <row r="31">
      <c r="A31" s="40"/>
      <c r="B31" s="40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</row>
    <row r="32">
      <c r="A32" s="40"/>
      <c r="B32" s="40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</row>
    <row r="33">
      <c r="A33" s="40"/>
      <c r="B33" s="40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</row>
    <row r="34">
      <c r="A34" s="40"/>
      <c r="B34" s="40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</row>
    <row r="35">
      <c r="A35" s="40"/>
      <c r="B35" s="40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</row>
    <row r="36">
      <c r="A36" s="40"/>
      <c r="B36" s="40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</row>
    <row r="37">
      <c r="A37" s="40"/>
      <c r="B37" s="40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</row>
    <row r="38">
      <c r="A38" s="40"/>
      <c r="B38" s="40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</row>
    <row r="39">
      <c r="A39" s="40"/>
      <c r="B39" s="40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</row>
    <row r="40">
      <c r="A40" s="40"/>
      <c r="B40" s="40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</row>
    <row r="41">
      <c r="A41" s="40"/>
      <c r="B41" s="40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</row>
    <row r="42">
      <c r="A42" s="40"/>
      <c r="B42" s="40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</row>
    <row r="43">
      <c r="A43" s="40"/>
      <c r="B43" s="40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</row>
    <row r="44">
      <c r="A44" s="40"/>
      <c r="B44" s="40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</row>
    <row r="45">
      <c r="A45" s="40"/>
      <c r="B45" s="40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</row>
    <row r="46">
      <c r="A46" s="40"/>
      <c r="B46" s="40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</row>
    <row r="47">
      <c r="A47" s="40"/>
      <c r="B47" s="40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</row>
    <row r="48">
      <c r="A48" s="40"/>
      <c r="B48" s="40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</row>
    <row r="49">
      <c r="A49" s="40"/>
      <c r="B49" s="40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</row>
    <row r="50">
      <c r="A50" s="40"/>
      <c r="B50" s="40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</row>
    <row r="51">
      <c r="A51" s="40"/>
      <c r="B51" s="40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</row>
    <row r="52">
      <c r="A52" s="40"/>
      <c r="B52" s="40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</row>
    <row r="53">
      <c r="A53" s="40"/>
      <c r="B53" s="40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</row>
    <row r="54">
      <c r="A54" s="40"/>
      <c r="B54" s="40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</row>
    <row r="55">
      <c r="A55" s="40"/>
      <c r="B55" s="40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</row>
    <row r="56">
      <c r="A56" s="40"/>
      <c r="B56" s="40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</row>
    <row r="57">
      <c r="A57" s="40"/>
      <c r="B57" s="40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</row>
    <row r="58">
      <c r="A58" s="40"/>
      <c r="B58" s="40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</row>
    <row r="59">
      <c r="A59" s="40"/>
      <c r="B59" s="40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</row>
    <row r="60">
      <c r="A60" s="40"/>
      <c r="B60" s="40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</row>
    <row r="61">
      <c r="A61" s="40"/>
      <c r="B61" s="40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</row>
    <row r="62">
      <c r="A62" s="40"/>
      <c r="B62" s="40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</row>
    <row r="63">
      <c r="A63" s="40"/>
      <c r="B63" s="40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</row>
    <row r="64">
      <c r="A64" s="40"/>
      <c r="B64" s="40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</row>
    <row r="65">
      <c r="A65" s="40"/>
      <c r="B65" s="40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</row>
    <row r="66">
      <c r="A66" s="40"/>
      <c r="B66" s="40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</row>
    <row r="67">
      <c r="A67" s="40"/>
      <c r="B67" s="40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</row>
    <row r="68">
      <c r="A68" s="40"/>
      <c r="B68" s="40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</row>
    <row r="69">
      <c r="A69" s="40"/>
      <c r="B69" s="40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</row>
    <row r="70">
      <c r="A70" s="40"/>
      <c r="B70" s="40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</row>
    <row r="71">
      <c r="A71" s="40"/>
      <c r="B71" s="40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</row>
    <row r="72">
      <c r="A72" s="40"/>
      <c r="B72" s="40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</row>
    <row r="73">
      <c r="A73" s="40"/>
      <c r="B73" s="40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</row>
    <row r="74">
      <c r="A74" s="40"/>
      <c r="B74" s="40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</row>
    <row r="75">
      <c r="A75" s="40"/>
      <c r="B75" s="40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</row>
    <row r="76">
      <c r="A76" s="40"/>
      <c r="B76" s="40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</row>
    <row r="77">
      <c r="A77" s="40"/>
      <c r="B77" s="40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</row>
    <row r="78">
      <c r="A78" s="40"/>
      <c r="B78" s="40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</row>
    <row r="79">
      <c r="A79" s="40"/>
      <c r="B79" s="40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</row>
    <row r="80">
      <c r="A80" s="40"/>
      <c r="B80" s="40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</row>
    <row r="81">
      <c r="A81" s="40"/>
      <c r="B81" s="40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</row>
    <row r="82">
      <c r="A82" s="40"/>
      <c r="B82" s="40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</row>
    <row r="83">
      <c r="A83" s="40"/>
      <c r="B83" s="40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</row>
    <row r="84">
      <c r="A84" s="40"/>
      <c r="B84" s="40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</row>
    <row r="85">
      <c r="A85" s="40"/>
      <c r="B85" s="40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</row>
    <row r="86">
      <c r="A86" s="40"/>
      <c r="B86" s="40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</row>
    <row r="87">
      <c r="A87" s="40"/>
      <c r="B87" s="40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</row>
    <row r="88">
      <c r="A88" s="40"/>
      <c r="B88" s="40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</row>
    <row r="89">
      <c r="A89" s="40"/>
      <c r="B89" s="40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</row>
    <row r="90">
      <c r="A90" s="40"/>
      <c r="B90" s="40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</row>
    <row r="91">
      <c r="A91" s="40"/>
      <c r="B91" s="40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</row>
    <row r="92">
      <c r="A92" s="40"/>
      <c r="B92" s="40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</row>
    <row r="93">
      <c r="A93" s="40"/>
      <c r="B93" s="40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</row>
    <row r="94">
      <c r="A94" s="40"/>
      <c r="B94" s="40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</row>
    <row r="95">
      <c r="A95" s="40"/>
      <c r="B95" s="40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</row>
    <row r="96">
      <c r="A96" s="40"/>
      <c r="B96" s="40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</row>
    <row r="97">
      <c r="A97" s="40"/>
      <c r="B97" s="40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</row>
    <row r="98">
      <c r="A98" s="40"/>
      <c r="B98" s="40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</row>
    <row r="99">
      <c r="A99" s="40"/>
      <c r="B99" s="40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</row>
    <row r="100">
      <c r="A100" s="40"/>
      <c r="B100" s="40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</row>
    <row r="101">
      <c r="A101" s="40"/>
      <c r="B101" s="40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</row>
    <row r="102">
      <c r="A102" s="40"/>
      <c r="B102" s="40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</row>
    <row r="103">
      <c r="A103" s="40"/>
      <c r="B103" s="40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</row>
    <row r="104">
      <c r="A104" s="40"/>
      <c r="B104" s="40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</row>
    <row r="105">
      <c r="A105" s="40"/>
      <c r="B105" s="40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</row>
    <row r="106">
      <c r="A106" s="40"/>
      <c r="B106" s="40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</row>
    <row r="107">
      <c r="A107" s="40"/>
      <c r="B107" s="40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</row>
    <row r="108">
      <c r="A108" s="40"/>
      <c r="B108" s="40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</row>
    <row r="109">
      <c r="A109" s="40"/>
      <c r="B109" s="40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</row>
    <row r="110">
      <c r="A110" s="40"/>
      <c r="B110" s="40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</row>
    <row r="111">
      <c r="A111" s="40"/>
      <c r="B111" s="40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</row>
    <row r="112">
      <c r="A112" s="40"/>
      <c r="B112" s="40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</row>
    <row r="113">
      <c r="A113" s="40"/>
      <c r="B113" s="40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</row>
    <row r="114">
      <c r="A114" s="40"/>
      <c r="B114" s="40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</row>
    <row r="115">
      <c r="A115" s="40"/>
      <c r="B115" s="40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</row>
    <row r="116">
      <c r="A116" s="40"/>
      <c r="B116" s="40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</row>
    <row r="117">
      <c r="A117" s="40"/>
      <c r="B117" s="40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</row>
    <row r="118">
      <c r="A118" s="40"/>
      <c r="B118" s="40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</row>
    <row r="119">
      <c r="A119" s="40"/>
      <c r="B119" s="40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</row>
    <row r="120">
      <c r="A120" s="40"/>
      <c r="B120" s="40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</row>
    <row r="121">
      <c r="A121" s="40"/>
      <c r="B121" s="40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</row>
    <row r="122">
      <c r="A122" s="40"/>
      <c r="B122" s="40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</row>
    <row r="123">
      <c r="A123" s="40"/>
      <c r="B123" s="40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</row>
    <row r="124">
      <c r="A124" s="40"/>
      <c r="B124" s="40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</row>
    <row r="125">
      <c r="A125" s="40"/>
      <c r="B125" s="40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</row>
    <row r="126">
      <c r="A126" s="40"/>
      <c r="B126" s="40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</row>
    <row r="127">
      <c r="A127" s="40"/>
      <c r="B127" s="40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</row>
    <row r="128">
      <c r="A128" s="40"/>
      <c r="B128" s="40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</row>
    <row r="129">
      <c r="A129" s="40"/>
      <c r="B129" s="40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</row>
    <row r="130">
      <c r="A130" s="40"/>
      <c r="B130" s="40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</row>
    <row r="131">
      <c r="A131" s="40"/>
      <c r="B131" s="40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</row>
    <row r="132">
      <c r="A132" s="40"/>
      <c r="B132" s="40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</row>
    <row r="133">
      <c r="A133" s="40"/>
      <c r="B133" s="40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</row>
    <row r="134">
      <c r="A134" s="40"/>
      <c r="B134" s="40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</row>
    <row r="135">
      <c r="A135" s="40"/>
      <c r="B135" s="40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</row>
    <row r="136">
      <c r="A136" s="40"/>
      <c r="B136" s="40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</row>
    <row r="137">
      <c r="A137" s="40"/>
      <c r="B137" s="40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</row>
    <row r="138">
      <c r="A138" s="40"/>
      <c r="B138" s="40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</row>
    <row r="139">
      <c r="A139" s="40"/>
      <c r="B139" s="40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</row>
    <row r="140">
      <c r="A140" s="40"/>
      <c r="B140" s="40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</row>
    <row r="141">
      <c r="A141" s="40"/>
      <c r="B141" s="40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</row>
    <row r="142">
      <c r="A142" s="40"/>
      <c r="B142" s="40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</row>
    <row r="143">
      <c r="A143" s="40"/>
      <c r="B143" s="40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</row>
    <row r="144">
      <c r="A144" s="40"/>
      <c r="B144" s="40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</row>
    <row r="145">
      <c r="A145" s="40"/>
      <c r="B145" s="40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</row>
    <row r="146">
      <c r="A146" s="40"/>
      <c r="B146" s="40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</row>
    <row r="147">
      <c r="A147" s="40"/>
      <c r="B147" s="40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</row>
    <row r="148">
      <c r="A148" s="40"/>
      <c r="B148" s="40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</row>
    <row r="149">
      <c r="A149" s="40"/>
      <c r="B149" s="40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</row>
    <row r="150">
      <c r="A150" s="40"/>
      <c r="B150" s="40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</row>
    <row r="151">
      <c r="A151" s="40"/>
      <c r="B151" s="40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</row>
    <row r="152">
      <c r="A152" s="40"/>
      <c r="B152" s="40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</row>
    <row r="153">
      <c r="A153" s="40"/>
      <c r="B153" s="40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</row>
    <row r="154">
      <c r="A154" s="40"/>
      <c r="B154" s="40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</row>
    <row r="155">
      <c r="A155" s="40"/>
      <c r="B155" s="40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</row>
    <row r="156">
      <c r="A156" s="40"/>
      <c r="B156" s="40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</row>
    <row r="157">
      <c r="A157" s="40"/>
      <c r="B157" s="40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8"/>
      <c r="BN157" s="38"/>
      <c r="BO157" s="38"/>
      <c r="BP157" s="38"/>
    </row>
    <row r="158">
      <c r="A158" s="40"/>
      <c r="B158" s="40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8"/>
      <c r="BH158" s="38"/>
      <c r="BI158" s="38"/>
      <c r="BJ158" s="38"/>
      <c r="BK158" s="38"/>
      <c r="BL158" s="38"/>
      <c r="BM158" s="38"/>
      <c r="BN158" s="38"/>
      <c r="BO158" s="38"/>
      <c r="BP158" s="38"/>
    </row>
    <row r="159">
      <c r="A159" s="40"/>
      <c r="B159" s="40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8"/>
      <c r="BN159" s="38"/>
      <c r="BO159" s="38"/>
      <c r="BP159" s="38"/>
    </row>
    <row r="160">
      <c r="A160" s="40"/>
      <c r="B160" s="40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8"/>
      <c r="BN160" s="38"/>
      <c r="BO160" s="38"/>
      <c r="BP160" s="38"/>
    </row>
    <row r="161">
      <c r="A161" s="40"/>
      <c r="B161" s="40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8"/>
      <c r="BN161" s="38"/>
      <c r="BO161" s="38"/>
      <c r="BP161" s="38"/>
    </row>
    <row r="162">
      <c r="A162" s="40"/>
      <c r="B162" s="40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8"/>
      <c r="BN162" s="38"/>
      <c r="BO162" s="38"/>
      <c r="BP162" s="38"/>
    </row>
    <row r="163">
      <c r="A163" s="40"/>
      <c r="B163" s="40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8"/>
      <c r="BN163" s="38"/>
      <c r="BO163" s="38"/>
      <c r="BP163" s="38"/>
    </row>
    <row r="164">
      <c r="A164" s="40"/>
      <c r="B164" s="40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8"/>
      <c r="BN164" s="38"/>
      <c r="BO164" s="38"/>
      <c r="BP164" s="38"/>
    </row>
    <row r="165">
      <c r="A165" s="40"/>
      <c r="B165" s="40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</row>
    <row r="166">
      <c r="A166" s="40"/>
      <c r="B166" s="40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8"/>
      <c r="BM166" s="38"/>
      <c r="BN166" s="38"/>
      <c r="BO166" s="38"/>
      <c r="BP166" s="38"/>
    </row>
    <row r="167">
      <c r="A167" s="40"/>
      <c r="B167" s="40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8"/>
      <c r="BH167" s="38"/>
      <c r="BI167" s="38"/>
      <c r="BJ167" s="38"/>
      <c r="BK167" s="38"/>
      <c r="BL167" s="38"/>
      <c r="BM167" s="38"/>
      <c r="BN167" s="38"/>
      <c r="BO167" s="38"/>
      <c r="BP167" s="38"/>
    </row>
    <row r="168">
      <c r="A168" s="40"/>
      <c r="B168" s="40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8"/>
      <c r="BM168" s="38"/>
      <c r="BN168" s="38"/>
      <c r="BO168" s="38"/>
      <c r="BP168" s="38"/>
    </row>
    <row r="169">
      <c r="A169" s="40"/>
      <c r="B169" s="40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</row>
    <row r="170">
      <c r="A170" s="40"/>
      <c r="B170" s="40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8"/>
      <c r="BN170" s="38"/>
      <c r="BO170" s="38"/>
      <c r="BP170" s="38"/>
    </row>
    <row r="171">
      <c r="A171" s="40"/>
      <c r="B171" s="40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</row>
    <row r="172">
      <c r="A172" s="40"/>
      <c r="B172" s="40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</row>
    <row r="173">
      <c r="A173" s="40"/>
      <c r="B173" s="40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</row>
    <row r="174">
      <c r="A174" s="40"/>
      <c r="B174" s="40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</row>
    <row r="175">
      <c r="A175" s="40"/>
      <c r="B175" s="40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</row>
    <row r="176">
      <c r="A176" s="40"/>
      <c r="B176" s="40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</row>
    <row r="177">
      <c r="A177" s="40"/>
      <c r="B177" s="40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</row>
    <row r="178">
      <c r="A178" s="40"/>
      <c r="B178" s="40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</row>
    <row r="179">
      <c r="A179" s="40"/>
      <c r="B179" s="40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8"/>
      <c r="BN179" s="38"/>
      <c r="BO179" s="38"/>
      <c r="BP179" s="38"/>
    </row>
    <row r="180">
      <c r="A180" s="40"/>
      <c r="B180" s="40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8"/>
      <c r="BN180" s="38"/>
      <c r="BO180" s="38"/>
      <c r="BP180" s="38"/>
    </row>
    <row r="181">
      <c r="A181" s="40"/>
      <c r="B181" s="40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8"/>
      <c r="BN181" s="38"/>
      <c r="BO181" s="38"/>
      <c r="BP181" s="38"/>
    </row>
    <row r="182">
      <c r="A182" s="40"/>
      <c r="B182" s="40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8"/>
      <c r="AY182" s="38"/>
      <c r="AZ182" s="38"/>
      <c r="BA182" s="38"/>
      <c r="BB182" s="38"/>
      <c r="BC182" s="38"/>
      <c r="BD182" s="38"/>
      <c r="BE182" s="38"/>
      <c r="BF182" s="38"/>
      <c r="BG182" s="38"/>
      <c r="BH182" s="38"/>
      <c r="BI182" s="38"/>
      <c r="BJ182" s="38"/>
      <c r="BK182" s="38"/>
      <c r="BL182" s="38"/>
      <c r="BM182" s="38"/>
      <c r="BN182" s="38"/>
      <c r="BO182" s="38"/>
      <c r="BP182" s="38"/>
    </row>
    <row r="183">
      <c r="A183" s="40"/>
      <c r="B183" s="40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8"/>
      <c r="BN183" s="38"/>
      <c r="BO183" s="38"/>
      <c r="BP183" s="38"/>
    </row>
    <row r="184">
      <c r="A184" s="40"/>
      <c r="B184" s="40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8"/>
      <c r="AY184" s="38"/>
      <c r="AZ184" s="38"/>
      <c r="BA184" s="38"/>
      <c r="BB184" s="38"/>
      <c r="BC184" s="38"/>
      <c r="BD184" s="38"/>
      <c r="BE184" s="38"/>
      <c r="BF184" s="38"/>
      <c r="BG184" s="38"/>
      <c r="BH184" s="38"/>
      <c r="BI184" s="38"/>
      <c r="BJ184" s="38"/>
      <c r="BK184" s="38"/>
      <c r="BL184" s="38"/>
      <c r="BM184" s="38"/>
      <c r="BN184" s="38"/>
      <c r="BO184" s="38"/>
      <c r="BP184" s="38"/>
    </row>
    <row r="185">
      <c r="A185" s="40"/>
      <c r="B185" s="40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8"/>
      <c r="BN185" s="38"/>
      <c r="BO185" s="38"/>
      <c r="BP185" s="38"/>
    </row>
    <row r="186">
      <c r="A186" s="40"/>
      <c r="B186" s="40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8"/>
      <c r="BN186" s="38"/>
      <c r="BO186" s="38"/>
      <c r="BP186" s="38"/>
    </row>
    <row r="187">
      <c r="A187" s="40"/>
      <c r="B187" s="40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8"/>
      <c r="AY187" s="38"/>
      <c r="AZ187" s="38"/>
      <c r="BA187" s="38"/>
      <c r="BB187" s="38"/>
      <c r="BC187" s="38"/>
      <c r="BD187" s="38"/>
      <c r="BE187" s="38"/>
      <c r="BF187" s="38"/>
      <c r="BG187" s="38"/>
      <c r="BH187" s="38"/>
      <c r="BI187" s="38"/>
      <c r="BJ187" s="38"/>
      <c r="BK187" s="38"/>
      <c r="BL187" s="38"/>
      <c r="BM187" s="38"/>
      <c r="BN187" s="38"/>
      <c r="BO187" s="38"/>
      <c r="BP187" s="38"/>
    </row>
    <row r="188">
      <c r="A188" s="40"/>
      <c r="B188" s="40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8"/>
      <c r="AY188" s="38"/>
      <c r="AZ188" s="38"/>
      <c r="BA188" s="38"/>
      <c r="BB188" s="38"/>
      <c r="BC188" s="38"/>
      <c r="BD188" s="38"/>
      <c r="BE188" s="38"/>
      <c r="BF188" s="38"/>
      <c r="BG188" s="38"/>
      <c r="BH188" s="38"/>
      <c r="BI188" s="38"/>
      <c r="BJ188" s="38"/>
      <c r="BK188" s="38"/>
      <c r="BL188" s="38"/>
      <c r="BM188" s="38"/>
      <c r="BN188" s="38"/>
      <c r="BO188" s="38"/>
      <c r="BP188" s="38"/>
    </row>
    <row r="189">
      <c r="A189" s="40"/>
      <c r="B189" s="40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8"/>
      <c r="BN189" s="38"/>
      <c r="BO189" s="38"/>
      <c r="BP189" s="38"/>
    </row>
    <row r="190">
      <c r="A190" s="40"/>
      <c r="B190" s="40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8"/>
      <c r="BN190" s="38"/>
      <c r="BO190" s="38"/>
      <c r="BP190" s="38"/>
    </row>
    <row r="191">
      <c r="A191" s="40"/>
      <c r="B191" s="40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8"/>
      <c r="AY191" s="38"/>
      <c r="AZ191" s="38"/>
      <c r="BA191" s="38"/>
      <c r="BB191" s="38"/>
      <c r="BC191" s="38"/>
      <c r="BD191" s="38"/>
      <c r="BE191" s="38"/>
      <c r="BF191" s="38"/>
      <c r="BG191" s="38"/>
      <c r="BH191" s="38"/>
      <c r="BI191" s="38"/>
      <c r="BJ191" s="38"/>
      <c r="BK191" s="38"/>
      <c r="BL191" s="38"/>
      <c r="BM191" s="38"/>
      <c r="BN191" s="38"/>
      <c r="BO191" s="38"/>
      <c r="BP191" s="38"/>
    </row>
    <row r="192">
      <c r="A192" s="40"/>
      <c r="B192" s="40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8"/>
      <c r="AY192" s="38"/>
      <c r="AZ192" s="38"/>
      <c r="BA192" s="38"/>
      <c r="BB192" s="38"/>
      <c r="BC192" s="38"/>
      <c r="BD192" s="38"/>
      <c r="BE192" s="38"/>
      <c r="BF192" s="38"/>
      <c r="BG192" s="38"/>
      <c r="BH192" s="38"/>
      <c r="BI192" s="38"/>
      <c r="BJ192" s="38"/>
      <c r="BK192" s="38"/>
      <c r="BL192" s="38"/>
      <c r="BM192" s="38"/>
      <c r="BN192" s="38"/>
      <c r="BO192" s="38"/>
      <c r="BP192" s="38"/>
    </row>
    <row r="193">
      <c r="A193" s="40"/>
      <c r="B193" s="40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</row>
    <row r="194">
      <c r="A194" s="40"/>
      <c r="B194" s="40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</row>
    <row r="195">
      <c r="A195" s="40"/>
      <c r="B195" s="40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</row>
    <row r="196">
      <c r="A196" s="40"/>
      <c r="B196" s="40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</row>
    <row r="197">
      <c r="A197" s="40"/>
      <c r="B197" s="40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</row>
    <row r="198">
      <c r="A198" s="40"/>
      <c r="B198" s="40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</row>
    <row r="199">
      <c r="A199" s="40"/>
      <c r="B199" s="40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</row>
    <row r="200">
      <c r="A200" s="40"/>
      <c r="B200" s="40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</row>
    <row r="201">
      <c r="A201" s="40"/>
      <c r="B201" s="40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</row>
    <row r="202">
      <c r="A202" s="40"/>
      <c r="B202" s="40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</row>
    <row r="203">
      <c r="A203" s="40"/>
      <c r="B203" s="40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8"/>
      <c r="AY203" s="38"/>
      <c r="AZ203" s="38"/>
      <c r="BA203" s="38"/>
      <c r="BB203" s="38"/>
      <c r="BC203" s="38"/>
      <c r="BD203" s="38"/>
      <c r="BE203" s="38"/>
      <c r="BF203" s="38"/>
      <c r="BG203" s="38"/>
      <c r="BH203" s="38"/>
      <c r="BI203" s="38"/>
      <c r="BJ203" s="38"/>
      <c r="BK203" s="38"/>
      <c r="BL203" s="38"/>
      <c r="BM203" s="38"/>
      <c r="BN203" s="38"/>
      <c r="BO203" s="38"/>
      <c r="BP203" s="38"/>
    </row>
    <row r="204">
      <c r="A204" s="40"/>
      <c r="B204" s="40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</row>
    <row r="205">
      <c r="A205" s="40"/>
      <c r="B205" s="40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8"/>
      <c r="BN205" s="38"/>
      <c r="BO205" s="38"/>
      <c r="BP205" s="38"/>
    </row>
    <row r="206">
      <c r="A206" s="40"/>
      <c r="B206" s="40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8"/>
      <c r="AY206" s="38"/>
      <c r="AZ206" s="38"/>
      <c r="BA206" s="38"/>
      <c r="BB206" s="38"/>
      <c r="BC206" s="38"/>
      <c r="BD206" s="38"/>
      <c r="BE206" s="38"/>
      <c r="BF206" s="38"/>
      <c r="BG206" s="38"/>
      <c r="BH206" s="38"/>
      <c r="BI206" s="38"/>
      <c r="BJ206" s="38"/>
      <c r="BK206" s="38"/>
      <c r="BL206" s="38"/>
      <c r="BM206" s="38"/>
      <c r="BN206" s="38"/>
      <c r="BO206" s="38"/>
      <c r="BP206" s="38"/>
    </row>
    <row r="207">
      <c r="A207" s="40"/>
      <c r="B207" s="40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8"/>
      <c r="AY207" s="38"/>
      <c r="AZ207" s="38"/>
      <c r="BA207" s="38"/>
      <c r="BB207" s="38"/>
      <c r="BC207" s="38"/>
      <c r="BD207" s="38"/>
      <c r="BE207" s="38"/>
      <c r="BF207" s="38"/>
      <c r="BG207" s="38"/>
      <c r="BH207" s="38"/>
      <c r="BI207" s="38"/>
      <c r="BJ207" s="38"/>
      <c r="BK207" s="38"/>
      <c r="BL207" s="38"/>
      <c r="BM207" s="38"/>
      <c r="BN207" s="38"/>
      <c r="BO207" s="38"/>
      <c r="BP207" s="38"/>
    </row>
    <row r="208">
      <c r="A208" s="40"/>
      <c r="B208" s="40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8"/>
      <c r="BN208" s="38"/>
      <c r="BO208" s="38"/>
      <c r="BP208" s="38"/>
    </row>
    <row r="209">
      <c r="A209" s="40"/>
      <c r="B209" s="40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8"/>
      <c r="AY209" s="38"/>
      <c r="AZ209" s="38"/>
      <c r="BA209" s="38"/>
      <c r="BB209" s="38"/>
      <c r="BC209" s="38"/>
      <c r="BD209" s="38"/>
      <c r="BE209" s="38"/>
      <c r="BF209" s="38"/>
      <c r="BG209" s="38"/>
      <c r="BH209" s="38"/>
      <c r="BI209" s="38"/>
      <c r="BJ209" s="38"/>
      <c r="BK209" s="38"/>
      <c r="BL209" s="38"/>
      <c r="BM209" s="38"/>
      <c r="BN209" s="38"/>
      <c r="BO209" s="38"/>
      <c r="BP209" s="38"/>
    </row>
    <row r="210">
      <c r="A210" s="40"/>
      <c r="B210" s="40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8"/>
      <c r="AY210" s="38"/>
      <c r="AZ210" s="38"/>
      <c r="BA210" s="38"/>
      <c r="BB210" s="38"/>
      <c r="BC210" s="38"/>
      <c r="BD210" s="38"/>
      <c r="BE210" s="38"/>
      <c r="BF210" s="38"/>
      <c r="BG210" s="38"/>
      <c r="BH210" s="38"/>
      <c r="BI210" s="38"/>
      <c r="BJ210" s="38"/>
      <c r="BK210" s="38"/>
      <c r="BL210" s="38"/>
      <c r="BM210" s="38"/>
      <c r="BN210" s="38"/>
      <c r="BO210" s="38"/>
      <c r="BP210" s="38"/>
    </row>
    <row r="211">
      <c r="A211" s="40"/>
      <c r="B211" s="40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8"/>
      <c r="AY211" s="38"/>
      <c r="AZ211" s="38"/>
      <c r="BA211" s="38"/>
      <c r="BB211" s="38"/>
      <c r="BC211" s="38"/>
      <c r="BD211" s="38"/>
      <c r="BE211" s="38"/>
      <c r="BF211" s="38"/>
      <c r="BG211" s="38"/>
      <c r="BH211" s="38"/>
      <c r="BI211" s="38"/>
      <c r="BJ211" s="38"/>
      <c r="BK211" s="38"/>
      <c r="BL211" s="38"/>
      <c r="BM211" s="38"/>
      <c r="BN211" s="38"/>
      <c r="BO211" s="38"/>
      <c r="BP211" s="38"/>
    </row>
    <row r="212">
      <c r="A212" s="40"/>
      <c r="B212" s="40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8"/>
      <c r="AY212" s="38"/>
      <c r="AZ212" s="38"/>
      <c r="BA212" s="38"/>
      <c r="BB212" s="38"/>
      <c r="BC212" s="38"/>
      <c r="BD212" s="38"/>
      <c r="BE212" s="38"/>
      <c r="BF212" s="38"/>
      <c r="BG212" s="38"/>
      <c r="BH212" s="38"/>
      <c r="BI212" s="38"/>
      <c r="BJ212" s="38"/>
      <c r="BK212" s="38"/>
      <c r="BL212" s="38"/>
      <c r="BM212" s="38"/>
      <c r="BN212" s="38"/>
      <c r="BO212" s="38"/>
      <c r="BP212" s="38"/>
    </row>
    <row r="213">
      <c r="A213" s="40"/>
      <c r="B213" s="40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8"/>
      <c r="AY213" s="38"/>
      <c r="AZ213" s="38"/>
      <c r="BA213" s="38"/>
      <c r="BB213" s="38"/>
      <c r="BC213" s="38"/>
      <c r="BD213" s="38"/>
      <c r="BE213" s="38"/>
      <c r="BF213" s="38"/>
      <c r="BG213" s="38"/>
      <c r="BH213" s="38"/>
      <c r="BI213" s="38"/>
      <c r="BJ213" s="38"/>
      <c r="BK213" s="38"/>
      <c r="BL213" s="38"/>
      <c r="BM213" s="38"/>
      <c r="BN213" s="38"/>
      <c r="BO213" s="38"/>
      <c r="BP213" s="38"/>
    </row>
    <row r="214">
      <c r="A214" s="40"/>
      <c r="B214" s="40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8"/>
      <c r="BM214" s="38"/>
      <c r="BN214" s="38"/>
      <c r="BO214" s="38"/>
      <c r="BP214" s="38"/>
    </row>
    <row r="215">
      <c r="A215" s="40"/>
      <c r="B215" s="40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8"/>
      <c r="AY215" s="38"/>
      <c r="AZ215" s="38"/>
      <c r="BA215" s="38"/>
      <c r="BB215" s="38"/>
      <c r="BC215" s="38"/>
      <c r="BD215" s="38"/>
      <c r="BE215" s="38"/>
      <c r="BF215" s="38"/>
      <c r="BG215" s="38"/>
      <c r="BH215" s="38"/>
      <c r="BI215" s="38"/>
      <c r="BJ215" s="38"/>
      <c r="BK215" s="38"/>
      <c r="BL215" s="38"/>
      <c r="BM215" s="38"/>
      <c r="BN215" s="38"/>
      <c r="BO215" s="38"/>
      <c r="BP215" s="38"/>
    </row>
    <row r="216">
      <c r="A216" s="40"/>
      <c r="B216" s="40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8"/>
      <c r="AY216" s="38"/>
      <c r="AZ216" s="38"/>
      <c r="BA216" s="38"/>
      <c r="BB216" s="38"/>
      <c r="BC216" s="38"/>
      <c r="BD216" s="38"/>
      <c r="BE216" s="38"/>
      <c r="BF216" s="38"/>
      <c r="BG216" s="38"/>
      <c r="BH216" s="38"/>
      <c r="BI216" s="38"/>
      <c r="BJ216" s="38"/>
      <c r="BK216" s="38"/>
      <c r="BL216" s="38"/>
      <c r="BM216" s="38"/>
      <c r="BN216" s="38"/>
      <c r="BO216" s="38"/>
      <c r="BP216" s="38"/>
    </row>
    <row r="217">
      <c r="A217" s="40"/>
      <c r="B217" s="40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8"/>
      <c r="AY217" s="38"/>
      <c r="AZ217" s="38"/>
      <c r="BA217" s="38"/>
      <c r="BB217" s="38"/>
      <c r="BC217" s="38"/>
      <c r="BD217" s="38"/>
      <c r="BE217" s="38"/>
      <c r="BF217" s="38"/>
      <c r="BG217" s="38"/>
      <c r="BH217" s="38"/>
      <c r="BI217" s="38"/>
      <c r="BJ217" s="38"/>
      <c r="BK217" s="38"/>
      <c r="BL217" s="38"/>
      <c r="BM217" s="38"/>
      <c r="BN217" s="38"/>
      <c r="BO217" s="38"/>
      <c r="BP217" s="38"/>
    </row>
    <row r="218">
      <c r="A218" s="40"/>
      <c r="B218" s="40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</row>
    <row r="219">
      <c r="A219" s="40"/>
      <c r="B219" s="40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</row>
    <row r="220">
      <c r="A220" s="40"/>
      <c r="B220" s="40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</row>
    <row r="221">
      <c r="A221" s="40"/>
      <c r="B221" s="40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</row>
    <row r="222">
      <c r="A222" s="40"/>
      <c r="B222" s="40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</row>
    <row r="223">
      <c r="A223" s="40"/>
      <c r="B223" s="40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</row>
    <row r="224">
      <c r="A224" s="40"/>
      <c r="B224" s="40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</row>
    <row r="225">
      <c r="A225" s="40"/>
      <c r="B225" s="40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</row>
    <row r="226">
      <c r="A226" s="40"/>
      <c r="B226" s="40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8"/>
      <c r="BM226" s="38"/>
      <c r="BN226" s="38"/>
      <c r="BO226" s="38"/>
      <c r="BP226" s="38"/>
    </row>
    <row r="227">
      <c r="A227" s="40"/>
      <c r="B227" s="40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8"/>
      <c r="BN227" s="38"/>
      <c r="BO227" s="38"/>
      <c r="BP227" s="38"/>
    </row>
    <row r="228">
      <c r="A228" s="40"/>
      <c r="B228" s="40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8"/>
      <c r="BN228" s="38"/>
      <c r="BO228" s="38"/>
      <c r="BP228" s="38"/>
    </row>
    <row r="229">
      <c r="A229" s="40"/>
      <c r="B229" s="40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8"/>
      <c r="AY229" s="38"/>
      <c r="AZ229" s="38"/>
      <c r="BA229" s="38"/>
      <c r="BB229" s="38"/>
      <c r="BC229" s="38"/>
      <c r="BD229" s="38"/>
      <c r="BE229" s="38"/>
      <c r="BF229" s="38"/>
      <c r="BG229" s="38"/>
      <c r="BH229" s="38"/>
      <c r="BI229" s="38"/>
      <c r="BJ229" s="38"/>
      <c r="BK229" s="38"/>
      <c r="BL229" s="38"/>
      <c r="BM229" s="38"/>
      <c r="BN229" s="38"/>
      <c r="BO229" s="38"/>
      <c r="BP229" s="38"/>
    </row>
    <row r="230">
      <c r="A230" s="40"/>
      <c r="B230" s="40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8"/>
      <c r="AY230" s="38"/>
      <c r="AZ230" s="38"/>
      <c r="BA230" s="38"/>
      <c r="BB230" s="38"/>
      <c r="BC230" s="38"/>
      <c r="BD230" s="38"/>
      <c r="BE230" s="38"/>
      <c r="BF230" s="38"/>
      <c r="BG230" s="38"/>
      <c r="BH230" s="38"/>
      <c r="BI230" s="38"/>
      <c r="BJ230" s="38"/>
      <c r="BK230" s="38"/>
      <c r="BL230" s="38"/>
      <c r="BM230" s="38"/>
      <c r="BN230" s="38"/>
      <c r="BO230" s="38"/>
      <c r="BP230" s="38"/>
    </row>
    <row r="231">
      <c r="A231" s="40"/>
      <c r="B231" s="40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8"/>
      <c r="BN231" s="38"/>
      <c r="BO231" s="38"/>
      <c r="BP231" s="38"/>
    </row>
    <row r="232">
      <c r="A232" s="40"/>
      <c r="B232" s="40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</row>
    <row r="233">
      <c r="A233" s="40"/>
      <c r="B233" s="40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</row>
    <row r="234">
      <c r="A234" s="40"/>
      <c r="B234" s="40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8"/>
      <c r="BN234" s="38"/>
      <c r="BO234" s="38"/>
      <c r="BP234" s="38"/>
    </row>
    <row r="235">
      <c r="A235" s="40"/>
      <c r="B235" s="40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8"/>
      <c r="BN235" s="38"/>
      <c r="BO235" s="38"/>
      <c r="BP235" s="38"/>
    </row>
    <row r="236">
      <c r="A236" s="40"/>
      <c r="B236" s="40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8"/>
      <c r="BN236" s="38"/>
      <c r="BO236" s="38"/>
      <c r="BP236" s="38"/>
    </row>
    <row r="237">
      <c r="A237" s="40"/>
      <c r="B237" s="40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8"/>
      <c r="BN237" s="38"/>
      <c r="BO237" s="38"/>
      <c r="BP237" s="38"/>
    </row>
    <row r="238">
      <c r="A238" s="40"/>
      <c r="B238" s="40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8"/>
      <c r="BN238" s="38"/>
      <c r="BO238" s="38"/>
      <c r="BP238" s="38"/>
    </row>
    <row r="239">
      <c r="A239" s="40"/>
      <c r="B239" s="40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8"/>
      <c r="AY239" s="38"/>
      <c r="AZ239" s="38"/>
      <c r="BA239" s="38"/>
      <c r="BB239" s="38"/>
      <c r="BC239" s="38"/>
      <c r="BD239" s="38"/>
      <c r="BE239" s="38"/>
      <c r="BF239" s="38"/>
      <c r="BG239" s="38"/>
      <c r="BH239" s="38"/>
      <c r="BI239" s="38"/>
      <c r="BJ239" s="38"/>
      <c r="BK239" s="38"/>
      <c r="BL239" s="38"/>
      <c r="BM239" s="38"/>
      <c r="BN239" s="38"/>
      <c r="BO239" s="38"/>
      <c r="BP239" s="38"/>
    </row>
    <row r="240">
      <c r="A240" s="40"/>
      <c r="B240" s="40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8"/>
      <c r="AY240" s="38"/>
      <c r="AZ240" s="38"/>
      <c r="BA240" s="38"/>
      <c r="BB240" s="38"/>
      <c r="BC240" s="38"/>
      <c r="BD240" s="38"/>
      <c r="BE240" s="38"/>
      <c r="BF240" s="38"/>
      <c r="BG240" s="38"/>
      <c r="BH240" s="38"/>
      <c r="BI240" s="38"/>
      <c r="BJ240" s="38"/>
      <c r="BK240" s="38"/>
      <c r="BL240" s="38"/>
      <c r="BM240" s="38"/>
      <c r="BN240" s="38"/>
      <c r="BO240" s="38"/>
      <c r="BP240" s="38"/>
    </row>
    <row r="241">
      <c r="A241" s="40"/>
      <c r="B241" s="40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8"/>
      <c r="AY241" s="38"/>
      <c r="AZ241" s="38"/>
      <c r="BA241" s="38"/>
      <c r="BB241" s="38"/>
      <c r="BC241" s="38"/>
      <c r="BD241" s="38"/>
      <c r="BE241" s="38"/>
      <c r="BF241" s="38"/>
      <c r="BG241" s="38"/>
      <c r="BH241" s="38"/>
      <c r="BI241" s="38"/>
      <c r="BJ241" s="38"/>
      <c r="BK241" s="38"/>
      <c r="BL241" s="38"/>
      <c r="BM241" s="38"/>
      <c r="BN241" s="38"/>
      <c r="BO241" s="38"/>
      <c r="BP241" s="38"/>
    </row>
    <row r="242">
      <c r="A242" s="40"/>
      <c r="B242" s="40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8"/>
      <c r="AY242" s="38"/>
      <c r="AZ242" s="38"/>
      <c r="BA242" s="38"/>
      <c r="BB242" s="38"/>
      <c r="BC242" s="38"/>
      <c r="BD242" s="38"/>
      <c r="BE242" s="38"/>
      <c r="BF242" s="38"/>
      <c r="BG242" s="38"/>
      <c r="BH242" s="38"/>
      <c r="BI242" s="38"/>
      <c r="BJ242" s="38"/>
      <c r="BK242" s="38"/>
      <c r="BL242" s="38"/>
      <c r="BM242" s="38"/>
      <c r="BN242" s="38"/>
      <c r="BO242" s="38"/>
      <c r="BP242" s="38"/>
    </row>
    <row r="243">
      <c r="A243" s="40"/>
      <c r="B243" s="40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8"/>
      <c r="BN243" s="38"/>
      <c r="BO243" s="38"/>
      <c r="BP243" s="38"/>
    </row>
    <row r="244">
      <c r="A244" s="40"/>
      <c r="B244" s="40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8"/>
      <c r="AY244" s="38"/>
      <c r="AZ244" s="38"/>
      <c r="BA244" s="38"/>
      <c r="BB244" s="38"/>
      <c r="BC244" s="38"/>
      <c r="BD244" s="38"/>
      <c r="BE244" s="38"/>
      <c r="BF244" s="38"/>
      <c r="BG244" s="38"/>
      <c r="BH244" s="38"/>
      <c r="BI244" s="38"/>
      <c r="BJ244" s="38"/>
      <c r="BK244" s="38"/>
      <c r="BL244" s="38"/>
      <c r="BM244" s="38"/>
      <c r="BN244" s="38"/>
      <c r="BO244" s="38"/>
      <c r="BP244" s="38"/>
    </row>
    <row r="245">
      <c r="A245" s="40"/>
      <c r="B245" s="40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8"/>
      <c r="AY245" s="38"/>
      <c r="AZ245" s="38"/>
      <c r="BA245" s="38"/>
      <c r="BB245" s="38"/>
      <c r="BC245" s="38"/>
      <c r="BD245" s="38"/>
      <c r="BE245" s="38"/>
      <c r="BF245" s="38"/>
      <c r="BG245" s="38"/>
      <c r="BH245" s="38"/>
      <c r="BI245" s="38"/>
      <c r="BJ245" s="38"/>
      <c r="BK245" s="38"/>
      <c r="BL245" s="38"/>
      <c r="BM245" s="38"/>
      <c r="BN245" s="38"/>
      <c r="BO245" s="38"/>
      <c r="BP245" s="38"/>
    </row>
    <row r="246">
      <c r="A246" s="40"/>
      <c r="B246" s="40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8"/>
      <c r="AY246" s="38"/>
      <c r="AZ246" s="38"/>
      <c r="BA246" s="38"/>
      <c r="BB246" s="38"/>
      <c r="BC246" s="38"/>
      <c r="BD246" s="38"/>
      <c r="BE246" s="38"/>
      <c r="BF246" s="38"/>
      <c r="BG246" s="38"/>
      <c r="BH246" s="38"/>
      <c r="BI246" s="38"/>
      <c r="BJ246" s="38"/>
      <c r="BK246" s="38"/>
      <c r="BL246" s="38"/>
      <c r="BM246" s="38"/>
      <c r="BN246" s="38"/>
      <c r="BO246" s="38"/>
      <c r="BP246" s="38"/>
    </row>
    <row r="247">
      <c r="A247" s="40"/>
      <c r="B247" s="40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8"/>
      <c r="AY247" s="38"/>
      <c r="AZ247" s="38"/>
      <c r="BA247" s="38"/>
      <c r="BB247" s="38"/>
      <c r="BC247" s="38"/>
      <c r="BD247" s="38"/>
      <c r="BE247" s="38"/>
      <c r="BF247" s="38"/>
      <c r="BG247" s="38"/>
      <c r="BH247" s="38"/>
      <c r="BI247" s="38"/>
      <c r="BJ247" s="38"/>
      <c r="BK247" s="38"/>
      <c r="BL247" s="38"/>
      <c r="BM247" s="38"/>
      <c r="BN247" s="38"/>
      <c r="BO247" s="38"/>
      <c r="BP247" s="38"/>
    </row>
    <row r="248">
      <c r="A248" s="40"/>
      <c r="B248" s="40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8"/>
      <c r="AY248" s="38"/>
      <c r="AZ248" s="38"/>
      <c r="BA248" s="38"/>
      <c r="BB248" s="38"/>
      <c r="BC248" s="38"/>
      <c r="BD248" s="38"/>
      <c r="BE248" s="38"/>
      <c r="BF248" s="38"/>
      <c r="BG248" s="38"/>
      <c r="BH248" s="38"/>
      <c r="BI248" s="38"/>
      <c r="BJ248" s="38"/>
      <c r="BK248" s="38"/>
      <c r="BL248" s="38"/>
      <c r="BM248" s="38"/>
      <c r="BN248" s="38"/>
      <c r="BO248" s="38"/>
      <c r="BP248" s="38"/>
    </row>
    <row r="249">
      <c r="A249" s="40"/>
      <c r="B249" s="40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  <c r="AZ249" s="38"/>
      <c r="BA249" s="38"/>
      <c r="BB249" s="38"/>
      <c r="BC249" s="38"/>
      <c r="BD249" s="38"/>
      <c r="BE249" s="38"/>
      <c r="BF249" s="38"/>
      <c r="BG249" s="38"/>
      <c r="BH249" s="38"/>
      <c r="BI249" s="38"/>
      <c r="BJ249" s="38"/>
      <c r="BK249" s="38"/>
      <c r="BL249" s="38"/>
      <c r="BM249" s="38"/>
      <c r="BN249" s="38"/>
      <c r="BO249" s="38"/>
      <c r="BP249" s="38"/>
    </row>
    <row r="250">
      <c r="A250" s="40"/>
      <c r="B250" s="40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8"/>
      <c r="AY250" s="38"/>
      <c r="AZ250" s="38"/>
      <c r="BA250" s="38"/>
      <c r="BB250" s="38"/>
      <c r="BC250" s="38"/>
      <c r="BD250" s="38"/>
      <c r="BE250" s="38"/>
      <c r="BF250" s="38"/>
      <c r="BG250" s="38"/>
      <c r="BH250" s="38"/>
      <c r="BI250" s="38"/>
      <c r="BJ250" s="38"/>
      <c r="BK250" s="38"/>
      <c r="BL250" s="38"/>
      <c r="BM250" s="38"/>
      <c r="BN250" s="38"/>
      <c r="BO250" s="38"/>
      <c r="BP250" s="38"/>
    </row>
    <row r="251">
      <c r="A251" s="40"/>
      <c r="B251" s="40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8"/>
      <c r="AY251" s="38"/>
      <c r="AZ251" s="38"/>
      <c r="BA251" s="38"/>
      <c r="BB251" s="38"/>
      <c r="BC251" s="38"/>
      <c r="BD251" s="38"/>
      <c r="BE251" s="38"/>
      <c r="BF251" s="38"/>
      <c r="BG251" s="38"/>
      <c r="BH251" s="38"/>
      <c r="BI251" s="38"/>
      <c r="BJ251" s="38"/>
      <c r="BK251" s="38"/>
      <c r="BL251" s="38"/>
      <c r="BM251" s="38"/>
      <c r="BN251" s="38"/>
      <c r="BO251" s="38"/>
      <c r="BP251" s="38"/>
    </row>
    <row r="252">
      <c r="A252" s="40"/>
      <c r="B252" s="40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8"/>
      <c r="AY252" s="38"/>
      <c r="AZ252" s="38"/>
      <c r="BA252" s="38"/>
      <c r="BB252" s="38"/>
      <c r="BC252" s="38"/>
      <c r="BD252" s="38"/>
      <c r="BE252" s="38"/>
      <c r="BF252" s="38"/>
      <c r="BG252" s="38"/>
      <c r="BH252" s="38"/>
      <c r="BI252" s="38"/>
      <c r="BJ252" s="38"/>
      <c r="BK252" s="38"/>
      <c r="BL252" s="38"/>
      <c r="BM252" s="38"/>
      <c r="BN252" s="38"/>
      <c r="BO252" s="38"/>
      <c r="BP252" s="38"/>
    </row>
    <row r="253">
      <c r="A253" s="40"/>
      <c r="B253" s="40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8"/>
      <c r="AY253" s="38"/>
      <c r="AZ253" s="38"/>
      <c r="BA253" s="38"/>
      <c r="BB253" s="38"/>
      <c r="BC253" s="38"/>
      <c r="BD253" s="38"/>
      <c r="BE253" s="38"/>
      <c r="BF253" s="38"/>
      <c r="BG253" s="38"/>
      <c r="BH253" s="38"/>
      <c r="BI253" s="38"/>
      <c r="BJ253" s="38"/>
      <c r="BK253" s="38"/>
      <c r="BL253" s="38"/>
      <c r="BM253" s="38"/>
      <c r="BN253" s="38"/>
      <c r="BO253" s="38"/>
      <c r="BP253" s="38"/>
    </row>
    <row r="254">
      <c r="A254" s="40"/>
      <c r="B254" s="40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8"/>
      <c r="AY254" s="38"/>
      <c r="AZ254" s="38"/>
      <c r="BA254" s="38"/>
      <c r="BB254" s="38"/>
      <c r="BC254" s="38"/>
      <c r="BD254" s="38"/>
      <c r="BE254" s="38"/>
      <c r="BF254" s="38"/>
      <c r="BG254" s="38"/>
      <c r="BH254" s="38"/>
      <c r="BI254" s="38"/>
      <c r="BJ254" s="38"/>
      <c r="BK254" s="38"/>
      <c r="BL254" s="38"/>
      <c r="BM254" s="38"/>
      <c r="BN254" s="38"/>
      <c r="BO254" s="38"/>
      <c r="BP254" s="38"/>
    </row>
    <row r="255">
      <c r="A255" s="40"/>
      <c r="B255" s="40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8"/>
      <c r="AY255" s="38"/>
      <c r="AZ255" s="38"/>
      <c r="BA255" s="38"/>
      <c r="BB255" s="38"/>
      <c r="BC255" s="38"/>
      <c r="BD255" s="38"/>
      <c r="BE255" s="38"/>
      <c r="BF255" s="38"/>
      <c r="BG255" s="38"/>
      <c r="BH255" s="38"/>
      <c r="BI255" s="38"/>
      <c r="BJ255" s="38"/>
      <c r="BK255" s="38"/>
      <c r="BL255" s="38"/>
      <c r="BM255" s="38"/>
      <c r="BN255" s="38"/>
      <c r="BO255" s="38"/>
      <c r="BP255" s="38"/>
    </row>
    <row r="256">
      <c r="A256" s="40"/>
      <c r="B256" s="40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  <c r="BI256" s="38"/>
      <c r="BJ256" s="38"/>
      <c r="BK256" s="38"/>
      <c r="BL256" s="38"/>
      <c r="BM256" s="38"/>
      <c r="BN256" s="38"/>
      <c r="BO256" s="38"/>
      <c r="BP256" s="38"/>
    </row>
    <row r="257">
      <c r="A257" s="40"/>
      <c r="B257" s="40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8"/>
      <c r="AY257" s="38"/>
      <c r="AZ257" s="38"/>
      <c r="BA257" s="38"/>
      <c r="BB257" s="38"/>
      <c r="BC257" s="38"/>
      <c r="BD257" s="38"/>
      <c r="BE257" s="38"/>
      <c r="BF257" s="38"/>
      <c r="BG257" s="38"/>
      <c r="BH257" s="38"/>
      <c r="BI257" s="38"/>
      <c r="BJ257" s="38"/>
      <c r="BK257" s="38"/>
      <c r="BL257" s="38"/>
      <c r="BM257" s="38"/>
      <c r="BN257" s="38"/>
      <c r="BO257" s="38"/>
      <c r="BP257" s="38"/>
    </row>
    <row r="258">
      <c r="A258" s="40"/>
      <c r="B258" s="40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8"/>
      <c r="AY258" s="38"/>
      <c r="AZ258" s="38"/>
      <c r="BA258" s="38"/>
      <c r="BB258" s="38"/>
      <c r="BC258" s="38"/>
      <c r="BD258" s="38"/>
      <c r="BE258" s="38"/>
      <c r="BF258" s="38"/>
      <c r="BG258" s="38"/>
      <c r="BH258" s="38"/>
      <c r="BI258" s="38"/>
      <c r="BJ258" s="38"/>
      <c r="BK258" s="38"/>
      <c r="BL258" s="38"/>
      <c r="BM258" s="38"/>
      <c r="BN258" s="38"/>
      <c r="BO258" s="38"/>
      <c r="BP258" s="38"/>
    </row>
    <row r="259">
      <c r="A259" s="40"/>
      <c r="B259" s="40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  <c r="BI259" s="38"/>
      <c r="BJ259" s="38"/>
      <c r="BK259" s="38"/>
      <c r="BL259" s="38"/>
      <c r="BM259" s="38"/>
      <c r="BN259" s="38"/>
      <c r="BO259" s="38"/>
      <c r="BP259" s="38"/>
    </row>
    <row r="260">
      <c r="A260" s="40"/>
      <c r="B260" s="40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8"/>
      <c r="AY260" s="38"/>
      <c r="AZ260" s="38"/>
      <c r="BA260" s="38"/>
      <c r="BB260" s="38"/>
      <c r="BC260" s="38"/>
      <c r="BD260" s="38"/>
      <c r="BE260" s="38"/>
      <c r="BF260" s="38"/>
      <c r="BG260" s="38"/>
      <c r="BH260" s="38"/>
      <c r="BI260" s="38"/>
      <c r="BJ260" s="38"/>
      <c r="BK260" s="38"/>
      <c r="BL260" s="38"/>
      <c r="BM260" s="38"/>
      <c r="BN260" s="38"/>
      <c r="BO260" s="38"/>
      <c r="BP260" s="38"/>
    </row>
    <row r="261">
      <c r="A261" s="40"/>
      <c r="B261" s="40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8"/>
      <c r="AY261" s="38"/>
      <c r="AZ261" s="38"/>
      <c r="BA261" s="38"/>
      <c r="BB261" s="38"/>
      <c r="BC261" s="38"/>
      <c r="BD261" s="38"/>
      <c r="BE261" s="38"/>
      <c r="BF261" s="38"/>
      <c r="BG261" s="38"/>
      <c r="BH261" s="38"/>
      <c r="BI261" s="38"/>
      <c r="BJ261" s="38"/>
      <c r="BK261" s="38"/>
      <c r="BL261" s="38"/>
      <c r="BM261" s="38"/>
      <c r="BN261" s="38"/>
      <c r="BO261" s="38"/>
      <c r="BP261" s="38"/>
    </row>
    <row r="262">
      <c r="A262" s="40"/>
      <c r="B262" s="40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8"/>
      <c r="AY262" s="38"/>
      <c r="AZ262" s="38"/>
      <c r="BA262" s="38"/>
      <c r="BB262" s="38"/>
      <c r="BC262" s="38"/>
      <c r="BD262" s="38"/>
      <c r="BE262" s="38"/>
      <c r="BF262" s="38"/>
      <c r="BG262" s="38"/>
      <c r="BH262" s="38"/>
      <c r="BI262" s="38"/>
      <c r="BJ262" s="38"/>
      <c r="BK262" s="38"/>
      <c r="BL262" s="38"/>
      <c r="BM262" s="38"/>
      <c r="BN262" s="38"/>
      <c r="BO262" s="38"/>
      <c r="BP262" s="38"/>
    </row>
    <row r="263">
      <c r="A263" s="40"/>
      <c r="B263" s="40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8"/>
      <c r="AY263" s="38"/>
      <c r="AZ263" s="38"/>
      <c r="BA263" s="38"/>
      <c r="BB263" s="38"/>
      <c r="BC263" s="38"/>
      <c r="BD263" s="38"/>
      <c r="BE263" s="38"/>
      <c r="BF263" s="38"/>
      <c r="BG263" s="38"/>
      <c r="BH263" s="38"/>
      <c r="BI263" s="38"/>
      <c r="BJ263" s="38"/>
      <c r="BK263" s="38"/>
      <c r="BL263" s="38"/>
      <c r="BM263" s="38"/>
      <c r="BN263" s="38"/>
      <c r="BO263" s="38"/>
      <c r="BP263" s="38"/>
    </row>
    <row r="264">
      <c r="A264" s="40"/>
      <c r="B264" s="40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</row>
    <row r="265">
      <c r="A265" s="40"/>
      <c r="B265" s="40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</row>
    <row r="266">
      <c r="A266" s="40"/>
      <c r="B266" s="40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</row>
    <row r="267">
      <c r="A267" s="40"/>
      <c r="B267" s="40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</row>
    <row r="268">
      <c r="A268" s="40"/>
      <c r="B268" s="40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</row>
    <row r="269">
      <c r="A269" s="40"/>
      <c r="B269" s="40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</row>
    <row r="270">
      <c r="A270" s="40"/>
      <c r="B270" s="40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</row>
    <row r="271">
      <c r="A271" s="40"/>
      <c r="B271" s="40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</row>
    <row r="272">
      <c r="A272" s="40"/>
      <c r="B272" s="40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</row>
    <row r="273">
      <c r="A273" s="40"/>
      <c r="B273" s="40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</row>
    <row r="274">
      <c r="A274" s="40"/>
      <c r="B274" s="40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</row>
    <row r="275">
      <c r="A275" s="40"/>
      <c r="B275" s="40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</row>
    <row r="276">
      <c r="A276" s="40"/>
      <c r="B276" s="40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</row>
    <row r="277">
      <c r="A277" s="40"/>
      <c r="B277" s="40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</row>
    <row r="278">
      <c r="A278" s="40"/>
      <c r="B278" s="40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</row>
    <row r="279">
      <c r="A279" s="40"/>
      <c r="B279" s="40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</row>
    <row r="280">
      <c r="A280" s="40"/>
      <c r="B280" s="40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</row>
    <row r="281">
      <c r="A281" s="40"/>
      <c r="B281" s="40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</row>
    <row r="282">
      <c r="A282" s="40"/>
      <c r="B282" s="40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</row>
    <row r="283">
      <c r="A283" s="40"/>
      <c r="B283" s="40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</row>
    <row r="284">
      <c r="A284" s="40"/>
      <c r="B284" s="40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</row>
    <row r="285">
      <c r="A285" s="40"/>
      <c r="B285" s="40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</row>
    <row r="286">
      <c r="A286" s="40"/>
      <c r="B286" s="40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</row>
    <row r="287">
      <c r="A287" s="40"/>
      <c r="B287" s="40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</row>
    <row r="288">
      <c r="A288" s="40"/>
      <c r="B288" s="40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</row>
    <row r="289">
      <c r="A289" s="40"/>
      <c r="B289" s="40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</row>
    <row r="290">
      <c r="A290" s="40"/>
      <c r="B290" s="40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</row>
    <row r="291">
      <c r="A291" s="40"/>
      <c r="B291" s="40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</row>
    <row r="292">
      <c r="A292" s="40"/>
      <c r="B292" s="40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</row>
    <row r="293">
      <c r="A293" s="40"/>
      <c r="B293" s="40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</row>
    <row r="294">
      <c r="A294" s="40"/>
      <c r="B294" s="40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</row>
    <row r="295">
      <c r="A295" s="40"/>
      <c r="B295" s="40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8"/>
      <c r="AY295" s="38"/>
      <c r="AZ295" s="38"/>
      <c r="BA295" s="38"/>
      <c r="BB295" s="38"/>
      <c r="BC295" s="38"/>
      <c r="BD295" s="38"/>
      <c r="BE295" s="38"/>
      <c r="BF295" s="38"/>
      <c r="BG295" s="38"/>
      <c r="BH295" s="38"/>
      <c r="BI295" s="38"/>
      <c r="BJ295" s="38"/>
      <c r="BK295" s="38"/>
      <c r="BL295" s="38"/>
      <c r="BM295" s="38"/>
      <c r="BN295" s="38"/>
      <c r="BO295" s="38"/>
      <c r="BP295" s="38"/>
    </row>
    <row r="296">
      <c r="A296" s="40"/>
      <c r="B296" s="40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8"/>
      <c r="AY296" s="38"/>
      <c r="AZ296" s="38"/>
      <c r="BA296" s="38"/>
      <c r="BB296" s="38"/>
      <c r="BC296" s="38"/>
      <c r="BD296" s="38"/>
      <c r="BE296" s="38"/>
      <c r="BF296" s="38"/>
      <c r="BG296" s="38"/>
      <c r="BH296" s="38"/>
      <c r="BI296" s="38"/>
      <c r="BJ296" s="38"/>
      <c r="BK296" s="38"/>
      <c r="BL296" s="38"/>
      <c r="BM296" s="38"/>
      <c r="BN296" s="38"/>
      <c r="BO296" s="38"/>
      <c r="BP296" s="38"/>
    </row>
    <row r="297">
      <c r="A297" s="40"/>
      <c r="B297" s="40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8"/>
      <c r="AY297" s="38"/>
      <c r="AZ297" s="38"/>
      <c r="BA297" s="38"/>
      <c r="BB297" s="38"/>
      <c r="BC297" s="38"/>
      <c r="BD297" s="38"/>
      <c r="BE297" s="38"/>
      <c r="BF297" s="38"/>
      <c r="BG297" s="38"/>
      <c r="BH297" s="38"/>
      <c r="BI297" s="38"/>
      <c r="BJ297" s="38"/>
      <c r="BK297" s="38"/>
      <c r="BL297" s="38"/>
      <c r="BM297" s="38"/>
      <c r="BN297" s="38"/>
      <c r="BO297" s="38"/>
      <c r="BP297" s="38"/>
    </row>
    <row r="298">
      <c r="A298" s="40"/>
      <c r="B298" s="40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8"/>
      <c r="AY298" s="38"/>
      <c r="AZ298" s="38"/>
      <c r="BA298" s="38"/>
      <c r="BB298" s="38"/>
      <c r="BC298" s="38"/>
      <c r="BD298" s="38"/>
      <c r="BE298" s="38"/>
      <c r="BF298" s="38"/>
      <c r="BG298" s="38"/>
      <c r="BH298" s="38"/>
      <c r="BI298" s="38"/>
      <c r="BJ298" s="38"/>
      <c r="BK298" s="38"/>
      <c r="BL298" s="38"/>
      <c r="BM298" s="38"/>
      <c r="BN298" s="38"/>
      <c r="BO298" s="38"/>
      <c r="BP298" s="38"/>
    </row>
    <row r="299">
      <c r="A299" s="40"/>
      <c r="B299" s="40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  <c r="BI299" s="38"/>
      <c r="BJ299" s="38"/>
      <c r="BK299" s="38"/>
      <c r="BL299" s="38"/>
      <c r="BM299" s="38"/>
      <c r="BN299" s="38"/>
      <c r="BO299" s="38"/>
      <c r="BP299" s="38"/>
    </row>
    <row r="300">
      <c r="A300" s="40"/>
      <c r="B300" s="40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8"/>
      <c r="AY300" s="38"/>
      <c r="AZ300" s="38"/>
      <c r="BA300" s="38"/>
      <c r="BB300" s="38"/>
      <c r="BC300" s="38"/>
      <c r="BD300" s="38"/>
      <c r="BE300" s="38"/>
      <c r="BF300" s="38"/>
      <c r="BG300" s="38"/>
      <c r="BH300" s="38"/>
      <c r="BI300" s="38"/>
      <c r="BJ300" s="38"/>
      <c r="BK300" s="38"/>
      <c r="BL300" s="38"/>
      <c r="BM300" s="38"/>
      <c r="BN300" s="38"/>
      <c r="BO300" s="38"/>
      <c r="BP300" s="38"/>
    </row>
    <row r="301">
      <c r="A301" s="40"/>
      <c r="B301" s="40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8"/>
      <c r="AY301" s="38"/>
      <c r="AZ301" s="38"/>
      <c r="BA301" s="38"/>
      <c r="BB301" s="38"/>
      <c r="BC301" s="38"/>
      <c r="BD301" s="38"/>
      <c r="BE301" s="38"/>
      <c r="BF301" s="38"/>
      <c r="BG301" s="38"/>
      <c r="BH301" s="38"/>
      <c r="BI301" s="38"/>
      <c r="BJ301" s="38"/>
      <c r="BK301" s="38"/>
      <c r="BL301" s="38"/>
      <c r="BM301" s="38"/>
      <c r="BN301" s="38"/>
      <c r="BO301" s="38"/>
      <c r="BP301" s="38"/>
    </row>
    <row r="302">
      <c r="A302" s="40"/>
      <c r="B302" s="40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  <c r="BI302" s="38"/>
      <c r="BJ302" s="38"/>
      <c r="BK302" s="38"/>
      <c r="BL302" s="38"/>
      <c r="BM302" s="38"/>
      <c r="BN302" s="38"/>
      <c r="BO302" s="38"/>
      <c r="BP302" s="38"/>
    </row>
    <row r="303">
      <c r="A303" s="40"/>
      <c r="B303" s="40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8"/>
      <c r="AY303" s="38"/>
      <c r="AZ303" s="38"/>
      <c r="BA303" s="38"/>
      <c r="BB303" s="38"/>
      <c r="BC303" s="38"/>
      <c r="BD303" s="38"/>
      <c r="BE303" s="38"/>
      <c r="BF303" s="38"/>
      <c r="BG303" s="38"/>
      <c r="BH303" s="38"/>
      <c r="BI303" s="38"/>
      <c r="BJ303" s="38"/>
      <c r="BK303" s="38"/>
      <c r="BL303" s="38"/>
      <c r="BM303" s="38"/>
      <c r="BN303" s="38"/>
      <c r="BO303" s="38"/>
      <c r="BP303" s="38"/>
    </row>
    <row r="304">
      <c r="A304" s="40"/>
      <c r="B304" s="40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8"/>
      <c r="AY304" s="38"/>
      <c r="AZ304" s="38"/>
      <c r="BA304" s="38"/>
      <c r="BB304" s="38"/>
      <c r="BC304" s="38"/>
      <c r="BD304" s="38"/>
      <c r="BE304" s="38"/>
      <c r="BF304" s="38"/>
      <c r="BG304" s="38"/>
      <c r="BH304" s="38"/>
      <c r="BI304" s="38"/>
      <c r="BJ304" s="38"/>
      <c r="BK304" s="38"/>
      <c r="BL304" s="38"/>
      <c r="BM304" s="38"/>
      <c r="BN304" s="38"/>
      <c r="BO304" s="38"/>
      <c r="BP304" s="38"/>
    </row>
    <row r="305">
      <c r="A305" s="40"/>
      <c r="B305" s="40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8"/>
      <c r="AY305" s="38"/>
      <c r="AZ305" s="38"/>
      <c r="BA305" s="38"/>
      <c r="BB305" s="38"/>
      <c r="BC305" s="38"/>
      <c r="BD305" s="38"/>
      <c r="BE305" s="38"/>
      <c r="BF305" s="38"/>
      <c r="BG305" s="38"/>
      <c r="BH305" s="38"/>
      <c r="BI305" s="38"/>
      <c r="BJ305" s="38"/>
      <c r="BK305" s="38"/>
      <c r="BL305" s="38"/>
      <c r="BM305" s="38"/>
      <c r="BN305" s="38"/>
      <c r="BO305" s="38"/>
      <c r="BP305" s="38"/>
    </row>
    <row r="306">
      <c r="A306" s="40"/>
      <c r="B306" s="40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  <c r="BI306" s="38"/>
      <c r="BJ306" s="38"/>
      <c r="BK306" s="38"/>
      <c r="BL306" s="38"/>
      <c r="BM306" s="38"/>
      <c r="BN306" s="38"/>
      <c r="BO306" s="38"/>
      <c r="BP306" s="38"/>
    </row>
    <row r="307">
      <c r="A307" s="40"/>
      <c r="B307" s="40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8"/>
      <c r="AY307" s="38"/>
      <c r="AZ307" s="38"/>
      <c r="BA307" s="38"/>
      <c r="BB307" s="38"/>
      <c r="BC307" s="38"/>
      <c r="BD307" s="38"/>
      <c r="BE307" s="38"/>
      <c r="BF307" s="38"/>
      <c r="BG307" s="38"/>
      <c r="BH307" s="38"/>
      <c r="BI307" s="38"/>
      <c r="BJ307" s="38"/>
      <c r="BK307" s="38"/>
      <c r="BL307" s="38"/>
      <c r="BM307" s="38"/>
      <c r="BN307" s="38"/>
      <c r="BO307" s="38"/>
      <c r="BP307" s="38"/>
    </row>
    <row r="308">
      <c r="A308" s="40"/>
      <c r="B308" s="40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8"/>
      <c r="AY308" s="38"/>
      <c r="AZ308" s="38"/>
      <c r="BA308" s="38"/>
      <c r="BB308" s="38"/>
      <c r="BC308" s="38"/>
      <c r="BD308" s="38"/>
      <c r="BE308" s="38"/>
      <c r="BF308" s="38"/>
      <c r="BG308" s="38"/>
      <c r="BH308" s="38"/>
      <c r="BI308" s="38"/>
      <c r="BJ308" s="38"/>
      <c r="BK308" s="38"/>
      <c r="BL308" s="38"/>
      <c r="BM308" s="38"/>
      <c r="BN308" s="38"/>
      <c r="BO308" s="38"/>
      <c r="BP308" s="38"/>
    </row>
    <row r="309">
      <c r="A309" s="40"/>
      <c r="B309" s="40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8"/>
      <c r="AY309" s="38"/>
      <c r="AZ309" s="38"/>
      <c r="BA309" s="38"/>
      <c r="BB309" s="38"/>
      <c r="BC309" s="38"/>
      <c r="BD309" s="38"/>
      <c r="BE309" s="38"/>
      <c r="BF309" s="38"/>
      <c r="BG309" s="38"/>
      <c r="BH309" s="38"/>
      <c r="BI309" s="38"/>
      <c r="BJ309" s="38"/>
      <c r="BK309" s="38"/>
      <c r="BL309" s="38"/>
      <c r="BM309" s="38"/>
      <c r="BN309" s="38"/>
      <c r="BO309" s="38"/>
      <c r="BP309" s="38"/>
    </row>
    <row r="310">
      <c r="A310" s="40"/>
      <c r="B310" s="40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8"/>
      <c r="AY310" s="38"/>
      <c r="AZ310" s="38"/>
      <c r="BA310" s="38"/>
      <c r="BB310" s="38"/>
      <c r="BC310" s="38"/>
      <c r="BD310" s="38"/>
      <c r="BE310" s="38"/>
      <c r="BF310" s="38"/>
      <c r="BG310" s="38"/>
      <c r="BH310" s="38"/>
      <c r="BI310" s="38"/>
      <c r="BJ310" s="38"/>
      <c r="BK310" s="38"/>
      <c r="BL310" s="38"/>
      <c r="BM310" s="38"/>
      <c r="BN310" s="38"/>
      <c r="BO310" s="38"/>
      <c r="BP310" s="38"/>
    </row>
    <row r="311">
      <c r="A311" s="40"/>
      <c r="B311" s="40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  <c r="BI311" s="38"/>
      <c r="BJ311" s="38"/>
      <c r="BK311" s="38"/>
      <c r="BL311" s="38"/>
      <c r="BM311" s="38"/>
      <c r="BN311" s="38"/>
      <c r="BO311" s="38"/>
      <c r="BP311" s="38"/>
    </row>
    <row r="312">
      <c r="A312" s="40"/>
      <c r="B312" s="40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8"/>
      <c r="AY312" s="38"/>
      <c r="AZ312" s="38"/>
      <c r="BA312" s="38"/>
      <c r="BB312" s="38"/>
      <c r="BC312" s="38"/>
      <c r="BD312" s="38"/>
      <c r="BE312" s="38"/>
      <c r="BF312" s="38"/>
      <c r="BG312" s="38"/>
      <c r="BH312" s="38"/>
      <c r="BI312" s="38"/>
      <c r="BJ312" s="38"/>
      <c r="BK312" s="38"/>
      <c r="BL312" s="38"/>
      <c r="BM312" s="38"/>
      <c r="BN312" s="38"/>
      <c r="BO312" s="38"/>
      <c r="BP312" s="38"/>
    </row>
    <row r="313">
      <c r="A313" s="40"/>
      <c r="B313" s="40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8"/>
      <c r="AY313" s="38"/>
      <c r="AZ313" s="38"/>
      <c r="BA313" s="38"/>
      <c r="BB313" s="38"/>
      <c r="BC313" s="38"/>
      <c r="BD313" s="38"/>
      <c r="BE313" s="38"/>
      <c r="BF313" s="38"/>
      <c r="BG313" s="38"/>
      <c r="BH313" s="38"/>
      <c r="BI313" s="38"/>
      <c r="BJ313" s="38"/>
      <c r="BK313" s="38"/>
      <c r="BL313" s="38"/>
      <c r="BM313" s="38"/>
      <c r="BN313" s="38"/>
      <c r="BO313" s="38"/>
      <c r="BP313" s="38"/>
    </row>
    <row r="314">
      <c r="A314" s="40"/>
      <c r="B314" s="40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8"/>
      <c r="AY314" s="38"/>
      <c r="AZ314" s="38"/>
      <c r="BA314" s="38"/>
      <c r="BB314" s="38"/>
      <c r="BC314" s="38"/>
      <c r="BD314" s="38"/>
      <c r="BE314" s="38"/>
      <c r="BF314" s="38"/>
      <c r="BG314" s="38"/>
      <c r="BH314" s="38"/>
      <c r="BI314" s="38"/>
      <c r="BJ314" s="38"/>
      <c r="BK314" s="38"/>
      <c r="BL314" s="38"/>
      <c r="BM314" s="38"/>
      <c r="BN314" s="38"/>
      <c r="BO314" s="38"/>
      <c r="BP314" s="38"/>
    </row>
    <row r="315">
      <c r="A315" s="40"/>
      <c r="B315" s="40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</row>
    <row r="316">
      <c r="A316" s="40"/>
      <c r="B316" s="40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</row>
    <row r="317">
      <c r="A317" s="40"/>
      <c r="B317" s="40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</row>
    <row r="318">
      <c r="A318" s="40"/>
      <c r="B318" s="40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</row>
    <row r="319">
      <c r="A319" s="40"/>
      <c r="B319" s="40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</row>
    <row r="320">
      <c r="A320" s="40"/>
      <c r="B320" s="40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8"/>
      <c r="AY320" s="38"/>
      <c r="AZ320" s="38"/>
      <c r="BA320" s="38"/>
      <c r="BB320" s="38"/>
      <c r="BC320" s="38"/>
      <c r="BD320" s="38"/>
      <c r="BE320" s="38"/>
      <c r="BF320" s="38"/>
      <c r="BG320" s="38"/>
      <c r="BH320" s="38"/>
      <c r="BI320" s="38"/>
      <c r="BJ320" s="38"/>
      <c r="BK320" s="38"/>
      <c r="BL320" s="38"/>
      <c r="BM320" s="38"/>
      <c r="BN320" s="38"/>
      <c r="BO320" s="38"/>
      <c r="BP320" s="38"/>
    </row>
    <row r="321">
      <c r="A321" s="40"/>
      <c r="B321" s="40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8"/>
      <c r="AY321" s="38"/>
      <c r="AZ321" s="38"/>
      <c r="BA321" s="38"/>
      <c r="BB321" s="38"/>
      <c r="BC321" s="38"/>
      <c r="BD321" s="38"/>
      <c r="BE321" s="38"/>
      <c r="BF321" s="38"/>
      <c r="BG321" s="38"/>
      <c r="BH321" s="38"/>
      <c r="BI321" s="38"/>
      <c r="BJ321" s="38"/>
      <c r="BK321" s="38"/>
      <c r="BL321" s="38"/>
      <c r="BM321" s="38"/>
      <c r="BN321" s="38"/>
      <c r="BO321" s="38"/>
      <c r="BP321" s="38"/>
    </row>
    <row r="322">
      <c r="A322" s="40"/>
      <c r="B322" s="40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8"/>
      <c r="AY322" s="38"/>
      <c r="AZ322" s="38"/>
      <c r="BA322" s="38"/>
      <c r="BB322" s="38"/>
      <c r="BC322" s="38"/>
      <c r="BD322" s="38"/>
      <c r="BE322" s="38"/>
      <c r="BF322" s="38"/>
      <c r="BG322" s="38"/>
      <c r="BH322" s="38"/>
      <c r="BI322" s="38"/>
      <c r="BJ322" s="38"/>
      <c r="BK322" s="38"/>
      <c r="BL322" s="38"/>
      <c r="BM322" s="38"/>
      <c r="BN322" s="38"/>
      <c r="BO322" s="38"/>
      <c r="BP322" s="38"/>
    </row>
    <row r="323">
      <c r="A323" s="40"/>
      <c r="B323" s="40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8"/>
      <c r="AY323" s="38"/>
      <c r="AZ323" s="38"/>
      <c r="BA323" s="38"/>
      <c r="BB323" s="38"/>
      <c r="BC323" s="38"/>
      <c r="BD323" s="38"/>
      <c r="BE323" s="38"/>
      <c r="BF323" s="38"/>
      <c r="BG323" s="38"/>
      <c r="BH323" s="38"/>
      <c r="BI323" s="38"/>
      <c r="BJ323" s="38"/>
      <c r="BK323" s="38"/>
      <c r="BL323" s="38"/>
      <c r="BM323" s="38"/>
      <c r="BN323" s="38"/>
      <c r="BO323" s="38"/>
      <c r="BP323" s="38"/>
    </row>
    <row r="324">
      <c r="A324" s="40"/>
      <c r="B324" s="40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8"/>
      <c r="AY324" s="38"/>
      <c r="AZ324" s="38"/>
      <c r="BA324" s="38"/>
      <c r="BB324" s="38"/>
      <c r="BC324" s="38"/>
      <c r="BD324" s="38"/>
      <c r="BE324" s="38"/>
      <c r="BF324" s="38"/>
      <c r="BG324" s="38"/>
      <c r="BH324" s="38"/>
      <c r="BI324" s="38"/>
      <c r="BJ324" s="38"/>
      <c r="BK324" s="38"/>
      <c r="BL324" s="38"/>
      <c r="BM324" s="38"/>
      <c r="BN324" s="38"/>
      <c r="BO324" s="38"/>
      <c r="BP324" s="38"/>
    </row>
    <row r="325">
      <c r="A325" s="40"/>
      <c r="B325" s="40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8"/>
      <c r="AY325" s="38"/>
      <c r="AZ325" s="38"/>
      <c r="BA325" s="38"/>
      <c r="BB325" s="38"/>
      <c r="BC325" s="38"/>
      <c r="BD325" s="38"/>
      <c r="BE325" s="38"/>
      <c r="BF325" s="38"/>
      <c r="BG325" s="38"/>
      <c r="BH325" s="38"/>
      <c r="BI325" s="38"/>
      <c r="BJ325" s="38"/>
      <c r="BK325" s="38"/>
      <c r="BL325" s="38"/>
      <c r="BM325" s="38"/>
      <c r="BN325" s="38"/>
      <c r="BO325" s="38"/>
      <c r="BP325" s="38"/>
    </row>
    <row r="326">
      <c r="A326" s="40"/>
      <c r="B326" s="40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8"/>
      <c r="AY326" s="38"/>
      <c r="AZ326" s="38"/>
      <c r="BA326" s="38"/>
      <c r="BB326" s="38"/>
      <c r="BC326" s="38"/>
      <c r="BD326" s="38"/>
      <c r="BE326" s="38"/>
      <c r="BF326" s="38"/>
      <c r="BG326" s="38"/>
      <c r="BH326" s="38"/>
      <c r="BI326" s="38"/>
      <c r="BJ326" s="38"/>
      <c r="BK326" s="38"/>
      <c r="BL326" s="38"/>
      <c r="BM326" s="38"/>
      <c r="BN326" s="38"/>
      <c r="BO326" s="38"/>
      <c r="BP326" s="38"/>
    </row>
    <row r="327">
      <c r="A327" s="40"/>
      <c r="B327" s="40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8"/>
      <c r="AY327" s="38"/>
      <c r="AZ327" s="38"/>
      <c r="BA327" s="38"/>
      <c r="BB327" s="38"/>
      <c r="BC327" s="38"/>
      <c r="BD327" s="38"/>
      <c r="BE327" s="38"/>
      <c r="BF327" s="38"/>
      <c r="BG327" s="38"/>
      <c r="BH327" s="38"/>
      <c r="BI327" s="38"/>
      <c r="BJ327" s="38"/>
      <c r="BK327" s="38"/>
      <c r="BL327" s="38"/>
      <c r="BM327" s="38"/>
      <c r="BN327" s="38"/>
      <c r="BO327" s="38"/>
      <c r="BP327" s="38"/>
    </row>
    <row r="328">
      <c r="A328" s="40"/>
      <c r="B328" s="40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8"/>
      <c r="AY328" s="38"/>
      <c r="AZ328" s="38"/>
      <c r="BA328" s="38"/>
      <c r="BB328" s="38"/>
      <c r="BC328" s="38"/>
      <c r="BD328" s="38"/>
      <c r="BE328" s="38"/>
      <c r="BF328" s="38"/>
      <c r="BG328" s="38"/>
      <c r="BH328" s="38"/>
      <c r="BI328" s="38"/>
      <c r="BJ328" s="38"/>
      <c r="BK328" s="38"/>
      <c r="BL328" s="38"/>
      <c r="BM328" s="38"/>
      <c r="BN328" s="38"/>
      <c r="BO328" s="38"/>
      <c r="BP328" s="38"/>
    </row>
    <row r="329">
      <c r="A329" s="40"/>
      <c r="B329" s="40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8"/>
      <c r="AY329" s="38"/>
      <c r="AZ329" s="38"/>
      <c r="BA329" s="38"/>
      <c r="BB329" s="38"/>
      <c r="BC329" s="38"/>
      <c r="BD329" s="38"/>
      <c r="BE329" s="38"/>
      <c r="BF329" s="38"/>
      <c r="BG329" s="38"/>
      <c r="BH329" s="38"/>
      <c r="BI329" s="38"/>
      <c r="BJ329" s="38"/>
      <c r="BK329" s="38"/>
      <c r="BL329" s="38"/>
      <c r="BM329" s="38"/>
      <c r="BN329" s="38"/>
      <c r="BO329" s="38"/>
      <c r="BP329" s="38"/>
    </row>
    <row r="330">
      <c r="A330" s="40"/>
      <c r="B330" s="40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8"/>
      <c r="AY330" s="38"/>
      <c r="AZ330" s="38"/>
      <c r="BA330" s="38"/>
      <c r="BB330" s="38"/>
      <c r="BC330" s="38"/>
      <c r="BD330" s="38"/>
      <c r="BE330" s="38"/>
      <c r="BF330" s="38"/>
      <c r="BG330" s="38"/>
      <c r="BH330" s="38"/>
      <c r="BI330" s="38"/>
      <c r="BJ330" s="38"/>
      <c r="BK330" s="38"/>
      <c r="BL330" s="38"/>
      <c r="BM330" s="38"/>
      <c r="BN330" s="38"/>
      <c r="BO330" s="38"/>
      <c r="BP330" s="38"/>
    </row>
    <row r="331">
      <c r="A331" s="40"/>
      <c r="B331" s="40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  <c r="BI331" s="38"/>
      <c r="BJ331" s="38"/>
      <c r="BK331" s="38"/>
      <c r="BL331" s="38"/>
      <c r="BM331" s="38"/>
      <c r="BN331" s="38"/>
      <c r="BO331" s="38"/>
      <c r="BP331" s="38"/>
    </row>
    <row r="332">
      <c r="A332" s="40"/>
      <c r="B332" s="40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  <c r="AZ332" s="38"/>
      <c r="BA332" s="38"/>
      <c r="BB332" s="38"/>
      <c r="BC332" s="38"/>
      <c r="BD332" s="38"/>
      <c r="BE332" s="38"/>
      <c r="BF332" s="38"/>
      <c r="BG332" s="38"/>
      <c r="BH332" s="38"/>
      <c r="BI332" s="38"/>
      <c r="BJ332" s="38"/>
      <c r="BK332" s="38"/>
      <c r="BL332" s="38"/>
      <c r="BM332" s="38"/>
      <c r="BN332" s="38"/>
      <c r="BO332" s="38"/>
      <c r="BP332" s="38"/>
    </row>
    <row r="333">
      <c r="A333" s="40"/>
      <c r="B333" s="40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8"/>
      <c r="AY333" s="38"/>
      <c r="AZ333" s="38"/>
      <c r="BA333" s="38"/>
      <c r="BB333" s="38"/>
      <c r="BC333" s="38"/>
      <c r="BD333" s="38"/>
      <c r="BE333" s="38"/>
      <c r="BF333" s="38"/>
      <c r="BG333" s="38"/>
      <c r="BH333" s="38"/>
      <c r="BI333" s="38"/>
      <c r="BJ333" s="38"/>
      <c r="BK333" s="38"/>
      <c r="BL333" s="38"/>
      <c r="BM333" s="38"/>
      <c r="BN333" s="38"/>
      <c r="BO333" s="38"/>
      <c r="BP333" s="38"/>
    </row>
    <row r="334">
      <c r="A334" s="40"/>
      <c r="B334" s="40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8"/>
      <c r="AY334" s="38"/>
      <c r="AZ334" s="38"/>
      <c r="BA334" s="38"/>
      <c r="BB334" s="38"/>
      <c r="BC334" s="38"/>
      <c r="BD334" s="38"/>
      <c r="BE334" s="38"/>
      <c r="BF334" s="38"/>
      <c r="BG334" s="38"/>
      <c r="BH334" s="38"/>
      <c r="BI334" s="38"/>
      <c r="BJ334" s="38"/>
      <c r="BK334" s="38"/>
      <c r="BL334" s="38"/>
      <c r="BM334" s="38"/>
      <c r="BN334" s="38"/>
      <c r="BO334" s="38"/>
      <c r="BP334" s="38"/>
    </row>
    <row r="335">
      <c r="A335" s="40"/>
      <c r="B335" s="40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8"/>
      <c r="AY335" s="38"/>
      <c r="AZ335" s="38"/>
      <c r="BA335" s="38"/>
      <c r="BB335" s="38"/>
      <c r="BC335" s="38"/>
      <c r="BD335" s="38"/>
      <c r="BE335" s="38"/>
      <c r="BF335" s="38"/>
      <c r="BG335" s="38"/>
      <c r="BH335" s="38"/>
      <c r="BI335" s="38"/>
      <c r="BJ335" s="38"/>
      <c r="BK335" s="38"/>
      <c r="BL335" s="38"/>
      <c r="BM335" s="38"/>
      <c r="BN335" s="38"/>
      <c r="BO335" s="38"/>
      <c r="BP335" s="38"/>
    </row>
    <row r="336">
      <c r="A336" s="40"/>
      <c r="B336" s="40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8"/>
      <c r="AY336" s="38"/>
      <c r="AZ336" s="38"/>
      <c r="BA336" s="38"/>
      <c r="BB336" s="38"/>
      <c r="BC336" s="38"/>
      <c r="BD336" s="38"/>
      <c r="BE336" s="38"/>
      <c r="BF336" s="38"/>
      <c r="BG336" s="38"/>
      <c r="BH336" s="38"/>
      <c r="BI336" s="38"/>
      <c r="BJ336" s="38"/>
      <c r="BK336" s="38"/>
      <c r="BL336" s="38"/>
      <c r="BM336" s="38"/>
      <c r="BN336" s="38"/>
      <c r="BO336" s="38"/>
      <c r="BP336" s="38"/>
    </row>
    <row r="337">
      <c r="A337" s="40"/>
      <c r="B337" s="40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8"/>
      <c r="AY337" s="38"/>
      <c r="AZ337" s="38"/>
      <c r="BA337" s="38"/>
      <c r="BB337" s="38"/>
      <c r="BC337" s="38"/>
      <c r="BD337" s="38"/>
      <c r="BE337" s="38"/>
      <c r="BF337" s="38"/>
      <c r="BG337" s="38"/>
      <c r="BH337" s="38"/>
      <c r="BI337" s="38"/>
      <c r="BJ337" s="38"/>
      <c r="BK337" s="38"/>
      <c r="BL337" s="38"/>
      <c r="BM337" s="38"/>
      <c r="BN337" s="38"/>
      <c r="BO337" s="38"/>
      <c r="BP337" s="38"/>
    </row>
    <row r="338">
      <c r="A338" s="40"/>
      <c r="B338" s="40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8"/>
      <c r="AY338" s="38"/>
      <c r="AZ338" s="38"/>
      <c r="BA338" s="38"/>
      <c r="BB338" s="38"/>
      <c r="BC338" s="38"/>
      <c r="BD338" s="38"/>
      <c r="BE338" s="38"/>
      <c r="BF338" s="38"/>
      <c r="BG338" s="38"/>
      <c r="BH338" s="38"/>
      <c r="BI338" s="38"/>
      <c r="BJ338" s="38"/>
      <c r="BK338" s="38"/>
      <c r="BL338" s="38"/>
      <c r="BM338" s="38"/>
      <c r="BN338" s="38"/>
      <c r="BO338" s="38"/>
      <c r="BP338" s="38"/>
    </row>
    <row r="339">
      <c r="A339" s="40"/>
      <c r="B339" s="40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8"/>
      <c r="AY339" s="38"/>
      <c r="AZ339" s="38"/>
      <c r="BA339" s="38"/>
      <c r="BB339" s="38"/>
      <c r="BC339" s="38"/>
      <c r="BD339" s="38"/>
      <c r="BE339" s="38"/>
      <c r="BF339" s="38"/>
      <c r="BG339" s="38"/>
      <c r="BH339" s="38"/>
      <c r="BI339" s="38"/>
      <c r="BJ339" s="38"/>
      <c r="BK339" s="38"/>
      <c r="BL339" s="38"/>
      <c r="BM339" s="38"/>
      <c r="BN339" s="38"/>
      <c r="BO339" s="38"/>
      <c r="BP339" s="38"/>
    </row>
    <row r="340">
      <c r="A340" s="40"/>
      <c r="B340" s="40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8"/>
      <c r="AY340" s="38"/>
      <c r="AZ340" s="38"/>
      <c r="BA340" s="38"/>
      <c r="BB340" s="38"/>
      <c r="BC340" s="38"/>
      <c r="BD340" s="38"/>
      <c r="BE340" s="38"/>
      <c r="BF340" s="38"/>
      <c r="BG340" s="38"/>
      <c r="BH340" s="38"/>
      <c r="BI340" s="38"/>
      <c r="BJ340" s="38"/>
      <c r="BK340" s="38"/>
      <c r="BL340" s="38"/>
      <c r="BM340" s="38"/>
      <c r="BN340" s="38"/>
      <c r="BO340" s="38"/>
      <c r="BP340" s="38"/>
    </row>
    <row r="341">
      <c r="A341" s="40"/>
      <c r="B341" s="40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8"/>
      <c r="AY341" s="38"/>
      <c r="AZ341" s="38"/>
      <c r="BA341" s="38"/>
      <c r="BB341" s="38"/>
      <c r="BC341" s="38"/>
      <c r="BD341" s="38"/>
      <c r="BE341" s="38"/>
      <c r="BF341" s="38"/>
      <c r="BG341" s="38"/>
      <c r="BH341" s="38"/>
      <c r="BI341" s="38"/>
      <c r="BJ341" s="38"/>
      <c r="BK341" s="38"/>
      <c r="BL341" s="38"/>
      <c r="BM341" s="38"/>
      <c r="BN341" s="38"/>
      <c r="BO341" s="38"/>
      <c r="BP341" s="38"/>
    </row>
    <row r="342">
      <c r="A342" s="40"/>
      <c r="B342" s="40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8"/>
      <c r="AY342" s="38"/>
      <c r="AZ342" s="38"/>
      <c r="BA342" s="38"/>
      <c r="BB342" s="38"/>
      <c r="BC342" s="38"/>
      <c r="BD342" s="38"/>
      <c r="BE342" s="38"/>
      <c r="BF342" s="38"/>
      <c r="BG342" s="38"/>
      <c r="BH342" s="38"/>
      <c r="BI342" s="38"/>
      <c r="BJ342" s="38"/>
      <c r="BK342" s="38"/>
      <c r="BL342" s="38"/>
      <c r="BM342" s="38"/>
      <c r="BN342" s="38"/>
      <c r="BO342" s="38"/>
      <c r="BP342" s="38"/>
    </row>
    <row r="343">
      <c r="A343" s="40"/>
      <c r="B343" s="40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8"/>
      <c r="AY343" s="38"/>
      <c r="AZ343" s="38"/>
      <c r="BA343" s="38"/>
      <c r="BB343" s="38"/>
      <c r="BC343" s="38"/>
      <c r="BD343" s="38"/>
      <c r="BE343" s="38"/>
      <c r="BF343" s="38"/>
      <c r="BG343" s="38"/>
      <c r="BH343" s="38"/>
      <c r="BI343" s="38"/>
      <c r="BJ343" s="38"/>
      <c r="BK343" s="38"/>
      <c r="BL343" s="38"/>
      <c r="BM343" s="38"/>
      <c r="BN343" s="38"/>
      <c r="BO343" s="38"/>
      <c r="BP343" s="38"/>
    </row>
    <row r="344">
      <c r="A344" s="40"/>
      <c r="B344" s="40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8"/>
      <c r="AY344" s="38"/>
      <c r="AZ344" s="38"/>
      <c r="BA344" s="38"/>
      <c r="BB344" s="38"/>
      <c r="BC344" s="38"/>
      <c r="BD344" s="38"/>
      <c r="BE344" s="38"/>
      <c r="BF344" s="38"/>
      <c r="BG344" s="38"/>
      <c r="BH344" s="38"/>
      <c r="BI344" s="38"/>
      <c r="BJ344" s="38"/>
      <c r="BK344" s="38"/>
      <c r="BL344" s="38"/>
      <c r="BM344" s="38"/>
      <c r="BN344" s="38"/>
      <c r="BO344" s="38"/>
      <c r="BP344" s="38"/>
    </row>
    <row r="345">
      <c r="A345" s="40"/>
      <c r="B345" s="40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8"/>
      <c r="AY345" s="38"/>
      <c r="AZ345" s="38"/>
      <c r="BA345" s="38"/>
      <c r="BB345" s="38"/>
      <c r="BC345" s="38"/>
      <c r="BD345" s="38"/>
      <c r="BE345" s="38"/>
      <c r="BF345" s="38"/>
      <c r="BG345" s="38"/>
      <c r="BH345" s="38"/>
      <c r="BI345" s="38"/>
      <c r="BJ345" s="38"/>
      <c r="BK345" s="38"/>
      <c r="BL345" s="38"/>
      <c r="BM345" s="38"/>
      <c r="BN345" s="38"/>
      <c r="BO345" s="38"/>
      <c r="BP345" s="38"/>
    </row>
    <row r="346">
      <c r="A346" s="40"/>
      <c r="B346" s="40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8"/>
      <c r="AY346" s="38"/>
      <c r="AZ346" s="38"/>
      <c r="BA346" s="38"/>
      <c r="BB346" s="38"/>
      <c r="BC346" s="38"/>
      <c r="BD346" s="38"/>
      <c r="BE346" s="38"/>
      <c r="BF346" s="38"/>
      <c r="BG346" s="38"/>
      <c r="BH346" s="38"/>
      <c r="BI346" s="38"/>
      <c r="BJ346" s="38"/>
      <c r="BK346" s="38"/>
      <c r="BL346" s="38"/>
      <c r="BM346" s="38"/>
      <c r="BN346" s="38"/>
      <c r="BO346" s="38"/>
      <c r="BP346" s="38"/>
    </row>
    <row r="347">
      <c r="A347" s="40"/>
      <c r="B347" s="40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8"/>
      <c r="AY347" s="38"/>
      <c r="AZ347" s="38"/>
      <c r="BA347" s="38"/>
      <c r="BB347" s="38"/>
      <c r="BC347" s="38"/>
      <c r="BD347" s="38"/>
      <c r="BE347" s="38"/>
      <c r="BF347" s="38"/>
      <c r="BG347" s="38"/>
      <c r="BH347" s="38"/>
      <c r="BI347" s="38"/>
      <c r="BJ347" s="38"/>
      <c r="BK347" s="38"/>
      <c r="BL347" s="38"/>
      <c r="BM347" s="38"/>
      <c r="BN347" s="38"/>
      <c r="BO347" s="38"/>
      <c r="BP347" s="38"/>
    </row>
    <row r="348">
      <c r="A348" s="40"/>
      <c r="B348" s="40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8"/>
      <c r="AY348" s="38"/>
      <c r="AZ348" s="38"/>
      <c r="BA348" s="38"/>
      <c r="BB348" s="38"/>
      <c r="BC348" s="38"/>
      <c r="BD348" s="38"/>
      <c r="BE348" s="38"/>
      <c r="BF348" s="38"/>
      <c r="BG348" s="38"/>
      <c r="BH348" s="38"/>
      <c r="BI348" s="38"/>
      <c r="BJ348" s="38"/>
      <c r="BK348" s="38"/>
      <c r="BL348" s="38"/>
      <c r="BM348" s="38"/>
      <c r="BN348" s="38"/>
      <c r="BO348" s="38"/>
      <c r="BP348" s="38"/>
    </row>
    <row r="349">
      <c r="A349" s="40"/>
      <c r="B349" s="40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8"/>
      <c r="AY349" s="38"/>
      <c r="AZ349" s="38"/>
      <c r="BA349" s="38"/>
      <c r="BB349" s="38"/>
      <c r="BC349" s="38"/>
      <c r="BD349" s="38"/>
      <c r="BE349" s="38"/>
      <c r="BF349" s="38"/>
      <c r="BG349" s="38"/>
      <c r="BH349" s="38"/>
      <c r="BI349" s="38"/>
      <c r="BJ349" s="38"/>
      <c r="BK349" s="38"/>
      <c r="BL349" s="38"/>
      <c r="BM349" s="38"/>
      <c r="BN349" s="38"/>
      <c r="BO349" s="38"/>
      <c r="BP349" s="38"/>
    </row>
    <row r="350">
      <c r="A350" s="40"/>
      <c r="B350" s="40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8"/>
      <c r="AY350" s="38"/>
      <c r="AZ350" s="38"/>
      <c r="BA350" s="38"/>
      <c r="BB350" s="38"/>
      <c r="BC350" s="38"/>
      <c r="BD350" s="38"/>
      <c r="BE350" s="38"/>
      <c r="BF350" s="38"/>
      <c r="BG350" s="38"/>
      <c r="BH350" s="38"/>
      <c r="BI350" s="38"/>
      <c r="BJ350" s="38"/>
      <c r="BK350" s="38"/>
      <c r="BL350" s="38"/>
      <c r="BM350" s="38"/>
      <c r="BN350" s="38"/>
      <c r="BO350" s="38"/>
      <c r="BP350" s="38"/>
    </row>
    <row r="351">
      <c r="A351" s="40"/>
      <c r="B351" s="40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8"/>
      <c r="AY351" s="38"/>
      <c r="AZ351" s="38"/>
      <c r="BA351" s="38"/>
      <c r="BB351" s="38"/>
      <c r="BC351" s="38"/>
      <c r="BD351" s="38"/>
      <c r="BE351" s="38"/>
      <c r="BF351" s="38"/>
      <c r="BG351" s="38"/>
      <c r="BH351" s="38"/>
      <c r="BI351" s="38"/>
      <c r="BJ351" s="38"/>
      <c r="BK351" s="38"/>
      <c r="BL351" s="38"/>
      <c r="BM351" s="38"/>
      <c r="BN351" s="38"/>
      <c r="BO351" s="38"/>
      <c r="BP351" s="38"/>
    </row>
    <row r="352">
      <c r="A352" s="40"/>
      <c r="B352" s="40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8"/>
      <c r="AY352" s="38"/>
      <c r="AZ352" s="38"/>
      <c r="BA352" s="38"/>
      <c r="BB352" s="38"/>
      <c r="BC352" s="38"/>
      <c r="BD352" s="38"/>
      <c r="BE352" s="38"/>
      <c r="BF352" s="38"/>
      <c r="BG352" s="38"/>
      <c r="BH352" s="38"/>
      <c r="BI352" s="38"/>
      <c r="BJ352" s="38"/>
      <c r="BK352" s="38"/>
      <c r="BL352" s="38"/>
      <c r="BM352" s="38"/>
      <c r="BN352" s="38"/>
      <c r="BO352" s="38"/>
      <c r="BP352" s="38"/>
    </row>
    <row r="353">
      <c r="A353" s="40"/>
      <c r="B353" s="40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8"/>
      <c r="AY353" s="38"/>
      <c r="AZ353" s="38"/>
      <c r="BA353" s="38"/>
      <c r="BB353" s="38"/>
      <c r="BC353" s="38"/>
      <c r="BD353" s="38"/>
      <c r="BE353" s="38"/>
      <c r="BF353" s="38"/>
      <c r="BG353" s="38"/>
      <c r="BH353" s="38"/>
      <c r="BI353" s="38"/>
      <c r="BJ353" s="38"/>
      <c r="BK353" s="38"/>
      <c r="BL353" s="38"/>
      <c r="BM353" s="38"/>
      <c r="BN353" s="38"/>
      <c r="BO353" s="38"/>
      <c r="BP353" s="38"/>
    </row>
    <row r="354">
      <c r="A354" s="40"/>
      <c r="B354" s="40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8"/>
      <c r="AY354" s="38"/>
      <c r="AZ354" s="38"/>
      <c r="BA354" s="38"/>
      <c r="BB354" s="38"/>
      <c r="BC354" s="38"/>
      <c r="BD354" s="38"/>
      <c r="BE354" s="38"/>
      <c r="BF354" s="38"/>
      <c r="BG354" s="38"/>
      <c r="BH354" s="38"/>
      <c r="BI354" s="38"/>
      <c r="BJ354" s="38"/>
      <c r="BK354" s="38"/>
      <c r="BL354" s="38"/>
      <c r="BM354" s="38"/>
      <c r="BN354" s="38"/>
      <c r="BO354" s="38"/>
      <c r="BP354" s="38"/>
    </row>
    <row r="355">
      <c r="A355" s="40"/>
      <c r="B355" s="40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8"/>
      <c r="AY355" s="38"/>
      <c r="AZ355" s="38"/>
      <c r="BA355" s="38"/>
      <c r="BB355" s="38"/>
      <c r="BC355" s="38"/>
      <c r="BD355" s="38"/>
      <c r="BE355" s="38"/>
      <c r="BF355" s="38"/>
      <c r="BG355" s="38"/>
      <c r="BH355" s="38"/>
      <c r="BI355" s="38"/>
      <c r="BJ355" s="38"/>
      <c r="BK355" s="38"/>
      <c r="BL355" s="38"/>
      <c r="BM355" s="38"/>
      <c r="BN355" s="38"/>
      <c r="BO355" s="38"/>
      <c r="BP355" s="38"/>
    </row>
    <row r="356">
      <c r="A356" s="40"/>
      <c r="B356" s="40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8"/>
      <c r="AY356" s="38"/>
      <c r="AZ356" s="38"/>
      <c r="BA356" s="38"/>
      <c r="BB356" s="38"/>
      <c r="BC356" s="38"/>
      <c r="BD356" s="38"/>
      <c r="BE356" s="38"/>
      <c r="BF356" s="38"/>
      <c r="BG356" s="38"/>
      <c r="BH356" s="38"/>
      <c r="BI356" s="38"/>
      <c r="BJ356" s="38"/>
      <c r="BK356" s="38"/>
      <c r="BL356" s="38"/>
      <c r="BM356" s="38"/>
      <c r="BN356" s="38"/>
      <c r="BO356" s="38"/>
      <c r="BP356" s="38"/>
    </row>
    <row r="357">
      <c r="A357" s="40"/>
      <c r="B357" s="40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8"/>
      <c r="AY357" s="38"/>
      <c r="AZ357" s="38"/>
      <c r="BA357" s="38"/>
      <c r="BB357" s="38"/>
      <c r="BC357" s="38"/>
      <c r="BD357" s="38"/>
      <c r="BE357" s="38"/>
      <c r="BF357" s="38"/>
      <c r="BG357" s="38"/>
      <c r="BH357" s="38"/>
      <c r="BI357" s="38"/>
      <c r="BJ357" s="38"/>
      <c r="BK357" s="38"/>
      <c r="BL357" s="38"/>
      <c r="BM357" s="38"/>
      <c r="BN357" s="38"/>
      <c r="BO357" s="38"/>
      <c r="BP357" s="38"/>
    </row>
    <row r="358">
      <c r="A358" s="40"/>
      <c r="B358" s="40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8"/>
      <c r="AY358" s="38"/>
      <c r="AZ358" s="38"/>
      <c r="BA358" s="38"/>
      <c r="BB358" s="38"/>
      <c r="BC358" s="38"/>
      <c r="BD358" s="38"/>
      <c r="BE358" s="38"/>
      <c r="BF358" s="38"/>
      <c r="BG358" s="38"/>
      <c r="BH358" s="38"/>
      <c r="BI358" s="38"/>
      <c r="BJ358" s="38"/>
      <c r="BK358" s="38"/>
      <c r="BL358" s="38"/>
      <c r="BM358" s="38"/>
      <c r="BN358" s="38"/>
      <c r="BO358" s="38"/>
      <c r="BP358" s="38"/>
    </row>
    <row r="359">
      <c r="A359" s="40"/>
      <c r="B359" s="40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8"/>
      <c r="AY359" s="38"/>
      <c r="AZ359" s="38"/>
      <c r="BA359" s="38"/>
      <c r="BB359" s="38"/>
      <c r="BC359" s="38"/>
      <c r="BD359" s="38"/>
      <c r="BE359" s="38"/>
      <c r="BF359" s="38"/>
      <c r="BG359" s="38"/>
      <c r="BH359" s="38"/>
      <c r="BI359" s="38"/>
      <c r="BJ359" s="38"/>
      <c r="BK359" s="38"/>
      <c r="BL359" s="38"/>
      <c r="BM359" s="38"/>
      <c r="BN359" s="38"/>
      <c r="BO359" s="38"/>
      <c r="BP359" s="38"/>
    </row>
    <row r="360">
      <c r="A360" s="40"/>
      <c r="B360" s="40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8"/>
      <c r="AY360" s="38"/>
      <c r="AZ360" s="38"/>
      <c r="BA360" s="38"/>
      <c r="BB360" s="38"/>
      <c r="BC360" s="38"/>
      <c r="BD360" s="38"/>
      <c r="BE360" s="38"/>
      <c r="BF360" s="38"/>
      <c r="BG360" s="38"/>
      <c r="BH360" s="38"/>
      <c r="BI360" s="38"/>
      <c r="BJ360" s="38"/>
      <c r="BK360" s="38"/>
      <c r="BL360" s="38"/>
      <c r="BM360" s="38"/>
      <c r="BN360" s="38"/>
      <c r="BO360" s="38"/>
      <c r="BP360" s="38"/>
    </row>
    <row r="361">
      <c r="A361" s="40"/>
      <c r="B361" s="40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8"/>
      <c r="AY361" s="38"/>
      <c r="AZ361" s="38"/>
      <c r="BA361" s="38"/>
      <c r="BB361" s="38"/>
      <c r="BC361" s="38"/>
      <c r="BD361" s="38"/>
      <c r="BE361" s="38"/>
      <c r="BF361" s="38"/>
      <c r="BG361" s="38"/>
      <c r="BH361" s="38"/>
      <c r="BI361" s="38"/>
      <c r="BJ361" s="38"/>
      <c r="BK361" s="38"/>
      <c r="BL361" s="38"/>
      <c r="BM361" s="38"/>
      <c r="BN361" s="38"/>
      <c r="BO361" s="38"/>
      <c r="BP361" s="38"/>
    </row>
    <row r="362">
      <c r="A362" s="40"/>
      <c r="B362" s="40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8"/>
      <c r="AY362" s="38"/>
      <c r="AZ362" s="38"/>
      <c r="BA362" s="38"/>
      <c r="BB362" s="38"/>
      <c r="BC362" s="38"/>
      <c r="BD362" s="38"/>
      <c r="BE362" s="38"/>
      <c r="BF362" s="38"/>
      <c r="BG362" s="38"/>
      <c r="BH362" s="38"/>
      <c r="BI362" s="38"/>
      <c r="BJ362" s="38"/>
      <c r="BK362" s="38"/>
      <c r="BL362" s="38"/>
      <c r="BM362" s="38"/>
      <c r="BN362" s="38"/>
      <c r="BO362" s="38"/>
      <c r="BP362" s="38"/>
    </row>
    <row r="363">
      <c r="A363" s="40"/>
      <c r="B363" s="40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8"/>
      <c r="AY363" s="38"/>
      <c r="AZ363" s="38"/>
      <c r="BA363" s="38"/>
      <c r="BB363" s="38"/>
      <c r="BC363" s="38"/>
      <c r="BD363" s="38"/>
      <c r="BE363" s="38"/>
      <c r="BF363" s="38"/>
      <c r="BG363" s="38"/>
      <c r="BH363" s="38"/>
      <c r="BI363" s="38"/>
      <c r="BJ363" s="38"/>
      <c r="BK363" s="38"/>
      <c r="BL363" s="38"/>
      <c r="BM363" s="38"/>
      <c r="BN363" s="38"/>
      <c r="BO363" s="38"/>
      <c r="BP363" s="38"/>
    </row>
    <row r="364">
      <c r="A364" s="40"/>
      <c r="B364" s="40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8"/>
      <c r="AY364" s="38"/>
      <c r="AZ364" s="38"/>
      <c r="BA364" s="38"/>
      <c r="BB364" s="38"/>
      <c r="BC364" s="38"/>
      <c r="BD364" s="38"/>
      <c r="BE364" s="38"/>
      <c r="BF364" s="38"/>
      <c r="BG364" s="38"/>
      <c r="BH364" s="38"/>
      <c r="BI364" s="38"/>
      <c r="BJ364" s="38"/>
      <c r="BK364" s="38"/>
      <c r="BL364" s="38"/>
      <c r="BM364" s="38"/>
      <c r="BN364" s="38"/>
      <c r="BO364" s="38"/>
      <c r="BP364" s="38"/>
    </row>
    <row r="365">
      <c r="A365" s="40"/>
      <c r="B365" s="40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8"/>
      <c r="AY365" s="38"/>
      <c r="AZ365" s="38"/>
      <c r="BA365" s="38"/>
      <c r="BB365" s="38"/>
      <c r="BC365" s="38"/>
      <c r="BD365" s="38"/>
      <c r="BE365" s="38"/>
      <c r="BF365" s="38"/>
      <c r="BG365" s="38"/>
      <c r="BH365" s="38"/>
      <c r="BI365" s="38"/>
      <c r="BJ365" s="38"/>
      <c r="BK365" s="38"/>
      <c r="BL365" s="38"/>
      <c r="BM365" s="38"/>
      <c r="BN365" s="38"/>
      <c r="BO365" s="38"/>
      <c r="BP365" s="38"/>
    </row>
    <row r="366">
      <c r="A366" s="40"/>
      <c r="B366" s="40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  <c r="BI366" s="38"/>
      <c r="BJ366" s="38"/>
      <c r="BK366" s="38"/>
      <c r="BL366" s="38"/>
      <c r="BM366" s="38"/>
      <c r="BN366" s="38"/>
      <c r="BO366" s="38"/>
      <c r="BP366" s="38"/>
    </row>
    <row r="367">
      <c r="A367" s="40"/>
      <c r="B367" s="40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8"/>
      <c r="AY367" s="38"/>
      <c r="AZ367" s="38"/>
      <c r="BA367" s="38"/>
      <c r="BB367" s="38"/>
      <c r="BC367" s="38"/>
      <c r="BD367" s="38"/>
      <c r="BE367" s="38"/>
      <c r="BF367" s="38"/>
      <c r="BG367" s="38"/>
      <c r="BH367" s="38"/>
      <c r="BI367" s="38"/>
      <c r="BJ367" s="38"/>
      <c r="BK367" s="38"/>
      <c r="BL367" s="38"/>
      <c r="BM367" s="38"/>
      <c r="BN367" s="38"/>
      <c r="BO367" s="38"/>
      <c r="BP367" s="38"/>
    </row>
    <row r="368">
      <c r="A368" s="40"/>
      <c r="B368" s="40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8"/>
      <c r="AY368" s="38"/>
      <c r="AZ368" s="38"/>
      <c r="BA368" s="38"/>
      <c r="BB368" s="38"/>
      <c r="BC368" s="38"/>
      <c r="BD368" s="38"/>
      <c r="BE368" s="38"/>
      <c r="BF368" s="38"/>
      <c r="BG368" s="38"/>
      <c r="BH368" s="38"/>
      <c r="BI368" s="38"/>
      <c r="BJ368" s="38"/>
      <c r="BK368" s="38"/>
      <c r="BL368" s="38"/>
      <c r="BM368" s="38"/>
      <c r="BN368" s="38"/>
      <c r="BO368" s="38"/>
      <c r="BP368" s="38"/>
    </row>
    <row r="369">
      <c r="A369" s="40"/>
      <c r="B369" s="40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8"/>
      <c r="AY369" s="38"/>
      <c r="AZ369" s="38"/>
      <c r="BA369" s="38"/>
      <c r="BB369" s="38"/>
      <c r="BC369" s="38"/>
      <c r="BD369" s="38"/>
      <c r="BE369" s="38"/>
      <c r="BF369" s="38"/>
      <c r="BG369" s="38"/>
      <c r="BH369" s="38"/>
      <c r="BI369" s="38"/>
      <c r="BJ369" s="38"/>
      <c r="BK369" s="38"/>
      <c r="BL369" s="38"/>
      <c r="BM369" s="38"/>
      <c r="BN369" s="38"/>
      <c r="BO369" s="38"/>
      <c r="BP369" s="38"/>
    </row>
    <row r="370">
      <c r="A370" s="40"/>
      <c r="B370" s="40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8"/>
      <c r="AY370" s="38"/>
      <c r="AZ370" s="38"/>
      <c r="BA370" s="38"/>
      <c r="BB370" s="38"/>
      <c r="BC370" s="38"/>
      <c r="BD370" s="38"/>
      <c r="BE370" s="38"/>
      <c r="BF370" s="38"/>
      <c r="BG370" s="38"/>
      <c r="BH370" s="38"/>
      <c r="BI370" s="38"/>
      <c r="BJ370" s="38"/>
      <c r="BK370" s="38"/>
      <c r="BL370" s="38"/>
      <c r="BM370" s="38"/>
      <c r="BN370" s="38"/>
      <c r="BO370" s="38"/>
      <c r="BP370" s="38"/>
    </row>
    <row r="371">
      <c r="A371" s="40"/>
      <c r="B371" s="40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8"/>
      <c r="AY371" s="38"/>
      <c r="AZ371" s="38"/>
      <c r="BA371" s="38"/>
      <c r="BB371" s="38"/>
      <c r="BC371" s="38"/>
      <c r="BD371" s="38"/>
      <c r="BE371" s="38"/>
      <c r="BF371" s="38"/>
      <c r="BG371" s="38"/>
      <c r="BH371" s="38"/>
      <c r="BI371" s="38"/>
      <c r="BJ371" s="38"/>
      <c r="BK371" s="38"/>
      <c r="BL371" s="38"/>
      <c r="BM371" s="38"/>
      <c r="BN371" s="38"/>
      <c r="BO371" s="38"/>
      <c r="BP371" s="38"/>
    </row>
    <row r="372">
      <c r="A372" s="40"/>
      <c r="B372" s="40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8"/>
      <c r="AY372" s="38"/>
      <c r="AZ372" s="38"/>
      <c r="BA372" s="38"/>
      <c r="BB372" s="38"/>
      <c r="BC372" s="38"/>
      <c r="BD372" s="38"/>
      <c r="BE372" s="38"/>
      <c r="BF372" s="38"/>
      <c r="BG372" s="38"/>
      <c r="BH372" s="38"/>
      <c r="BI372" s="38"/>
      <c r="BJ372" s="38"/>
      <c r="BK372" s="38"/>
      <c r="BL372" s="38"/>
      <c r="BM372" s="38"/>
      <c r="BN372" s="38"/>
      <c r="BO372" s="38"/>
      <c r="BP372" s="38"/>
    </row>
    <row r="373">
      <c r="A373" s="40"/>
      <c r="B373" s="40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8"/>
      <c r="AY373" s="38"/>
      <c r="AZ373" s="38"/>
      <c r="BA373" s="38"/>
      <c r="BB373" s="38"/>
      <c r="BC373" s="38"/>
      <c r="BD373" s="38"/>
      <c r="BE373" s="38"/>
      <c r="BF373" s="38"/>
      <c r="BG373" s="38"/>
      <c r="BH373" s="38"/>
      <c r="BI373" s="38"/>
      <c r="BJ373" s="38"/>
      <c r="BK373" s="38"/>
      <c r="BL373" s="38"/>
      <c r="BM373" s="38"/>
      <c r="BN373" s="38"/>
      <c r="BO373" s="38"/>
      <c r="BP373" s="38"/>
    </row>
    <row r="374">
      <c r="A374" s="40"/>
      <c r="B374" s="40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8"/>
      <c r="AY374" s="38"/>
      <c r="AZ374" s="38"/>
      <c r="BA374" s="38"/>
      <c r="BB374" s="38"/>
      <c r="BC374" s="38"/>
      <c r="BD374" s="38"/>
      <c r="BE374" s="38"/>
      <c r="BF374" s="38"/>
      <c r="BG374" s="38"/>
      <c r="BH374" s="38"/>
      <c r="BI374" s="38"/>
      <c r="BJ374" s="38"/>
      <c r="BK374" s="38"/>
      <c r="BL374" s="38"/>
      <c r="BM374" s="38"/>
      <c r="BN374" s="38"/>
      <c r="BO374" s="38"/>
      <c r="BP374" s="38"/>
    </row>
    <row r="375">
      <c r="A375" s="40"/>
      <c r="B375" s="40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8"/>
      <c r="AY375" s="38"/>
      <c r="AZ375" s="38"/>
      <c r="BA375" s="38"/>
      <c r="BB375" s="38"/>
      <c r="BC375" s="38"/>
      <c r="BD375" s="38"/>
      <c r="BE375" s="38"/>
      <c r="BF375" s="38"/>
      <c r="BG375" s="38"/>
      <c r="BH375" s="38"/>
      <c r="BI375" s="38"/>
      <c r="BJ375" s="38"/>
      <c r="BK375" s="38"/>
      <c r="BL375" s="38"/>
      <c r="BM375" s="38"/>
      <c r="BN375" s="38"/>
      <c r="BO375" s="38"/>
      <c r="BP375" s="38"/>
    </row>
    <row r="376">
      <c r="A376" s="40"/>
      <c r="B376" s="40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  <c r="BI376" s="38"/>
      <c r="BJ376" s="38"/>
      <c r="BK376" s="38"/>
      <c r="BL376" s="38"/>
      <c r="BM376" s="38"/>
      <c r="BN376" s="38"/>
      <c r="BO376" s="38"/>
      <c r="BP376" s="38"/>
    </row>
    <row r="377">
      <c r="A377" s="40"/>
      <c r="B377" s="40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8"/>
      <c r="AY377" s="38"/>
      <c r="AZ377" s="38"/>
      <c r="BA377" s="38"/>
      <c r="BB377" s="38"/>
      <c r="BC377" s="38"/>
      <c r="BD377" s="38"/>
      <c r="BE377" s="38"/>
      <c r="BF377" s="38"/>
      <c r="BG377" s="38"/>
      <c r="BH377" s="38"/>
      <c r="BI377" s="38"/>
      <c r="BJ377" s="38"/>
      <c r="BK377" s="38"/>
      <c r="BL377" s="38"/>
      <c r="BM377" s="38"/>
      <c r="BN377" s="38"/>
      <c r="BO377" s="38"/>
      <c r="BP377" s="38"/>
    </row>
    <row r="378">
      <c r="A378" s="40"/>
      <c r="B378" s="40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8"/>
      <c r="AY378" s="38"/>
      <c r="AZ378" s="38"/>
      <c r="BA378" s="38"/>
      <c r="BB378" s="38"/>
      <c r="BC378" s="38"/>
      <c r="BD378" s="38"/>
      <c r="BE378" s="38"/>
      <c r="BF378" s="38"/>
      <c r="BG378" s="38"/>
      <c r="BH378" s="38"/>
      <c r="BI378" s="38"/>
      <c r="BJ378" s="38"/>
      <c r="BK378" s="38"/>
      <c r="BL378" s="38"/>
      <c r="BM378" s="38"/>
      <c r="BN378" s="38"/>
      <c r="BO378" s="38"/>
      <c r="BP378" s="38"/>
    </row>
    <row r="379">
      <c r="A379" s="40"/>
      <c r="B379" s="40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8"/>
      <c r="AY379" s="38"/>
      <c r="AZ379" s="38"/>
      <c r="BA379" s="38"/>
      <c r="BB379" s="38"/>
      <c r="BC379" s="38"/>
      <c r="BD379" s="38"/>
      <c r="BE379" s="38"/>
      <c r="BF379" s="38"/>
      <c r="BG379" s="38"/>
      <c r="BH379" s="38"/>
      <c r="BI379" s="38"/>
      <c r="BJ379" s="38"/>
      <c r="BK379" s="38"/>
      <c r="BL379" s="38"/>
      <c r="BM379" s="38"/>
      <c r="BN379" s="38"/>
      <c r="BO379" s="38"/>
      <c r="BP379" s="38"/>
    </row>
    <row r="380">
      <c r="A380" s="40"/>
      <c r="B380" s="40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8"/>
      <c r="AY380" s="38"/>
      <c r="AZ380" s="38"/>
      <c r="BA380" s="38"/>
      <c r="BB380" s="38"/>
      <c r="BC380" s="38"/>
      <c r="BD380" s="38"/>
      <c r="BE380" s="38"/>
      <c r="BF380" s="38"/>
      <c r="BG380" s="38"/>
      <c r="BH380" s="38"/>
      <c r="BI380" s="38"/>
      <c r="BJ380" s="38"/>
      <c r="BK380" s="38"/>
      <c r="BL380" s="38"/>
      <c r="BM380" s="38"/>
      <c r="BN380" s="38"/>
      <c r="BO380" s="38"/>
      <c r="BP380" s="38"/>
    </row>
    <row r="381">
      <c r="A381" s="40"/>
      <c r="B381" s="40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8"/>
      <c r="AY381" s="38"/>
      <c r="AZ381" s="38"/>
      <c r="BA381" s="38"/>
      <c r="BB381" s="38"/>
      <c r="BC381" s="38"/>
      <c r="BD381" s="38"/>
      <c r="BE381" s="38"/>
      <c r="BF381" s="38"/>
      <c r="BG381" s="38"/>
      <c r="BH381" s="38"/>
      <c r="BI381" s="38"/>
      <c r="BJ381" s="38"/>
      <c r="BK381" s="38"/>
      <c r="BL381" s="38"/>
      <c r="BM381" s="38"/>
      <c r="BN381" s="38"/>
      <c r="BO381" s="38"/>
      <c r="BP381" s="38"/>
    </row>
    <row r="382">
      <c r="A382" s="40"/>
      <c r="B382" s="40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8"/>
      <c r="AY382" s="38"/>
      <c r="AZ382" s="38"/>
      <c r="BA382" s="38"/>
      <c r="BB382" s="38"/>
      <c r="BC382" s="38"/>
      <c r="BD382" s="38"/>
      <c r="BE382" s="38"/>
      <c r="BF382" s="38"/>
      <c r="BG382" s="38"/>
      <c r="BH382" s="38"/>
      <c r="BI382" s="38"/>
      <c r="BJ382" s="38"/>
      <c r="BK382" s="38"/>
      <c r="BL382" s="38"/>
      <c r="BM382" s="38"/>
      <c r="BN382" s="38"/>
      <c r="BO382" s="38"/>
      <c r="BP382" s="38"/>
    </row>
    <row r="383">
      <c r="A383" s="40"/>
      <c r="B383" s="40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8"/>
      <c r="AY383" s="38"/>
      <c r="AZ383" s="38"/>
      <c r="BA383" s="38"/>
      <c r="BB383" s="38"/>
      <c r="BC383" s="38"/>
      <c r="BD383" s="38"/>
      <c r="BE383" s="38"/>
      <c r="BF383" s="38"/>
      <c r="BG383" s="38"/>
      <c r="BH383" s="38"/>
      <c r="BI383" s="38"/>
      <c r="BJ383" s="38"/>
      <c r="BK383" s="38"/>
      <c r="BL383" s="38"/>
      <c r="BM383" s="38"/>
      <c r="BN383" s="38"/>
      <c r="BO383" s="38"/>
      <c r="BP383" s="38"/>
    </row>
    <row r="384">
      <c r="A384" s="40"/>
      <c r="B384" s="40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8"/>
      <c r="AY384" s="38"/>
      <c r="AZ384" s="38"/>
      <c r="BA384" s="38"/>
      <c r="BB384" s="38"/>
      <c r="BC384" s="38"/>
      <c r="BD384" s="38"/>
      <c r="BE384" s="38"/>
      <c r="BF384" s="38"/>
      <c r="BG384" s="38"/>
      <c r="BH384" s="38"/>
      <c r="BI384" s="38"/>
      <c r="BJ384" s="38"/>
      <c r="BK384" s="38"/>
      <c r="BL384" s="38"/>
      <c r="BM384" s="38"/>
      <c r="BN384" s="38"/>
      <c r="BO384" s="38"/>
      <c r="BP384" s="38"/>
    </row>
    <row r="385">
      <c r="A385" s="40"/>
      <c r="B385" s="40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8"/>
      <c r="AY385" s="38"/>
      <c r="AZ385" s="38"/>
      <c r="BA385" s="38"/>
      <c r="BB385" s="38"/>
      <c r="BC385" s="38"/>
      <c r="BD385" s="38"/>
      <c r="BE385" s="38"/>
      <c r="BF385" s="38"/>
      <c r="BG385" s="38"/>
      <c r="BH385" s="38"/>
      <c r="BI385" s="38"/>
      <c r="BJ385" s="38"/>
      <c r="BK385" s="38"/>
      <c r="BL385" s="38"/>
      <c r="BM385" s="38"/>
      <c r="BN385" s="38"/>
      <c r="BO385" s="38"/>
      <c r="BP385" s="38"/>
    </row>
    <row r="386">
      <c r="A386" s="40"/>
      <c r="B386" s="40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8"/>
      <c r="AY386" s="38"/>
      <c r="AZ386" s="38"/>
      <c r="BA386" s="38"/>
      <c r="BB386" s="38"/>
      <c r="BC386" s="38"/>
      <c r="BD386" s="38"/>
      <c r="BE386" s="38"/>
      <c r="BF386" s="38"/>
      <c r="BG386" s="38"/>
      <c r="BH386" s="38"/>
      <c r="BI386" s="38"/>
      <c r="BJ386" s="38"/>
      <c r="BK386" s="38"/>
      <c r="BL386" s="38"/>
      <c r="BM386" s="38"/>
      <c r="BN386" s="38"/>
      <c r="BO386" s="38"/>
      <c r="BP386" s="38"/>
    </row>
    <row r="387">
      <c r="A387" s="40"/>
      <c r="B387" s="40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8"/>
      <c r="AY387" s="38"/>
      <c r="AZ387" s="38"/>
      <c r="BA387" s="38"/>
      <c r="BB387" s="38"/>
      <c r="BC387" s="38"/>
      <c r="BD387" s="38"/>
      <c r="BE387" s="38"/>
      <c r="BF387" s="38"/>
      <c r="BG387" s="38"/>
      <c r="BH387" s="38"/>
      <c r="BI387" s="38"/>
      <c r="BJ387" s="38"/>
      <c r="BK387" s="38"/>
      <c r="BL387" s="38"/>
      <c r="BM387" s="38"/>
      <c r="BN387" s="38"/>
      <c r="BO387" s="38"/>
      <c r="BP387" s="38"/>
    </row>
    <row r="388">
      <c r="A388" s="40"/>
      <c r="B388" s="40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8"/>
      <c r="AY388" s="38"/>
      <c r="AZ388" s="38"/>
      <c r="BA388" s="38"/>
      <c r="BB388" s="38"/>
      <c r="BC388" s="38"/>
      <c r="BD388" s="38"/>
      <c r="BE388" s="38"/>
      <c r="BF388" s="38"/>
      <c r="BG388" s="38"/>
      <c r="BH388" s="38"/>
      <c r="BI388" s="38"/>
      <c r="BJ388" s="38"/>
      <c r="BK388" s="38"/>
      <c r="BL388" s="38"/>
      <c r="BM388" s="38"/>
      <c r="BN388" s="38"/>
      <c r="BO388" s="38"/>
      <c r="BP388" s="38"/>
    </row>
    <row r="389">
      <c r="A389" s="40"/>
      <c r="B389" s="40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8"/>
      <c r="AY389" s="38"/>
      <c r="AZ389" s="38"/>
      <c r="BA389" s="38"/>
      <c r="BB389" s="38"/>
      <c r="BC389" s="38"/>
      <c r="BD389" s="38"/>
      <c r="BE389" s="38"/>
      <c r="BF389" s="38"/>
      <c r="BG389" s="38"/>
      <c r="BH389" s="38"/>
      <c r="BI389" s="38"/>
      <c r="BJ389" s="38"/>
      <c r="BK389" s="38"/>
      <c r="BL389" s="38"/>
      <c r="BM389" s="38"/>
      <c r="BN389" s="38"/>
      <c r="BO389" s="38"/>
      <c r="BP389" s="38"/>
    </row>
    <row r="390">
      <c r="A390" s="40"/>
      <c r="B390" s="40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8"/>
      <c r="AY390" s="38"/>
      <c r="AZ390" s="38"/>
      <c r="BA390" s="38"/>
      <c r="BB390" s="38"/>
      <c r="BC390" s="38"/>
      <c r="BD390" s="38"/>
      <c r="BE390" s="38"/>
      <c r="BF390" s="38"/>
      <c r="BG390" s="38"/>
      <c r="BH390" s="38"/>
      <c r="BI390" s="38"/>
      <c r="BJ390" s="38"/>
      <c r="BK390" s="38"/>
      <c r="BL390" s="38"/>
      <c r="BM390" s="38"/>
      <c r="BN390" s="38"/>
      <c r="BO390" s="38"/>
      <c r="BP390" s="38"/>
    </row>
    <row r="391">
      <c r="A391" s="40"/>
      <c r="B391" s="40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  <c r="BI391" s="38"/>
      <c r="BJ391" s="38"/>
      <c r="BK391" s="38"/>
      <c r="BL391" s="38"/>
      <c r="BM391" s="38"/>
      <c r="BN391" s="38"/>
      <c r="BO391" s="38"/>
      <c r="BP391" s="38"/>
    </row>
    <row r="392">
      <c r="A392" s="40"/>
      <c r="B392" s="40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8"/>
      <c r="AY392" s="38"/>
      <c r="AZ392" s="38"/>
      <c r="BA392" s="38"/>
      <c r="BB392" s="38"/>
      <c r="BC392" s="38"/>
      <c r="BD392" s="38"/>
      <c r="BE392" s="38"/>
      <c r="BF392" s="38"/>
      <c r="BG392" s="38"/>
      <c r="BH392" s="38"/>
      <c r="BI392" s="38"/>
      <c r="BJ392" s="38"/>
      <c r="BK392" s="38"/>
      <c r="BL392" s="38"/>
      <c r="BM392" s="38"/>
      <c r="BN392" s="38"/>
      <c r="BO392" s="38"/>
      <c r="BP392" s="38"/>
    </row>
    <row r="393">
      <c r="A393" s="40"/>
      <c r="B393" s="40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8"/>
      <c r="AY393" s="38"/>
      <c r="AZ393" s="38"/>
      <c r="BA393" s="38"/>
      <c r="BB393" s="38"/>
      <c r="BC393" s="38"/>
      <c r="BD393" s="38"/>
      <c r="BE393" s="38"/>
      <c r="BF393" s="38"/>
      <c r="BG393" s="38"/>
      <c r="BH393" s="38"/>
      <c r="BI393" s="38"/>
      <c r="BJ393" s="38"/>
      <c r="BK393" s="38"/>
      <c r="BL393" s="38"/>
      <c r="BM393" s="38"/>
      <c r="BN393" s="38"/>
      <c r="BO393" s="38"/>
      <c r="BP393" s="38"/>
    </row>
    <row r="394">
      <c r="A394" s="40"/>
      <c r="B394" s="40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</row>
    <row r="395">
      <c r="A395" s="40"/>
      <c r="B395" s="40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</row>
    <row r="396">
      <c r="A396" s="40"/>
      <c r="B396" s="40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</row>
    <row r="397">
      <c r="A397" s="40"/>
      <c r="B397" s="40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</row>
    <row r="398">
      <c r="A398" s="40"/>
      <c r="B398" s="40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</row>
    <row r="399">
      <c r="A399" s="40"/>
      <c r="B399" s="40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8"/>
      <c r="AY399" s="38"/>
      <c r="AZ399" s="38"/>
      <c r="BA399" s="38"/>
      <c r="BB399" s="38"/>
      <c r="BC399" s="38"/>
      <c r="BD399" s="38"/>
      <c r="BE399" s="38"/>
      <c r="BF399" s="38"/>
      <c r="BG399" s="38"/>
      <c r="BH399" s="38"/>
      <c r="BI399" s="38"/>
      <c r="BJ399" s="38"/>
      <c r="BK399" s="38"/>
      <c r="BL399" s="38"/>
      <c r="BM399" s="38"/>
      <c r="BN399" s="38"/>
      <c r="BO399" s="38"/>
      <c r="BP399" s="38"/>
    </row>
    <row r="400">
      <c r="A400" s="40"/>
      <c r="B400" s="40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8"/>
      <c r="AZ400" s="38"/>
      <c r="BA400" s="38"/>
      <c r="BB400" s="38"/>
      <c r="BC400" s="38"/>
      <c r="BD400" s="38"/>
      <c r="BE400" s="38"/>
      <c r="BF400" s="38"/>
      <c r="BG400" s="38"/>
      <c r="BH400" s="38"/>
      <c r="BI400" s="38"/>
      <c r="BJ400" s="38"/>
      <c r="BK400" s="38"/>
      <c r="BL400" s="38"/>
      <c r="BM400" s="38"/>
      <c r="BN400" s="38"/>
      <c r="BO400" s="38"/>
      <c r="BP400" s="38"/>
    </row>
    <row r="401">
      <c r="A401" s="40"/>
      <c r="B401" s="40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8"/>
      <c r="AZ401" s="38"/>
      <c r="BA401" s="38"/>
      <c r="BB401" s="38"/>
      <c r="BC401" s="38"/>
      <c r="BD401" s="38"/>
      <c r="BE401" s="38"/>
      <c r="BF401" s="38"/>
      <c r="BG401" s="38"/>
      <c r="BH401" s="38"/>
      <c r="BI401" s="38"/>
      <c r="BJ401" s="38"/>
      <c r="BK401" s="38"/>
      <c r="BL401" s="38"/>
      <c r="BM401" s="38"/>
      <c r="BN401" s="38"/>
      <c r="BO401" s="38"/>
      <c r="BP401" s="38"/>
    </row>
    <row r="402">
      <c r="A402" s="40"/>
      <c r="B402" s="40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8"/>
      <c r="AZ402" s="38"/>
      <c r="BA402" s="38"/>
      <c r="BB402" s="38"/>
      <c r="BC402" s="38"/>
      <c r="BD402" s="38"/>
      <c r="BE402" s="38"/>
      <c r="BF402" s="38"/>
      <c r="BG402" s="38"/>
      <c r="BH402" s="38"/>
      <c r="BI402" s="38"/>
      <c r="BJ402" s="38"/>
      <c r="BK402" s="38"/>
      <c r="BL402" s="38"/>
      <c r="BM402" s="38"/>
      <c r="BN402" s="38"/>
      <c r="BO402" s="38"/>
      <c r="BP402" s="38"/>
    </row>
    <row r="403">
      <c r="A403" s="40"/>
      <c r="B403" s="40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8"/>
      <c r="AZ403" s="38"/>
      <c r="BA403" s="38"/>
      <c r="BB403" s="38"/>
      <c r="BC403" s="38"/>
      <c r="BD403" s="38"/>
      <c r="BE403" s="38"/>
      <c r="BF403" s="38"/>
      <c r="BG403" s="38"/>
      <c r="BH403" s="38"/>
      <c r="BI403" s="38"/>
      <c r="BJ403" s="38"/>
      <c r="BK403" s="38"/>
      <c r="BL403" s="38"/>
      <c r="BM403" s="38"/>
      <c r="BN403" s="38"/>
      <c r="BO403" s="38"/>
      <c r="BP403" s="38"/>
    </row>
    <row r="404">
      <c r="A404" s="40"/>
      <c r="B404" s="40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8"/>
      <c r="AZ404" s="38"/>
      <c r="BA404" s="38"/>
      <c r="BB404" s="38"/>
      <c r="BC404" s="38"/>
      <c r="BD404" s="38"/>
      <c r="BE404" s="38"/>
      <c r="BF404" s="38"/>
      <c r="BG404" s="38"/>
      <c r="BH404" s="38"/>
      <c r="BI404" s="38"/>
      <c r="BJ404" s="38"/>
      <c r="BK404" s="38"/>
      <c r="BL404" s="38"/>
      <c r="BM404" s="38"/>
      <c r="BN404" s="38"/>
      <c r="BO404" s="38"/>
      <c r="BP404" s="38"/>
    </row>
    <row r="405">
      <c r="A405" s="40"/>
      <c r="B405" s="40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8"/>
      <c r="AZ405" s="38"/>
      <c r="BA405" s="38"/>
      <c r="BB405" s="38"/>
      <c r="BC405" s="38"/>
      <c r="BD405" s="38"/>
      <c r="BE405" s="38"/>
      <c r="BF405" s="38"/>
      <c r="BG405" s="38"/>
      <c r="BH405" s="38"/>
      <c r="BI405" s="38"/>
      <c r="BJ405" s="38"/>
      <c r="BK405" s="38"/>
      <c r="BL405" s="38"/>
      <c r="BM405" s="38"/>
      <c r="BN405" s="38"/>
      <c r="BO405" s="38"/>
      <c r="BP405" s="38"/>
    </row>
    <row r="406">
      <c r="A406" s="40"/>
      <c r="B406" s="40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8"/>
      <c r="AZ406" s="38"/>
      <c r="BA406" s="38"/>
      <c r="BB406" s="38"/>
      <c r="BC406" s="38"/>
      <c r="BD406" s="38"/>
      <c r="BE406" s="38"/>
      <c r="BF406" s="38"/>
      <c r="BG406" s="38"/>
      <c r="BH406" s="38"/>
      <c r="BI406" s="38"/>
      <c r="BJ406" s="38"/>
      <c r="BK406" s="38"/>
      <c r="BL406" s="38"/>
      <c r="BM406" s="38"/>
      <c r="BN406" s="38"/>
      <c r="BO406" s="38"/>
      <c r="BP406" s="38"/>
    </row>
    <row r="407">
      <c r="A407" s="40"/>
      <c r="B407" s="40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8"/>
      <c r="AZ407" s="38"/>
      <c r="BA407" s="38"/>
      <c r="BB407" s="38"/>
      <c r="BC407" s="38"/>
      <c r="BD407" s="38"/>
      <c r="BE407" s="38"/>
      <c r="BF407" s="38"/>
      <c r="BG407" s="38"/>
      <c r="BH407" s="38"/>
      <c r="BI407" s="38"/>
      <c r="BJ407" s="38"/>
      <c r="BK407" s="38"/>
      <c r="BL407" s="38"/>
      <c r="BM407" s="38"/>
      <c r="BN407" s="38"/>
      <c r="BO407" s="38"/>
      <c r="BP407" s="38"/>
    </row>
    <row r="408">
      <c r="A408" s="40"/>
      <c r="B408" s="40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8"/>
      <c r="AZ408" s="38"/>
      <c r="BA408" s="38"/>
      <c r="BB408" s="38"/>
      <c r="BC408" s="38"/>
      <c r="BD408" s="38"/>
      <c r="BE408" s="38"/>
      <c r="BF408" s="38"/>
      <c r="BG408" s="38"/>
      <c r="BH408" s="38"/>
      <c r="BI408" s="38"/>
      <c r="BJ408" s="38"/>
      <c r="BK408" s="38"/>
      <c r="BL408" s="38"/>
      <c r="BM408" s="38"/>
      <c r="BN408" s="38"/>
      <c r="BO408" s="38"/>
      <c r="BP408" s="38"/>
    </row>
    <row r="409">
      <c r="A409" s="40"/>
      <c r="B409" s="40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  <c r="BI409" s="38"/>
      <c r="BJ409" s="38"/>
      <c r="BK409" s="38"/>
      <c r="BL409" s="38"/>
      <c r="BM409" s="38"/>
      <c r="BN409" s="38"/>
      <c r="BO409" s="38"/>
      <c r="BP409" s="38"/>
    </row>
    <row r="410">
      <c r="A410" s="40"/>
      <c r="B410" s="40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8"/>
      <c r="AZ410" s="38"/>
      <c r="BA410" s="38"/>
      <c r="BB410" s="38"/>
      <c r="BC410" s="38"/>
      <c r="BD410" s="38"/>
      <c r="BE410" s="38"/>
      <c r="BF410" s="38"/>
      <c r="BG410" s="38"/>
      <c r="BH410" s="38"/>
      <c r="BI410" s="38"/>
      <c r="BJ410" s="38"/>
      <c r="BK410" s="38"/>
      <c r="BL410" s="38"/>
      <c r="BM410" s="38"/>
      <c r="BN410" s="38"/>
      <c r="BO410" s="38"/>
      <c r="BP410" s="38"/>
    </row>
    <row r="411">
      <c r="A411" s="40"/>
      <c r="B411" s="40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  <c r="BI411" s="38"/>
      <c r="BJ411" s="38"/>
      <c r="BK411" s="38"/>
      <c r="BL411" s="38"/>
      <c r="BM411" s="38"/>
      <c r="BN411" s="38"/>
      <c r="BO411" s="38"/>
      <c r="BP411" s="38"/>
    </row>
    <row r="412">
      <c r="A412" s="40"/>
      <c r="B412" s="40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8"/>
      <c r="AZ412" s="38"/>
      <c r="BA412" s="38"/>
      <c r="BB412" s="38"/>
      <c r="BC412" s="38"/>
      <c r="BD412" s="38"/>
      <c r="BE412" s="38"/>
      <c r="BF412" s="38"/>
      <c r="BG412" s="38"/>
      <c r="BH412" s="38"/>
      <c r="BI412" s="38"/>
      <c r="BJ412" s="38"/>
      <c r="BK412" s="38"/>
      <c r="BL412" s="38"/>
      <c r="BM412" s="38"/>
      <c r="BN412" s="38"/>
      <c r="BO412" s="38"/>
      <c r="BP412" s="38"/>
    </row>
    <row r="413">
      <c r="A413" s="40"/>
      <c r="B413" s="40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  <c r="BI413" s="38"/>
      <c r="BJ413" s="38"/>
      <c r="BK413" s="38"/>
      <c r="BL413" s="38"/>
      <c r="BM413" s="38"/>
      <c r="BN413" s="38"/>
      <c r="BO413" s="38"/>
      <c r="BP413" s="38"/>
    </row>
    <row r="414">
      <c r="A414" s="40"/>
      <c r="B414" s="40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8"/>
      <c r="AZ414" s="38"/>
      <c r="BA414" s="38"/>
      <c r="BB414" s="38"/>
      <c r="BC414" s="38"/>
      <c r="BD414" s="38"/>
      <c r="BE414" s="38"/>
      <c r="BF414" s="38"/>
      <c r="BG414" s="38"/>
      <c r="BH414" s="38"/>
      <c r="BI414" s="38"/>
      <c r="BJ414" s="38"/>
      <c r="BK414" s="38"/>
      <c r="BL414" s="38"/>
      <c r="BM414" s="38"/>
      <c r="BN414" s="38"/>
      <c r="BO414" s="38"/>
      <c r="BP414" s="38"/>
    </row>
    <row r="415">
      <c r="A415" s="40"/>
      <c r="B415" s="40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  <c r="BI415" s="38"/>
      <c r="BJ415" s="38"/>
      <c r="BK415" s="38"/>
      <c r="BL415" s="38"/>
      <c r="BM415" s="38"/>
      <c r="BN415" s="38"/>
      <c r="BO415" s="38"/>
      <c r="BP415" s="38"/>
    </row>
    <row r="416">
      <c r="A416" s="40"/>
      <c r="B416" s="40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8"/>
      <c r="AZ416" s="38"/>
      <c r="BA416" s="38"/>
      <c r="BB416" s="38"/>
      <c r="BC416" s="38"/>
      <c r="BD416" s="38"/>
      <c r="BE416" s="38"/>
      <c r="BF416" s="38"/>
      <c r="BG416" s="38"/>
      <c r="BH416" s="38"/>
      <c r="BI416" s="38"/>
      <c r="BJ416" s="38"/>
      <c r="BK416" s="38"/>
      <c r="BL416" s="38"/>
      <c r="BM416" s="38"/>
      <c r="BN416" s="38"/>
      <c r="BO416" s="38"/>
      <c r="BP416" s="38"/>
    </row>
    <row r="417">
      <c r="A417" s="40"/>
      <c r="B417" s="40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8"/>
      <c r="AZ417" s="38"/>
      <c r="BA417" s="38"/>
      <c r="BB417" s="38"/>
      <c r="BC417" s="38"/>
      <c r="BD417" s="38"/>
      <c r="BE417" s="38"/>
      <c r="BF417" s="38"/>
      <c r="BG417" s="38"/>
      <c r="BH417" s="38"/>
      <c r="BI417" s="38"/>
      <c r="BJ417" s="38"/>
      <c r="BK417" s="38"/>
      <c r="BL417" s="38"/>
      <c r="BM417" s="38"/>
      <c r="BN417" s="38"/>
      <c r="BO417" s="38"/>
      <c r="BP417" s="38"/>
    </row>
    <row r="418">
      <c r="A418" s="40"/>
      <c r="B418" s="40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8"/>
      <c r="AZ418" s="38"/>
      <c r="BA418" s="38"/>
      <c r="BB418" s="38"/>
      <c r="BC418" s="38"/>
      <c r="BD418" s="38"/>
      <c r="BE418" s="38"/>
      <c r="BF418" s="38"/>
      <c r="BG418" s="38"/>
      <c r="BH418" s="38"/>
      <c r="BI418" s="38"/>
      <c r="BJ418" s="38"/>
      <c r="BK418" s="38"/>
      <c r="BL418" s="38"/>
      <c r="BM418" s="38"/>
      <c r="BN418" s="38"/>
      <c r="BO418" s="38"/>
      <c r="BP418" s="38"/>
    </row>
    <row r="419">
      <c r="A419" s="40"/>
      <c r="B419" s="40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8"/>
      <c r="AZ419" s="38"/>
      <c r="BA419" s="38"/>
      <c r="BB419" s="38"/>
      <c r="BC419" s="38"/>
      <c r="BD419" s="38"/>
      <c r="BE419" s="38"/>
      <c r="BF419" s="38"/>
      <c r="BG419" s="38"/>
      <c r="BH419" s="38"/>
      <c r="BI419" s="38"/>
      <c r="BJ419" s="38"/>
      <c r="BK419" s="38"/>
      <c r="BL419" s="38"/>
      <c r="BM419" s="38"/>
      <c r="BN419" s="38"/>
      <c r="BO419" s="38"/>
      <c r="BP419" s="38"/>
    </row>
    <row r="420">
      <c r="A420" s="40"/>
      <c r="B420" s="40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8"/>
      <c r="AZ420" s="38"/>
      <c r="BA420" s="38"/>
      <c r="BB420" s="38"/>
      <c r="BC420" s="38"/>
      <c r="BD420" s="38"/>
      <c r="BE420" s="38"/>
      <c r="BF420" s="38"/>
      <c r="BG420" s="38"/>
      <c r="BH420" s="38"/>
      <c r="BI420" s="38"/>
      <c r="BJ420" s="38"/>
      <c r="BK420" s="38"/>
      <c r="BL420" s="38"/>
      <c r="BM420" s="38"/>
      <c r="BN420" s="38"/>
      <c r="BO420" s="38"/>
      <c r="BP420" s="38"/>
    </row>
    <row r="421">
      <c r="A421" s="40"/>
      <c r="B421" s="40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8"/>
      <c r="AZ421" s="38"/>
      <c r="BA421" s="38"/>
      <c r="BB421" s="38"/>
      <c r="BC421" s="38"/>
      <c r="BD421" s="38"/>
      <c r="BE421" s="38"/>
      <c r="BF421" s="38"/>
      <c r="BG421" s="38"/>
      <c r="BH421" s="38"/>
      <c r="BI421" s="38"/>
      <c r="BJ421" s="38"/>
      <c r="BK421" s="38"/>
      <c r="BL421" s="38"/>
      <c r="BM421" s="38"/>
      <c r="BN421" s="38"/>
      <c r="BO421" s="38"/>
      <c r="BP421" s="38"/>
    </row>
    <row r="422">
      <c r="A422" s="40"/>
      <c r="B422" s="40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</row>
    <row r="423">
      <c r="A423" s="40"/>
      <c r="B423" s="40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</row>
    <row r="424">
      <c r="A424" s="40"/>
      <c r="B424" s="40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</row>
    <row r="425">
      <c r="A425" s="40"/>
      <c r="B425" s="40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</row>
    <row r="426">
      <c r="A426" s="40"/>
      <c r="B426" s="40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8"/>
      <c r="AZ426" s="38"/>
      <c r="BA426" s="38"/>
      <c r="BB426" s="38"/>
      <c r="BC426" s="38"/>
      <c r="BD426" s="38"/>
      <c r="BE426" s="38"/>
      <c r="BF426" s="38"/>
      <c r="BG426" s="38"/>
      <c r="BH426" s="38"/>
      <c r="BI426" s="38"/>
      <c r="BJ426" s="38"/>
      <c r="BK426" s="38"/>
      <c r="BL426" s="38"/>
      <c r="BM426" s="38"/>
      <c r="BN426" s="38"/>
      <c r="BO426" s="38"/>
      <c r="BP426" s="38"/>
    </row>
    <row r="427">
      <c r="A427" s="40"/>
      <c r="B427" s="40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8"/>
      <c r="AZ427" s="38"/>
      <c r="BA427" s="38"/>
      <c r="BB427" s="38"/>
      <c r="BC427" s="38"/>
      <c r="BD427" s="38"/>
      <c r="BE427" s="38"/>
      <c r="BF427" s="38"/>
      <c r="BG427" s="38"/>
      <c r="BH427" s="38"/>
      <c r="BI427" s="38"/>
      <c r="BJ427" s="38"/>
      <c r="BK427" s="38"/>
      <c r="BL427" s="38"/>
      <c r="BM427" s="38"/>
      <c r="BN427" s="38"/>
      <c r="BO427" s="38"/>
      <c r="BP427" s="38"/>
    </row>
    <row r="428">
      <c r="A428" s="40"/>
      <c r="B428" s="40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8"/>
      <c r="AZ428" s="38"/>
      <c r="BA428" s="38"/>
      <c r="BB428" s="38"/>
      <c r="BC428" s="38"/>
      <c r="BD428" s="38"/>
      <c r="BE428" s="38"/>
      <c r="BF428" s="38"/>
      <c r="BG428" s="38"/>
      <c r="BH428" s="38"/>
      <c r="BI428" s="38"/>
      <c r="BJ428" s="38"/>
      <c r="BK428" s="38"/>
      <c r="BL428" s="38"/>
      <c r="BM428" s="38"/>
      <c r="BN428" s="38"/>
      <c r="BO428" s="38"/>
      <c r="BP428" s="38"/>
    </row>
    <row r="429">
      <c r="A429" s="40"/>
      <c r="B429" s="40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  <c r="BI429" s="38"/>
      <c r="BJ429" s="38"/>
      <c r="BK429" s="38"/>
      <c r="BL429" s="38"/>
      <c r="BM429" s="38"/>
      <c r="BN429" s="38"/>
      <c r="BO429" s="38"/>
      <c r="BP429" s="38"/>
    </row>
    <row r="430">
      <c r="A430" s="40"/>
      <c r="B430" s="40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8"/>
      <c r="AZ430" s="38"/>
      <c r="BA430" s="38"/>
      <c r="BB430" s="38"/>
      <c r="BC430" s="38"/>
      <c r="BD430" s="38"/>
      <c r="BE430" s="38"/>
      <c r="BF430" s="38"/>
      <c r="BG430" s="38"/>
      <c r="BH430" s="38"/>
      <c r="BI430" s="38"/>
      <c r="BJ430" s="38"/>
      <c r="BK430" s="38"/>
      <c r="BL430" s="38"/>
      <c r="BM430" s="38"/>
      <c r="BN430" s="38"/>
      <c r="BO430" s="38"/>
      <c r="BP430" s="38"/>
    </row>
    <row r="431">
      <c r="A431" s="40"/>
      <c r="B431" s="40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  <c r="BI431" s="38"/>
      <c r="BJ431" s="38"/>
      <c r="BK431" s="38"/>
      <c r="BL431" s="38"/>
      <c r="BM431" s="38"/>
      <c r="BN431" s="38"/>
      <c r="BO431" s="38"/>
      <c r="BP431" s="38"/>
    </row>
    <row r="432">
      <c r="A432" s="40"/>
      <c r="B432" s="40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8"/>
      <c r="AZ432" s="38"/>
      <c r="BA432" s="38"/>
      <c r="BB432" s="38"/>
      <c r="BC432" s="38"/>
      <c r="BD432" s="38"/>
      <c r="BE432" s="38"/>
      <c r="BF432" s="38"/>
      <c r="BG432" s="38"/>
      <c r="BH432" s="38"/>
      <c r="BI432" s="38"/>
      <c r="BJ432" s="38"/>
      <c r="BK432" s="38"/>
      <c r="BL432" s="38"/>
      <c r="BM432" s="38"/>
      <c r="BN432" s="38"/>
      <c r="BO432" s="38"/>
      <c r="BP432" s="38"/>
    </row>
    <row r="433">
      <c r="A433" s="40"/>
      <c r="B433" s="40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  <c r="BI433" s="38"/>
      <c r="BJ433" s="38"/>
      <c r="BK433" s="38"/>
      <c r="BL433" s="38"/>
      <c r="BM433" s="38"/>
      <c r="BN433" s="38"/>
      <c r="BO433" s="38"/>
      <c r="BP433" s="38"/>
    </row>
    <row r="434">
      <c r="A434" s="40"/>
      <c r="B434" s="40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8"/>
      <c r="AZ434" s="38"/>
      <c r="BA434" s="38"/>
      <c r="BB434" s="38"/>
      <c r="BC434" s="38"/>
      <c r="BD434" s="38"/>
      <c r="BE434" s="38"/>
      <c r="BF434" s="38"/>
      <c r="BG434" s="38"/>
      <c r="BH434" s="38"/>
      <c r="BI434" s="38"/>
      <c r="BJ434" s="38"/>
      <c r="BK434" s="38"/>
      <c r="BL434" s="38"/>
      <c r="BM434" s="38"/>
      <c r="BN434" s="38"/>
      <c r="BO434" s="38"/>
      <c r="BP434" s="38"/>
    </row>
    <row r="435">
      <c r="A435" s="40"/>
      <c r="B435" s="40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  <c r="BI435" s="38"/>
      <c r="BJ435" s="38"/>
      <c r="BK435" s="38"/>
      <c r="BL435" s="38"/>
      <c r="BM435" s="38"/>
      <c r="BN435" s="38"/>
      <c r="BO435" s="38"/>
      <c r="BP435" s="38"/>
    </row>
    <row r="436">
      <c r="A436" s="40"/>
      <c r="B436" s="40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8"/>
      <c r="AZ436" s="38"/>
      <c r="BA436" s="38"/>
      <c r="BB436" s="38"/>
      <c r="BC436" s="38"/>
      <c r="BD436" s="38"/>
      <c r="BE436" s="38"/>
      <c r="BF436" s="38"/>
      <c r="BG436" s="38"/>
      <c r="BH436" s="38"/>
      <c r="BI436" s="38"/>
      <c r="BJ436" s="38"/>
      <c r="BK436" s="38"/>
      <c r="BL436" s="38"/>
      <c r="BM436" s="38"/>
      <c r="BN436" s="38"/>
      <c r="BO436" s="38"/>
      <c r="BP436" s="38"/>
    </row>
    <row r="437">
      <c r="A437" s="40"/>
      <c r="B437" s="40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  <c r="BI437" s="38"/>
      <c r="BJ437" s="38"/>
      <c r="BK437" s="38"/>
      <c r="BL437" s="38"/>
      <c r="BM437" s="38"/>
      <c r="BN437" s="38"/>
      <c r="BO437" s="38"/>
      <c r="BP437" s="38"/>
    </row>
    <row r="438">
      <c r="A438" s="40"/>
      <c r="B438" s="40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8"/>
      <c r="AZ438" s="38"/>
      <c r="BA438" s="38"/>
      <c r="BB438" s="38"/>
      <c r="BC438" s="38"/>
      <c r="BD438" s="38"/>
      <c r="BE438" s="38"/>
      <c r="BF438" s="38"/>
      <c r="BG438" s="38"/>
      <c r="BH438" s="38"/>
      <c r="BI438" s="38"/>
      <c r="BJ438" s="38"/>
      <c r="BK438" s="38"/>
      <c r="BL438" s="38"/>
      <c r="BM438" s="38"/>
      <c r="BN438" s="38"/>
      <c r="BO438" s="38"/>
      <c r="BP438" s="38"/>
    </row>
    <row r="439">
      <c r="A439" s="40"/>
      <c r="B439" s="40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  <c r="BI439" s="38"/>
      <c r="BJ439" s="38"/>
      <c r="BK439" s="38"/>
      <c r="BL439" s="38"/>
      <c r="BM439" s="38"/>
      <c r="BN439" s="38"/>
      <c r="BO439" s="38"/>
      <c r="BP439" s="38"/>
    </row>
    <row r="440">
      <c r="A440" s="40"/>
      <c r="B440" s="40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8"/>
      <c r="AZ440" s="38"/>
      <c r="BA440" s="38"/>
      <c r="BB440" s="38"/>
      <c r="BC440" s="38"/>
      <c r="BD440" s="38"/>
      <c r="BE440" s="38"/>
      <c r="BF440" s="38"/>
      <c r="BG440" s="38"/>
      <c r="BH440" s="38"/>
      <c r="BI440" s="38"/>
      <c r="BJ440" s="38"/>
      <c r="BK440" s="38"/>
      <c r="BL440" s="38"/>
      <c r="BM440" s="38"/>
      <c r="BN440" s="38"/>
      <c r="BO440" s="38"/>
      <c r="BP440" s="38"/>
    </row>
    <row r="441">
      <c r="A441" s="40"/>
      <c r="B441" s="40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  <c r="BI441" s="38"/>
      <c r="BJ441" s="38"/>
      <c r="BK441" s="38"/>
      <c r="BL441" s="38"/>
      <c r="BM441" s="38"/>
      <c r="BN441" s="38"/>
      <c r="BO441" s="38"/>
      <c r="BP441" s="38"/>
    </row>
    <row r="442">
      <c r="A442" s="40"/>
      <c r="B442" s="40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8"/>
      <c r="AZ442" s="38"/>
      <c r="BA442" s="38"/>
      <c r="BB442" s="38"/>
      <c r="BC442" s="38"/>
      <c r="BD442" s="38"/>
      <c r="BE442" s="38"/>
      <c r="BF442" s="38"/>
      <c r="BG442" s="38"/>
      <c r="BH442" s="38"/>
      <c r="BI442" s="38"/>
      <c r="BJ442" s="38"/>
      <c r="BK442" s="38"/>
      <c r="BL442" s="38"/>
      <c r="BM442" s="38"/>
      <c r="BN442" s="38"/>
      <c r="BO442" s="38"/>
      <c r="BP442" s="38"/>
    </row>
    <row r="443">
      <c r="A443" s="40"/>
      <c r="B443" s="40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  <c r="BI443" s="38"/>
      <c r="BJ443" s="38"/>
      <c r="BK443" s="38"/>
      <c r="BL443" s="38"/>
      <c r="BM443" s="38"/>
      <c r="BN443" s="38"/>
      <c r="BO443" s="38"/>
      <c r="BP443" s="38"/>
    </row>
    <row r="444">
      <c r="A444" s="40"/>
      <c r="B444" s="40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8"/>
      <c r="AZ444" s="38"/>
      <c r="BA444" s="38"/>
      <c r="BB444" s="38"/>
      <c r="BC444" s="38"/>
      <c r="BD444" s="38"/>
      <c r="BE444" s="38"/>
      <c r="BF444" s="38"/>
      <c r="BG444" s="38"/>
      <c r="BH444" s="38"/>
      <c r="BI444" s="38"/>
      <c r="BJ444" s="38"/>
      <c r="BK444" s="38"/>
      <c r="BL444" s="38"/>
      <c r="BM444" s="38"/>
      <c r="BN444" s="38"/>
      <c r="BO444" s="38"/>
      <c r="BP444" s="38"/>
    </row>
    <row r="445">
      <c r="A445" s="40"/>
      <c r="B445" s="40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8"/>
      <c r="AZ445" s="38"/>
      <c r="BA445" s="38"/>
      <c r="BB445" s="38"/>
      <c r="BC445" s="38"/>
      <c r="BD445" s="38"/>
      <c r="BE445" s="38"/>
      <c r="BF445" s="38"/>
      <c r="BG445" s="38"/>
      <c r="BH445" s="38"/>
      <c r="BI445" s="38"/>
      <c r="BJ445" s="38"/>
      <c r="BK445" s="38"/>
      <c r="BL445" s="38"/>
      <c r="BM445" s="38"/>
      <c r="BN445" s="38"/>
      <c r="BO445" s="38"/>
      <c r="BP445" s="38"/>
    </row>
    <row r="446">
      <c r="A446" s="40"/>
      <c r="B446" s="40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  <c r="BI446" s="38"/>
      <c r="BJ446" s="38"/>
      <c r="BK446" s="38"/>
      <c r="BL446" s="38"/>
      <c r="BM446" s="38"/>
      <c r="BN446" s="38"/>
      <c r="BO446" s="38"/>
      <c r="BP446" s="38"/>
    </row>
    <row r="447">
      <c r="A447" s="40"/>
      <c r="B447" s="40"/>
      <c r="AF447" s="38"/>
      <c r="AG447" s="38"/>
      <c r="AH447" s="38"/>
      <c r="AI447" s="38"/>
      <c r="AJ447" s="38"/>
      <c r="AK447" s="38"/>
      <c r="AL447" s="38"/>
      <c r="AM447" s="38"/>
      <c r="AN447" s="38"/>
      <c r="AO447" s="38"/>
      <c r="AP447" s="38"/>
      <c r="AQ447" s="38"/>
      <c r="AR447" s="38"/>
      <c r="AS447" s="38"/>
      <c r="AT447" s="38"/>
      <c r="AU447" s="38"/>
      <c r="AV447" s="38"/>
      <c r="AW447" s="38"/>
      <c r="AX447" s="38"/>
      <c r="AY447" s="38"/>
      <c r="AZ447" s="38"/>
      <c r="BA447" s="38"/>
      <c r="BB447" s="38"/>
      <c r="BC447" s="38"/>
      <c r="BD447" s="38"/>
      <c r="BE447" s="38"/>
      <c r="BF447" s="38"/>
      <c r="BG447" s="38"/>
      <c r="BH447" s="38"/>
      <c r="BI447" s="38"/>
      <c r="BJ447" s="38"/>
      <c r="BK447" s="38"/>
      <c r="BL447" s="38"/>
      <c r="BM447" s="38"/>
      <c r="BN447" s="38"/>
      <c r="BO447" s="38"/>
      <c r="BP447" s="38"/>
    </row>
    <row r="448">
      <c r="A448" s="40"/>
      <c r="B448" s="40"/>
      <c r="AF448" s="38"/>
      <c r="AG448" s="38"/>
      <c r="AH448" s="38"/>
      <c r="AI448" s="38"/>
      <c r="AJ448" s="38"/>
      <c r="AK448" s="38"/>
      <c r="AL448" s="38"/>
      <c r="AM448" s="38"/>
      <c r="AN448" s="38"/>
      <c r="AO448" s="38"/>
      <c r="AP448" s="38"/>
      <c r="AQ448" s="38"/>
      <c r="AR448" s="38"/>
      <c r="AS448" s="38"/>
      <c r="AT448" s="38"/>
      <c r="AU448" s="38"/>
      <c r="AV448" s="38"/>
      <c r="AW448" s="38"/>
      <c r="AX448" s="38"/>
      <c r="AY448" s="38"/>
      <c r="AZ448" s="38"/>
      <c r="BA448" s="38"/>
      <c r="BB448" s="38"/>
      <c r="BC448" s="38"/>
      <c r="BD448" s="38"/>
      <c r="BE448" s="38"/>
      <c r="BF448" s="38"/>
      <c r="BG448" s="38"/>
      <c r="BH448" s="38"/>
      <c r="BI448" s="38"/>
      <c r="BJ448" s="38"/>
      <c r="BK448" s="38"/>
      <c r="BL448" s="38"/>
      <c r="BM448" s="38"/>
      <c r="BN448" s="38"/>
      <c r="BO448" s="38"/>
      <c r="BP448" s="38"/>
    </row>
    <row r="449">
      <c r="A449" s="40"/>
      <c r="B449" s="40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</row>
    <row r="450">
      <c r="A450" s="40"/>
      <c r="B450" s="40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</row>
    <row r="451">
      <c r="A451" s="40"/>
      <c r="B451" s="40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</row>
    <row r="452">
      <c r="A452" s="40"/>
      <c r="B452" s="40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</row>
    <row r="453">
      <c r="A453" s="40"/>
      <c r="B453" s="40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</row>
    <row r="454">
      <c r="A454" s="40"/>
      <c r="B454" s="40"/>
      <c r="AF454" s="38"/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  <c r="BI454" s="38"/>
      <c r="BJ454" s="38"/>
      <c r="BK454" s="38"/>
      <c r="BL454" s="38"/>
      <c r="BM454" s="38"/>
      <c r="BN454" s="38"/>
      <c r="BO454" s="38"/>
      <c r="BP454" s="38"/>
    </row>
    <row r="455">
      <c r="A455" s="40"/>
      <c r="B455" s="40"/>
      <c r="AF455" s="38"/>
      <c r="AG455" s="38"/>
      <c r="AH455" s="38"/>
      <c r="AI455" s="38"/>
      <c r="AJ455" s="38"/>
      <c r="AK455" s="38"/>
      <c r="AL455" s="38"/>
      <c r="AM455" s="38"/>
      <c r="AN455" s="38"/>
      <c r="AO455" s="38"/>
      <c r="AP455" s="38"/>
      <c r="AQ455" s="38"/>
      <c r="AR455" s="38"/>
      <c r="AS455" s="38"/>
      <c r="AT455" s="38"/>
      <c r="AU455" s="38"/>
      <c r="AV455" s="38"/>
      <c r="AW455" s="38"/>
      <c r="AX455" s="38"/>
      <c r="AY455" s="38"/>
      <c r="AZ455" s="38"/>
      <c r="BA455" s="38"/>
      <c r="BB455" s="38"/>
      <c r="BC455" s="38"/>
      <c r="BD455" s="38"/>
      <c r="BE455" s="38"/>
      <c r="BF455" s="38"/>
      <c r="BG455" s="38"/>
      <c r="BH455" s="38"/>
      <c r="BI455" s="38"/>
      <c r="BJ455" s="38"/>
      <c r="BK455" s="38"/>
      <c r="BL455" s="38"/>
      <c r="BM455" s="38"/>
      <c r="BN455" s="38"/>
      <c r="BO455" s="38"/>
      <c r="BP455" s="38"/>
    </row>
    <row r="456">
      <c r="A456" s="40"/>
      <c r="B456" s="40"/>
      <c r="AF456" s="38"/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  <c r="BI456" s="38"/>
      <c r="BJ456" s="38"/>
      <c r="BK456" s="38"/>
      <c r="BL456" s="38"/>
      <c r="BM456" s="38"/>
      <c r="BN456" s="38"/>
      <c r="BO456" s="38"/>
      <c r="BP456" s="38"/>
    </row>
    <row r="457">
      <c r="A457" s="40"/>
      <c r="B457" s="40"/>
      <c r="AF457" s="38"/>
      <c r="AG457" s="38"/>
      <c r="AH457" s="38"/>
      <c r="AI457" s="38"/>
      <c r="AJ457" s="38"/>
      <c r="AK457" s="38"/>
      <c r="AL457" s="38"/>
      <c r="AM457" s="38"/>
      <c r="AN457" s="38"/>
      <c r="AO457" s="38"/>
      <c r="AP457" s="38"/>
      <c r="AQ457" s="38"/>
      <c r="AR457" s="38"/>
      <c r="AS457" s="38"/>
      <c r="AT457" s="38"/>
      <c r="AU457" s="38"/>
      <c r="AV457" s="38"/>
      <c r="AW457" s="38"/>
      <c r="AX457" s="38"/>
      <c r="AY457" s="38"/>
      <c r="AZ457" s="38"/>
      <c r="BA457" s="38"/>
      <c r="BB457" s="38"/>
      <c r="BC457" s="38"/>
      <c r="BD457" s="38"/>
      <c r="BE457" s="38"/>
      <c r="BF457" s="38"/>
      <c r="BG457" s="38"/>
      <c r="BH457" s="38"/>
      <c r="BI457" s="38"/>
      <c r="BJ457" s="38"/>
      <c r="BK457" s="38"/>
      <c r="BL457" s="38"/>
      <c r="BM457" s="38"/>
      <c r="BN457" s="38"/>
      <c r="BO457" s="38"/>
      <c r="BP457" s="38"/>
    </row>
    <row r="458">
      <c r="A458" s="40"/>
      <c r="B458" s="40"/>
      <c r="AF458" s="38"/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  <c r="BI458" s="38"/>
      <c r="BJ458" s="38"/>
      <c r="BK458" s="38"/>
      <c r="BL458" s="38"/>
      <c r="BM458" s="38"/>
      <c r="BN458" s="38"/>
      <c r="BO458" s="38"/>
      <c r="BP458" s="38"/>
    </row>
    <row r="459">
      <c r="A459" s="40"/>
      <c r="B459" s="40"/>
      <c r="AF459" s="38"/>
      <c r="AG459" s="38"/>
      <c r="AH459" s="38"/>
      <c r="AI459" s="38"/>
      <c r="AJ459" s="38"/>
      <c r="AK459" s="38"/>
      <c r="AL459" s="38"/>
      <c r="AM459" s="38"/>
      <c r="AN459" s="38"/>
      <c r="AO459" s="38"/>
      <c r="AP459" s="38"/>
      <c r="AQ459" s="38"/>
      <c r="AR459" s="38"/>
      <c r="AS459" s="38"/>
      <c r="AT459" s="38"/>
      <c r="AU459" s="38"/>
      <c r="AV459" s="38"/>
      <c r="AW459" s="38"/>
      <c r="AX459" s="38"/>
      <c r="AY459" s="38"/>
      <c r="AZ459" s="38"/>
      <c r="BA459" s="38"/>
      <c r="BB459" s="38"/>
      <c r="BC459" s="38"/>
      <c r="BD459" s="38"/>
      <c r="BE459" s="38"/>
      <c r="BF459" s="38"/>
      <c r="BG459" s="38"/>
      <c r="BH459" s="38"/>
      <c r="BI459" s="38"/>
      <c r="BJ459" s="38"/>
      <c r="BK459" s="38"/>
      <c r="BL459" s="38"/>
      <c r="BM459" s="38"/>
      <c r="BN459" s="38"/>
      <c r="BO459" s="38"/>
      <c r="BP459" s="38"/>
    </row>
    <row r="460">
      <c r="A460" s="40"/>
      <c r="B460" s="40"/>
      <c r="AF460" s="38"/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  <c r="BI460" s="38"/>
      <c r="BJ460" s="38"/>
      <c r="BK460" s="38"/>
      <c r="BL460" s="38"/>
      <c r="BM460" s="38"/>
      <c r="BN460" s="38"/>
      <c r="BO460" s="38"/>
      <c r="BP460" s="38"/>
    </row>
    <row r="461">
      <c r="A461" s="40"/>
      <c r="B461" s="40"/>
      <c r="AF461" s="38"/>
      <c r="AG461" s="38"/>
      <c r="AH461" s="38"/>
      <c r="AI461" s="38"/>
      <c r="AJ461" s="38"/>
      <c r="AK461" s="38"/>
      <c r="AL461" s="38"/>
      <c r="AM461" s="38"/>
      <c r="AN461" s="38"/>
      <c r="AO461" s="38"/>
      <c r="AP461" s="38"/>
      <c r="AQ461" s="38"/>
      <c r="AR461" s="38"/>
      <c r="AS461" s="38"/>
      <c r="AT461" s="38"/>
      <c r="AU461" s="38"/>
      <c r="AV461" s="38"/>
      <c r="AW461" s="38"/>
      <c r="AX461" s="38"/>
      <c r="AY461" s="38"/>
      <c r="AZ461" s="38"/>
      <c r="BA461" s="38"/>
      <c r="BB461" s="38"/>
      <c r="BC461" s="38"/>
      <c r="BD461" s="38"/>
      <c r="BE461" s="38"/>
      <c r="BF461" s="38"/>
      <c r="BG461" s="38"/>
      <c r="BH461" s="38"/>
      <c r="BI461" s="38"/>
      <c r="BJ461" s="38"/>
      <c r="BK461" s="38"/>
      <c r="BL461" s="38"/>
      <c r="BM461" s="38"/>
      <c r="BN461" s="38"/>
      <c r="BO461" s="38"/>
      <c r="BP461" s="38"/>
    </row>
    <row r="462">
      <c r="A462" s="40"/>
      <c r="B462" s="40"/>
      <c r="AF462" s="38"/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  <c r="BI462" s="38"/>
      <c r="BJ462" s="38"/>
      <c r="BK462" s="38"/>
      <c r="BL462" s="38"/>
      <c r="BM462" s="38"/>
      <c r="BN462" s="38"/>
      <c r="BO462" s="38"/>
      <c r="BP462" s="38"/>
    </row>
    <row r="463">
      <c r="A463" s="40"/>
      <c r="B463" s="40"/>
      <c r="AF463" s="38"/>
      <c r="AG463" s="38"/>
      <c r="AH463" s="38"/>
      <c r="AI463" s="38"/>
      <c r="AJ463" s="38"/>
      <c r="AK463" s="38"/>
      <c r="AL463" s="38"/>
      <c r="AM463" s="38"/>
      <c r="AN463" s="38"/>
      <c r="AO463" s="38"/>
      <c r="AP463" s="38"/>
      <c r="AQ463" s="38"/>
      <c r="AR463" s="38"/>
      <c r="AS463" s="38"/>
      <c r="AT463" s="38"/>
      <c r="AU463" s="38"/>
      <c r="AV463" s="38"/>
      <c r="AW463" s="38"/>
      <c r="AX463" s="38"/>
      <c r="AY463" s="38"/>
      <c r="AZ463" s="38"/>
      <c r="BA463" s="38"/>
      <c r="BB463" s="38"/>
      <c r="BC463" s="38"/>
      <c r="BD463" s="38"/>
      <c r="BE463" s="38"/>
      <c r="BF463" s="38"/>
      <c r="BG463" s="38"/>
      <c r="BH463" s="38"/>
      <c r="BI463" s="38"/>
      <c r="BJ463" s="38"/>
      <c r="BK463" s="38"/>
      <c r="BL463" s="38"/>
      <c r="BM463" s="38"/>
      <c r="BN463" s="38"/>
      <c r="BO463" s="38"/>
      <c r="BP463" s="38"/>
    </row>
    <row r="464">
      <c r="A464" s="40"/>
      <c r="B464" s="40"/>
      <c r="AF464" s="38"/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  <c r="BI464" s="38"/>
      <c r="BJ464" s="38"/>
      <c r="BK464" s="38"/>
      <c r="BL464" s="38"/>
      <c r="BM464" s="38"/>
      <c r="BN464" s="38"/>
      <c r="BO464" s="38"/>
      <c r="BP464" s="38"/>
    </row>
    <row r="465">
      <c r="A465" s="40"/>
      <c r="B465" s="40"/>
      <c r="AF465" s="38"/>
      <c r="AG465" s="38"/>
      <c r="AH465" s="38"/>
      <c r="AI465" s="38"/>
      <c r="AJ465" s="38"/>
      <c r="AK465" s="38"/>
      <c r="AL465" s="38"/>
      <c r="AM465" s="38"/>
      <c r="AN465" s="38"/>
      <c r="AO465" s="38"/>
      <c r="AP465" s="38"/>
      <c r="AQ465" s="38"/>
      <c r="AR465" s="38"/>
      <c r="AS465" s="38"/>
      <c r="AT465" s="38"/>
      <c r="AU465" s="38"/>
      <c r="AV465" s="38"/>
      <c r="AW465" s="38"/>
      <c r="AX465" s="38"/>
      <c r="AY465" s="38"/>
      <c r="AZ465" s="38"/>
      <c r="BA465" s="38"/>
      <c r="BB465" s="38"/>
      <c r="BC465" s="38"/>
      <c r="BD465" s="38"/>
      <c r="BE465" s="38"/>
      <c r="BF465" s="38"/>
      <c r="BG465" s="38"/>
      <c r="BH465" s="38"/>
      <c r="BI465" s="38"/>
      <c r="BJ465" s="38"/>
      <c r="BK465" s="38"/>
      <c r="BL465" s="38"/>
      <c r="BM465" s="38"/>
      <c r="BN465" s="38"/>
      <c r="BO465" s="38"/>
      <c r="BP465" s="38"/>
    </row>
    <row r="466">
      <c r="A466" s="40"/>
      <c r="B466" s="40"/>
      <c r="AF466" s="38"/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  <c r="BI466" s="38"/>
      <c r="BJ466" s="38"/>
      <c r="BK466" s="38"/>
      <c r="BL466" s="38"/>
      <c r="BM466" s="38"/>
      <c r="BN466" s="38"/>
      <c r="BO466" s="38"/>
      <c r="BP466" s="38"/>
    </row>
    <row r="467">
      <c r="A467" s="40"/>
      <c r="B467" s="40"/>
      <c r="AF467" s="38"/>
      <c r="AG467" s="38"/>
      <c r="AH467" s="38"/>
      <c r="AI467" s="38"/>
      <c r="AJ467" s="38"/>
      <c r="AK467" s="38"/>
      <c r="AL467" s="38"/>
      <c r="AM467" s="38"/>
      <c r="AN467" s="38"/>
      <c r="AO467" s="38"/>
      <c r="AP467" s="38"/>
      <c r="AQ467" s="38"/>
      <c r="AR467" s="38"/>
      <c r="AS467" s="38"/>
      <c r="AT467" s="38"/>
      <c r="AU467" s="38"/>
      <c r="AV467" s="38"/>
      <c r="AW467" s="38"/>
      <c r="AX467" s="38"/>
      <c r="AY467" s="38"/>
      <c r="AZ467" s="38"/>
      <c r="BA467" s="38"/>
      <c r="BB467" s="38"/>
      <c r="BC467" s="38"/>
      <c r="BD467" s="38"/>
      <c r="BE467" s="38"/>
      <c r="BF467" s="38"/>
      <c r="BG467" s="38"/>
      <c r="BH467" s="38"/>
      <c r="BI467" s="38"/>
      <c r="BJ467" s="38"/>
      <c r="BK467" s="38"/>
      <c r="BL467" s="38"/>
      <c r="BM467" s="38"/>
      <c r="BN467" s="38"/>
      <c r="BO467" s="38"/>
      <c r="BP467" s="38"/>
    </row>
    <row r="468">
      <c r="A468" s="40"/>
      <c r="B468" s="40"/>
      <c r="AF468" s="38"/>
      <c r="AG468" s="38"/>
      <c r="AH468" s="38"/>
      <c r="AI468" s="38"/>
      <c r="AJ468" s="38"/>
      <c r="AK468" s="38"/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  <c r="BI468" s="38"/>
      <c r="BJ468" s="38"/>
      <c r="BK468" s="38"/>
      <c r="BL468" s="38"/>
      <c r="BM468" s="38"/>
      <c r="BN468" s="38"/>
      <c r="BO468" s="38"/>
      <c r="BP468" s="38"/>
    </row>
    <row r="469">
      <c r="A469" s="40"/>
      <c r="B469" s="40"/>
      <c r="AF469" s="38"/>
      <c r="AG469" s="38"/>
      <c r="AH469" s="38"/>
      <c r="AI469" s="38"/>
      <c r="AJ469" s="38"/>
      <c r="AK469" s="38"/>
      <c r="AL469" s="38"/>
      <c r="AM469" s="38"/>
      <c r="AN469" s="38"/>
      <c r="AO469" s="38"/>
      <c r="AP469" s="38"/>
      <c r="AQ469" s="38"/>
      <c r="AR469" s="38"/>
      <c r="AS469" s="38"/>
      <c r="AT469" s="38"/>
      <c r="AU469" s="38"/>
      <c r="AV469" s="38"/>
      <c r="AW469" s="38"/>
      <c r="AX469" s="38"/>
      <c r="AY469" s="38"/>
      <c r="AZ469" s="38"/>
      <c r="BA469" s="38"/>
      <c r="BB469" s="38"/>
      <c r="BC469" s="38"/>
      <c r="BD469" s="38"/>
      <c r="BE469" s="38"/>
      <c r="BF469" s="38"/>
      <c r="BG469" s="38"/>
      <c r="BH469" s="38"/>
      <c r="BI469" s="38"/>
      <c r="BJ469" s="38"/>
      <c r="BK469" s="38"/>
      <c r="BL469" s="38"/>
      <c r="BM469" s="38"/>
      <c r="BN469" s="38"/>
      <c r="BO469" s="38"/>
      <c r="BP469" s="38"/>
    </row>
    <row r="470">
      <c r="A470" s="40"/>
      <c r="B470" s="40"/>
      <c r="AF470" s="38"/>
      <c r="AG470" s="38"/>
      <c r="AH470" s="38"/>
      <c r="AI470" s="38"/>
      <c r="AJ470" s="38"/>
      <c r="AK470" s="38"/>
      <c r="AL470" s="38"/>
      <c r="AM470" s="38"/>
      <c r="AN470" s="38"/>
      <c r="AO470" s="38"/>
      <c r="AP470" s="38"/>
      <c r="AQ470" s="38"/>
      <c r="AR470" s="38"/>
      <c r="AS470" s="38"/>
      <c r="AT470" s="38"/>
      <c r="AU470" s="38"/>
      <c r="AV470" s="38"/>
      <c r="AW470" s="38"/>
      <c r="AX470" s="38"/>
      <c r="AY470" s="38"/>
      <c r="AZ470" s="38"/>
      <c r="BA470" s="38"/>
      <c r="BB470" s="38"/>
      <c r="BC470" s="38"/>
      <c r="BD470" s="38"/>
      <c r="BE470" s="38"/>
      <c r="BF470" s="38"/>
      <c r="BG470" s="38"/>
      <c r="BH470" s="38"/>
      <c r="BI470" s="38"/>
      <c r="BJ470" s="38"/>
      <c r="BK470" s="38"/>
      <c r="BL470" s="38"/>
      <c r="BM470" s="38"/>
      <c r="BN470" s="38"/>
      <c r="BO470" s="38"/>
      <c r="BP470" s="38"/>
    </row>
    <row r="471">
      <c r="A471" s="40"/>
      <c r="B471" s="40"/>
      <c r="AF471" s="38"/>
      <c r="AG471" s="38"/>
      <c r="AH471" s="38"/>
      <c r="AI471" s="38"/>
      <c r="AJ471" s="38"/>
      <c r="AK471" s="38"/>
      <c r="AL471" s="38"/>
      <c r="AM471" s="38"/>
      <c r="AN471" s="38"/>
      <c r="AO471" s="38"/>
      <c r="AP471" s="38"/>
      <c r="AQ471" s="38"/>
      <c r="AR471" s="38"/>
      <c r="AS471" s="38"/>
      <c r="AT471" s="38"/>
      <c r="AU471" s="38"/>
      <c r="AV471" s="38"/>
      <c r="AW471" s="38"/>
      <c r="AX471" s="38"/>
      <c r="AY471" s="38"/>
      <c r="AZ471" s="38"/>
      <c r="BA471" s="38"/>
      <c r="BB471" s="38"/>
      <c r="BC471" s="38"/>
      <c r="BD471" s="38"/>
      <c r="BE471" s="38"/>
      <c r="BF471" s="38"/>
      <c r="BG471" s="38"/>
      <c r="BH471" s="38"/>
      <c r="BI471" s="38"/>
      <c r="BJ471" s="38"/>
      <c r="BK471" s="38"/>
      <c r="BL471" s="38"/>
      <c r="BM471" s="38"/>
      <c r="BN471" s="38"/>
      <c r="BO471" s="38"/>
      <c r="BP471" s="38"/>
    </row>
    <row r="472">
      <c r="A472" s="40"/>
      <c r="B472" s="40"/>
      <c r="AF472" s="38"/>
      <c r="AG472" s="38"/>
      <c r="AH472" s="38"/>
      <c r="AI472" s="38"/>
      <c r="AJ472" s="38"/>
      <c r="AK472" s="38"/>
      <c r="AL472" s="38"/>
      <c r="AM472" s="38"/>
      <c r="AN472" s="38"/>
      <c r="AO472" s="38"/>
      <c r="AP472" s="38"/>
      <c r="AQ472" s="38"/>
      <c r="AR472" s="38"/>
      <c r="AS472" s="38"/>
      <c r="AT472" s="38"/>
      <c r="AU472" s="38"/>
      <c r="AV472" s="38"/>
      <c r="AW472" s="38"/>
      <c r="AX472" s="38"/>
      <c r="AY472" s="38"/>
      <c r="AZ472" s="38"/>
      <c r="BA472" s="38"/>
      <c r="BB472" s="38"/>
      <c r="BC472" s="38"/>
      <c r="BD472" s="38"/>
      <c r="BE472" s="38"/>
      <c r="BF472" s="38"/>
      <c r="BG472" s="38"/>
      <c r="BH472" s="38"/>
      <c r="BI472" s="38"/>
      <c r="BJ472" s="38"/>
      <c r="BK472" s="38"/>
      <c r="BL472" s="38"/>
      <c r="BM472" s="38"/>
      <c r="BN472" s="38"/>
      <c r="BO472" s="38"/>
      <c r="BP472" s="38"/>
    </row>
    <row r="473">
      <c r="A473" s="40"/>
      <c r="B473" s="40"/>
      <c r="AF473" s="38"/>
      <c r="AG473" s="38"/>
      <c r="AH473" s="38"/>
      <c r="AI473" s="38"/>
      <c r="AJ473" s="38"/>
      <c r="AK473" s="38"/>
      <c r="AL473" s="38"/>
      <c r="AM473" s="38"/>
      <c r="AN473" s="38"/>
      <c r="AO473" s="38"/>
      <c r="AP473" s="38"/>
      <c r="AQ473" s="38"/>
      <c r="AR473" s="38"/>
      <c r="AS473" s="38"/>
      <c r="AT473" s="38"/>
      <c r="AU473" s="38"/>
      <c r="AV473" s="38"/>
      <c r="AW473" s="38"/>
      <c r="AX473" s="38"/>
      <c r="AY473" s="38"/>
      <c r="AZ473" s="38"/>
      <c r="BA473" s="38"/>
      <c r="BB473" s="38"/>
      <c r="BC473" s="38"/>
      <c r="BD473" s="38"/>
      <c r="BE473" s="38"/>
      <c r="BF473" s="38"/>
      <c r="BG473" s="38"/>
      <c r="BH473" s="38"/>
      <c r="BI473" s="38"/>
      <c r="BJ473" s="38"/>
      <c r="BK473" s="38"/>
      <c r="BL473" s="38"/>
      <c r="BM473" s="38"/>
      <c r="BN473" s="38"/>
      <c r="BO473" s="38"/>
      <c r="BP473" s="38"/>
    </row>
    <row r="474">
      <c r="A474" s="40"/>
      <c r="B474" s="40"/>
      <c r="AF474" s="38"/>
      <c r="AG474" s="38"/>
      <c r="AH474" s="38"/>
      <c r="AI474" s="38"/>
      <c r="AJ474" s="38"/>
      <c r="AK474" s="38"/>
      <c r="AL474" s="38"/>
      <c r="AM474" s="38"/>
      <c r="AN474" s="38"/>
      <c r="AO474" s="38"/>
      <c r="AP474" s="38"/>
      <c r="AQ474" s="38"/>
      <c r="AR474" s="38"/>
      <c r="AS474" s="38"/>
      <c r="AT474" s="38"/>
      <c r="AU474" s="38"/>
      <c r="AV474" s="38"/>
      <c r="AW474" s="38"/>
      <c r="AX474" s="38"/>
      <c r="AY474" s="38"/>
      <c r="AZ474" s="38"/>
      <c r="BA474" s="38"/>
      <c r="BB474" s="38"/>
      <c r="BC474" s="38"/>
      <c r="BD474" s="38"/>
      <c r="BE474" s="38"/>
      <c r="BF474" s="38"/>
      <c r="BG474" s="38"/>
      <c r="BH474" s="38"/>
      <c r="BI474" s="38"/>
      <c r="BJ474" s="38"/>
      <c r="BK474" s="38"/>
      <c r="BL474" s="38"/>
      <c r="BM474" s="38"/>
      <c r="BN474" s="38"/>
      <c r="BO474" s="38"/>
      <c r="BP474" s="38"/>
    </row>
    <row r="475">
      <c r="A475" s="40"/>
      <c r="B475" s="40"/>
      <c r="AF475" s="38"/>
      <c r="AG475" s="38"/>
      <c r="AH475" s="38"/>
      <c r="AI475" s="38"/>
      <c r="AJ475" s="38"/>
      <c r="AK475" s="38"/>
      <c r="AL475" s="38"/>
      <c r="AM475" s="38"/>
      <c r="AN475" s="38"/>
      <c r="AO475" s="38"/>
      <c r="AP475" s="38"/>
      <c r="AQ475" s="38"/>
      <c r="AR475" s="38"/>
      <c r="AS475" s="38"/>
      <c r="AT475" s="38"/>
      <c r="AU475" s="38"/>
      <c r="AV475" s="38"/>
      <c r="AW475" s="38"/>
      <c r="AX475" s="38"/>
      <c r="AY475" s="38"/>
      <c r="AZ475" s="38"/>
      <c r="BA475" s="38"/>
      <c r="BB475" s="38"/>
      <c r="BC475" s="38"/>
      <c r="BD475" s="38"/>
      <c r="BE475" s="38"/>
      <c r="BF475" s="38"/>
      <c r="BG475" s="38"/>
      <c r="BH475" s="38"/>
      <c r="BI475" s="38"/>
      <c r="BJ475" s="38"/>
      <c r="BK475" s="38"/>
      <c r="BL475" s="38"/>
      <c r="BM475" s="38"/>
      <c r="BN475" s="38"/>
      <c r="BO475" s="38"/>
      <c r="BP475" s="38"/>
    </row>
    <row r="476">
      <c r="A476" s="40"/>
      <c r="B476" s="40"/>
      <c r="AF476" s="38"/>
      <c r="AG476" s="38"/>
      <c r="AH476" s="38"/>
      <c r="AI476" s="38"/>
      <c r="AJ476" s="38"/>
      <c r="AK476" s="38"/>
      <c r="AL476" s="38"/>
      <c r="AM476" s="38"/>
      <c r="AN476" s="38"/>
      <c r="AO476" s="38"/>
      <c r="AP476" s="38"/>
      <c r="AQ476" s="38"/>
      <c r="AR476" s="38"/>
      <c r="AS476" s="38"/>
      <c r="AT476" s="38"/>
      <c r="AU476" s="38"/>
      <c r="AV476" s="38"/>
      <c r="AW476" s="38"/>
      <c r="AX476" s="38"/>
      <c r="AY476" s="38"/>
      <c r="AZ476" s="38"/>
      <c r="BA476" s="38"/>
      <c r="BB476" s="38"/>
      <c r="BC476" s="38"/>
      <c r="BD476" s="38"/>
      <c r="BE476" s="38"/>
      <c r="BF476" s="38"/>
      <c r="BG476" s="38"/>
      <c r="BH476" s="38"/>
      <c r="BI476" s="38"/>
      <c r="BJ476" s="38"/>
      <c r="BK476" s="38"/>
      <c r="BL476" s="38"/>
      <c r="BM476" s="38"/>
      <c r="BN476" s="38"/>
      <c r="BO476" s="38"/>
      <c r="BP476" s="38"/>
    </row>
    <row r="477">
      <c r="A477" s="40"/>
      <c r="B477" s="40"/>
      <c r="AF477" s="38"/>
      <c r="AG477" s="38"/>
      <c r="AH477" s="38"/>
      <c r="AI477" s="38"/>
      <c r="AJ477" s="38"/>
      <c r="AK477" s="38"/>
      <c r="AL477" s="38"/>
      <c r="AM477" s="38"/>
      <c r="AN477" s="38"/>
      <c r="AO477" s="38"/>
      <c r="AP477" s="38"/>
      <c r="AQ477" s="38"/>
      <c r="AR477" s="38"/>
      <c r="AS477" s="38"/>
      <c r="AT477" s="38"/>
      <c r="AU477" s="38"/>
      <c r="AV477" s="38"/>
      <c r="AW477" s="38"/>
      <c r="AX477" s="38"/>
      <c r="AY477" s="38"/>
      <c r="AZ477" s="38"/>
      <c r="BA477" s="38"/>
      <c r="BB477" s="38"/>
      <c r="BC477" s="38"/>
      <c r="BD477" s="38"/>
      <c r="BE477" s="38"/>
      <c r="BF477" s="38"/>
      <c r="BG477" s="38"/>
      <c r="BH477" s="38"/>
      <c r="BI477" s="38"/>
      <c r="BJ477" s="38"/>
      <c r="BK477" s="38"/>
      <c r="BL477" s="38"/>
      <c r="BM477" s="38"/>
      <c r="BN477" s="38"/>
      <c r="BO477" s="38"/>
      <c r="BP477" s="38"/>
    </row>
    <row r="478">
      <c r="A478" s="40"/>
      <c r="B478" s="40"/>
      <c r="AF478" s="38"/>
      <c r="AG478" s="38"/>
      <c r="AH478" s="38"/>
      <c r="AI478" s="38"/>
      <c r="AJ478" s="38"/>
      <c r="AK478" s="38"/>
      <c r="AL478" s="38"/>
      <c r="AM478" s="38"/>
      <c r="AN478" s="38"/>
      <c r="AO478" s="38"/>
      <c r="AP478" s="38"/>
      <c r="AQ478" s="38"/>
      <c r="AR478" s="38"/>
      <c r="AS478" s="38"/>
      <c r="AT478" s="38"/>
      <c r="AU478" s="38"/>
      <c r="AV478" s="38"/>
      <c r="AW478" s="38"/>
      <c r="AX478" s="38"/>
      <c r="AY478" s="38"/>
      <c r="AZ478" s="38"/>
      <c r="BA478" s="38"/>
      <c r="BB478" s="38"/>
      <c r="BC478" s="38"/>
      <c r="BD478" s="38"/>
      <c r="BE478" s="38"/>
      <c r="BF478" s="38"/>
      <c r="BG478" s="38"/>
      <c r="BH478" s="38"/>
      <c r="BI478" s="38"/>
      <c r="BJ478" s="38"/>
      <c r="BK478" s="38"/>
      <c r="BL478" s="38"/>
      <c r="BM478" s="38"/>
      <c r="BN478" s="38"/>
      <c r="BO478" s="38"/>
      <c r="BP478" s="38"/>
    </row>
    <row r="479">
      <c r="A479" s="40"/>
      <c r="B479" s="40"/>
      <c r="AF479" s="38"/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  <c r="BI479" s="38"/>
      <c r="BJ479" s="38"/>
      <c r="BK479" s="38"/>
      <c r="BL479" s="38"/>
      <c r="BM479" s="38"/>
      <c r="BN479" s="38"/>
      <c r="BO479" s="38"/>
      <c r="BP479" s="38"/>
    </row>
    <row r="480">
      <c r="A480" s="40"/>
      <c r="B480" s="40"/>
      <c r="AF480" s="38"/>
      <c r="AG480" s="38"/>
      <c r="AH480" s="38"/>
      <c r="AI480" s="38"/>
      <c r="AJ480" s="38"/>
      <c r="AK480" s="38"/>
      <c r="AL480" s="38"/>
      <c r="AM480" s="38"/>
      <c r="AN480" s="38"/>
      <c r="AO480" s="38"/>
      <c r="AP480" s="38"/>
      <c r="AQ480" s="38"/>
      <c r="AR480" s="38"/>
      <c r="AS480" s="38"/>
      <c r="AT480" s="38"/>
      <c r="AU480" s="38"/>
      <c r="AV480" s="38"/>
      <c r="AW480" s="38"/>
      <c r="AX480" s="38"/>
      <c r="AY480" s="38"/>
      <c r="AZ480" s="38"/>
      <c r="BA480" s="38"/>
      <c r="BB480" s="38"/>
      <c r="BC480" s="38"/>
      <c r="BD480" s="38"/>
      <c r="BE480" s="38"/>
      <c r="BF480" s="38"/>
      <c r="BG480" s="38"/>
      <c r="BH480" s="38"/>
      <c r="BI480" s="38"/>
      <c r="BJ480" s="38"/>
      <c r="BK480" s="38"/>
      <c r="BL480" s="38"/>
      <c r="BM480" s="38"/>
      <c r="BN480" s="38"/>
      <c r="BO480" s="38"/>
      <c r="BP480" s="38"/>
    </row>
    <row r="481">
      <c r="A481" s="40"/>
      <c r="B481" s="40"/>
      <c r="AF481" s="38"/>
      <c r="AG481" s="38"/>
      <c r="AH481" s="38"/>
      <c r="AI481" s="38"/>
      <c r="AJ481" s="38"/>
      <c r="AK481" s="38"/>
      <c r="AL481" s="38"/>
      <c r="AM481" s="38"/>
      <c r="AN481" s="38"/>
      <c r="AO481" s="38"/>
      <c r="AP481" s="38"/>
      <c r="AQ481" s="38"/>
      <c r="AR481" s="38"/>
      <c r="AS481" s="38"/>
      <c r="AT481" s="38"/>
      <c r="AU481" s="38"/>
      <c r="AV481" s="38"/>
      <c r="AW481" s="38"/>
      <c r="AX481" s="38"/>
      <c r="AY481" s="38"/>
      <c r="AZ481" s="38"/>
      <c r="BA481" s="38"/>
      <c r="BB481" s="38"/>
      <c r="BC481" s="38"/>
      <c r="BD481" s="38"/>
      <c r="BE481" s="38"/>
      <c r="BF481" s="38"/>
      <c r="BG481" s="38"/>
      <c r="BH481" s="38"/>
      <c r="BI481" s="38"/>
      <c r="BJ481" s="38"/>
      <c r="BK481" s="38"/>
      <c r="BL481" s="38"/>
      <c r="BM481" s="38"/>
      <c r="BN481" s="38"/>
      <c r="BO481" s="38"/>
      <c r="BP481" s="38"/>
    </row>
    <row r="482">
      <c r="A482" s="40"/>
      <c r="B482" s="40"/>
      <c r="AF482" s="38"/>
      <c r="AG482" s="38"/>
      <c r="AH482" s="38"/>
      <c r="AI482" s="38"/>
      <c r="AJ482" s="38"/>
      <c r="AK482" s="38"/>
      <c r="AL482" s="38"/>
      <c r="AM482" s="38"/>
      <c r="AN482" s="38"/>
      <c r="AO482" s="38"/>
      <c r="AP482" s="38"/>
      <c r="AQ482" s="38"/>
      <c r="AR482" s="38"/>
      <c r="AS482" s="38"/>
      <c r="AT482" s="38"/>
      <c r="AU482" s="38"/>
      <c r="AV482" s="38"/>
      <c r="AW482" s="38"/>
      <c r="AX482" s="38"/>
      <c r="AY482" s="38"/>
      <c r="AZ482" s="38"/>
      <c r="BA482" s="38"/>
      <c r="BB482" s="38"/>
      <c r="BC482" s="38"/>
      <c r="BD482" s="38"/>
      <c r="BE482" s="38"/>
      <c r="BF482" s="38"/>
      <c r="BG482" s="38"/>
      <c r="BH482" s="38"/>
      <c r="BI482" s="38"/>
      <c r="BJ482" s="38"/>
      <c r="BK482" s="38"/>
      <c r="BL482" s="38"/>
      <c r="BM482" s="38"/>
      <c r="BN482" s="38"/>
      <c r="BO482" s="38"/>
      <c r="BP482" s="38"/>
    </row>
    <row r="483">
      <c r="A483" s="40"/>
      <c r="B483" s="40"/>
      <c r="AF483" s="38"/>
      <c r="AG483" s="38"/>
      <c r="AH483" s="38"/>
      <c r="AI483" s="38"/>
      <c r="AJ483" s="38"/>
      <c r="AK483" s="38"/>
      <c r="AL483" s="38"/>
      <c r="AM483" s="38"/>
      <c r="AN483" s="38"/>
      <c r="AO483" s="38"/>
      <c r="AP483" s="38"/>
      <c r="AQ483" s="38"/>
      <c r="AR483" s="38"/>
      <c r="AS483" s="38"/>
      <c r="AT483" s="38"/>
      <c r="AU483" s="38"/>
      <c r="AV483" s="38"/>
      <c r="AW483" s="38"/>
      <c r="AX483" s="38"/>
      <c r="AY483" s="38"/>
      <c r="AZ483" s="38"/>
      <c r="BA483" s="38"/>
      <c r="BB483" s="38"/>
      <c r="BC483" s="38"/>
      <c r="BD483" s="38"/>
      <c r="BE483" s="38"/>
      <c r="BF483" s="38"/>
      <c r="BG483" s="38"/>
      <c r="BH483" s="38"/>
      <c r="BI483" s="38"/>
      <c r="BJ483" s="38"/>
      <c r="BK483" s="38"/>
      <c r="BL483" s="38"/>
      <c r="BM483" s="38"/>
      <c r="BN483" s="38"/>
      <c r="BO483" s="38"/>
      <c r="BP483" s="38"/>
    </row>
    <row r="484">
      <c r="A484" s="40"/>
      <c r="B484" s="40"/>
      <c r="AF484" s="38"/>
      <c r="AG484" s="38"/>
      <c r="AH484" s="38"/>
      <c r="AI484" s="38"/>
      <c r="AJ484" s="38"/>
      <c r="AK484" s="38"/>
      <c r="AL484" s="38"/>
      <c r="AM484" s="38"/>
      <c r="AN484" s="38"/>
      <c r="AO484" s="38"/>
      <c r="AP484" s="38"/>
      <c r="AQ484" s="38"/>
      <c r="AR484" s="38"/>
      <c r="AS484" s="38"/>
      <c r="AT484" s="38"/>
      <c r="AU484" s="38"/>
      <c r="AV484" s="38"/>
      <c r="AW484" s="38"/>
      <c r="AX484" s="38"/>
      <c r="AY484" s="38"/>
      <c r="AZ484" s="38"/>
      <c r="BA484" s="38"/>
      <c r="BB484" s="38"/>
      <c r="BC484" s="38"/>
      <c r="BD484" s="38"/>
      <c r="BE484" s="38"/>
      <c r="BF484" s="38"/>
      <c r="BG484" s="38"/>
      <c r="BH484" s="38"/>
      <c r="BI484" s="38"/>
      <c r="BJ484" s="38"/>
      <c r="BK484" s="38"/>
      <c r="BL484" s="38"/>
      <c r="BM484" s="38"/>
      <c r="BN484" s="38"/>
      <c r="BO484" s="38"/>
      <c r="BP484" s="38"/>
    </row>
    <row r="485">
      <c r="A485" s="40"/>
      <c r="B485" s="40"/>
      <c r="AF485" s="38"/>
      <c r="AG485" s="38"/>
      <c r="AH485" s="38"/>
      <c r="AI485" s="38"/>
      <c r="AJ485" s="38"/>
      <c r="AK485" s="38"/>
      <c r="AL485" s="38"/>
      <c r="AM485" s="38"/>
      <c r="AN485" s="38"/>
      <c r="AO485" s="38"/>
      <c r="AP485" s="38"/>
      <c r="AQ485" s="38"/>
      <c r="AR485" s="38"/>
      <c r="AS485" s="38"/>
      <c r="AT485" s="38"/>
      <c r="AU485" s="38"/>
      <c r="AV485" s="38"/>
      <c r="AW485" s="38"/>
      <c r="AX485" s="38"/>
      <c r="AY485" s="38"/>
      <c r="AZ485" s="38"/>
      <c r="BA485" s="38"/>
      <c r="BB485" s="38"/>
      <c r="BC485" s="38"/>
      <c r="BD485" s="38"/>
      <c r="BE485" s="38"/>
      <c r="BF485" s="38"/>
      <c r="BG485" s="38"/>
      <c r="BH485" s="38"/>
      <c r="BI485" s="38"/>
      <c r="BJ485" s="38"/>
      <c r="BK485" s="38"/>
      <c r="BL485" s="38"/>
      <c r="BM485" s="38"/>
      <c r="BN485" s="38"/>
      <c r="BO485" s="38"/>
      <c r="BP485" s="38"/>
    </row>
    <row r="486">
      <c r="A486" s="40"/>
      <c r="B486" s="40"/>
      <c r="AF486" s="38"/>
      <c r="AG486" s="38"/>
      <c r="AH486" s="38"/>
      <c r="AI486" s="38"/>
      <c r="AJ486" s="38"/>
      <c r="AK486" s="38"/>
      <c r="AL486" s="38"/>
      <c r="AM486" s="38"/>
      <c r="AN486" s="38"/>
      <c r="AO486" s="38"/>
      <c r="AP486" s="38"/>
      <c r="AQ486" s="38"/>
      <c r="AR486" s="38"/>
      <c r="AS486" s="38"/>
      <c r="AT486" s="38"/>
      <c r="AU486" s="38"/>
      <c r="AV486" s="38"/>
      <c r="AW486" s="38"/>
      <c r="AX486" s="38"/>
      <c r="AY486" s="38"/>
      <c r="AZ486" s="38"/>
      <c r="BA486" s="38"/>
      <c r="BB486" s="38"/>
      <c r="BC486" s="38"/>
      <c r="BD486" s="38"/>
      <c r="BE486" s="38"/>
      <c r="BF486" s="38"/>
      <c r="BG486" s="38"/>
      <c r="BH486" s="38"/>
      <c r="BI486" s="38"/>
      <c r="BJ486" s="38"/>
      <c r="BK486" s="38"/>
      <c r="BL486" s="38"/>
      <c r="BM486" s="38"/>
      <c r="BN486" s="38"/>
      <c r="BO486" s="38"/>
      <c r="BP486" s="38"/>
    </row>
    <row r="487">
      <c r="A487" s="40"/>
      <c r="B487" s="40"/>
      <c r="AF487" s="38"/>
      <c r="AG487" s="38"/>
      <c r="AH487" s="38"/>
      <c r="AI487" s="38"/>
      <c r="AJ487" s="38"/>
      <c r="AK487" s="38"/>
      <c r="AL487" s="38"/>
      <c r="AM487" s="38"/>
      <c r="AN487" s="38"/>
      <c r="AO487" s="38"/>
      <c r="AP487" s="38"/>
      <c r="AQ487" s="38"/>
      <c r="AR487" s="38"/>
      <c r="AS487" s="38"/>
      <c r="AT487" s="38"/>
      <c r="AU487" s="38"/>
      <c r="AV487" s="38"/>
      <c r="AW487" s="38"/>
      <c r="AX487" s="38"/>
      <c r="AY487" s="38"/>
      <c r="AZ487" s="38"/>
      <c r="BA487" s="38"/>
      <c r="BB487" s="38"/>
      <c r="BC487" s="38"/>
      <c r="BD487" s="38"/>
      <c r="BE487" s="38"/>
      <c r="BF487" s="38"/>
      <c r="BG487" s="38"/>
      <c r="BH487" s="38"/>
      <c r="BI487" s="38"/>
      <c r="BJ487" s="38"/>
      <c r="BK487" s="38"/>
      <c r="BL487" s="38"/>
      <c r="BM487" s="38"/>
      <c r="BN487" s="38"/>
      <c r="BO487" s="38"/>
      <c r="BP487" s="38"/>
    </row>
    <row r="488">
      <c r="A488" s="40"/>
      <c r="B488" s="40"/>
      <c r="AF488" s="38"/>
      <c r="AG488" s="38"/>
      <c r="AH488" s="38"/>
      <c r="AI488" s="38"/>
      <c r="AJ488" s="38"/>
      <c r="AK488" s="38"/>
      <c r="AL488" s="38"/>
      <c r="AM488" s="38"/>
      <c r="AN488" s="38"/>
      <c r="AO488" s="38"/>
      <c r="AP488" s="38"/>
      <c r="AQ488" s="38"/>
      <c r="AR488" s="38"/>
      <c r="AS488" s="38"/>
      <c r="AT488" s="38"/>
      <c r="AU488" s="38"/>
      <c r="AV488" s="38"/>
      <c r="AW488" s="38"/>
      <c r="AX488" s="38"/>
      <c r="AY488" s="38"/>
      <c r="AZ488" s="38"/>
      <c r="BA488" s="38"/>
      <c r="BB488" s="38"/>
      <c r="BC488" s="38"/>
      <c r="BD488" s="38"/>
      <c r="BE488" s="38"/>
      <c r="BF488" s="38"/>
      <c r="BG488" s="38"/>
      <c r="BH488" s="38"/>
      <c r="BI488" s="38"/>
      <c r="BJ488" s="38"/>
      <c r="BK488" s="38"/>
      <c r="BL488" s="38"/>
      <c r="BM488" s="38"/>
      <c r="BN488" s="38"/>
      <c r="BO488" s="38"/>
      <c r="BP488" s="38"/>
    </row>
    <row r="489">
      <c r="A489" s="40"/>
      <c r="B489" s="40"/>
      <c r="AF489" s="38"/>
      <c r="AG489" s="38"/>
      <c r="AH489" s="38"/>
      <c r="AI489" s="38"/>
      <c r="AJ489" s="38"/>
      <c r="AK489" s="38"/>
      <c r="AL489" s="38"/>
      <c r="AM489" s="38"/>
      <c r="AN489" s="38"/>
      <c r="AO489" s="38"/>
      <c r="AP489" s="38"/>
      <c r="AQ489" s="38"/>
      <c r="AR489" s="38"/>
      <c r="AS489" s="38"/>
      <c r="AT489" s="38"/>
      <c r="AU489" s="38"/>
      <c r="AV489" s="38"/>
      <c r="AW489" s="38"/>
      <c r="AX489" s="38"/>
      <c r="AY489" s="38"/>
      <c r="AZ489" s="38"/>
      <c r="BA489" s="38"/>
      <c r="BB489" s="38"/>
      <c r="BC489" s="38"/>
      <c r="BD489" s="38"/>
      <c r="BE489" s="38"/>
      <c r="BF489" s="38"/>
      <c r="BG489" s="38"/>
      <c r="BH489" s="38"/>
      <c r="BI489" s="38"/>
      <c r="BJ489" s="38"/>
      <c r="BK489" s="38"/>
      <c r="BL489" s="38"/>
      <c r="BM489" s="38"/>
      <c r="BN489" s="38"/>
      <c r="BO489" s="38"/>
      <c r="BP489" s="38"/>
    </row>
    <row r="490">
      <c r="A490" s="40"/>
      <c r="B490" s="40"/>
      <c r="AF490" s="38"/>
      <c r="AG490" s="38"/>
      <c r="AH490" s="38"/>
      <c r="AI490" s="38"/>
      <c r="AJ490" s="38"/>
      <c r="AK490" s="38"/>
      <c r="AL490" s="38"/>
      <c r="AM490" s="38"/>
      <c r="AN490" s="38"/>
      <c r="AO490" s="38"/>
      <c r="AP490" s="38"/>
      <c r="AQ490" s="38"/>
      <c r="AR490" s="38"/>
      <c r="AS490" s="38"/>
      <c r="AT490" s="38"/>
      <c r="AU490" s="38"/>
      <c r="AV490" s="38"/>
      <c r="AW490" s="38"/>
      <c r="AX490" s="38"/>
      <c r="AY490" s="38"/>
      <c r="AZ490" s="38"/>
      <c r="BA490" s="38"/>
      <c r="BB490" s="38"/>
      <c r="BC490" s="38"/>
      <c r="BD490" s="38"/>
      <c r="BE490" s="38"/>
      <c r="BF490" s="38"/>
      <c r="BG490" s="38"/>
      <c r="BH490" s="38"/>
      <c r="BI490" s="38"/>
      <c r="BJ490" s="38"/>
      <c r="BK490" s="38"/>
      <c r="BL490" s="38"/>
      <c r="BM490" s="38"/>
      <c r="BN490" s="38"/>
      <c r="BO490" s="38"/>
      <c r="BP490" s="38"/>
    </row>
    <row r="491">
      <c r="A491" s="40"/>
      <c r="B491" s="40"/>
      <c r="AF491" s="38"/>
      <c r="AG491" s="38"/>
      <c r="AH491" s="38"/>
      <c r="AI491" s="38"/>
      <c r="AJ491" s="38"/>
      <c r="AK491" s="38"/>
      <c r="AL491" s="38"/>
      <c r="AM491" s="38"/>
      <c r="AN491" s="38"/>
      <c r="AO491" s="38"/>
      <c r="AP491" s="38"/>
      <c r="AQ491" s="38"/>
      <c r="AR491" s="38"/>
      <c r="AS491" s="38"/>
      <c r="AT491" s="38"/>
      <c r="AU491" s="38"/>
      <c r="AV491" s="38"/>
      <c r="AW491" s="38"/>
      <c r="AX491" s="38"/>
      <c r="AY491" s="38"/>
      <c r="AZ491" s="38"/>
      <c r="BA491" s="38"/>
      <c r="BB491" s="38"/>
      <c r="BC491" s="38"/>
      <c r="BD491" s="38"/>
      <c r="BE491" s="38"/>
      <c r="BF491" s="38"/>
      <c r="BG491" s="38"/>
      <c r="BH491" s="38"/>
      <c r="BI491" s="38"/>
      <c r="BJ491" s="38"/>
      <c r="BK491" s="38"/>
      <c r="BL491" s="38"/>
      <c r="BM491" s="38"/>
      <c r="BN491" s="38"/>
      <c r="BO491" s="38"/>
      <c r="BP491" s="38"/>
    </row>
    <row r="492">
      <c r="A492" s="40"/>
      <c r="B492" s="40"/>
      <c r="AF492" s="38"/>
      <c r="AG492" s="38"/>
      <c r="AH492" s="38"/>
      <c r="AI492" s="38"/>
      <c r="AJ492" s="38"/>
      <c r="AK492" s="38"/>
      <c r="AL492" s="38"/>
      <c r="AM492" s="38"/>
      <c r="AN492" s="38"/>
      <c r="AO492" s="38"/>
      <c r="AP492" s="38"/>
      <c r="AQ492" s="38"/>
      <c r="AR492" s="38"/>
      <c r="AS492" s="38"/>
      <c r="AT492" s="38"/>
      <c r="AU492" s="38"/>
      <c r="AV492" s="38"/>
      <c r="AW492" s="38"/>
      <c r="AX492" s="38"/>
      <c r="AY492" s="38"/>
      <c r="AZ492" s="38"/>
      <c r="BA492" s="38"/>
      <c r="BB492" s="38"/>
      <c r="BC492" s="38"/>
      <c r="BD492" s="38"/>
      <c r="BE492" s="38"/>
      <c r="BF492" s="38"/>
      <c r="BG492" s="38"/>
      <c r="BH492" s="38"/>
      <c r="BI492" s="38"/>
      <c r="BJ492" s="38"/>
      <c r="BK492" s="38"/>
      <c r="BL492" s="38"/>
      <c r="BM492" s="38"/>
      <c r="BN492" s="38"/>
      <c r="BO492" s="38"/>
      <c r="BP492" s="38"/>
    </row>
    <row r="493">
      <c r="A493" s="40"/>
      <c r="B493" s="40"/>
      <c r="AF493" s="38"/>
      <c r="AG493" s="38"/>
      <c r="AH493" s="38"/>
      <c r="AI493" s="38"/>
      <c r="AJ493" s="38"/>
      <c r="AK493" s="38"/>
      <c r="AL493" s="38"/>
      <c r="AM493" s="38"/>
      <c r="AN493" s="38"/>
      <c r="AO493" s="38"/>
      <c r="AP493" s="38"/>
      <c r="AQ493" s="38"/>
      <c r="AR493" s="38"/>
      <c r="AS493" s="38"/>
      <c r="AT493" s="38"/>
      <c r="AU493" s="38"/>
      <c r="AV493" s="38"/>
      <c r="AW493" s="38"/>
      <c r="AX493" s="38"/>
      <c r="AY493" s="38"/>
      <c r="AZ493" s="38"/>
      <c r="BA493" s="38"/>
      <c r="BB493" s="38"/>
      <c r="BC493" s="38"/>
      <c r="BD493" s="38"/>
      <c r="BE493" s="38"/>
      <c r="BF493" s="38"/>
      <c r="BG493" s="38"/>
      <c r="BH493" s="38"/>
      <c r="BI493" s="38"/>
      <c r="BJ493" s="38"/>
      <c r="BK493" s="38"/>
      <c r="BL493" s="38"/>
      <c r="BM493" s="38"/>
      <c r="BN493" s="38"/>
      <c r="BO493" s="38"/>
      <c r="BP493" s="38"/>
    </row>
    <row r="494">
      <c r="A494" s="40"/>
      <c r="B494" s="40"/>
      <c r="AF494" s="38"/>
      <c r="AG494" s="38"/>
      <c r="AH494" s="38"/>
      <c r="AI494" s="38"/>
      <c r="AJ494" s="38"/>
      <c r="AK494" s="38"/>
      <c r="AL494" s="38"/>
      <c r="AM494" s="38"/>
      <c r="AN494" s="38"/>
      <c r="AO494" s="38"/>
      <c r="AP494" s="38"/>
      <c r="AQ494" s="38"/>
      <c r="AR494" s="38"/>
      <c r="AS494" s="38"/>
      <c r="AT494" s="38"/>
      <c r="AU494" s="38"/>
      <c r="AV494" s="38"/>
      <c r="AW494" s="38"/>
      <c r="AX494" s="38"/>
      <c r="AY494" s="38"/>
      <c r="AZ494" s="38"/>
      <c r="BA494" s="38"/>
      <c r="BB494" s="38"/>
      <c r="BC494" s="38"/>
      <c r="BD494" s="38"/>
      <c r="BE494" s="38"/>
      <c r="BF494" s="38"/>
      <c r="BG494" s="38"/>
      <c r="BH494" s="38"/>
      <c r="BI494" s="38"/>
      <c r="BJ494" s="38"/>
      <c r="BK494" s="38"/>
      <c r="BL494" s="38"/>
      <c r="BM494" s="38"/>
      <c r="BN494" s="38"/>
      <c r="BO494" s="38"/>
      <c r="BP494" s="38"/>
    </row>
    <row r="495">
      <c r="A495" s="40"/>
      <c r="B495" s="40"/>
      <c r="AF495" s="38"/>
      <c r="AG495" s="38"/>
      <c r="AH495" s="38"/>
      <c r="AI495" s="38"/>
      <c r="AJ495" s="38"/>
      <c r="AK495" s="38"/>
      <c r="AL495" s="38"/>
      <c r="AM495" s="38"/>
      <c r="AN495" s="38"/>
      <c r="AO495" s="38"/>
      <c r="AP495" s="38"/>
      <c r="AQ495" s="38"/>
      <c r="AR495" s="38"/>
      <c r="AS495" s="38"/>
      <c r="AT495" s="38"/>
      <c r="AU495" s="38"/>
      <c r="AV495" s="38"/>
      <c r="AW495" s="38"/>
      <c r="AX495" s="38"/>
      <c r="AY495" s="38"/>
      <c r="AZ495" s="38"/>
      <c r="BA495" s="38"/>
      <c r="BB495" s="38"/>
      <c r="BC495" s="38"/>
      <c r="BD495" s="38"/>
      <c r="BE495" s="38"/>
      <c r="BF495" s="38"/>
      <c r="BG495" s="38"/>
      <c r="BH495" s="38"/>
      <c r="BI495" s="38"/>
      <c r="BJ495" s="38"/>
      <c r="BK495" s="38"/>
      <c r="BL495" s="38"/>
      <c r="BM495" s="38"/>
      <c r="BN495" s="38"/>
      <c r="BO495" s="38"/>
      <c r="BP495" s="38"/>
    </row>
    <row r="496">
      <c r="A496" s="40"/>
      <c r="B496" s="40"/>
      <c r="AF496" s="38"/>
      <c r="AG496" s="38"/>
      <c r="AH496" s="38"/>
      <c r="AI496" s="38"/>
      <c r="AJ496" s="38"/>
      <c r="AK496" s="38"/>
      <c r="AL496" s="38"/>
      <c r="AM496" s="38"/>
      <c r="AN496" s="38"/>
      <c r="AO496" s="38"/>
      <c r="AP496" s="38"/>
      <c r="AQ496" s="38"/>
      <c r="AR496" s="38"/>
      <c r="AS496" s="38"/>
      <c r="AT496" s="38"/>
      <c r="AU496" s="38"/>
      <c r="AV496" s="38"/>
      <c r="AW496" s="38"/>
      <c r="AX496" s="38"/>
      <c r="AY496" s="38"/>
      <c r="AZ496" s="38"/>
      <c r="BA496" s="38"/>
      <c r="BB496" s="38"/>
      <c r="BC496" s="38"/>
      <c r="BD496" s="38"/>
      <c r="BE496" s="38"/>
      <c r="BF496" s="38"/>
      <c r="BG496" s="38"/>
      <c r="BH496" s="38"/>
      <c r="BI496" s="38"/>
      <c r="BJ496" s="38"/>
      <c r="BK496" s="38"/>
      <c r="BL496" s="38"/>
      <c r="BM496" s="38"/>
      <c r="BN496" s="38"/>
      <c r="BO496" s="38"/>
      <c r="BP496" s="38"/>
    </row>
    <row r="497">
      <c r="A497" s="40"/>
      <c r="B497" s="40"/>
      <c r="AF497" s="38"/>
      <c r="AG497" s="38"/>
      <c r="AH497" s="38"/>
      <c r="AI497" s="38"/>
      <c r="AJ497" s="38"/>
      <c r="AK497" s="38"/>
      <c r="AL497" s="38"/>
      <c r="AM497" s="38"/>
      <c r="AN497" s="38"/>
      <c r="AO497" s="38"/>
      <c r="AP497" s="38"/>
      <c r="AQ497" s="38"/>
      <c r="AR497" s="38"/>
      <c r="AS497" s="38"/>
      <c r="AT497" s="38"/>
      <c r="AU497" s="38"/>
      <c r="AV497" s="38"/>
      <c r="AW497" s="38"/>
      <c r="AX497" s="38"/>
      <c r="AY497" s="38"/>
      <c r="AZ497" s="38"/>
      <c r="BA497" s="38"/>
      <c r="BB497" s="38"/>
      <c r="BC497" s="38"/>
      <c r="BD497" s="38"/>
      <c r="BE497" s="38"/>
      <c r="BF497" s="38"/>
      <c r="BG497" s="38"/>
      <c r="BH497" s="38"/>
      <c r="BI497" s="38"/>
      <c r="BJ497" s="38"/>
      <c r="BK497" s="38"/>
      <c r="BL497" s="38"/>
      <c r="BM497" s="38"/>
      <c r="BN497" s="38"/>
      <c r="BO497" s="38"/>
      <c r="BP497" s="38"/>
    </row>
    <row r="498">
      <c r="A498" s="40"/>
      <c r="B498" s="40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  <c r="AZ498" s="38"/>
      <c r="BA498" s="38"/>
      <c r="BB498" s="38"/>
      <c r="BC498" s="38"/>
      <c r="BD498" s="38"/>
      <c r="BE498" s="38"/>
      <c r="BF498" s="38"/>
      <c r="BG498" s="38"/>
      <c r="BH498" s="38"/>
      <c r="BI498" s="38"/>
      <c r="BJ498" s="38"/>
      <c r="BK498" s="38"/>
      <c r="BL498" s="38"/>
      <c r="BM498" s="38"/>
      <c r="BN498" s="38"/>
      <c r="BO498" s="38"/>
      <c r="BP498" s="38"/>
    </row>
    <row r="499">
      <c r="A499" s="40"/>
      <c r="B499" s="40"/>
      <c r="AF499" s="38"/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  <c r="AV499" s="38"/>
      <c r="AW499" s="38"/>
      <c r="AX499" s="38"/>
      <c r="AY499" s="38"/>
      <c r="AZ499" s="38"/>
      <c r="BA499" s="38"/>
      <c r="BB499" s="38"/>
      <c r="BC499" s="38"/>
      <c r="BD499" s="38"/>
      <c r="BE499" s="38"/>
      <c r="BF499" s="38"/>
      <c r="BG499" s="38"/>
      <c r="BH499" s="38"/>
      <c r="BI499" s="38"/>
      <c r="BJ499" s="38"/>
      <c r="BK499" s="38"/>
      <c r="BL499" s="38"/>
      <c r="BM499" s="38"/>
      <c r="BN499" s="38"/>
      <c r="BO499" s="38"/>
      <c r="BP499" s="38"/>
    </row>
    <row r="500">
      <c r="A500" s="40"/>
      <c r="B500" s="40"/>
      <c r="AF500" s="38"/>
      <c r="AG500" s="38"/>
      <c r="AH500" s="38"/>
      <c r="AI500" s="38"/>
      <c r="AJ500" s="38"/>
      <c r="AK500" s="38"/>
      <c r="AL500" s="38"/>
      <c r="AM500" s="38"/>
      <c r="AN500" s="38"/>
      <c r="AO500" s="38"/>
      <c r="AP500" s="38"/>
      <c r="AQ500" s="38"/>
      <c r="AR500" s="38"/>
      <c r="AS500" s="38"/>
      <c r="AT500" s="38"/>
      <c r="AU500" s="38"/>
      <c r="AV500" s="38"/>
      <c r="AW500" s="38"/>
      <c r="AX500" s="38"/>
      <c r="AY500" s="38"/>
      <c r="AZ500" s="38"/>
      <c r="BA500" s="38"/>
      <c r="BB500" s="38"/>
      <c r="BC500" s="38"/>
      <c r="BD500" s="38"/>
      <c r="BE500" s="38"/>
      <c r="BF500" s="38"/>
      <c r="BG500" s="38"/>
      <c r="BH500" s="38"/>
      <c r="BI500" s="38"/>
      <c r="BJ500" s="38"/>
      <c r="BK500" s="38"/>
      <c r="BL500" s="38"/>
      <c r="BM500" s="38"/>
      <c r="BN500" s="38"/>
      <c r="BO500" s="38"/>
      <c r="BP500" s="38"/>
    </row>
    <row r="501">
      <c r="A501" s="40"/>
      <c r="B501" s="40"/>
      <c r="AF501" s="38"/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  <c r="AV501" s="38"/>
      <c r="AW501" s="38"/>
      <c r="AX501" s="38"/>
      <c r="AY501" s="38"/>
      <c r="AZ501" s="38"/>
      <c r="BA501" s="38"/>
      <c r="BB501" s="38"/>
      <c r="BC501" s="38"/>
      <c r="BD501" s="38"/>
      <c r="BE501" s="38"/>
      <c r="BF501" s="38"/>
      <c r="BG501" s="38"/>
      <c r="BH501" s="38"/>
      <c r="BI501" s="38"/>
      <c r="BJ501" s="38"/>
      <c r="BK501" s="38"/>
      <c r="BL501" s="38"/>
      <c r="BM501" s="38"/>
      <c r="BN501" s="38"/>
      <c r="BO501" s="38"/>
      <c r="BP501" s="38"/>
    </row>
    <row r="502">
      <c r="A502" s="40"/>
      <c r="B502" s="40"/>
      <c r="AF502" s="38"/>
      <c r="AG502" s="38"/>
      <c r="AH502" s="38"/>
      <c r="AI502" s="38"/>
      <c r="AJ502" s="38"/>
      <c r="AK502" s="38"/>
      <c r="AL502" s="38"/>
      <c r="AM502" s="38"/>
      <c r="AN502" s="38"/>
      <c r="AO502" s="38"/>
      <c r="AP502" s="38"/>
      <c r="AQ502" s="38"/>
      <c r="AR502" s="38"/>
      <c r="AS502" s="38"/>
      <c r="AT502" s="38"/>
      <c r="AU502" s="38"/>
      <c r="AV502" s="38"/>
      <c r="AW502" s="38"/>
      <c r="AX502" s="38"/>
      <c r="AY502" s="38"/>
      <c r="AZ502" s="38"/>
      <c r="BA502" s="38"/>
      <c r="BB502" s="38"/>
      <c r="BC502" s="38"/>
      <c r="BD502" s="38"/>
      <c r="BE502" s="38"/>
      <c r="BF502" s="38"/>
      <c r="BG502" s="38"/>
      <c r="BH502" s="38"/>
      <c r="BI502" s="38"/>
      <c r="BJ502" s="38"/>
      <c r="BK502" s="38"/>
      <c r="BL502" s="38"/>
      <c r="BM502" s="38"/>
      <c r="BN502" s="38"/>
      <c r="BO502" s="38"/>
      <c r="BP502" s="38"/>
    </row>
    <row r="503">
      <c r="A503" s="40"/>
      <c r="B503" s="40"/>
      <c r="AF503" s="38"/>
      <c r="AG503" s="38"/>
      <c r="AH503" s="38"/>
      <c r="AI503" s="38"/>
      <c r="AJ503" s="38"/>
      <c r="AK503" s="38"/>
      <c r="AL503" s="38"/>
      <c r="AM503" s="38"/>
      <c r="AN503" s="38"/>
      <c r="AO503" s="38"/>
      <c r="AP503" s="38"/>
      <c r="AQ503" s="38"/>
      <c r="AR503" s="38"/>
      <c r="AS503" s="38"/>
      <c r="AT503" s="38"/>
      <c r="AU503" s="38"/>
      <c r="AV503" s="38"/>
      <c r="AW503" s="38"/>
      <c r="AX503" s="38"/>
      <c r="AY503" s="38"/>
      <c r="AZ503" s="38"/>
      <c r="BA503" s="38"/>
      <c r="BB503" s="38"/>
      <c r="BC503" s="38"/>
      <c r="BD503" s="38"/>
      <c r="BE503" s="38"/>
      <c r="BF503" s="38"/>
      <c r="BG503" s="38"/>
      <c r="BH503" s="38"/>
      <c r="BI503" s="38"/>
      <c r="BJ503" s="38"/>
      <c r="BK503" s="38"/>
      <c r="BL503" s="38"/>
      <c r="BM503" s="38"/>
      <c r="BN503" s="38"/>
      <c r="BO503" s="38"/>
      <c r="BP503" s="38"/>
    </row>
    <row r="504">
      <c r="A504" s="40"/>
      <c r="B504" s="40"/>
      <c r="AF504" s="38"/>
      <c r="AG504" s="38"/>
      <c r="AH504" s="38"/>
      <c r="AI504" s="38"/>
      <c r="AJ504" s="38"/>
      <c r="AK504" s="38"/>
      <c r="AL504" s="38"/>
      <c r="AM504" s="38"/>
      <c r="AN504" s="38"/>
      <c r="AO504" s="38"/>
      <c r="AP504" s="38"/>
      <c r="AQ504" s="38"/>
      <c r="AR504" s="38"/>
      <c r="AS504" s="38"/>
      <c r="AT504" s="38"/>
      <c r="AU504" s="38"/>
      <c r="AV504" s="38"/>
      <c r="AW504" s="38"/>
      <c r="AX504" s="38"/>
      <c r="AY504" s="38"/>
      <c r="AZ504" s="38"/>
      <c r="BA504" s="38"/>
      <c r="BB504" s="38"/>
      <c r="BC504" s="38"/>
      <c r="BD504" s="38"/>
      <c r="BE504" s="38"/>
      <c r="BF504" s="38"/>
      <c r="BG504" s="38"/>
      <c r="BH504" s="38"/>
      <c r="BI504" s="38"/>
      <c r="BJ504" s="38"/>
      <c r="BK504" s="38"/>
      <c r="BL504" s="38"/>
      <c r="BM504" s="38"/>
      <c r="BN504" s="38"/>
      <c r="BO504" s="38"/>
      <c r="BP504" s="38"/>
    </row>
    <row r="505">
      <c r="A505" s="40"/>
      <c r="B505" s="40"/>
      <c r="AF505" s="38"/>
      <c r="AG505" s="38"/>
      <c r="AH505" s="38"/>
      <c r="AI505" s="38"/>
      <c r="AJ505" s="38"/>
      <c r="AK505" s="38"/>
      <c r="AL505" s="38"/>
      <c r="AM505" s="38"/>
      <c r="AN505" s="38"/>
      <c r="AO505" s="38"/>
      <c r="AP505" s="38"/>
      <c r="AQ505" s="38"/>
      <c r="AR505" s="38"/>
      <c r="AS505" s="38"/>
      <c r="AT505" s="38"/>
      <c r="AU505" s="38"/>
      <c r="AV505" s="38"/>
      <c r="AW505" s="38"/>
      <c r="AX505" s="38"/>
      <c r="AY505" s="38"/>
      <c r="AZ505" s="38"/>
      <c r="BA505" s="38"/>
      <c r="BB505" s="38"/>
      <c r="BC505" s="38"/>
      <c r="BD505" s="38"/>
      <c r="BE505" s="38"/>
      <c r="BF505" s="38"/>
      <c r="BG505" s="38"/>
      <c r="BH505" s="38"/>
      <c r="BI505" s="38"/>
      <c r="BJ505" s="38"/>
      <c r="BK505" s="38"/>
      <c r="BL505" s="38"/>
      <c r="BM505" s="38"/>
      <c r="BN505" s="38"/>
      <c r="BO505" s="38"/>
      <c r="BP505" s="38"/>
    </row>
    <row r="506">
      <c r="A506" s="40"/>
      <c r="B506" s="40"/>
      <c r="AF506" s="38"/>
      <c r="AG506" s="38"/>
      <c r="AH506" s="38"/>
      <c r="AI506" s="38"/>
      <c r="AJ506" s="38"/>
      <c r="AK506" s="38"/>
      <c r="AL506" s="38"/>
      <c r="AM506" s="38"/>
      <c r="AN506" s="38"/>
      <c r="AO506" s="38"/>
      <c r="AP506" s="38"/>
      <c r="AQ506" s="38"/>
      <c r="AR506" s="38"/>
      <c r="AS506" s="38"/>
      <c r="AT506" s="38"/>
      <c r="AU506" s="38"/>
      <c r="AV506" s="38"/>
      <c r="AW506" s="38"/>
      <c r="AX506" s="38"/>
      <c r="AY506" s="38"/>
      <c r="AZ506" s="38"/>
      <c r="BA506" s="38"/>
      <c r="BB506" s="38"/>
      <c r="BC506" s="38"/>
      <c r="BD506" s="38"/>
      <c r="BE506" s="38"/>
      <c r="BF506" s="38"/>
      <c r="BG506" s="38"/>
      <c r="BH506" s="38"/>
      <c r="BI506" s="38"/>
      <c r="BJ506" s="38"/>
      <c r="BK506" s="38"/>
      <c r="BL506" s="38"/>
      <c r="BM506" s="38"/>
      <c r="BN506" s="38"/>
      <c r="BO506" s="38"/>
      <c r="BP506" s="38"/>
    </row>
    <row r="507">
      <c r="A507" s="40"/>
      <c r="B507" s="40"/>
      <c r="AF507" s="38"/>
      <c r="AG507" s="38"/>
      <c r="AH507" s="38"/>
      <c r="AI507" s="38"/>
      <c r="AJ507" s="38"/>
      <c r="AK507" s="38"/>
      <c r="AL507" s="38"/>
      <c r="AM507" s="38"/>
      <c r="AN507" s="38"/>
      <c r="AO507" s="38"/>
      <c r="AP507" s="38"/>
      <c r="AQ507" s="38"/>
      <c r="AR507" s="38"/>
      <c r="AS507" s="38"/>
      <c r="AT507" s="38"/>
      <c r="AU507" s="38"/>
      <c r="AV507" s="38"/>
      <c r="AW507" s="38"/>
      <c r="AX507" s="38"/>
      <c r="AY507" s="38"/>
      <c r="AZ507" s="38"/>
      <c r="BA507" s="38"/>
      <c r="BB507" s="38"/>
      <c r="BC507" s="38"/>
      <c r="BD507" s="38"/>
      <c r="BE507" s="38"/>
      <c r="BF507" s="38"/>
      <c r="BG507" s="38"/>
      <c r="BH507" s="38"/>
      <c r="BI507" s="38"/>
      <c r="BJ507" s="38"/>
      <c r="BK507" s="38"/>
      <c r="BL507" s="38"/>
      <c r="BM507" s="38"/>
      <c r="BN507" s="38"/>
      <c r="BO507" s="38"/>
      <c r="BP507" s="38"/>
    </row>
    <row r="508">
      <c r="A508" s="40"/>
      <c r="B508" s="40"/>
      <c r="AF508" s="38"/>
      <c r="AG508" s="38"/>
      <c r="AH508" s="38"/>
      <c r="AI508" s="38"/>
      <c r="AJ508" s="38"/>
      <c r="AK508" s="38"/>
      <c r="AL508" s="38"/>
      <c r="AM508" s="38"/>
      <c r="AN508" s="38"/>
      <c r="AO508" s="38"/>
      <c r="AP508" s="38"/>
      <c r="AQ508" s="38"/>
      <c r="AR508" s="38"/>
      <c r="AS508" s="38"/>
      <c r="AT508" s="38"/>
      <c r="AU508" s="38"/>
      <c r="AV508" s="38"/>
      <c r="AW508" s="38"/>
      <c r="AX508" s="38"/>
      <c r="AY508" s="38"/>
      <c r="AZ508" s="38"/>
      <c r="BA508" s="38"/>
      <c r="BB508" s="38"/>
      <c r="BC508" s="38"/>
      <c r="BD508" s="38"/>
      <c r="BE508" s="38"/>
      <c r="BF508" s="38"/>
      <c r="BG508" s="38"/>
      <c r="BH508" s="38"/>
      <c r="BI508" s="38"/>
      <c r="BJ508" s="38"/>
      <c r="BK508" s="38"/>
      <c r="BL508" s="38"/>
      <c r="BM508" s="38"/>
      <c r="BN508" s="38"/>
      <c r="BO508" s="38"/>
      <c r="BP508" s="38"/>
    </row>
    <row r="509">
      <c r="A509" s="40"/>
      <c r="B509" s="40"/>
      <c r="AF509" s="38"/>
      <c r="AG509" s="38"/>
      <c r="AH509" s="38"/>
      <c r="AI509" s="38"/>
      <c r="AJ509" s="38"/>
      <c r="AK509" s="38"/>
      <c r="AL509" s="38"/>
      <c r="AM509" s="38"/>
      <c r="AN509" s="38"/>
      <c r="AO509" s="38"/>
      <c r="AP509" s="38"/>
      <c r="AQ509" s="38"/>
      <c r="AR509" s="38"/>
      <c r="AS509" s="38"/>
      <c r="AT509" s="38"/>
      <c r="AU509" s="38"/>
      <c r="AV509" s="38"/>
      <c r="AW509" s="38"/>
      <c r="AX509" s="38"/>
      <c r="AY509" s="38"/>
      <c r="AZ509" s="38"/>
      <c r="BA509" s="38"/>
      <c r="BB509" s="38"/>
      <c r="BC509" s="38"/>
      <c r="BD509" s="38"/>
      <c r="BE509" s="38"/>
      <c r="BF509" s="38"/>
      <c r="BG509" s="38"/>
      <c r="BH509" s="38"/>
      <c r="BI509" s="38"/>
      <c r="BJ509" s="38"/>
      <c r="BK509" s="38"/>
      <c r="BL509" s="38"/>
      <c r="BM509" s="38"/>
      <c r="BN509" s="38"/>
      <c r="BO509" s="38"/>
      <c r="BP509" s="38"/>
    </row>
    <row r="510">
      <c r="A510" s="40"/>
      <c r="B510" s="40"/>
      <c r="AF510" s="38"/>
      <c r="AG510" s="38"/>
      <c r="AH510" s="38"/>
      <c r="AI510" s="38"/>
      <c r="AJ510" s="38"/>
      <c r="AK510" s="38"/>
      <c r="AL510" s="38"/>
      <c r="AM510" s="38"/>
      <c r="AN510" s="38"/>
      <c r="AO510" s="38"/>
      <c r="AP510" s="38"/>
      <c r="AQ510" s="38"/>
      <c r="AR510" s="38"/>
      <c r="AS510" s="38"/>
      <c r="AT510" s="38"/>
      <c r="AU510" s="38"/>
      <c r="AV510" s="38"/>
      <c r="AW510" s="38"/>
      <c r="AX510" s="38"/>
      <c r="AY510" s="38"/>
      <c r="AZ510" s="38"/>
      <c r="BA510" s="38"/>
      <c r="BB510" s="38"/>
      <c r="BC510" s="38"/>
      <c r="BD510" s="38"/>
      <c r="BE510" s="38"/>
      <c r="BF510" s="38"/>
      <c r="BG510" s="38"/>
      <c r="BH510" s="38"/>
      <c r="BI510" s="38"/>
      <c r="BJ510" s="38"/>
      <c r="BK510" s="38"/>
      <c r="BL510" s="38"/>
      <c r="BM510" s="38"/>
      <c r="BN510" s="38"/>
      <c r="BO510" s="38"/>
      <c r="BP510" s="38"/>
    </row>
    <row r="511">
      <c r="A511" s="40"/>
      <c r="B511" s="40"/>
      <c r="AF511" s="38"/>
      <c r="AG511" s="38"/>
      <c r="AH511" s="38"/>
      <c r="AI511" s="38"/>
      <c r="AJ511" s="38"/>
      <c r="AK511" s="38"/>
      <c r="AL511" s="38"/>
      <c r="AM511" s="38"/>
      <c r="AN511" s="38"/>
      <c r="AO511" s="38"/>
      <c r="AP511" s="38"/>
      <c r="AQ511" s="38"/>
      <c r="AR511" s="38"/>
      <c r="AS511" s="38"/>
      <c r="AT511" s="38"/>
      <c r="AU511" s="38"/>
      <c r="AV511" s="38"/>
      <c r="AW511" s="38"/>
      <c r="AX511" s="38"/>
      <c r="AY511" s="38"/>
      <c r="AZ511" s="38"/>
      <c r="BA511" s="38"/>
      <c r="BB511" s="38"/>
      <c r="BC511" s="38"/>
      <c r="BD511" s="38"/>
      <c r="BE511" s="38"/>
      <c r="BF511" s="38"/>
      <c r="BG511" s="38"/>
      <c r="BH511" s="38"/>
      <c r="BI511" s="38"/>
      <c r="BJ511" s="38"/>
      <c r="BK511" s="38"/>
      <c r="BL511" s="38"/>
      <c r="BM511" s="38"/>
      <c r="BN511" s="38"/>
      <c r="BO511" s="38"/>
      <c r="BP511" s="38"/>
    </row>
    <row r="512">
      <c r="A512" s="40"/>
      <c r="B512" s="40"/>
      <c r="AF512" s="38"/>
      <c r="AG512" s="38"/>
      <c r="AH512" s="38"/>
      <c r="AI512" s="38"/>
      <c r="AJ512" s="38"/>
      <c r="AK512" s="38"/>
      <c r="AL512" s="38"/>
      <c r="AM512" s="38"/>
      <c r="AN512" s="38"/>
      <c r="AO512" s="38"/>
      <c r="AP512" s="38"/>
      <c r="AQ512" s="38"/>
      <c r="AR512" s="38"/>
      <c r="AS512" s="38"/>
      <c r="AT512" s="38"/>
      <c r="AU512" s="38"/>
      <c r="AV512" s="38"/>
      <c r="AW512" s="38"/>
      <c r="AX512" s="38"/>
      <c r="AY512" s="38"/>
      <c r="AZ512" s="38"/>
      <c r="BA512" s="38"/>
      <c r="BB512" s="38"/>
      <c r="BC512" s="38"/>
      <c r="BD512" s="38"/>
      <c r="BE512" s="38"/>
      <c r="BF512" s="38"/>
      <c r="BG512" s="38"/>
      <c r="BH512" s="38"/>
      <c r="BI512" s="38"/>
      <c r="BJ512" s="38"/>
      <c r="BK512" s="38"/>
      <c r="BL512" s="38"/>
      <c r="BM512" s="38"/>
      <c r="BN512" s="38"/>
      <c r="BO512" s="38"/>
      <c r="BP512" s="38"/>
    </row>
    <row r="513">
      <c r="A513" s="40"/>
      <c r="B513" s="40"/>
      <c r="AF513" s="38"/>
      <c r="AG513" s="38"/>
      <c r="AH513" s="38"/>
      <c r="AI513" s="38"/>
      <c r="AJ513" s="38"/>
      <c r="AK513" s="38"/>
      <c r="AL513" s="38"/>
      <c r="AM513" s="38"/>
      <c r="AN513" s="38"/>
      <c r="AO513" s="38"/>
      <c r="AP513" s="38"/>
      <c r="AQ513" s="38"/>
      <c r="AR513" s="38"/>
      <c r="AS513" s="38"/>
      <c r="AT513" s="38"/>
      <c r="AU513" s="38"/>
      <c r="AV513" s="38"/>
      <c r="AW513" s="38"/>
      <c r="AX513" s="38"/>
      <c r="AY513" s="38"/>
      <c r="AZ513" s="38"/>
      <c r="BA513" s="38"/>
      <c r="BB513" s="38"/>
      <c r="BC513" s="38"/>
      <c r="BD513" s="38"/>
      <c r="BE513" s="38"/>
      <c r="BF513" s="38"/>
      <c r="BG513" s="38"/>
      <c r="BH513" s="38"/>
      <c r="BI513" s="38"/>
      <c r="BJ513" s="38"/>
      <c r="BK513" s="38"/>
      <c r="BL513" s="38"/>
      <c r="BM513" s="38"/>
      <c r="BN513" s="38"/>
      <c r="BO513" s="38"/>
      <c r="BP513" s="38"/>
    </row>
    <row r="514">
      <c r="A514" s="40"/>
      <c r="B514" s="40"/>
      <c r="AF514" s="38"/>
      <c r="AG514" s="38"/>
      <c r="AH514" s="38"/>
      <c r="AI514" s="38"/>
      <c r="AJ514" s="38"/>
      <c r="AK514" s="38"/>
      <c r="AL514" s="38"/>
      <c r="AM514" s="38"/>
      <c r="AN514" s="38"/>
      <c r="AO514" s="38"/>
      <c r="AP514" s="38"/>
      <c r="AQ514" s="38"/>
      <c r="AR514" s="38"/>
      <c r="AS514" s="38"/>
      <c r="AT514" s="38"/>
      <c r="AU514" s="38"/>
      <c r="AV514" s="38"/>
      <c r="AW514" s="38"/>
      <c r="AX514" s="38"/>
      <c r="AY514" s="38"/>
      <c r="AZ514" s="38"/>
      <c r="BA514" s="38"/>
      <c r="BB514" s="38"/>
      <c r="BC514" s="38"/>
      <c r="BD514" s="38"/>
      <c r="BE514" s="38"/>
      <c r="BF514" s="38"/>
      <c r="BG514" s="38"/>
      <c r="BH514" s="38"/>
      <c r="BI514" s="38"/>
      <c r="BJ514" s="38"/>
      <c r="BK514" s="38"/>
      <c r="BL514" s="38"/>
      <c r="BM514" s="38"/>
      <c r="BN514" s="38"/>
      <c r="BO514" s="38"/>
      <c r="BP514" s="38"/>
    </row>
    <row r="515">
      <c r="A515" s="40"/>
      <c r="B515" s="40"/>
      <c r="AF515" s="38"/>
      <c r="AG515" s="38"/>
      <c r="AH515" s="38"/>
      <c r="AI515" s="38"/>
      <c r="AJ515" s="38"/>
      <c r="AK515" s="38"/>
      <c r="AL515" s="38"/>
      <c r="AM515" s="38"/>
      <c r="AN515" s="38"/>
      <c r="AO515" s="38"/>
      <c r="AP515" s="38"/>
      <c r="AQ515" s="38"/>
      <c r="AR515" s="38"/>
      <c r="AS515" s="38"/>
      <c r="AT515" s="38"/>
      <c r="AU515" s="38"/>
      <c r="AV515" s="38"/>
      <c r="AW515" s="38"/>
      <c r="AX515" s="38"/>
      <c r="AY515" s="38"/>
      <c r="AZ515" s="38"/>
      <c r="BA515" s="38"/>
      <c r="BB515" s="38"/>
      <c r="BC515" s="38"/>
      <c r="BD515" s="38"/>
      <c r="BE515" s="38"/>
      <c r="BF515" s="38"/>
      <c r="BG515" s="38"/>
      <c r="BH515" s="38"/>
      <c r="BI515" s="38"/>
      <c r="BJ515" s="38"/>
      <c r="BK515" s="38"/>
      <c r="BL515" s="38"/>
      <c r="BM515" s="38"/>
      <c r="BN515" s="38"/>
      <c r="BO515" s="38"/>
      <c r="BP515" s="38"/>
    </row>
    <row r="516">
      <c r="A516" s="40"/>
      <c r="B516" s="40"/>
      <c r="AF516" s="38"/>
      <c r="AG516" s="38"/>
      <c r="AH516" s="38"/>
      <c r="AI516" s="38"/>
      <c r="AJ516" s="38"/>
      <c r="AK516" s="38"/>
      <c r="AL516" s="38"/>
      <c r="AM516" s="38"/>
      <c r="AN516" s="38"/>
      <c r="AO516" s="38"/>
      <c r="AP516" s="38"/>
      <c r="AQ516" s="38"/>
      <c r="AR516" s="38"/>
      <c r="AS516" s="38"/>
      <c r="AT516" s="38"/>
      <c r="AU516" s="38"/>
      <c r="AV516" s="38"/>
      <c r="AW516" s="38"/>
      <c r="AX516" s="38"/>
      <c r="AY516" s="38"/>
      <c r="AZ516" s="38"/>
      <c r="BA516" s="38"/>
      <c r="BB516" s="38"/>
      <c r="BC516" s="38"/>
      <c r="BD516" s="38"/>
      <c r="BE516" s="38"/>
      <c r="BF516" s="38"/>
      <c r="BG516" s="38"/>
      <c r="BH516" s="38"/>
      <c r="BI516" s="38"/>
      <c r="BJ516" s="38"/>
      <c r="BK516" s="38"/>
      <c r="BL516" s="38"/>
      <c r="BM516" s="38"/>
      <c r="BN516" s="38"/>
      <c r="BO516" s="38"/>
      <c r="BP516" s="38"/>
    </row>
    <row r="517">
      <c r="A517" s="40"/>
      <c r="B517" s="40"/>
      <c r="AF517" s="38"/>
      <c r="AG517" s="38"/>
      <c r="AH517" s="38"/>
      <c r="AI517" s="38"/>
      <c r="AJ517" s="38"/>
      <c r="AK517" s="38"/>
      <c r="AL517" s="38"/>
      <c r="AM517" s="38"/>
      <c r="AN517" s="38"/>
      <c r="AO517" s="38"/>
      <c r="AP517" s="38"/>
      <c r="AQ517" s="38"/>
      <c r="AR517" s="38"/>
      <c r="AS517" s="38"/>
      <c r="AT517" s="38"/>
      <c r="AU517" s="38"/>
      <c r="AV517" s="38"/>
      <c r="AW517" s="38"/>
      <c r="AX517" s="38"/>
      <c r="AY517" s="38"/>
      <c r="AZ517" s="38"/>
      <c r="BA517" s="38"/>
      <c r="BB517" s="38"/>
      <c r="BC517" s="38"/>
      <c r="BD517" s="38"/>
      <c r="BE517" s="38"/>
      <c r="BF517" s="38"/>
      <c r="BG517" s="38"/>
      <c r="BH517" s="38"/>
      <c r="BI517" s="38"/>
      <c r="BJ517" s="38"/>
      <c r="BK517" s="38"/>
      <c r="BL517" s="38"/>
      <c r="BM517" s="38"/>
      <c r="BN517" s="38"/>
      <c r="BO517" s="38"/>
      <c r="BP517" s="38"/>
    </row>
    <row r="518">
      <c r="A518" s="40"/>
      <c r="B518" s="40"/>
      <c r="AF518" s="38"/>
      <c r="AG518" s="38"/>
      <c r="AH518" s="38"/>
      <c r="AI518" s="38"/>
      <c r="AJ518" s="38"/>
      <c r="AK518" s="38"/>
      <c r="AL518" s="38"/>
      <c r="AM518" s="38"/>
      <c r="AN518" s="38"/>
      <c r="AO518" s="38"/>
      <c r="AP518" s="38"/>
      <c r="AQ518" s="38"/>
      <c r="AR518" s="38"/>
      <c r="AS518" s="38"/>
      <c r="AT518" s="38"/>
      <c r="AU518" s="38"/>
      <c r="AV518" s="38"/>
      <c r="AW518" s="38"/>
      <c r="AX518" s="38"/>
      <c r="AY518" s="38"/>
      <c r="AZ518" s="38"/>
      <c r="BA518" s="38"/>
      <c r="BB518" s="38"/>
      <c r="BC518" s="38"/>
      <c r="BD518" s="38"/>
      <c r="BE518" s="38"/>
      <c r="BF518" s="38"/>
      <c r="BG518" s="38"/>
      <c r="BH518" s="38"/>
      <c r="BI518" s="38"/>
      <c r="BJ518" s="38"/>
      <c r="BK518" s="38"/>
      <c r="BL518" s="38"/>
      <c r="BM518" s="38"/>
      <c r="BN518" s="38"/>
      <c r="BO518" s="38"/>
      <c r="BP518" s="38"/>
    </row>
    <row r="519">
      <c r="A519" s="40"/>
      <c r="B519" s="40"/>
      <c r="AF519" s="38"/>
      <c r="AG519" s="38"/>
      <c r="AH519" s="38"/>
      <c r="AI519" s="38"/>
      <c r="AJ519" s="38"/>
      <c r="AK519" s="38"/>
      <c r="AL519" s="38"/>
      <c r="AM519" s="38"/>
      <c r="AN519" s="38"/>
      <c r="AO519" s="38"/>
      <c r="AP519" s="38"/>
      <c r="AQ519" s="38"/>
      <c r="AR519" s="38"/>
      <c r="AS519" s="38"/>
      <c r="AT519" s="38"/>
      <c r="AU519" s="38"/>
      <c r="AV519" s="38"/>
      <c r="AW519" s="38"/>
      <c r="AX519" s="38"/>
      <c r="AY519" s="38"/>
      <c r="AZ519" s="38"/>
      <c r="BA519" s="38"/>
      <c r="BB519" s="38"/>
      <c r="BC519" s="38"/>
      <c r="BD519" s="38"/>
      <c r="BE519" s="38"/>
      <c r="BF519" s="38"/>
      <c r="BG519" s="38"/>
      <c r="BH519" s="38"/>
      <c r="BI519" s="38"/>
      <c r="BJ519" s="38"/>
      <c r="BK519" s="38"/>
      <c r="BL519" s="38"/>
      <c r="BM519" s="38"/>
      <c r="BN519" s="38"/>
      <c r="BO519" s="38"/>
      <c r="BP519" s="38"/>
    </row>
    <row r="520">
      <c r="A520" s="40"/>
      <c r="B520" s="40"/>
      <c r="AF520" s="38"/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  <c r="AV520" s="38"/>
      <c r="AW520" s="38"/>
      <c r="AX520" s="38"/>
      <c r="AY520" s="38"/>
      <c r="AZ520" s="38"/>
      <c r="BA520" s="38"/>
      <c r="BB520" s="38"/>
      <c r="BC520" s="38"/>
      <c r="BD520" s="38"/>
      <c r="BE520" s="38"/>
      <c r="BF520" s="38"/>
      <c r="BG520" s="38"/>
      <c r="BH520" s="38"/>
      <c r="BI520" s="38"/>
      <c r="BJ520" s="38"/>
      <c r="BK520" s="38"/>
      <c r="BL520" s="38"/>
      <c r="BM520" s="38"/>
      <c r="BN520" s="38"/>
      <c r="BO520" s="38"/>
      <c r="BP520" s="38"/>
    </row>
    <row r="521">
      <c r="A521" s="40"/>
      <c r="B521" s="40"/>
      <c r="AF521" s="38"/>
      <c r="AG521" s="38"/>
      <c r="AH521" s="38"/>
      <c r="AI521" s="38"/>
      <c r="AJ521" s="38"/>
      <c r="AK521" s="38"/>
      <c r="AL521" s="38"/>
      <c r="AM521" s="38"/>
      <c r="AN521" s="38"/>
      <c r="AO521" s="38"/>
      <c r="AP521" s="38"/>
      <c r="AQ521" s="38"/>
      <c r="AR521" s="38"/>
      <c r="AS521" s="38"/>
      <c r="AT521" s="38"/>
      <c r="AU521" s="38"/>
      <c r="AV521" s="38"/>
      <c r="AW521" s="38"/>
      <c r="AX521" s="38"/>
      <c r="AY521" s="38"/>
      <c r="AZ521" s="38"/>
      <c r="BA521" s="38"/>
      <c r="BB521" s="38"/>
      <c r="BC521" s="38"/>
      <c r="BD521" s="38"/>
      <c r="BE521" s="38"/>
      <c r="BF521" s="38"/>
      <c r="BG521" s="38"/>
      <c r="BH521" s="38"/>
      <c r="BI521" s="38"/>
      <c r="BJ521" s="38"/>
      <c r="BK521" s="38"/>
      <c r="BL521" s="38"/>
      <c r="BM521" s="38"/>
      <c r="BN521" s="38"/>
      <c r="BO521" s="38"/>
      <c r="BP521" s="38"/>
    </row>
    <row r="522">
      <c r="A522" s="40"/>
      <c r="B522" s="40"/>
      <c r="AF522" s="38"/>
      <c r="AG522" s="38"/>
      <c r="AH522" s="38"/>
      <c r="AI522" s="38"/>
      <c r="AJ522" s="38"/>
      <c r="AK522" s="38"/>
      <c r="AL522" s="38"/>
      <c r="AM522" s="38"/>
      <c r="AN522" s="38"/>
      <c r="AO522" s="38"/>
      <c r="AP522" s="38"/>
      <c r="AQ522" s="38"/>
      <c r="AR522" s="38"/>
      <c r="AS522" s="38"/>
      <c r="AT522" s="38"/>
      <c r="AU522" s="38"/>
      <c r="AV522" s="38"/>
      <c r="AW522" s="38"/>
      <c r="AX522" s="38"/>
      <c r="AY522" s="38"/>
      <c r="AZ522" s="38"/>
      <c r="BA522" s="38"/>
      <c r="BB522" s="38"/>
      <c r="BC522" s="38"/>
      <c r="BD522" s="38"/>
      <c r="BE522" s="38"/>
      <c r="BF522" s="38"/>
      <c r="BG522" s="38"/>
      <c r="BH522" s="38"/>
      <c r="BI522" s="38"/>
      <c r="BJ522" s="38"/>
      <c r="BK522" s="38"/>
      <c r="BL522" s="38"/>
      <c r="BM522" s="38"/>
      <c r="BN522" s="38"/>
      <c r="BO522" s="38"/>
      <c r="BP522" s="38"/>
    </row>
    <row r="523">
      <c r="A523" s="40"/>
      <c r="B523" s="40"/>
      <c r="AF523" s="38"/>
      <c r="AG523" s="38"/>
      <c r="AH523" s="38"/>
      <c r="AI523" s="38"/>
      <c r="AJ523" s="38"/>
      <c r="AK523" s="38"/>
      <c r="AL523" s="38"/>
      <c r="AM523" s="38"/>
      <c r="AN523" s="38"/>
      <c r="AO523" s="38"/>
      <c r="AP523" s="38"/>
      <c r="AQ523" s="38"/>
      <c r="AR523" s="38"/>
      <c r="AS523" s="38"/>
      <c r="AT523" s="38"/>
      <c r="AU523" s="38"/>
      <c r="AV523" s="38"/>
      <c r="AW523" s="38"/>
      <c r="AX523" s="38"/>
      <c r="AY523" s="38"/>
      <c r="AZ523" s="38"/>
      <c r="BA523" s="38"/>
      <c r="BB523" s="38"/>
      <c r="BC523" s="38"/>
      <c r="BD523" s="38"/>
      <c r="BE523" s="38"/>
      <c r="BF523" s="38"/>
      <c r="BG523" s="38"/>
      <c r="BH523" s="38"/>
      <c r="BI523" s="38"/>
      <c r="BJ523" s="38"/>
      <c r="BK523" s="38"/>
      <c r="BL523" s="38"/>
      <c r="BM523" s="38"/>
      <c r="BN523" s="38"/>
      <c r="BO523" s="38"/>
      <c r="BP523" s="38"/>
    </row>
    <row r="524">
      <c r="A524" s="40"/>
      <c r="B524" s="40"/>
      <c r="AF524" s="38"/>
      <c r="AG524" s="38"/>
      <c r="AH524" s="38"/>
      <c r="AI524" s="38"/>
      <c r="AJ524" s="38"/>
      <c r="AK524" s="38"/>
      <c r="AL524" s="38"/>
      <c r="AM524" s="38"/>
      <c r="AN524" s="38"/>
      <c r="AO524" s="38"/>
      <c r="AP524" s="38"/>
      <c r="AQ524" s="38"/>
      <c r="AR524" s="38"/>
      <c r="AS524" s="38"/>
      <c r="AT524" s="38"/>
      <c r="AU524" s="38"/>
      <c r="AV524" s="38"/>
      <c r="AW524" s="38"/>
      <c r="AX524" s="38"/>
      <c r="AY524" s="38"/>
      <c r="AZ524" s="38"/>
      <c r="BA524" s="38"/>
      <c r="BB524" s="38"/>
      <c r="BC524" s="38"/>
      <c r="BD524" s="38"/>
      <c r="BE524" s="38"/>
      <c r="BF524" s="38"/>
      <c r="BG524" s="38"/>
      <c r="BH524" s="38"/>
      <c r="BI524" s="38"/>
      <c r="BJ524" s="38"/>
      <c r="BK524" s="38"/>
      <c r="BL524" s="38"/>
      <c r="BM524" s="38"/>
      <c r="BN524" s="38"/>
      <c r="BO524" s="38"/>
      <c r="BP524" s="38"/>
    </row>
    <row r="525">
      <c r="A525" s="40"/>
      <c r="B525" s="40"/>
      <c r="AF525" s="38"/>
      <c r="AG525" s="38"/>
      <c r="AH525" s="38"/>
      <c r="AI525" s="38"/>
      <c r="AJ525" s="38"/>
      <c r="AK525" s="38"/>
      <c r="AL525" s="38"/>
      <c r="AM525" s="38"/>
      <c r="AN525" s="38"/>
      <c r="AO525" s="38"/>
      <c r="AP525" s="38"/>
      <c r="AQ525" s="38"/>
      <c r="AR525" s="38"/>
      <c r="AS525" s="38"/>
      <c r="AT525" s="38"/>
      <c r="AU525" s="38"/>
      <c r="AV525" s="38"/>
      <c r="AW525" s="38"/>
      <c r="AX525" s="38"/>
      <c r="AY525" s="38"/>
      <c r="AZ525" s="38"/>
      <c r="BA525" s="38"/>
      <c r="BB525" s="38"/>
      <c r="BC525" s="38"/>
      <c r="BD525" s="38"/>
      <c r="BE525" s="38"/>
      <c r="BF525" s="38"/>
      <c r="BG525" s="38"/>
      <c r="BH525" s="38"/>
      <c r="BI525" s="38"/>
      <c r="BJ525" s="38"/>
      <c r="BK525" s="38"/>
      <c r="BL525" s="38"/>
      <c r="BM525" s="38"/>
      <c r="BN525" s="38"/>
      <c r="BO525" s="38"/>
      <c r="BP525" s="38"/>
    </row>
    <row r="526">
      <c r="A526" s="40"/>
      <c r="B526" s="40"/>
      <c r="AF526" s="38"/>
      <c r="AG526" s="38"/>
      <c r="AH526" s="38"/>
      <c r="AI526" s="38"/>
      <c r="AJ526" s="38"/>
      <c r="AK526" s="38"/>
      <c r="AL526" s="38"/>
      <c r="AM526" s="38"/>
      <c r="AN526" s="38"/>
      <c r="AO526" s="38"/>
      <c r="AP526" s="38"/>
      <c r="AQ526" s="38"/>
      <c r="AR526" s="38"/>
      <c r="AS526" s="38"/>
      <c r="AT526" s="38"/>
      <c r="AU526" s="38"/>
      <c r="AV526" s="38"/>
      <c r="AW526" s="38"/>
      <c r="AX526" s="38"/>
      <c r="AY526" s="38"/>
      <c r="AZ526" s="38"/>
      <c r="BA526" s="38"/>
      <c r="BB526" s="38"/>
      <c r="BC526" s="38"/>
      <c r="BD526" s="38"/>
      <c r="BE526" s="38"/>
      <c r="BF526" s="38"/>
      <c r="BG526" s="38"/>
      <c r="BH526" s="38"/>
      <c r="BI526" s="38"/>
      <c r="BJ526" s="38"/>
      <c r="BK526" s="38"/>
      <c r="BL526" s="38"/>
      <c r="BM526" s="38"/>
      <c r="BN526" s="38"/>
      <c r="BO526" s="38"/>
      <c r="BP526" s="38"/>
    </row>
    <row r="527">
      <c r="A527" s="40"/>
      <c r="B527" s="40"/>
      <c r="AF527" s="38"/>
      <c r="AG527" s="38"/>
      <c r="AH527" s="38"/>
      <c r="AI527" s="38"/>
      <c r="AJ527" s="38"/>
      <c r="AK527" s="38"/>
      <c r="AL527" s="38"/>
      <c r="AM527" s="38"/>
      <c r="AN527" s="38"/>
      <c r="AO527" s="38"/>
      <c r="AP527" s="38"/>
      <c r="AQ527" s="38"/>
      <c r="AR527" s="38"/>
      <c r="AS527" s="38"/>
      <c r="AT527" s="38"/>
      <c r="AU527" s="38"/>
      <c r="AV527" s="38"/>
      <c r="AW527" s="38"/>
      <c r="AX527" s="38"/>
      <c r="AY527" s="38"/>
      <c r="AZ527" s="38"/>
      <c r="BA527" s="38"/>
      <c r="BB527" s="38"/>
      <c r="BC527" s="38"/>
      <c r="BD527" s="38"/>
      <c r="BE527" s="38"/>
      <c r="BF527" s="38"/>
      <c r="BG527" s="38"/>
      <c r="BH527" s="38"/>
      <c r="BI527" s="38"/>
      <c r="BJ527" s="38"/>
      <c r="BK527" s="38"/>
      <c r="BL527" s="38"/>
      <c r="BM527" s="38"/>
      <c r="BN527" s="38"/>
      <c r="BO527" s="38"/>
      <c r="BP527" s="38"/>
    </row>
    <row r="528">
      <c r="A528" s="40"/>
      <c r="B528" s="40"/>
      <c r="AF528" s="38"/>
      <c r="AG528" s="38"/>
      <c r="AH528" s="38"/>
      <c r="AI528" s="38"/>
      <c r="AJ528" s="38"/>
      <c r="AK528" s="38"/>
      <c r="AL528" s="38"/>
      <c r="AM528" s="38"/>
      <c r="AN528" s="38"/>
      <c r="AO528" s="38"/>
      <c r="AP528" s="38"/>
      <c r="AQ528" s="38"/>
      <c r="AR528" s="38"/>
      <c r="AS528" s="38"/>
      <c r="AT528" s="38"/>
      <c r="AU528" s="38"/>
      <c r="AV528" s="38"/>
      <c r="AW528" s="38"/>
      <c r="AX528" s="38"/>
      <c r="AY528" s="38"/>
      <c r="AZ528" s="38"/>
      <c r="BA528" s="38"/>
      <c r="BB528" s="38"/>
      <c r="BC528" s="38"/>
      <c r="BD528" s="38"/>
      <c r="BE528" s="38"/>
      <c r="BF528" s="38"/>
      <c r="BG528" s="38"/>
      <c r="BH528" s="38"/>
      <c r="BI528" s="38"/>
      <c r="BJ528" s="38"/>
      <c r="BK528" s="38"/>
      <c r="BL528" s="38"/>
      <c r="BM528" s="38"/>
      <c r="BN528" s="38"/>
      <c r="BO528" s="38"/>
      <c r="BP528" s="38"/>
    </row>
    <row r="529">
      <c r="A529" s="40"/>
      <c r="B529" s="40"/>
      <c r="AF529" s="38"/>
      <c r="AG529" s="38"/>
      <c r="AH529" s="38"/>
      <c r="AI529" s="38"/>
      <c r="AJ529" s="38"/>
      <c r="AK529" s="38"/>
      <c r="AL529" s="38"/>
      <c r="AM529" s="38"/>
      <c r="AN529" s="38"/>
      <c r="AO529" s="38"/>
      <c r="AP529" s="38"/>
      <c r="AQ529" s="38"/>
      <c r="AR529" s="38"/>
      <c r="AS529" s="38"/>
      <c r="AT529" s="38"/>
      <c r="AU529" s="38"/>
      <c r="AV529" s="38"/>
      <c r="AW529" s="38"/>
      <c r="AX529" s="38"/>
      <c r="AY529" s="38"/>
      <c r="AZ529" s="38"/>
      <c r="BA529" s="38"/>
      <c r="BB529" s="38"/>
      <c r="BC529" s="38"/>
      <c r="BD529" s="38"/>
      <c r="BE529" s="38"/>
      <c r="BF529" s="38"/>
      <c r="BG529" s="38"/>
      <c r="BH529" s="38"/>
      <c r="BI529" s="38"/>
      <c r="BJ529" s="38"/>
      <c r="BK529" s="38"/>
      <c r="BL529" s="38"/>
      <c r="BM529" s="38"/>
      <c r="BN529" s="38"/>
      <c r="BO529" s="38"/>
      <c r="BP529" s="38"/>
    </row>
    <row r="530">
      <c r="A530" s="40"/>
      <c r="B530" s="40"/>
      <c r="AF530" s="38"/>
      <c r="AG530" s="38"/>
      <c r="AH530" s="38"/>
      <c r="AI530" s="38"/>
      <c r="AJ530" s="38"/>
      <c r="AK530" s="38"/>
      <c r="AL530" s="38"/>
      <c r="AM530" s="38"/>
      <c r="AN530" s="38"/>
      <c r="AO530" s="38"/>
      <c r="AP530" s="38"/>
      <c r="AQ530" s="38"/>
      <c r="AR530" s="38"/>
      <c r="AS530" s="38"/>
      <c r="AT530" s="38"/>
      <c r="AU530" s="38"/>
      <c r="AV530" s="38"/>
      <c r="AW530" s="38"/>
      <c r="AX530" s="38"/>
      <c r="AY530" s="38"/>
      <c r="AZ530" s="38"/>
      <c r="BA530" s="38"/>
      <c r="BB530" s="38"/>
      <c r="BC530" s="38"/>
      <c r="BD530" s="38"/>
      <c r="BE530" s="38"/>
      <c r="BF530" s="38"/>
      <c r="BG530" s="38"/>
      <c r="BH530" s="38"/>
      <c r="BI530" s="38"/>
      <c r="BJ530" s="38"/>
      <c r="BK530" s="38"/>
      <c r="BL530" s="38"/>
      <c r="BM530" s="38"/>
      <c r="BN530" s="38"/>
      <c r="BO530" s="38"/>
      <c r="BP530" s="38"/>
    </row>
    <row r="531">
      <c r="A531" s="40"/>
      <c r="B531" s="40"/>
      <c r="AF531" s="38"/>
      <c r="AG531" s="38"/>
      <c r="AH531" s="38"/>
      <c r="AI531" s="38"/>
      <c r="AJ531" s="38"/>
      <c r="AK531" s="38"/>
      <c r="AL531" s="38"/>
      <c r="AM531" s="38"/>
      <c r="AN531" s="38"/>
      <c r="AO531" s="38"/>
      <c r="AP531" s="38"/>
      <c r="AQ531" s="38"/>
      <c r="AR531" s="38"/>
      <c r="AS531" s="38"/>
      <c r="AT531" s="38"/>
      <c r="AU531" s="38"/>
      <c r="AV531" s="38"/>
      <c r="AW531" s="38"/>
      <c r="AX531" s="38"/>
      <c r="AY531" s="38"/>
      <c r="AZ531" s="38"/>
      <c r="BA531" s="38"/>
      <c r="BB531" s="38"/>
      <c r="BC531" s="38"/>
      <c r="BD531" s="38"/>
      <c r="BE531" s="38"/>
      <c r="BF531" s="38"/>
      <c r="BG531" s="38"/>
      <c r="BH531" s="38"/>
      <c r="BI531" s="38"/>
      <c r="BJ531" s="38"/>
      <c r="BK531" s="38"/>
      <c r="BL531" s="38"/>
      <c r="BM531" s="38"/>
      <c r="BN531" s="38"/>
      <c r="BO531" s="38"/>
      <c r="BP531" s="38"/>
    </row>
    <row r="532">
      <c r="A532" s="40"/>
      <c r="B532" s="40"/>
      <c r="AF532" s="38"/>
      <c r="AG532" s="38"/>
      <c r="AH532" s="38"/>
      <c r="AI532" s="38"/>
      <c r="AJ532" s="38"/>
      <c r="AK532" s="38"/>
      <c r="AL532" s="38"/>
      <c r="AM532" s="38"/>
      <c r="AN532" s="38"/>
      <c r="AO532" s="38"/>
      <c r="AP532" s="38"/>
      <c r="AQ532" s="38"/>
      <c r="AR532" s="38"/>
      <c r="AS532" s="38"/>
      <c r="AT532" s="38"/>
      <c r="AU532" s="38"/>
      <c r="AV532" s="38"/>
      <c r="AW532" s="38"/>
      <c r="AX532" s="38"/>
      <c r="AY532" s="38"/>
      <c r="AZ532" s="38"/>
      <c r="BA532" s="38"/>
      <c r="BB532" s="38"/>
      <c r="BC532" s="38"/>
      <c r="BD532" s="38"/>
      <c r="BE532" s="38"/>
      <c r="BF532" s="38"/>
      <c r="BG532" s="38"/>
      <c r="BH532" s="38"/>
      <c r="BI532" s="38"/>
      <c r="BJ532" s="38"/>
      <c r="BK532" s="38"/>
      <c r="BL532" s="38"/>
      <c r="BM532" s="38"/>
      <c r="BN532" s="38"/>
      <c r="BO532" s="38"/>
      <c r="BP532" s="38"/>
    </row>
    <row r="533">
      <c r="A533" s="40"/>
      <c r="B533" s="40"/>
      <c r="AF533" s="38"/>
      <c r="AG533" s="38"/>
      <c r="AH533" s="38"/>
      <c r="AI533" s="38"/>
      <c r="AJ533" s="38"/>
      <c r="AK533" s="38"/>
      <c r="AL533" s="38"/>
      <c r="AM533" s="38"/>
      <c r="AN533" s="38"/>
      <c r="AO533" s="38"/>
      <c r="AP533" s="38"/>
      <c r="AQ533" s="38"/>
      <c r="AR533" s="38"/>
      <c r="AS533" s="38"/>
      <c r="AT533" s="38"/>
      <c r="AU533" s="38"/>
      <c r="AV533" s="38"/>
      <c r="AW533" s="38"/>
      <c r="AX533" s="38"/>
      <c r="AY533" s="38"/>
      <c r="AZ533" s="38"/>
      <c r="BA533" s="38"/>
      <c r="BB533" s="38"/>
      <c r="BC533" s="38"/>
      <c r="BD533" s="38"/>
      <c r="BE533" s="38"/>
      <c r="BF533" s="38"/>
      <c r="BG533" s="38"/>
      <c r="BH533" s="38"/>
      <c r="BI533" s="38"/>
      <c r="BJ533" s="38"/>
      <c r="BK533" s="38"/>
      <c r="BL533" s="38"/>
      <c r="BM533" s="38"/>
      <c r="BN533" s="38"/>
      <c r="BO533" s="38"/>
      <c r="BP533" s="38"/>
    </row>
    <row r="534">
      <c r="A534" s="40"/>
      <c r="B534" s="40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</row>
    <row r="535">
      <c r="A535" s="40"/>
      <c r="B535" s="40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</row>
    <row r="536">
      <c r="A536" s="40"/>
      <c r="B536" s="40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</row>
    <row r="537">
      <c r="A537" s="40"/>
      <c r="B537" s="40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</row>
    <row r="538">
      <c r="A538" s="40"/>
      <c r="B538" s="40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</row>
    <row r="539">
      <c r="A539" s="40"/>
      <c r="B539" s="40"/>
      <c r="AF539" s="38"/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  <c r="AV539" s="38"/>
      <c r="AW539" s="38"/>
      <c r="AX539" s="38"/>
      <c r="AY539" s="38"/>
      <c r="AZ539" s="38"/>
      <c r="BA539" s="38"/>
      <c r="BB539" s="38"/>
      <c r="BC539" s="38"/>
      <c r="BD539" s="38"/>
      <c r="BE539" s="38"/>
      <c r="BF539" s="38"/>
      <c r="BG539" s="38"/>
      <c r="BH539" s="38"/>
      <c r="BI539" s="38"/>
      <c r="BJ539" s="38"/>
      <c r="BK539" s="38"/>
      <c r="BL539" s="38"/>
      <c r="BM539" s="38"/>
      <c r="BN539" s="38"/>
      <c r="BO539" s="38"/>
      <c r="BP539" s="38"/>
    </row>
    <row r="540">
      <c r="A540" s="40"/>
      <c r="B540" s="40"/>
      <c r="AF540" s="38"/>
      <c r="AG540" s="38"/>
      <c r="AH540" s="38"/>
      <c r="AI540" s="38"/>
      <c r="AJ540" s="38"/>
      <c r="AK540" s="38"/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  <c r="BI540" s="38"/>
      <c r="BJ540" s="38"/>
      <c r="BK540" s="38"/>
      <c r="BL540" s="38"/>
      <c r="BM540" s="38"/>
      <c r="BN540" s="38"/>
      <c r="BO540" s="38"/>
      <c r="BP540" s="38"/>
    </row>
    <row r="541">
      <c r="A541" s="40"/>
      <c r="B541" s="40"/>
      <c r="AF541" s="38"/>
      <c r="AG541" s="38"/>
      <c r="AH541" s="38"/>
      <c r="AI541" s="38"/>
      <c r="AJ541" s="38"/>
      <c r="AK541" s="38"/>
      <c r="AL541" s="38"/>
      <c r="AM541" s="38"/>
      <c r="AN541" s="38"/>
      <c r="AO541" s="38"/>
      <c r="AP541" s="38"/>
      <c r="AQ541" s="38"/>
      <c r="AR541" s="38"/>
      <c r="AS541" s="38"/>
      <c r="AT541" s="38"/>
      <c r="AU541" s="38"/>
      <c r="AV541" s="38"/>
      <c r="AW541" s="38"/>
      <c r="AX541" s="38"/>
      <c r="AY541" s="38"/>
      <c r="AZ541" s="38"/>
      <c r="BA541" s="38"/>
      <c r="BB541" s="38"/>
      <c r="BC541" s="38"/>
      <c r="BD541" s="38"/>
      <c r="BE541" s="38"/>
      <c r="BF541" s="38"/>
      <c r="BG541" s="38"/>
      <c r="BH541" s="38"/>
      <c r="BI541" s="38"/>
      <c r="BJ541" s="38"/>
      <c r="BK541" s="38"/>
      <c r="BL541" s="38"/>
      <c r="BM541" s="38"/>
      <c r="BN541" s="38"/>
      <c r="BO541" s="38"/>
      <c r="BP541" s="38"/>
    </row>
    <row r="542">
      <c r="A542" s="40"/>
      <c r="B542" s="40"/>
      <c r="AF542" s="38"/>
      <c r="AG542" s="38"/>
      <c r="AH542" s="38"/>
      <c r="AI542" s="38"/>
      <c r="AJ542" s="38"/>
      <c r="AK542" s="38"/>
      <c r="AL542" s="38"/>
      <c r="AM542" s="38"/>
      <c r="AN542" s="38"/>
      <c r="AO542" s="38"/>
      <c r="AP542" s="38"/>
      <c r="AQ542" s="38"/>
      <c r="AR542" s="38"/>
      <c r="AS542" s="38"/>
      <c r="AT542" s="38"/>
      <c r="AU542" s="38"/>
      <c r="AV542" s="38"/>
      <c r="AW542" s="38"/>
      <c r="AX542" s="38"/>
      <c r="AY542" s="38"/>
      <c r="AZ542" s="38"/>
      <c r="BA542" s="38"/>
      <c r="BB542" s="38"/>
      <c r="BC542" s="38"/>
      <c r="BD542" s="38"/>
      <c r="BE542" s="38"/>
      <c r="BF542" s="38"/>
      <c r="BG542" s="38"/>
      <c r="BH542" s="38"/>
      <c r="BI542" s="38"/>
      <c r="BJ542" s="38"/>
      <c r="BK542" s="38"/>
      <c r="BL542" s="38"/>
      <c r="BM542" s="38"/>
      <c r="BN542" s="38"/>
      <c r="BO542" s="38"/>
      <c r="BP542" s="38"/>
    </row>
    <row r="543">
      <c r="A543" s="40"/>
      <c r="B543" s="40"/>
      <c r="AF543" s="38"/>
      <c r="AG543" s="38"/>
      <c r="AH543" s="38"/>
      <c r="AI543" s="38"/>
      <c r="AJ543" s="38"/>
      <c r="AK543" s="38"/>
      <c r="AL543" s="38"/>
      <c r="AM543" s="38"/>
      <c r="AN543" s="38"/>
      <c r="AO543" s="38"/>
      <c r="AP543" s="38"/>
      <c r="AQ543" s="38"/>
      <c r="AR543" s="38"/>
      <c r="AS543" s="38"/>
      <c r="AT543" s="38"/>
      <c r="AU543" s="38"/>
      <c r="AV543" s="38"/>
      <c r="AW543" s="38"/>
      <c r="AX543" s="38"/>
      <c r="AY543" s="38"/>
      <c r="AZ543" s="38"/>
      <c r="BA543" s="38"/>
      <c r="BB543" s="38"/>
      <c r="BC543" s="38"/>
      <c r="BD543" s="38"/>
      <c r="BE543" s="38"/>
      <c r="BF543" s="38"/>
      <c r="BG543" s="38"/>
      <c r="BH543" s="38"/>
      <c r="BI543" s="38"/>
      <c r="BJ543" s="38"/>
      <c r="BK543" s="38"/>
      <c r="BL543" s="38"/>
      <c r="BM543" s="38"/>
      <c r="BN543" s="38"/>
      <c r="BO543" s="38"/>
      <c r="BP543" s="38"/>
    </row>
    <row r="544">
      <c r="A544" s="40"/>
      <c r="B544" s="40"/>
      <c r="AF544" s="38"/>
      <c r="AG544" s="38"/>
      <c r="AH544" s="38"/>
      <c r="AI544" s="38"/>
      <c r="AJ544" s="38"/>
      <c r="AK544" s="38"/>
      <c r="AL544" s="38"/>
      <c r="AM544" s="38"/>
      <c r="AN544" s="38"/>
      <c r="AO544" s="38"/>
      <c r="AP544" s="38"/>
      <c r="AQ544" s="38"/>
      <c r="AR544" s="38"/>
      <c r="AS544" s="38"/>
      <c r="AT544" s="38"/>
      <c r="AU544" s="38"/>
      <c r="AV544" s="38"/>
      <c r="AW544" s="38"/>
      <c r="AX544" s="38"/>
      <c r="AY544" s="38"/>
      <c r="AZ544" s="38"/>
      <c r="BA544" s="38"/>
      <c r="BB544" s="38"/>
      <c r="BC544" s="38"/>
      <c r="BD544" s="38"/>
      <c r="BE544" s="38"/>
      <c r="BF544" s="38"/>
      <c r="BG544" s="38"/>
      <c r="BH544" s="38"/>
      <c r="BI544" s="38"/>
      <c r="BJ544" s="38"/>
      <c r="BK544" s="38"/>
      <c r="BL544" s="38"/>
      <c r="BM544" s="38"/>
      <c r="BN544" s="38"/>
      <c r="BO544" s="38"/>
      <c r="BP544" s="38"/>
    </row>
    <row r="545">
      <c r="A545" s="40"/>
      <c r="B545" s="40"/>
      <c r="AF545" s="38"/>
      <c r="AG545" s="38"/>
      <c r="AH545" s="38"/>
      <c r="AI545" s="38"/>
      <c r="AJ545" s="38"/>
      <c r="AK545" s="38"/>
      <c r="AL545" s="38"/>
      <c r="AM545" s="38"/>
      <c r="AN545" s="38"/>
      <c r="AO545" s="38"/>
      <c r="AP545" s="38"/>
      <c r="AQ545" s="38"/>
      <c r="AR545" s="38"/>
      <c r="AS545" s="38"/>
      <c r="AT545" s="38"/>
      <c r="AU545" s="38"/>
      <c r="AV545" s="38"/>
      <c r="AW545" s="38"/>
      <c r="AX545" s="38"/>
      <c r="AY545" s="38"/>
      <c r="AZ545" s="38"/>
      <c r="BA545" s="38"/>
      <c r="BB545" s="38"/>
      <c r="BC545" s="38"/>
      <c r="BD545" s="38"/>
      <c r="BE545" s="38"/>
      <c r="BF545" s="38"/>
      <c r="BG545" s="38"/>
      <c r="BH545" s="38"/>
      <c r="BI545" s="38"/>
      <c r="BJ545" s="38"/>
      <c r="BK545" s="38"/>
      <c r="BL545" s="38"/>
      <c r="BM545" s="38"/>
      <c r="BN545" s="38"/>
      <c r="BO545" s="38"/>
      <c r="BP545" s="38"/>
    </row>
    <row r="546">
      <c r="A546" s="40"/>
      <c r="B546" s="40"/>
      <c r="AF546" s="38"/>
      <c r="AG546" s="38"/>
      <c r="AH546" s="38"/>
      <c r="AI546" s="38"/>
      <c r="AJ546" s="38"/>
      <c r="AK546" s="38"/>
      <c r="AL546" s="38"/>
      <c r="AM546" s="38"/>
      <c r="AN546" s="38"/>
      <c r="AO546" s="38"/>
      <c r="AP546" s="38"/>
      <c r="AQ546" s="38"/>
      <c r="AR546" s="38"/>
      <c r="AS546" s="38"/>
      <c r="AT546" s="38"/>
      <c r="AU546" s="38"/>
      <c r="AV546" s="38"/>
      <c r="AW546" s="38"/>
      <c r="AX546" s="38"/>
      <c r="AY546" s="38"/>
      <c r="AZ546" s="38"/>
      <c r="BA546" s="38"/>
      <c r="BB546" s="38"/>
      <c r="BC546" s="38"/>
      <c r="BD546" s="38"/>
      <c r="BE546" s="38"/>
      <c r="BF546" s="38"/>
      <c r="BG546" s="38"/>
      <c r="BH546" s="38"/>
      <c r="BI546" s="38"/>
      <c r="BJ546" s="38"/>
      <c r="BK546" s="38"/>
      <c r="BL546" s="38"/>
      <c r="BM546" s="38"/>
      <c r="BN546" s="38"/>
      <c r="BO546" s="38"/>
      <c r="BP546" s="38"/>
    </row>
    <row r="547">
      <c r="A547" s="40"/>
      <c r="B547" s="40"/>
      <c r="AF547" s="38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38"/>
      <c r="AT547" s="38"/>
      <c r="AU547" s="38"/>
      <c r="AV547" s="38"/>
      <c r="AW547" s="38"/>
      <c r="AX547" s="38"/>
      <c r="AY547" s="38"/>
      <c r="AZ547" s="38"/>
      <c r="BA547" s="38"/>
      <c r="BB547" s="38"/>
      <c r="BC547" s="38"/>
      <c r="BD547" s="38"/>
      <c r="BE547" s="38"/>
      <c r="BF547" s="38"/>
      <c r="BG547" s="38"/>
      <c r="BH547" s="38"/>
      <c r="BI547" s="38"/>
      <c r="BJ547" s="38"/>
      <c r="BK547" s="38"/>
      <c r="BL547" s="38"/>
      <c r="BM547" s="38"/>
      <c r="BN547" s="38"/>
      <c r="BO547" s="38"/>
      <c r="BP547" s="38"/>
    </row>
    <row r="548">
      <c r="A548" s="40"/>
      <c r="B548" s="40"/>
      <c r="AF548" s="38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38"/>
      <c r="AT548" s="38"/>
      <c r="AU548" s="38"/>
      <c r="AV548" s="38"/>
      <c r="AW548" s="38"/>
      <c r="AX548" s="38"/>
      <c r="AY548" s="38"/>
      <c r="AZ548" s="38"/>
      <c r="BA548" s="38"/>
      <c r="BB548" s="38"/>
      <c r="BC548" s="38"/>
      <c r="BD548" s="38"/>
      <c r="BE548" s="38"/>
      <c r="BF548" s="38"/>
      <c r="BG548" s="38"/>
      <c r="BH548" s="38"/>
      <c r="BI548" s="38"/>
      <c r="BJ548" s="38"/>
      <c r="BK548" s="38"/>
      <c r="BL548" s="38"/>
      <c r="BM548" s="38"/>
      <c r="BN548" s="38"/>
      <c r="BO548" s="38"/>
      <c r="BP548" s="38"/>
    </row>
    <row r="549">
      <c r="A549" s="40"/>
      <c r="B549" s="40"/>
      <c r="AF549" s="38"/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38"/>
      <c r="AT549" s="38"/>
      <c r="AU549" s="38"/>
      <c r="AV549" s="38"/>
      <c r="AW549" s="38"/>
      <c r="AX549" s="38"/>
      <c r="AY549" s="38"/>
      <c r="AZ549" s="38"/>
      <c r="BA549" s="38"/>
      <c r="BB549" s="38"/>
      <c r="BC549" s="38"/>
      <c r="BD549" s="38"/>
      <c r="BE549" s="38"/>
      <c r="BF549" s="38"/>
      <c r="BG549" s="38"/>
      <c r="BH549" s="38"/>
      <c r="BI549" s="38"/>
      <c r="BJ549" s="38"/>
      <c r="BK549" s="38"/>
      <c r="BL549" s="38"/>
      <c r="BM549" s="38"/>
      <c r="BN549" s="38"/>
      <c r="BO549" s="38"/>
      <c r="BP549" s="38"/>
    </row>
    <row r="550">
      <c r="A550" s="40"/>
      <c r="B550" s="40"/>
      <c r="AF550" s="38"/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38"/>
      <c r="AT550" s="38"/>
      <c r="AU550" s="38"/>
      <c r="AV550" s="38"/>
      <c r="AW550" s="38"/>
      <c r="AX550" s="38"/>
      <c r="AY550" s="38"/>
      <c r="AZ550" s="38"/>
      <c r="BA550" s="38"/>
      <c r="BB550" s="38"/>
      <c r="BC550" s="38"/>
      <c r="BD550" s="38"/>
      <c r="BE550" s="38"/>
      <c r="BF550" s="38"/>
      <c r="BG550" s="38"/>
      <c r="BH550" s="38"/>
      <c r="BI550" s="38"/>
      <c r="BJ550" s="38"/>
      <c r="BK550" s="38"/>
      <c r="BL550" s="38"/>
      <c r="BM550" s="38"/>
      <c r="BN550" s="38"/>
      <c r="BO550" s="38"/>
      <c r="BP550" s="38"/>
    </row>
    <row r="551">
      <c r="A551" s="40"/>
      <c r="B551" s="40"/>
      <c r="AF551" s="38"/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38"/>
      <c r="AT551" s="38"/>
      <c r="AU551" s="38"/>
      <c r="AV551" s="38"/>
      <c r="AW551" s="38"/>
      <c r="AX551" s="38"/>
      <c r="AY551" s="38"/>
      <c r="AZ551" s="38"/>
      <c r="BA551" s="38"/>
      <c r="BB551" s="38"/>
      <c r="BC551" s="38"/>
      <c r="BD551" s="38"/>
      <c r="BE551" s="38"/>
      <c r="BF551" s="38"/>
      <c r="BG551" s="38"/>
      <c r="BH551" s="38"/>
      <c r="BI551" s="38"/>
      <c r="BJ551" s="38"/>
      <c r="BK551" s="38"/>
      <c r="BL551" s="38"/>
      <c r="BM551" s="38"/>
      <c r="BN551" s="38"/>
      <c r="BO551" s="38"/>
      <c r="BP551" s="38"/>
    </row>
    <row r="552">
      <c r="A552" s="40"/>
      <c r="B552" s="40"/>
      <c r="AF552" s="38"/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38"/>
      <c r="AT552" s="38"/>
      <c r="AU552" s="38"/>
      <c r="AV552" s="38"/>
      <c r="AW552" s="38"/>
      <c r="AX552" s="38"/>
      <c r="AY552" s="38"/>
      <c r="AZ552" s="38"/>
      <c r="BA552" s="38"/>
      <c r="BB552" s="38"/>
      <c r="BC552" s="38"/>
      <c r="BD552" s="38"/>
      <c r="BE552" s="38"/>
      <c r="BF552" s="38"/>
      <c r="BG552" s="38"/>
      <c r="BH552" s="38"/>
      <c r="BI552" s="38"/>
      <c r="BJ552" s="38"/>
      <c r="BK552" s="38"/>
      <c r="BL552" s="38"/>
      <c r="BM552" s="38"/>
      <c r="BN552" s="38"/>
      <c r="BO552" s="38"/>
      <c r="BP552" s="38"/>
    </row>
    <row r="553">
      <c r="A553" s="40"/>
      <c r="B553" s="40"/>
      <c r="AF553" s="38"/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38"/>
      <c r="AT553" s="38"/>
      <c r="AU553" s="38"/>
      <c r="AV553" s="38"/>
      <c r="AW553" s="38"/>
      <c r="AX553" s="38"/>
      <c r="AY553" s="38"/>
      <c r="AZ553" s="38"/>
      <c r="BA553" s="38"/>
      <c r="BB553" s="38"/>
      <c r="BC553" s="38"/>
      <c r="BD553" s="38"/>
      <c r="BE553" s="38"/>
      <c r="BF553" s="38"/>
      <c r="BG553" s="38"/>
      <c r="BH553" s="38"/>
      <c r="BI553" s="38"/>
      <c r="BJ553" s="38"/>
      <c r="BK553" s="38"/>
      <c r="BL553" s="38"/>
      <c r="BM553" s="38"/>
      <c r="BN553" s="38"/>
      <c r="BO553" s="38"/>
      <c r="BP553" s="38"/>
    </row>
    <row r="554">
      <c r="A554" s="40"/>
      <c r="B554" s="40"/>
      <c r="AF554" s="38"/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38"/>
      <c r="AT554" s="38"/>
      <c r="AU554" s="38"/>
      <c r="AV554" s="38"/>
      <c r="AW554" s="38"/>
      <c r="AX554" s="38"/>
      <c r="AY554" s="38"/>
      <c r="AZ554" s="38"/>
      <c r="BA554" s="38"/>
      <c r="BB554" s="38"/>
      <c r="BC554" s="38"/>
      <c r="BD554" s="38"/>
      <c r="BE554" s="38"/>
      <c r="BF554" s="38"/>
      <c r="BG554" s="38"/>
      <c r="BH554" s="38"/>
      <c r="BI554" s="38"/>
      <c r="BJ554" s="38"/>
      <c r="BK554" s="38"/>
      <c r="BL554" s="38"/>
      <c r="BM554" s="38"/>
      <c r="BN554" s="38"/>
      <c r="BO554" s="38"/>
      <c r="BP554" s="38"/>
    </row>
    <row r="555">
      <c r="A555" s="40"/>
      <c r="B555" s="40"/>
      <c r="AF555" s="38"/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38"/>
      <c r="AT555" s="38"/>
      <c r="AU555" s="38"/>
      <c r="AV555" s="38"/>
      <c r="AW555" s="38"/>
      <c r="AX555" s="38"/>
      <c r="AY555" s="38"/>
      <c r="AZ555" s="38"/>
      <c r="BA555" s="38"/>
      <c r="BB555" s="38"/>
      <c r="BC555" s="38"/>
      <c r="BD555" s="38"/>
      <c r="BE555" s="38"/>
      <c r="BF555" s="38"/>
      <c r="BG555" s="38"/>
      <c r="BH555" s="38"/>
      <c r="BI555" s="38"/>
      <c r="BJ555" s="38"/>
      <c r="BK555" s="38"/>
      <c r="BL555" s="38"/>
      <c r="BM555" s="38"/>
      <c r="BN555" s="38"/>
      <c r="BO555" s="38"/>
      <c r="BP555" s="38"/>
    </row>
    <row r="556">
      <c r="A556" s="40"/>
      <c r="B556" s="40"/>
      <c r="AF556" s="38"/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38"/>
      <c r="AT556" s="38"/>
      <c r="AU556" s="38"/>
      <c r="AV556" s="38"/>
      <c r="AW556" s="38"/>
      <c r="AX556" s="38"/>
      <c r="AY556" s="38"/>
      <c r="AZ556" s="38"/>
      <c r="BA556" s="38"/>
      <c r="BB556" s="38"/>
      <c r="BC556" s="38"/>
      <c r="BD556" s="38"/>
      <c r="BE556" s="38"/>
      <c r="BF556" s="38"/>
      <c r="BG556" s="38"/>
      <c r="BH556" s="38"/>
      <c r="BI556" s="38"/>
      <c r="BJ556" s="38"/>
      <c r="BK556" s="38"/>
      <c r="BL556" s="38"/>
      <c r="BM556" s="38"/>
      <c r="BN556" s="38"/>
      <c r="BO556" s="38"/>
      <c r="BP556" s="38"/>
    </row>
    <row r="557">
      <c r="A557" s="40"/>
      <c r="B557" s="40"/>
      <c r="AF557" s="38"/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38"/>
      <c r="AT557" s="38"/>
      <c r="AU557" s="38"/>
      <c r="AV557" s="38"/>
      <c r="AW557" s="38"/>
      <c r="AX557" s="38"/>
      <c r="AY557" s="38"/>
      <c r="AZ557" s="38"/>
      <c r="BA557" s="38"/>
      <c r="BB557" s="38"/>
      <c r="BC557" s="38"/>
      <c r="BD557" s="38"/>
      <c r="BE557" s="38"/>
      <c r="BF557" s="38"/>
      <c r="BG557" s="38"/>
      <c r="BH557" s="38"/>
      <c r="BI557" s="38"/>
      <c r="BJ557" s="38"/>
      <c r="BK557" s="38"/>
      <c r="BL557" s="38"/>
      <c r="BM557" s="38"/>
      <c r="BN557" s="38"/>
      <c r="BO557" s="38"/>
      <c r="BP557" s="38"/>
    </row>
    <row r="558">
      <c r="A558" s="40"/>
      <c r="B558" s="40"/>
      <c r="AF558" s="38"/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38"/>
      <c r="AT558" s="38"/>
      <c r="AU558" s="38"/>
      <c r="AV558" s="38"/>
      <c r="AW558" s="38"/>
      <c r="AX558" s="38"/>
      <c r="AY558" s="38"/>
      <c r="AZ558" s="38"/>
      <c r="BA558" s="38"/>
      <c r="BB558" s="38"/>
      <c r="BC558" s="38"/>
      <c r="BD558" s="38"/>
      <c r="BE558" s="38"/>
      <c r="BF558" s="38"/>
      <c r="BG558" s="38"/>
      <c r="BH558" s="38"/>
      <c r="BI558" s="38"/>
      <c r="BJ558" s="38"/>
      <c r="BK558" s="38"/>
      <c r="BL558" s="38"/>
      <c r="BM558" s="38"/>
      <c r="BN558" s="38"/>
      <c r="BO558" s="38"/>
      <c r="BP558" s="38"/>
    </row>
    <row r="559">
      <c r="A559" s="40"/>
      <c r="B559" s="40"/>
      <c r="AF559" s="38"/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38"/>
      <c r="AT559" s="38"/>
      <c r="AU559" s="38"/>
      <c r="AV559" s="38"/>
      <c r="AW559" s="38"/>
      <c r="AX559" s="38"/>
      <c r="AY559" s="38"/>
      <c r="AZ559" s="38"/>
      <c r="BA559" s="38"/>
      <c r="BB559" s="38"/>
      <c r="BC559" s="38"/>
      <c r="BD559" s="38"/>
      <c r="BE559" s="38"/>
      <c r="BF559" s="38"/>
      <c r="BG559" s="38"/>
      <c r="BH559" s="38"/>
      <c r="BI559" s="38"/>
      <c r="BJ559" s="38"/>
      <c r="BK559" s="38"/>
      <c r="BL559" s="38"/>
      <c r="BM559" s="38"/>
      <c r="BN559" s="38"/>
      <c r="BO559" s="38"/>
      <c r="BP559" s="38"/>
    </row>
    <row r="560">
      <c r="A560" s="40"/>
      <c r="B560" s="40"/>
      <c r="AF560" s="38"/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38"/>
      <c r="AT560" s="38"/>
      <c r="AU560" s="38"/>
      <c r="AV560" s="38"/>
      <c r="AW560" s="38"/>
      <c r="AX560" s="38"/>
      <c r="AY560" s="38"/>
      <c r="AZ560" s="38"/>
      <c r="BA560" s="38"/>
      <c r="BB560" s="38"/>
      <c r="BC560" s="38"/>
      <c r="BD560" s="38"/>
      <c r="BE560" s="38"/>
      <c r="BF560" s="38"/>
      <c r="BG560" s="38"/>
      <c r="BH560" s="38"/>
      <c r="BI560" s="38"/>
      <c r="BJ560" s="38"/>
      <c r="BK560" s="38"/>
      <c r="BL560" s="38"/>
      <c r="BM560" s="38"/>
      <c r="BN560" s="38"/>
      <c r="BO560" s="38"/>
      <c r="BP560" s="38"/>
    </row>
    <row r="561">
      <c r="A561" s="40"/>
      <c r="B561" s="40"/>
      <c r="AF561" s="38"/>
      <c r="AG561" s="38"/>
      <c r="AH561" s="38"/>
      <c r="AI561" s="38"/>
      <c r="AJ561" s="38"/>
      <c r="AK561" s="38"/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  <c r="BI561" s="38"/>
      <c r="BJ561" s="38"/>
      <c r="BK561" s="38"/>
      <c r="BL561" s="38"/>
      <c r="BM561" s="38"/>
      <c r="BN561" s="38"/>
      <c r="BO561" s="38"/>
      <c r="BP561" s="38"/>
    </row>
    <row r="562">
      <c r="A562" s="40"/>
      <c r="B562" s="40"/>
      <c r="AF562" s="38"/>
      <c r="AG562" s="38"/>
      <c r="AH562" s="38"/>
      <c r="AI562" s="38"/>
      <c r="AJ562" s="38"/>
      <c r="AK562" s="38"/>
      <c r="AL562" s="38"/>
      <c r="AM562" s="38"/>
      <c r="AN562" s="38"/>
      <c r="AO562" s="38"/>
      <c r="AP562" s="38"/>
      <c r="AQ562" s="38"/>
      <c r="AR562" s="38"/>
      <c r="AS562" s="38"/>
      <c r="AT562" s="38"/>
      <c r="AU562" s="38"/>
      <c r="AV562" s="38"/>
      <c r="AW562" s="38"/>
      <c r="AX562" s="38"/>
      <c r="AY562" s="38"/>
      <c r="AZ562" s="38"/>
      <c r="BA562" s="38"/>
      <c r="BB562" s="38"/>
      <c r="BC562" s="38"/>
      <c r="BD562" s="38"/>
      <c r="BE562" s="38"/>
      <c r="BF562" s="38"/>
      <c r="BG562" s="38"/>
      <c r="BH562" s="38"/>
      <c r="BI562" s="38"/>
      <c r="BJ562" s="38"/>
      <c r="BK562" s="38"/>
      <c r="BL562" s="38"/>
      <c r="BM562" s="38"/>
      <c r="BN562" s="38"/>
      <c r="BO562" s="38"/>
      <c r="BP562" s="38"/>
    </row>
    <row r="563">
      <c r="A563" s="40"/>
      <c r="B563" s="40"/>
      <c r="AF563" s="38"/>
      <c r="AG563" s="38"/>
      <c r="AH563" s="38"/>
      <c r="AI563" s="38"/>
      <c r="AJ563" s="38"/>
      <c r="AK563" s="38"/>
      <c r="AL563" s="38"/>
      <c r="AM563" s="38"/>
      <c r="AN563" s="38"/>
      <c r="AO563" s="38"/>
      <c r="AP563" s="38"/>
      <c r="AQ563" s="38"/>
      <c r="AR563" s="38"/>
      <c r="AS563" s="38"/>
      <c r="AT563" s="38"/>
      <c r="AU563" s="38"/>
      <c r="AV563" s="38"/>
      <c r="AW563" s="38"/>
      <c r="AX563" s="38"/>
      <c r="AY563" s="38"/>
      <c r="AZ563" s="38"/>
      <c r="BA563" s="38"/>
      <c r="BB563" s="38"/>
      <c r="BC563" s="38"/>
      <c r="BD563" s="38"/>
      <c r="BE563" s="38"/>
      <c r="BF563" s="38"/>
      <c r="BG563" s="38"/>
      <c r="BH563" s="38"/>
      <c r="BI563" s="38"/>
      <c r="BJ563" s="38"/>
      <c r="BK563" s="38"/>
      <c r="BL563" s="38"/>
      <c r="BM563" s="38"/>
      <c r="BN563" s="38"/>
      <c r="BO563" s="38"/>
      <c r="BP563" s="38"/>
    </row>
    <row r="564">
      <c r="A564" s="40"/>
      <c r="B564" s="40"/>
      <c r="AF564" s="38"/>
      <c r="AG564" s="38"/>
      <c r="AH564" s="38"/>
      <c r="AI564" s="38"/>
      <c r="AJ564" s="38"/>
      <c r="AK564" s="38"/>
      <c r="AL564" s="38"/>
      <c r="AM564" s="38"/>
      <c r="AN564" s="38"/>
      <c r="AO564" s="38"/>
      <c r="AP564" s="38"/>
      <c r="AQ564" s="38"/>
      <c r="AR564" s="38"/>
      <c r="AS564" s="38"/>
      <c r="AT564" s="38"/>
      <c r="AU564" s="38"/>
      <c r="AV564" s="38"/>
      <c r="AW564" s="38"/>
      <c r="AX564" s="38"/>
      <c r="AY564" s="38"/>
      <c r="AZ564" s="38"/>
      <c r="BA564" s="38"/>
      <c r="BB564" s="38"/>
      <c r="BC564" s="38"/>
      <c r="BD564" s="38"/>
      <c r="BE564" s="38"/>
      <c r="BF564" s="38"/>
      <c r="BG564" s="38"/>
      <c r="BH564" s="38"/>
      <c r="BI564" s="38"/>
      <c r="BJ564" s="38"/>
      <c r="BK564" s="38"/>
      <c r="BL564" s="38"/>
      <c r="BM564" s="38"/>
      <c r="BN564" s="38"/>
      <c r="BO564" s="38"/>
      <c r="BP564" s="38"/>
    </row>
    <row r="565">
      <c r="A565" s="40"/>
      <c r="B565" s="40"/>
      <c r="AF565" s="38"/>
      <c r="AG565" s="38"/>
      <c r="AH565" s="38"/>
      <c r="AI565" s="38"/>
      <c r="AJ565" s="38"/>
      <c r="AK565" s="38"/>
      <c r="AL565" s="38"/>
      <c r="AM565" s="38"/>
      <c r="AN565" s="38"/>
      <c r="AO565" s="38"/>
      <c r="AP565" s="38"/>
      <c r="AQ565" s="38"/>
      <c r="AR565" s="38"/>
      <c r="AS565" s="38"/>
      <c r="AT565" s="38"/>
      <c r="AU565" s="38"/>
      <c r="AV565" s="38"/>
      <c r="AW565" s="38"/>
      <c r="AX565" s="38"/>
      <c r="AY565" s="38"/>
      <c r="AZ565" s="38"/>
      <c r="BA565" s="38"/>
      <c r="BB565" s="38"/>
      <c r="BC565" s="38"/>
      <c r="BD565" s="38"/>
      <c r="BE565" s="38"/>
      <c r="BF565" s="38"/>
      <c r="BG565" s="38"/>
      <c r="BH565" s="38"/>
      <c r="BI565" s="38"/>
      <c r="BJ565" s="38"/>
      <c r="BK565" s="38"/>
      <c r="BL565" s="38"/>
      <c r="BM565" s="38"/>
      <c r="BN565" s="38"/>
      <c r="BO565" s="38"/>
      <c r="BP565" s="38"/>
    </row>
    <row r="566">
      <c r="A566" s="40"/>
      <c r="B566" s="40"/>
      <c r="AF566" s="38"/>
      <c r="AG566" s="38"/>
      <c r="AH566" s="38"/>
      <c r="AI566" s="38"/>
      <c r="AJ566" s="38"/>
      <c r="AK566" s="38"/>
      <c r="AL566" s="38"/>
      <c r="AM566" s="38"/>
      <c r="AN566" s="38"/>
      <c r="AO566" s="38"/>
      <c r="AP566" s="38"/>
      <c r="AQ566" s="38"/>
      <c r="AR566" s="38"/>
      <c r="AS566" s="38"/>
      <c r="AT566" s="38"/>
      <c r="AU566" s="38"/>
      <c r="AV566" s="38"/>
      <c r="AW566" s="38"/>
      <c r="AX566" s="38"/>
      <c r="AY566" s="38"/>
      <c r="AZ566" s="38"/>
      <c r="BA566" s="38"/>
      <c r="BB566" s="38"/>
      <c r="BC566" s="38"/>
      <c r="BD566" s="38"/>
      <c r="BE566" s="38"/>
      <c r="BF566" s="38"/>
      <c r="BG566" s="38"/>
      <c r="BH566" s="38"/>
      <c r="BI566" s="38"/>
      <c r="BJ566" s="38"/>
      <c r="BK566" s="38"/>
      <c r="BL566" s="38"/>
      <c r="BM566" s="38"/>
      <c r="BN566" s="38"/>
      <c r="BO566" s="38"/>
      <c r="BP566" s="38"/>
    </row>
    <row r="567">
      <c r="A567" s="40"/>
      <c r="B567" s="40"/>
      <c r="AF567" s="38"/>
      <c r="AG567" s="38"/>
      <c r="AH567" s="38"/>
      <c r="AI567" s="38"/>
      <c r="AJ567" s="38"/>
      <c r="AK567" s="38"/>
      <c r="AL567" s="38"/>
      <c r="AM567" s="38"/>
      <c r="AN567" s="38"/>
      <c r="AO567" s="38"/>
      <c r="AP567" s="38"/>
      <c r="AQ567" s="38"/>
      <c r="AR567" s="38"/>
      <c r="AS567" s="38"/>
      <c r="AT567" s="38"/>
      <c r="AU567" s="38"/>
      <c r="AV567" s="38"/>
      <c r="AW567" s="38"/>
      <c r="AX567" s="38"/>
      <c r="AY567" s="38"/>
      <c r="AZ567" s="38"/>
      <c r="BA567" s="38"/>
      <c r="BB567" s="38"/>
      <c r="BC567" s="38"/>
      <c r="BD567" s="38"/>
      <c r="BE567" s="38"/>
      <c r="BF567" s="38"/>
      <c r="BG567" s="38"/>
      <c r="BH567" s="38"/>
      <c r="BI567" s="38"/>
      <c r="BJ567" s="38"/>
      <c r="BK567" s="38"/>
      <c r="BL567" s="38"/>
      <c r="BM567" s="38"/>
      <c r="BN567" s="38"/>
      <c r="BO567" s="38"/>
      <c r="BP567" s="38"/>
    </row>
    <row r="568">
      <c r="A568" s="40"/>
      <c r="B568" s="40"/>
      <c r="AF568" s="38"/>
      <c r="AG568" s="38"/>
      <c r="AH568" s="38"/>
      <c r="AI568" s="38"/>
      <c r="AJ568" s="38"/>
      <c r="AK568" s="38"/>
      <c r="AL568" s="38"/>
      <c r="AM568" s="38"/>
      <c r="AN568" s="38"/>
      <c r="AO568" s="38"/>
      <c r="AP568" s="38"/>
      <c r="AQ568" s="38"/>
      <c r="AR568" s="38"/>
      <c r="AS568" s="38"/>
      <c r="AT568" s="38"/>
      <c r="AU568" s="38"/>
      <c r="AV568" s="38"/>
      <c r="AW568" s="38"/>
      <c r="AX568" s="38"/>
      <c r="AY568" s="38"/>
      <c r="AZ568" s="38"/>
      <c r="BA568" s="38"/>
      <c r="BB568" s="38"/>
      <c r="BC568" s="38"/>
      <c r="BD568" s="38"/>
      <c r="BE568" s="38"/>
      <c r="BF568" s="38"/>
      <c r="BG568" s="38"/>
      <c r="BH568" s="38"/>
      <c r="BI568" s="38"/>
      <c r="BJ568" s="38"/>
      <c r="BK568" s="38"/>
      <c r="BL568" s="38"/>
      <c r="BM568" s="38"/>
      <c r="BN568" s="38"/>
      <c r="BO568" s="38"/>
      <c r="BP568" s="38"/>
    </row>
    <row r="569">
      <c r="A569" s="40"/>
      <c r="B569" s="40"/>
      <c r="AF569" s="38"/>
      <c r="AG569" s="38"/>
      <c r="AH569" s="38"/>
      <c r="AI569" s="38"/>
      <c r="AJ569" s="38"/>
      <c r="AK569" s="38"/>
      <c r="AL569" s="38"/>
      <c r="AM569" s="38"/>
      <c r="AN569" s="38"/>
      <c r="AO569" s="38"/>
      <c r="AP569" s="38"/>
      <c r="AQ569" s="38"/>
      <c r="AR569" s="38"/>
      <c r="AS569" s="38"/>
      <c r="AT569" s="38"/>
      <c r="AU569" s="38"/>
      <c r="AV569" s="38"/>
      <c r="AW569" s="38"/>
      <c r="AX569" s="38"/>
      <c r="AY569" s="38"/>
      <c r="AZ569" s="38"/>
      <c r="BA569" s="38"/>
      <c r="BB569" s="38"/>
      <c r="BC569" s="38"/>
      <c r="BD569" s="38"/>
      <c r="BE569" s="38"/>
      <c r="BF569" s="38"/>
      <c r="BG569" s="38"/>
      <c r="BH569" s="38"/>
      <c r="BI569" s="38"/>
      <c r="BJ569" s="38"/>
      <c r="BK569" s="38"/>
      <c r="BL569" s="38"/>
      <c r="BM569" s="38"/>
      <c r="BN569" s="38"/>
      <c r="BO569" s="38"/>
      <c r="BP569" s="38"/>
    </row>
    <row r="570">
      <c r="A570" s="40"/>
      <c r="B570" s="40"/>
      <c r="AF570" s="38"/>
      <c r="AG570" s="38"/>
      <c r="AH570" s="38"/>
      <c r="AI570" s="38"/>
      <c r="AJ570" s="38"/>
      <c r="AK570" s="38"/>
      <c r="AL570" s="38"/>
      <c r="AM570" s="38"/>
      <c r="AN570" s="38"/>
      <c r="AO570" s="38"/>
      <c r="AP570" s="38"/>
      <c r="AQ570" s="38"/>
      <c r="AR570" s="38"/>
      <c r="AS570" s="38"/>
      <c r="AT570" s="38"/>
      <c r="AU570" s="38"/>
      <c r="AV570" s="38"/>
      <c r="AW570" s="38"/>
      <c r="AX570" s="38"/>
      <c r="AY570" s="38"/>
      <c r="AZ570" s="38"/>
      <c r="BA570" s="38"/>
      <c r="BB570" s="38"/>
      <c r="BC570" s="38"/>
      <c r="BD570" s="38"/>
      <c r="BE570" s="38"/>
      <c r="BF570" s="38"/>
      <c r="BG570" s="38"/>
      <c r="BH570" s="38"/>
      <c r="BI570" s="38"/>
      <c r="BJ570" s="38"/>
      <c r="BK570" s="38"/>
      <c r="BL570" s="38"/>
      <c r="BM570" s="38"/>
      <c r="BN570" s="38"/>
      <c r="BO570" s="38"/>
      <c r="BP570" s="38"/>
    </row>
    <row r="571">
      <c r="A571" s="40"/>
      <c r="B571" s="40"/>
      <c r="AF571" s="38"/>
      <c r="AG571" s="38"/>
      <c r="AH571" s="38"/>
      <c r="AI571" s="38"/>
      <c r="AJ571" s="38"/>
      <c r="AK571" s="38"/>
      <c r="AL571" s="38"/>
      <c r="AM571" s="38"/>
      <c r="AN571" s="38"/>
      <c r="AO571" s="38"/>
      <c r="AP571" s="38"/>
      <c r="AQ571" s="38"/>
      <c r="AR571" s="38"/>
      <c r="AS571" s="38"/>
      <c r="AT571" s="38"/>
      <c r="AU571" s="38"/>
      <c r="AV571" s="38"/>
      <c r="AW571" s="38"/>
      <c r="AX571" s="38"/>
      <c r="AY571" s="38"/>
      <c r="AZ571" s="38"/>
      <c r="BA571" s="38"/>
      <c r="BB571" s="38"/>
      <c r="BC571" s="38"/>
      <c r="BD571" s="38"/>
      <c r="BE571" s="38"/>
      <c r="BF571" s="38"/>
      <c r="BG571" s="38"/>
      <c r="BH571" s="38"/>
      <c r="BI571" s="38"/>
      <c r="BJ571" s="38"/>
      <c r="BK571" s="38"/>
      <c r="BL571" s="38"/>
      <c r="BM571" s="38"/>
      <c r="BN571" s="38"/>
      <c r="BO571" s="38"/>
      <c r="BP571" s="38"/>
    </row>
    <row r="572">
      <c r="A572" s="40"/>
      <c r="B572" s="40"/>
      <c r="AF572" s="38"/>
      <c r="AG572" s="38"/>
      <c r="AH572" s="38"/>
      <c r="AI572" s="38"/>
      <c r="AJ572" s="38"/>
      <c r="AK572" s="38"/>
      <c r="AL572" s="38"/>
      <c r="AM572" s="38"/>
      <c r="AN572" s="38"/>
      <c r="AO572" s="38"/>
      <c r="AP572" s="38"/>
      <c r="AQ572" s="38"/>
      <c r="AR572" s="38"/>
      <c r="AS572" s="38"/>
      <c r="AT572" s="38"/>
      <c r="AU572" s="38"/>
      <c r="AV572" s="38"/>
      <c r="AW572" s="38"/>
      <c r="AX572" s="38"/>
      <c r="AY572" s="38"/>
      <c r="AZ572" s="38"/>
      <c r="BA572" s="38"/>
      <c r="BB572" s="38"/>
      <c r="BC572" s="38"/>
      <c r="BD572" s="38"/>
      <c r="BE572" s="38"/>
      <c r="BF572" s="38"/>
      <c r="BG572" s="38"/>
      <c r="BH572" s="38"/>
      <c r="BI572" s="38"/>
      <c r="BJ572" s="38"/>
      <c r="BK572" s="38"/>
      <c r="BL572" s="38"/>
      <c r="BM572" s="38"/>
      <c r="BN572" s="38"/>
      <c r="BO572" s="38"/>
      <c r="BP572" s="38"/>
    </row>
    <row r="573">
      <c r="A573" s="40"/>
      <c r="B573" s="40"/>
      <c r="AF573" s="38"/>
      <c r="AG573" s="38"/>
      <c r="AH573" s="38"/>
      <c r="AI573" s="38"/>
      <c r="AJ573" s="38"/>
      <c r="AK573" s="38"/>
      <c r="AL573" s="38"/>
      <c r="AM573" s="38"/>
      <c r="AN573" s="38"/>
      <c r="AO573" s="38"/>
      <c r="AP573" s="38"/>
      <c r="AQ573" s="38"/>
      <c r="AR573" s="38"/>
      <c r="AS573" s="38"/>
      <c r="AT573" s="38"/>
      <c r="AU573" s="38"/>
      <c r="AV573" s="38"/>
      <c r="AW573" s="38"/>
      <c r="AX573" s="38"/>
      <c r="AY573" s="38"/>
      <c r="AZ573" s="38"/>
      <c r="BA573" s="38"/>
      <c r="BB573" s="38"/>
      <c r="BC573" s="38"/>
      <c r="BD573" s="38"/>
      <c r="BE573" s="38"/>
      <c r="BF573" s="38"/>
      <c r="BG573" s="38"/>
      <c r="BH573" s="38"/>
      <c r="BI573" s="38"/>
      <c r="BJ573" s="38"/>
      <c r="BK573" s="38"/>
      <c r="BL573" s="38"/>
      <c r="BM573" s="38"/>
      <c r="BN573" s="38"/>
      <c r="BO573" s="38"/>
      <c r="BP573" s="38"/>
    </row>
    <row r="574">
      <c r="A574" s="40"/>
      <c r="B574" s="40"/>
      <c r="AF574" s="38"/>
      <c r="AG574" s="38"/>
      <c r="AH574" s="38"/>
      <c r="AI574" s="38"/>
      <c r="AJ574" s="38"/>
      <c r="AK574" s="38"/>
      <c r="AL574" s="38"/>
      <c r="AM574" s="38"/>
      <c r="AN574" s="38"/>
      <c r="AO574" s="38"/>
      <c r="AP574" s="38"/>
      <c r="AQ574" s="38"/>
      <c r="AR574" s="38"/>
      <c r="AS574" s="38"/>
      <c r="AT574" s="38"/>
      <c r="AU574" s="38"/>
      <c r="AV574" s="38"/>
      <c r="AW574" s="38"/>
      <c r="AX574" s="38"/>
      <c r="AY574" s="38"/>
      <c r="AZ574" s="38"/>
      <c r="BA574" s="38"/>
      <c r="BB574" s="38"/>
      <c r="BC574" s="38"/>
      <c r="BD574" s="38"/>
      <c r="BE574" s="38"/>
      <c r="BF574" s="38"/>
      <c r="BG574" s="38"/>
      <c r="BH574" s="38"/>
      <c r="BI574" s="38"/>
      <c r="BJ574" s="38"/>
      <c r="BK574" s="38"/>
      <c r="BL574" s="38"/>
      <c r="BM574" s="38"/>
      <c r="BN574" s="38"/>
      <c r="BO574" s="38"/>
      <c r="BP574" s="38"/>
    </row>
    <row r="575">
      <c r="A575" s="40"/>
      <c r="B575" s="40"/>
      <c r="AF575" s="38"/>
      <c r="AG575" s="38"/>
      <c r="AH575" s="38"/>
      <c r="AI575" s="38"/>
      <c r="AJ575" s="38"/>
      <c r="AK575" s="38"/>
      <c r="AL575" s="38"/>
      <c r="AM575" s="38"/>
      <c r="AN575" s="38"/>
      <c r="AO575" s="38"/>
      <c r="AP575" s="38"/>
      <c r="AQ575" s="38"/>
      <c r="AR575" s="38"/>
      <c r="AS575" s="38"/>
      <c r="AT575" s="38"/>
      <c r="AU575" s="38"/>
      <c r="AV575" s="38"/>
      <c r="AW575" s="38"/>
      <c r="AX575" s="38"/>
      <c r="AY575" s="38"/>
      <c r="AZ575" s="38"/>
      <c r="BA575" s="38"/>
      <c r="BB575" s="38"/>
      <c r="BC575" s="38"/>
      <c r="BD575" s="38"/>
      <c r="BE575" s="38"/>
      <c r="BF575" s="38"/>
      <c r="BG575" s="38"/>
      <c r="BH575" s="38"/>
      <c r="BI575" s="38"/>
      <c r="BJ575" s="38"/>
      <c r="BK575" s="38"/>
      <c r="BL575" s="38"/>
      <c r="BM575" s="38"/>
      <c r="BN575" s="38"/>
      <c r="BO575" s="38"/>
      <c r="BP575" s="38"/>
    </row>
    <row r="576">
      <c r="A576" s="40"/>
      <c r="B576" s="40"/>
      <c r="AF576" s="38"/>
      <c r="AG576" s="38"/>
      <c r="AH576" s="38"/>
      <c r="AI576" s="38"/>
      <c r="AJ576" s="38"/>
      <c r="AK576" s="38"/>
      <c r="AL576" s="38"/>
      <c r="AM576" s="38"/>
      <c r="AN576" s="38"/>
      <c r="AO576" s="38"/>
      <c r="AP576" s="38"/>
      <c r="AQ576" s="38"/>
      <c r="AR576" s="38"/>
      <c r="AS576" s="38"/>
      <c r="AT576" s="38"/>
      <c r="AU576" s="38"/>
      <c r="AV576" s="38"/>
      <c r="AW576" s="38"/>
      <c r="AX576" s="38"/>
      <c r="AY576" s="38"/>
      <c r="AZ576" s="38"/>
      <c r="BA576" s="38"/>
      <c r="BB576" s="38"/>
      <c r="BC576" s="38"/>
      <c r="BD576" s="38"/>
      <c r="BE576" s="38"/>
      <c r="BF576" s="38"/>
      <c r="BG576" s="38"/>
      <c r="BH576" s="38"/>
      <c r="BI576" s="38"/>
      <c r="BJ576" s="38"/>
      <c r="BK576" s="38"/>
      <c r="BL576" s="38"/>
      <c r="BM576" s="38"/>
      <c r="BN576" s="38"/>
      <c r="BO576" s="38"/>
      <c r="BP576" s="38"/>
    </row>
    <row r="577">
      <c r="A577" s="40"/>
      <c r="B577" s="40"/>
      <c r="AF577" s="38"/>
      <c r="AG577" s="38"/>
      <c r="AH577" s="38"/>
      <c r="AI577" s="38"/>
      <c r="AJ577" s="38"/>
      <c r="AK577" s="38"/>
      <c r="AL577" s="38"/>
      <c r="AM577" s="38"/>
      <c r="AN577" s="38"/>
      <c r="AO577" s="38"/>
      <c r="AP577" s="38"/>
      <c r="AQ577" s="38"/>
      <c r="AR577" s="38"/>
      <c r="AS577" s="38"/>
      <c r="AT577" s="38"/>
      <c r="AU577" s="38"/>
      <c r="AV577" s="38"/>
      <c r="AW577" s="38"/>
      <c r="AX577" s="38"/>
      <c r="AY577" s="38"/>
      <c r="AZ577" s="38"/>
      <c r="BA577" s="38"/>
      <c r="BB577" s="38"/>
      <c r="BC577" s="38"/>
      <c r="BD577" s="38"/>
      <c r="BE577" s="38"/>
      <c r="BF577" s="38"/>
      <c r="BG577" s="38"/>
      <c r="BH577" s="38"/>
      <c r="BI577" s="38"/>
      <c r="BJ577" s="38"/>
      <c r="BK577" s="38"/>
      <c r="BL577" s="38"/>
      <c r="BM577" s="38"/>
      <c r="BN577" s="38"/>
      <c r="BO577" s="38"/>
      <c r="BP577" s="38"/>
    </row>
    <row r="578">
      <c r="A578" s="40"/>
      <c r="B578" s="40"/>
      <c r="AF578" s="38"/>
      <c r="AG578" s="38"/>
      <c r="AH578" s="38"/>
      <c r="AI578" s="38"/>
      <c r="AJ578" s="38"/>
      <c r="AK578" s="38"/>
      <c r="AL578" s="38"/>
      <c r="AM578" s="38"/>
      <c r="AN578" s="38"/>
      <c r="AO578" s="38"/>
      <c r="AP578" s="38"/>
      <c r="AQ578" s="38"/>
      <c r="AR578" s="38"/>
      <c r="AS578" s="38"/>
      <c r="AT578" s="38"/>
      <c r="AU578" s="38"/>
      <c r="AV578" s="38"/>
      <c r="AW578" s="38"/>
      <c r="AX578" s="38"/>
      <c r="AY578" s="38"/>
      <c r="AZ578" s="38"/>
      <c r="BA578" s="38"/>
      <c r="BB578" s="38"/>
      <c r="BC578" s="38"/>
      <c r="BD578" s="38"/>
      <c r="BE578" s="38"/>
      <c r="BF578" s="38"/>
      <c r="BG578" s="38"/>
      <c r="BH578" s="38"/>
      <c r="BI578" s="38"/>
      <c r="BJ578" s="38"/>
      <c r="BK578" s="38"/>
      <c r="BL578" s="38"/>
      <c r="BM578" s="38"/>
      <c r="BN578" s="38"/>
      <c r="BO578" s="38"/>
      <c r="BP578" s="38"/>
    </row>
    <row r="579">
      <c r="A579" s="40"/>
      <c r="B579" s="40"/>
      <c r="AF579" s="38"/>
      <c r="AG579" s="38"/>
      <c r="AH579" s="38"/>
      <c r="AI579" s="38"/>
      <c r="AJ579" s="38"/>
      <c r="AK579" s="38"/>
      <c r="AL579" s="38"/>
      <c r="AM579" s="38"/>
      <c r="AN579" s="38"/>
      <c r="AO579" s="38"/>
      <c r="AP579" s="38"/>
      <c r="AQ579" s="38"/>
      <c r="AR579" s="38"/>
      <c r="AS579" s="38"/>
      <c r="AT579" s="38"/>
      <c r="AU579" s="38"/>
      <c r="AV579" s="38"/>
      <c r="AW579" s="38"/>
      <c r="AX579" s="38"/>
      <c r="AY579" s="38"/>
      <c r="AZ579" s="38"/>
      <c r="BA579" s="38"/>
      <c r="BB579" s="38"/>
      <c r="BC579" s="38"/>
      <c r="BD579" s="38"/>
      <c r="BE579" s="38"/>
      <c r="BF579" s="38"/>
      <c r="BG579" s="38"/>
      <c r="BH579" s="38"/>
      <c r="BI579" s="38"/>
      <c r="BJ579" s="38"/>
      <c r="BK579" s="38"/>
      <c r="BL579" s="38"/>
      <c r="BM579" s="38"/>
      <c r="BN579" s="38"/>
      <c r="BO579" s="38"/>
      <c r="BP579" s="38"/>
    </row>
    <row r="580">
      <c r="A580" s="40"/>
      <c r="B580" s="40"/>
      <c r="AF580" s="38"/>
      <c r="AG580" s="38"/>
      <c r="AH580" s="38"/>
      <c r="AI580" s="38"/>
      <c r="AJ580" s="38"/>
      <c r="AK580" s="38"/>
      <c r="AL580" s="38"/>
      <c r="AM580" s="38"/>
      <c r="AN580" s="38"/>
      <c r="AO580" s="38"/>
      <c r="AP580" s="38"/>
      <c r="AQ580" s="38"/>
      <c r="AR580" s="38"/>
      <c r="AS580" s="38"/>
      <c r="AT580" s="38"/>
      <c r="AU580" s="38"/>
      <c r="AV580" s="38"/>
      <c r="AW580" s="38"/>
      <c r="AX580" s="38"/>
      <c r="AY580" s="38"/>
      <c r="AZ580" s="38"/>
      <c r="BA580" s="38"/>
      <c r="BB580" s="38"/>
      <c r="BC580" s="38"/>
      <c r="BD580" s="38"/>
      <c r="BE580" s="38"/>
      <c r="BF580" s="38"/>
      <c r="BG580" s="38"/>
      <c r="BH580" s="38"/>
      <c r="BI580" s="38"/>
      <c r="BJ580" s="38"/>
      <c r="BK580" s="38"/>
      <c r="BL580" s="38"/>
      <c r="BM580" s="38"/>
      <c r="BN580" s="38"/>
      <c r="BO580" s="38"/>
      <c r="BP580" s="38"/>
    </row>
    <row r="581">
      <c r="A581" s="40"/>
      <c r="B581" s="40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  <c r="AZ581" s="38"/>
      <c r="BA581" s="38"/>
      <c r="BB581" s="38"/>
      <c r="BC581" s="38"/>
      <c r="BD581" s="38"/>
      <c r="BE581" s="38"/>
      <c r="BF581" s="38"/>
      <c r="BG581" s="38"/>
      <c r="BH581" s="38"/>
      <c r="BI581" s="38"/>
      <c r="BJ581" s="38"/>
      <c r="BK581" s="38"/>
      <c r="BL581" s="38"/>
      <c r="BM581" s="38"/>
      <c r="BN581" s="38"/>
      <c r="BO581" s="38"/>
      <c r="BP581" s="38"/>
    </row>
    <row r="582">
      <c r="A582" s="40"/>
      <c r="B582" s="40"/>
      <c r="AF582" s="38"/>
      <c r="AG582" s="38"/>
      <c r="AH582" s="38"/>
      <c r="AI582" s="38"/>
      <c r="AJ582" s="38"/>
      <c r="AK582" s="38"/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  <c r="BI582" s="38"/>
      <c r="BJ582" s="38"/>
      <c r="BK582" s="38"/>
      <c r="BL582" s="38"/>
      <c r="BM582" s="38"/>
      <c r="BN582" s="38"/>
      <c r="BO582" s="38"/>
      <c r="BP582" s="38"/>
    </row>
    <row r="583">
      <c r="A583" s="40"/>
      <c r="B583" s="40"/>
      <c r="AF583" s="38"/>
      <c r="AG583" s="38"/>
      <c r="AH583" s="38"/>
      <c r="AI583" s="38"/>
      <c r="AJ583" s="38"/>
      <c r="AK583" s="38"/>
      <c r="AL583" s="38"/>
      <c r="AM583" s="38"/>
      <c r="AN583" s="38"/>
      <c r="AO583" s="38"/>
      <c r="AP583" s="38"/>
      <c r="AQ583" s="38"/>
      <c r="AR583" s="38"/>
      <c r="AS583" s="38"/>
      <c r="AT583" s="38"/>
      <c r="AU583" s="38"/>
      <c r="AV583" s="38"/>
      <c r="AW583" s="38"/>
      <c r="AX583" s="38"/>
      <c r="AY583" s="38"/>
      <c r="AZ583" s="38"/>
      <c r="BA583" s="38"/>
      <c r="BB583" s="38"/>
      <c r="BC583" s="38"/>
      <c r="BD583" s="38"/>
      <c r="BE583" s="38"/>
      <c r="BF583" s="38"/>
      <c r="BG583" s="38"/>
      <c r="BH583" s="38"/>
      <c r="BI583" s="38"/>
      <c r="BJ583" s="38"/>
      <c r="BK583" s="38"/>
      <c r="BL583" s="38"/>
      <c r="BM583" s="38"/>
      <c r="BN583" s="38"/>
      <c r="BO583" s="38"/>
      <c r="BP583" s="38"/>
    </row>
    <row r="584">
      <c r="A584" s="40"/>
      <c r="B584" s="40"/>
      <c r="AF584" s="38"/>
      <c r="AG584" s="38"/>
      <c r="AH584" s="38"/>
      <c r="AI584" s="38"/>
      <c r="AJ584" s="38"/>
      <c r="AK584" s="38"/>
      <c r="AL584" s="38"/>
      <c r="AM584" s="38"/>
      <c r="AN584" s="38"/>
      <c r="AO584" s="38"/>
      <c r="AP584" s="38"/>
      <c r="AQ584" s="38"/>
      <c r="AR584" s="38"/>
      <c r="AS584" s="38"/>
      <c r="AT584" s="38"/>
      <c r="AU584" s="38"/>
      <c r="AV584" s="38"/>
      <c r="AW584" s="38"/>
      <c r="AX584" s="38"/>
      <c r="AY584" s="38"/>
      <c r="AZ584" s="38"/>
      <c r="BA584" s="38"/>
      <c r="BB584" s="38"/>
      <c r="BC584" s="38"/>
      <c r="BD584" s="38"/>
      <c r="BE584" s="38"/>
      <c r="BF584" s="38"/>
      <c r="BG584" s="38"/>
      <c r="BH584" s="38"/>
      <c r="BI584" s="38"/>
      <c r="BJ584" s="38"/>
      <c r="BK584" s="38"/>
      <c r="BL584" s="38"/>
      <c r="BM584" s="38"/>
      <c r="BN584" s="38"/>
      <c r="BO584" s="38"/>
      <c r="BP584" s="38"/>
    </row>
    <row r="585">
      <c r="A585" s="40"/>
      <c r="B585" s="40"/>
      <c r="AF585" s="38"/>
      <c r="AG585" s="38"/>
      <c r="AH585" s="38"/>
      <c r="AI585" s="38"/>
      <c r="AJ585" s="38"/>
      <c r="AK585" s="38"/>
      <c r="AL585" s="38"/>
      <c r="AM585" s="38"/>
      <c r="AN585" s="38"/>
      <c r="AO585" s="38"/>
      <c r="AP585" s="38"/>
      <c r="AQ585" s="38"/>
      <c r="AR585" s="38"/>
      <c r="AS585" s="38"/>
      <c r="AT585" s="38"/>
      <c r="AU585" s="38"/>
      <c r="AV585" s="38"/>
      <c r="AW585" s="38"/>
      <c r="AX585" s="38"/>
      <c r="AY585" s="38"/>
      <c r="AZ585" s="38"/>
      <c r="BA585" s="38"/>
      <c r="BB585" s="38"/>
      <c r="BC585" s="38"/>
      <c r="BD585" s="38"/>
      <c r="BE585" s="38"/>
      <c r="BF585" s="38"/>
      <c r="BG585" s="38"/>
      <c r="BH585" s="38"/>
      <c r="BI585" s="38"/>
      <c r="BJ585" s="38"/>
      <c r="BK585" s="38"/>
      <c r="BL585" s="38"/>
      <c r="BM585" s="38"/>
      <c r="BN585" s="38"/>
      <c r="BO585" s="38"/>
      <c r="BP585" s="38"/>
    </row>
    <row r="586">
      <c r="A586" s="40"/>
      <c r="B586" s="40"/>
      <c r="AF586" s="38"/>
      <c r="AG586" s="38"/>
      <c r="AH586" s="38"/>
      <c r="AI586" s="38"/>
      <c r="AJ586" s="38"/>
      <c r="AK586" s="38"/>
      <c r="AL586" s="38"/>
      <c r="AM586" s="38"/>
      <c r="AN586" s="38"/>
      <c r="AO586" s="38"/>
      <c r="AP586" s="38"/>
      <c r="AQ586" s="38"/>
      <c r="AR586" s="38"/>
      <c r="AS586" s="38"/>
      <c r="AT586" s="38"/>
      <c r="AU586" s="38"/>
      <c r="AV586" s="38"/>
      <c r="AW586" s="38"/>
      <c r="AX586" s="38"/>
      <c r="AY586" s="38"/>
      <c r="AZ586" s="38"/>
      <c r="BA586" s="38"/>
      <c r="BB586" s="38"/>
      <c r="BC586" s="38"/>
      <c r="BD586" s="38"/>
      <c r="BE586" s="38"/>
      <c r="BF586" s="38"/>
      <c r="BG586" s="38"/>
      <c r="BH586" s="38"/>
      <c r="BI586" s="38"/>
      <c r="BJ586" s="38"/>
      <c r="BK586" s="38"/>
      <c r="BL586" s="38"/>
      <c r="BM586" s="38"/>
      <c r="BN586" s="38"/>
      <c r="BO586" s="38"/>
      <c r="BP586" s="38"/>
    </row>
    <row r="587">
      <c r="A587" s="40"/>
      <c r="B587" s="40"/>
      <c r="AF587" s="38"/>
      <c r="AG587" s="38"/>
      <c r="AH587" s="38"/>
      <c r="AI587" s="38"/>
      <c r="AJ587" s="38"/>
      <c r="AK587" s="38"/>
      <c r="AL587" s="38"/>
      <c r="AM587" s="38"/>
      <c r="AN587" s="38"/>
      <c r="AO587" s="38"/>
      <c r="AP587" s="38"/>
      <c r="AQ587" s="38"/>
      <c r="AR587" s="38"/>
      <c r="AS587" s="38"/>
      <c r="AT587" s="38"/>
      <c r="AU587" s="38"/>
      <c r="AV587" s="38"/>
      <c r="AW587" s="38"/>
      <c r="AX587" s="38"/>
      <c r="AY587" s="38"/>
      <c r="AZ587" s="38"/>
      <c r="BA587" s="38"/>
      <c r="BB587" s="38"/>
      <c r="BC587" s="38"/>
      <c r="BD587" s="38"/>
      <c r="BE587" s="38"/>
      <c r="BF587" s="38"/>
      <c r="BG587" s="38"/>
      <c r="BH587" s="38"/>
      <c r="BI587" s="38"/>
      <c r="BJ587" s="38"/>
      <c r="BK587" s="38"/>
      <c r="BL587" s="38"/>
      <c r="BM587" s="38"/>
      <c r="BN587" s="38"/>
      <c r="BO587" s="38"/>
      <c r="BP587" s="38"/>
    </row>
    <row r="588">
      <c r="A588" s="40"/>
      <c r="B588" s="40"/>
      <c r="AF588" s="38"/>
      <c r="AG588" s="38"/>
      <c r="AH588" s="38"/>
      <c r="AI588" s="38"/>
      <c r="AJ588" s="38"/>
      <c r="AK588" s="38"/>
      <c r="AL588" s="38"/>
      <c r="AM588" s="38"/>
      <c r="AN588" s="38"/>
      <c r="AO588" s="38"/>
      <c r="AP588" s="38"/>
      <c r="AQ588" s="38"/>
      <c r="AR588" s="38"/>
      <c r="AS588" s="38"/>
      <c r="AT588" s="38"/>
      <c r="AU588" s="38"/>
      <c r="AV588" s="38"/>
      <c r="AW588" s="38"/>
      <c r="AX588" s="38"/>
      <c r="AY588" s="38"/>
      <c r="AZ588" s="38"/>
      <c r="BA588" s="38"/>
      <c r="BB588" s="38"/>
      <c r="BC588" s="38"/>
      <c r="BD588" s="38"/>
      <c r="BE588" s="38"/>
      <c r="BF588" s="38"/>
      <c r="BG588" s="38"/>
      <c r="BH588" s="38"/>
      <c r="BI588" s="38"/>
      <c r="BJ588" s="38"/>
      <c r="BK588" s="38"/>
      <c r="BL588" s="38"/>
      <c r="BM588" s="38"/>
      <c r="BN588" s="38"/>
      <c r="BO588" s="38"/>
      <c r="BP588" s="38"/>
    </row>
    <row r="589">
      <c r="A589" s="40"/>
      <c r="B589" s="40"/>
      <c r="AF589" s="38"/>
      <c r="AG589" s="38"/>
      <c r="AH589" s="38"/>
      <c r="AI589" s="38"/>
      <c r="AJ589" s="38"/>
      <c r="AK589" s="38"/>
      <c r="AL589" s="38"/>
      <c r="AM589" s="38"/>
      <c r="AN589" s="38"/>
      <c r="AO589" s="38"/>
      <c r="AP589" s="38"/>
      <c r="AQ589" s="38"/>
      <c r="AR589" s="38"/>
      <c r="AS589" s="38"/>
      <c r="AT589" s="38"/>
      <c r="AU589" s="38"/>
      <c r="AV589" s="38"/>
      <c r="AW589" s="38"/>
      <c r="AX589" s="38"/>
      <c r="AY589" s="38"/>
      <c r="AZ589" s="38"/>
      <c r="BA589" s="38"/>
      <c r="BB589" s="38"/>
      <c r="BC589" s="38"/>
      <c r="BD589" s="38"/>
      <c r="BE589" s="38"/>
      <c r="BF589" s="38"/>
      <c r="BG589" s="38"/>
      <c r="BH589" s="38"/>
      <c r="BI589" s="38"/>
      <c r="BJ589" s="38"/>
      <c r="BK589" s="38"/>
      <c r="BL589" s="38"/>
      <c r="BM589" s="38"/>
      <c r="BN589" s="38"/>
      <c r="BO589" s="38"/>
      <c r="BP589" s="38"/>
    </row>
    <row r="590">
      <c r="A590" s="40"/>
      <c r="B590" s="40"/>
      <c r="AF590" s="38"/>
      <c r="AG590" s="38"/>
      <c r="AH590" s="38"/>
      <c r="AI590" s="38"/>
      <c r="AJ590" s="38"/>
      <c r="AK590" s="38"/>
      <c r="AL590" s="38"/>
      <c r="AM590" s="38"/>
      <c r="AN590" s="38"/>
      <c r="AO590" s="38"/>
      <c r="AP590" s="38"/>
      <c r="AQ590" s="38"/>
      <c r="AR590" s="38"/>
      <c r="AS590" s="38"/>
      <c r="AT590" s="38"/>
      <c r="AU590" s="38"/>
      <c r="AV590" s="38"/>
      <c r="AW590" s="38"/>
      <c r="AX590" s="38"/>
      <c r="AY590" s="38"/>
      <c r="AZ590" s="38"/>
      <c r="BA590" s="38"/>
      <c r="BB590" s="38"/>
      <c r="BC590" s="38"/>
      <c r="BD590" s="38"/>
      <c r="BE590" s="38"/>
      <c r="BF590" s="38"/>
      <c r="BG590" s="38"/>
      <c r="BH590" s="38"/>
      <c r="BI590" s="38"/>
      <c r="BJ590" s="38"/>
      <c r="BK590" s="38"/>
      <c r="BL590" s="38"/>
      <c r="BM590" s="38"/>
      <c r="BN590" s="38"/>
      <c r="BO590" s="38"/>
      <c r="BP590" s="38"/>
    </row>
    <row r="591">
      <c r="A591" s="40"/>
      <c r="B591" s="40"/>
      <c r="AF591" s="38"/>
      <c r="AG591" s="38"/>
      <c r="AH591" s="38"/>
      <c r="AI591" s="38"/>
      <c r="AJ591" s="38"/>
      <c r="AK591" s="38"/>
      <c r="AL591" s="38"/>
      <c r="AM591" s="38"/>
      <c r="AN591" s="38"/>
      <c r="AO591" s="38"/>
      <c r="AP591" s="38"/>
      <c r="AQ591" s="38"/>
      <c r="AR591" s="38"/>
      <c r="AS591" s="38"/>
      <c r="AT591" s="38"/>
      <c r="AU591" s="38"/>
      <c r="AV591" s="38"/>
      <c r="AW591" s="38"/>
      <c r="AX591" s="38"/>
      <c r="AY591" s="38"/>
      <c r="AZ591" s="38"/>
      <c r="BA591" s="38"/>
      <c r="BB591" s="38"/>
      <c r="BC591" s="38"/>
      <c r="BD591" s="38"/>
      <c r="BE591" s="38"/>
      <c r="BF591" s="38"/>
      <c r="BG591" s="38"/>
      <c r="BH591" s="38"/>
      <c r="BI591" s="38"/>
      <c r="BJ591" s="38"/>
      <c r="BK591" s="38"/>
      <c r="BL591" s="38"/>
      <c r="BM591" s="38"/>
      <c r="BN591" s="38"/>
      <c r="BO591" s="38"/>
      <c r="BP591" s="38"/>
    </row>
    <row r="592">
      <c r="A592" s="40"/>
      <c r="B592" s="40"/>
      <c r="AF592" s="38"/>
      <c r="AG592" s="38"/>
      <c r="AH592" s="38"/>
      <c r="AI592" s="38"/>
      <c r="AJ592" s="38"/>
      <c r="AK592" s="38"/>
      <c r="AL592" s="38"/>
      <c r="AM592" s="38"/>
      <c r="AN592" s="38"/>
      <c r="AO592" s="38"/>
      <c r="AP592" s="38"/>
      <c r="AQ592" s="38"/>
      <c r="AR592" s="38"/>
      <c r="AS592" s="38"/>
      <c r="AT592" s="38"/>
      <c r="AU592" s="38"/>
      <c r="AV592" s="38"/>
      <c r="AW592" s="38"/>
      <c r="AX592" s="38"/>
      <c r="AY592" s="38"/>
      <c r="AZ592" s="38"/>
      <c r="BA592" s="38"/>
      <c r="BB592" s="38"/>
      <c r="BC592" s="38"/>
      <c r="BD592" s="38"/>
      <c r="BE592" s="38"/>
      <c r="BF592" s="38"/>
      <c r="BG592" s="38"/>
      <c r="BH592" s="38"/>
      <c r="BI592" s="38"/>
      <c r="BJ592" s="38"/>
      <c r="BK592" s="38"/>
      <c r="BL592" s="38"/>
      <c r="BM592" s="38"/>
      <c r="BN592" s="38"/>
      <c r="BO592" s="38"/>
      <c r="BP592" s="38"/>
    </row>
    <row r="593">
      <c r="A593" s="40"/>
      <c r="B593" s="40"/>
      <c r="AF593" s="38"/>
      <c r="AG593" s="38"/>
      <c r="AH593" s="38"/>
      <c r="AI593" s="38"/>
      <c r="AJ593" s="38"/>
      <c r="AK593" s="38"/>
      <c r="AL593" s="38"/>
      <c r="AM593" s="38"/>
      <c r="AN593" s="38"/>
      <c r="AO593" s="38"/>
      <c r="AP593" s="38"/>
      <c r="AQ593" s="38"/>
      <c r="AR593" s="38"/>
      <c r="AS593" s="38"/>
      <c r="AT593" s="38"/>
      <c r="AU593" s="38"/>
      <c r="AV593" s="38"/>
      <c r="AW593" s="38"/>
      <c r="AX593" s="38"/>
      <c r="AY593" s="38"/>
      <c r="AZ593" s="38"/>
      <c r="BA593" s="38"/>
      <c r="BB593" s="38"/>
      <c r="BC593" s="38"/>
      <c r="BD593" s="38"/>
      <c r="BE593" s="38"/>
      <c r="BF593" s="38"/>
      <c r="BG593" s="38"/>
      <c r="BH593" s="38"/>
      <c r="BI593" s="38"/>
      <c r="BJ593" s="38"/>
      <c r="BK593" s="38"/>
      <c r="BL593" s="38"/>
      <c r="BM593" s="38"/>
      <c r="BN593" s="38"/>
      <c r="BO593" s="38"/>
      <c r="BP593" s="38"/>
    </row>
    <row r="594">
      <c r="A594" s="40"/>
      <c r="B594" s="40"/>
      <c r="AF594" s="38"/>
      <c r="AG594" s="38"/>
      <c r="AH594" s="38"/>
      <c r="AI594" s="38"/>
      <c r="AJ594" s="38"/>
      <c r="AK594" s="38"/>
      <c r="AL594" s="38"/>
      <c r="AM594" s="38"/>
      <c r="AN594" s="38"/>
      <c r="AO594" s="38"/>
      <c r="AP594" s="38"/>
      <c r="AQ594" s="38"/>
      <c r="AR594" s="38"/>
      <c r="AS594" s="38"/>
      <c r="AT594" s="38"/>
      <c r="AU594" s="38"/>
      <c r="AV594" s="38"/>
      <c r="AW594" s="38"/>
      <c r="AX594" s="38"/>
      <c r="AY594" s="38"/>
      <c r="AZ594" s="38"/>
      <c r="BA594" s="38"/>
      <c r="BB594" s="38"/>
      <c r="BC594" s="38"/>
      <c r="BD594" s="38"/>
      <c r="BE594" s="38"/>
      <c r="BF594" s="38"/>
      <c r="BG594" s="38"/>
      <c r="BH594" s="38"/>
      <c r="BI594" s="38"/>
      <c r="BJ594" s="38"/>
      <c r="BK594" s="38"/>
      <c r="BL594" s="38"/>
      <c r="BM594" s="38"/>
      <c r="BN594" s="38"/>
      <c r="BO594" s="38"/>
      <c r="BP594" s="38"/>
    </row>
    <row r="595">
      <c r="A595" s="40"/>
      <c r="B595" s="40"/>
      <c r="AF595" s="38"/>
      <c r="AG595" s="38"/>
      <c r="AH595" s="38"/>
      <c r="AI595" s="38"/>
      <c r="AJ595" s="38"/>
      <c r="AK595" s="38"/>
      <c r="AL595" s="38"/>
      <c r="AM595" s="38"/>
      <c r="AN595" s="38"/>
      <c r="AO595" s="38"/>
      <c r="AP595" s="38"/>
      <c r="AQ595" s="38"/>
      <c r="AR595" s="38"/>
      <c r="AS595" s="38"/>
      <c r="AT595" s="38"/>
      <c r="AU595" s="38"/>
      <c r="AV595" s="38"/>
      <c r="AW595" s="38"/>
      <c r="AX595" s="38"/>
      <c r="AY595" s="38"/>
      <c r="AZ595" s="38"/>
      <c r="BA595" s="38"/>
      <c r="BB595" s="38"/>
      <c r="BC595" s="38"/>
      <c r="BD595" s="38"/>
      <c r="BE595" s="38"/>
      <c r="BF595" s="38"/>
      <c r="BG595" s="38"/>
      <c r="BH595" s="38"/>
      <c r="BI595" s="38"/>
      <c r="BJ595" s="38"/>
      <c r="BK595" s="38"/>
      <c r="BL595" s="38"/>
      <c r="BM595" s="38"/>
      <c r="BN595" s="38"/>
      <c r="BO595" s="38"/>
      <c r="BP595" s="38"/>
    </row>
    <row r="596">
      <c r="A596" s="40"/>
      <c r="B596" s="40"/>
      <c r="AF596" s="38"/>
      <c r="AG596" s="38"/>
      <c r="AH596" s="38"/>
      <c r="AI596" s="38"/>
      <c r="AJ596" s="38"/>
      <c r="AK596" s="38"/>
      <c r="AL596" s="38"/>
      <c r="AM596" s="38"/>
      <c r="AN596" s="38"/>
      <c r="AO596" s="38"/>
      <c r="AP596" s="38"/>
      <c r="AQ596" s="38"/>
      <c r="AR596" s="38"/>
      <c r="AS596" s="38"/>
      <c r="AT596" s="38"/>
      <c r="AU596" s="38"/>
      <c r="AV596" s="38"/>
      <c r="AW596" s="38"/>
      <c r="AX596" s="38"/>
      <c r="AY596" s="38"/>
      <c r="AZ596" s="38"/>
      <c r="BA596" s="38"/>
      <c r="BB596" s="38"/>
      <c r="BC596" s="38"/>
      <c r="BD596" s="38"/>
      <c r="BE596" s="38"/>
      <c r="BF596" s="38"/>
      <c r="BG596" s="38"/>
      <c r="BH596" s="38"/>
      <c r="BI596" s="38"/>
      <c r="BJ596" s="38"/>
      <c r="BK596" s="38"/>
      <c r="BL596" s="38"/>
      <c r="BM596" s="38"/>
      <c r="BN596" s="38"/>
      <c r="BO596" s="38"/>
      <c r="BP596" s="38"/>
    </row>
    <row r="597">
      <c r="A597" s="40"/>
      <c r="B597" s="40"/>
      <c r="AF597" s="38"/>
      <c r="AG597" s="38"/>
      <c r="AH597" s="38"/>
      <c r="AI597" s="38"/>
      <c r="AJ597" s="38"/>
      <c r="AK597" s="38"/>
      <c r="AL597" s="38"/>
      <c r="AM597" s="38"/>
      <c r="AN597" s="38"/>
      <c r="AO597" s="38"/>
      <c r="AP597" s="38"/>
      <c r="AQ597" s="38"/>
      <c r="AR597" s="38"/>
      <c r="AS597" s="38"/>
      <c r="AT597" s="38"/>
      <c r="AU597" s="38"/>
      <c r="AV597" s="38"/>
      <c r="AW597" s="38"/>
      <c r="AX597" s="38"/>
      <c r="AY597" s="38"/>
      <c r="AZ597" s="38"/>
      <c r="BA597" s="38"/>
      <c r="BB597" s="38"/>
      <c r="BC597" s="38"/>
      <c r="BD597" s="38"/>
      <c r="BE597" s="38"/>
      <c r="BF597" s="38"/>
      <c r="BG597" s="38"/>
      <c r="BH597" s="38"/>
      <c r="BI597" s="38"/>
      <c r="BJ597" s="38"/>
      <c r="BK597" s="38"/>
      <c r="BL597" s="38"/>
      <c r="BM597" s="38"/>
      <c r="BN597" s="38"/>
      <c r="BO597" s="38"/>
      <c r="BP597" s="38"/>
    </row>
    <row r="598">
      <c r="A598" s="40"/>
      <c r="B598" s="40"/>
      <c r="AF598" s="38"/>
      <c r="AG598" s="38"/>
      <c r="AH598" s="38"/>
      <c r="AI598" s="38"/>
      <c r="AJ598" s="38"/>
      <c r="AK598" s="38"/>
      <c r="AL598" s="38"/>
      <c r="AM598" s="38"/>
      <c r="AN598" s="38"/>
      <c r="AO598" s="38"/>
      <c r="AP598" s="38"/>
      <c r="AQ598" s="38"/>
      <c r="AR598" s="38"/>
      <c r="AS598" s="38"/>
      <c r="AT598" s="38"/>
      <c r="AU598" s="38"/>
      <c r="AV598" s="38"/>
      <c r="AW598" s="38"/>
      <c r="AX598" s="38"/>
      <c r="AY598" s="38"/>
      <c r="AZ598" s="38"/>
      <c r="BA598" s="38"/>
      <c r="BB598" s="38"/>
      <c r="BC598" s="38"/>
      <c r="BD598" s="38"/>
      <c r="BE598" s="38"/>
      <c r="BF598" s="38"/>
      <c r="BG598" s="38"/>
      <c r="BH598" s="38"/>
      <c r="BI598" s="38"/>
      <c r="BJ598" s="38"/>
      <c r="BK598" s="38"/>
      <c r="BL598" s="38"/>
      <c r="BM598" s="38"/>
      <c r="BN598" s="38"/>
      <c r="BO598" s="38"/>
      <c r="BP598" s="38"/>
    </row>
    <row r="599">
      <c r="A599" s="40"/>
      <c r="B599" s="40"/>
      <c r="AF599" s="38"/>
      <c r="AG599" s="38"/>
      <c r="AH599" s="38"/>
      <c r="AI599" s="38"/>
      <c r="AJ599" s="38"/>
      <c r="AK599" s="38"/>
      <c r="AL599" s="38"/>
      <c r="AM599" s="38"/>
      <c r="AN599" s="38"/>
      <c r="AO599" s="38"/>
      <c r="AP599" s="38"/>
      <c r="AQ599" s="38"/>
      <c r="AR599" s="38"/>
      <c r="AS599" s="38"/>
      <c r="AT599" s="38"/>
      <c r="AU599" s="38"/>
      <c r="AV599" s="38"/>
      <c r="AW599" s="38"/>
      <c r="AX599" s="38"/>
      <c r="AY599" s="38"/>
      <c r="AZ599" s="38"/>
      <c r="BA599" s="38"/>
      <c r="BB599" s="38"/>
      <c r="BC599" s="38"/>
      <c r="BD599" s="38"/>
      <c r="BE599" s="38"/>
      <c r="BF599" s="38"/>
      <c r="BG599" s="38"/>
      <c r="BH599" s="38"/>
      <c r="BI599" s="38"/>
      <c r="BJ599" s="38"/>
      <c r="BK599" s="38"/>
      <c r="BL599" s="38"/>
      <c r="BM599" s="38"/>
      <c r="BN599" s="38"/>
      <c r="BO599" s="38"/>
      <c r="BP599" s="38"/>
    </row>
    <row r="600">
      <c r="A600" s="40"/>
      <c r="B600" s="40"/>
      <c r="AF600" s="38"/>
      <c r="AG600" s="38"/>
      <c r="AH600" s="38"/>
      <c r="AI600" s="38"/>
      <c r="AJ600" s="38"/>
      <c r="AK600" s="38"/>
      <c r="AL600" s="38"/>
      <c r="AM600" s="38"/>
      <c r="AN600" s="38"/>
      <c r="AO600" s="38"/>
      <c r="AP600" s="38"/>
      <c r="AQ600" s="38"/>
      <c r="AR600" s="38"/>
      <c r="AS600" s="38"/>
      <c r="AT600" s="38"/>
      <c r="AU600" s="38"/>
      <c r="AV600" s="38"/>
      <c r="AW600" s="38"/>
      <c r="AX600" s="38"/>
      <c r="AY600" s="38"/>
      <c r="AZ600" s="38"/>
      <c r="BA600" s="38"/>
      <c r="BB600" s="38"/>
      <c r="BC600" s="38"/>
      <c r="BD600" s="38"/>
      <c r="BE600" s="38"/>
      <c r="BF600" s="38"/>
      <c r="BG600" s="38"/>
      <c r="BH600" s="38"/>
      <c r="BI600" s="38"/>
      <c r="BJ600" s="38"/>
      <c r="BK600" s="38"/>
      <c r="BL600" s="38"/>
      <c r="BM600" s="38"/>
      <c r="BN600" s="38"/>
      <c r="BO600" s="38"/>
      <c r="BP600" s="38"/>
    </row>
    <row r="601">
      <c r="A601" s="40"/>
      <c r="B601" s="40"/>
      <c r="AF601" s="38"/>
      <c r="AG601" s="38"/>
      <c r="AH601" s="38"/>
      <c r="AI601" s="38"/>
      <c r="AJ601" s="38"/>
      <c r="AK601" s="38"/>
      <c r="AL601" s="38"/>
      <c r="AM601" s="38"/>
      <c r="AN601" s="38"/>
      <c r="AO601" s="38"/>
      <c r="AP601" s="38"/>
      <c r="AQ601" s="38"/>
      <c r="AR601" s="38"/>
      <c r="AS601" s="38"/>
      <c r="AT601" s="38"/>
      <c r="AU601" s="38"/>
      <c r="AV601" s="38"/>
      <c r="AW601" s="38"/>
      <c r="AX601" s="38"/>
      <c r="AY601" s="38"/>
      <c r="AZ601" s="38"/>
      <c r="BA601" s="38"/>
      <c r="BB601" s="38"/>
      <c r="BC601" s="38"/>
      <c r="BD601" s="38"/>
      <c r="BE601" s="38"/>
      <c r="BF601" s="38"/>
      <c r="BG601" s="38"/>
      <c r="BH601" s="38"/>
      <c r="BI601" s="38"/>
      <c r="BJ601" s="38"/>
      <c r="BK601" s="38"/>
      <c r="BL601" s="38"/>
      <c r="BM601" s="38"/>
      <c r="BN601" s="38"/>
      <c r="BO601" s="38"/>
      <c r="BP601" s="38"/>
    </row>
    <row r="602">
      <c r="A602" s="40"/>
      <c r="B602" s="40"/>
      <c r="AF602" s="38"/>
      <c r="AG602" s="38"/>
      <c r="AH602" s="38"/>
      <c r="AI602" s="38"/>
      <c r="AJ602" s="38"/>
      <c r="AK602" s="38"/>
      <c r="AL602" s="38"/>
      <c r="AM602" s="38"/>
      <c r="AN602" s="38"/>
      <c r="AO602" s="38"/>
      <c r="AP602" s="38"/>
      <c r="AQ602" s="38"/>
      <c r="AR602" s="38"/>
      <c r="AS602" s="38"/>
      <c r="AT602" s="38"/>
      <c r="AU602" s="38"/>
      <c r="AV602" s="38"/>
      <c r="AW602" s="38"/>
      <c r="AX602" s="38"/>
      <c r="AY602" s="38"/>
      <c r="AZ602" s="38"/>
      <c r="BA602" s="38"/>
      <c r="BB602" s="38"/>
      <c r="BC602" s="38"/>
      <c r="BD602" s="38"/>
      <c r="BE602" s="38"/>
      <c r="BF602" s="38"/>
      <c r="BG602" s="38"/>
      <c r="BH602" s="38"/>
      <c r="BI602" s="38"/>
      <c r="BJ602" s="38"/>
      <c r="BK602" s="38"/>
      <c r="BL602" s="38"/>
      <c r="BM602" s="38"/>
      <c r="BN602" s="38"/>
      <c r="BO602" s="38"/>
      <c r="BP602" s="38"/>
    </row>
    <row r="603">
      <c r="A603" s="40"/>
      <c r="B603" s="40"/>
      <c r="AF603" s="38"/>
      <c r="AG603" s="38"/>
      <c r="AH603" s="38"/>
      <c r="AI603" s="38"/>
      <c r="AJ603" s="38"/>
      <c r="AK603" s="38"/>
      <c r="AL603" s="38"/>
      <c r="AM603" s="38"/>
      <c r="AN603" s="38"/>
      <c r="AO603" s="38"/>
      <c r="AP603" s="38"/>
      <c r="AQ603" s="38"/>
      <c r="AR603" s="38"/>
      <c r="AS603" s="38"/>
      <c r="AT603" s="38"/>
      <c r="AU603" s="38"/>
      <c r="AV603" s="38"/>
      <c r="AW603" s="38"/>
      <c r="AX603" s="38"/>
      <c r="AY603" s="38"/>
      <c r="AZ603" s="38"/>
      <c r="BA603" s="38"/>
      <c r="BB603" s="38"/>
      <c r="BC603" s="38"/>
      <c r="BD603" s="38"/>
      <c r="BE603" s="38"/>
      <c r="BF603" s="38"/>
      <c r="BG603" s="38"/>
      <c r="BH603" s="38"/>
      <c r="BI603" s="38"/>
      <c r="BJ603" s="38"/>
      <c r="BK603" s="38"/>
      <c r="BL603" s="38"/>
      <c r="BM603" s="38"/>
      <c r="BN603" s="38"/>
      <c r="BO603" s="38"/>
      <c r="BP603" s="38"/>
    </row>
    <row r="604">
      <c r="A604" s="40"/>
      <c r="B604" s="40"/>
      <c r="AF604" s="38"/>
      <c r="AG604" s="38"/>
      <c r="AH604" s="38"/>
      <c r="AI604" s="38"/>
      <c r="AJ604" s="38"/>
      <c r="AK604" s="38"/>
      <c r="AL604" s="38"/>
      <c r="AM604" s="38"/>
      <c r="AN604" s="38"/>
      <c r="AO604" s="38"/>
      <c r="AP604" s="38"/>
      <c r="AQ604" s="38"/>
      <c r="AR604" s="38"/>
      <c r="AS604" s="38"/>
      <c r="AT604" s="38"/>
      <c r="AU604" s="38"/>
      <c r="AV604" s="38"/>
      <c r="AW604" s="38"/>
      <c r="AX604" s="38"/>
      <c r="AY604" s="38"/>
      <c r="AZ604" s="38"/>
      <c r="BA604" s="38"/>
      <c r="BB604" s="38"/>
      <c r="BC604" s="38"/>
      <c r="BD604" s="38"/>
      <c r="BE604" s="38"/>
      <c r="BF604" s="38"/>
      <c r="BG604" s="38"/>
      <c r="BH604" s="38"/>
      <c r="BI604" s="38"/>
      <c r="BJ604" s="38"/>
      <c r="BK604" s="38"/>
      <c r="BL604" s="38"/>
      <c r="BM604" s="38"/>
      <c r="BN604" s="38"/>
      <c r="BO604" s="38"/>
      <c r="BP604" s="38"/>
    </row>
    <row r="605">
      <c r="A605" s="40"/>
      <c r="B605" s="40"/>
      <c r="AF605" s="38"/>
      <c r="AG605" s="38"/>
      <c r="AH605" s="38"/>
      <c r="AI605" s="38"/>
      <c r="AJ605" s="38"/>
      <c r="AK605" s="38"/>
      <c r="AL605" s="38"/>
      <c r="AM605" s="38"/>
      <c r="AN605" s="38"/>
      <c r="AO605" s="38"/>
      <c r="AP605" s="38"/>
      <c r="AQ605" s="38"/>
      <c r="AR605" s="38"/>
      <c r="AS605" s="38"/>
      <c r="AT605" s="38"/>
      <c r="AU605" s="38"/>
      <c r="AV605" s="38"/>
      <c r="AW605" s="38"/>
      <c r="AX605" s="38"/>
      <c r="AY605" s="38"/>
      <c r="AZ605" s="38"/>
      <c r="BA605" s="38"/>
      <c r="BB605" s="38"/>
      <c r="BC605" s="38"/>
      <c r="BD605" s="38"/>
      <c r="BE605" s="38"/>
      <c r="BF605" s="38"/>
      <c r="BG605" s="38"/>
      <c r="BH605" s="38"/>
      <c r="BI605" s="38"/>
      <c r="BJ605" s="38"/>
      <c r="BK605" s="38"/>
      <c r="BL605" s="38"/>
      <c r="BM605" s="38"/>
      <c r="BN605" s="38"/>
      <c r="BO605" s="38"/>
      <c r="BP605" s="38"/>
    </row>
    <row r="606">
      <c r="A606" s="40"/>
      <c r="B606" s="40"/>
      <c r="AF606" s="38"/>
      <c r="AG606" s="38"/>
      <c r="AH606" s="38"/>
      <c r="AI606" s="38"/>
      <c r="AJ606" s="38"/>
      <c r="AK606" s="38"/>
      <c r="AL606" s="38"/>
      <c r="AM606" s="38"/>
      <c r="AN606" s="38"/>
      <c r="AO606" s="38"/>
      <c r="AP606" s="38"/>
      <c r="AQ606" s="38"/>
      <c r="AR606" s="38"/>
      <c r="AS606" s="38"/>
      <c r="AT606" s="38"/>
      <c r="AU606" s="38"/>
      <c r="AV606" s="38"/>
      <c r="AW606" s="38"/>
      <c r="AX606" s="38"/>
      <c r="AY606" s="38"/>
      <c r="AZ606" s="38"/>
      <c r="BA606" s="38"/>
      <c r="BB606" s="38"/>
      <c r="BC606" s="38"/>
      <c r="BD606" s="38"/>
      <c r="BE606" s="38"/>
      <c r="BF606" s="38"/>
      <c r="BG606" s="38"/>
      <c r="BH606" s="38"/>
      <c r="BI606" s="38"/>
      <c r="BJ606" s="38"/>
      <c r="BK606" s="38"/>
      <c r="BL606" s="38"/>
      <c r="BM606" s="38"/>
      <c r="BN606" s="38"/>
      <c r="BO606" s="38"/>
      <c r="BP606" s="38"/>
    </row>
    <row r="607">
      <c r="A607" s="40"/>
      <c r="B607" s="40"/>
      <c r="AF607" s="38"/>
      <c r="AG607" s="38"/>
      <c r="AH607" s="38"/>
      <c r="AI607" s="38"/>
      <c r="AJ607" s="38"/>
      <c r="AK607" s="38"/>
      <c r="AL607" s="38"/>
      <c r="AM607" s="38"/>
      <c r="AN607" s="38"/>
      <c r="AO607" s="38"/>
      <c r="AP607" s="38"/>
      <c r="AQ607" s="38"/>
      <c r="AR607" s="38"/>
      <c r="AS607" s="38"/>
      <c r="AT607" s="38"/>
      <c r="AU607" s="38"/>
      <c r="AV607" s="38"/>
      <c r="AW607" s="38"/>
      <c r="AX607" s="38"/>
      <c r="AY607" s="38"/>
      <c r="AZ607" s="38"/>
      <c r="BA607" s="38"/>
      <c r="BB607" s="38"/>
      <c r="BC607" s="38"/>
      <c r="BD607" s="38"/>
      <c r="BE607" s="38"/>
      <c r="BF607" s="38"/>
      <c r="BG607" s="38"/>
      <c r="BH607" s="38"/>
      <c r="BI607" s="38"/>
      <c r="BJ607" s="38"/>
      <c r="BK607" s="38"/>
      <c r="BL607" s="38"/>
      <c r="BM607" s="38"/>
      <c r="BN607" s="38"/>
      <c r="BO607" s="38"/>
      <c r="BP607" s="38"/>
    </row>
    <row r="608">
      <c r="A608" s="40"/>
      <c r="B608" s="40"/>
      <c r="AF608" s="38"/>
      <c r="AG608" s="38"/>
      <c r="AH608" s="38"/>
      <c r="AI608" s="38"/>
      <c r="AJ608" s="38"/>
      <c r="AK608" s="38"/>
      <c r="AL608" s="38"/>
      <c r="AM608" s="38"/>
      <c r="AN608" s="38"/>
      <c r="AO608" s="38"/>
      <c r="AP608" s="38"/>
      <c r="AQ608" s="38"/>
      <c r="AR608" s="38"/>
      <c r="AS608" s="38"/>
      <c r="AT608" s="38"/>
      <c r="AU608" s="38"/>
      <c r="AV608" s="38"/>
      <c r="AW608" s="38"/>
      <c r="AX608" s="38"/>
      <c r="AY608" s="38"/>
      <c r="AZ608" s="38"/>
      <c r="BA608" s="38"/>
      <c r="BB608" s="38"/>
      <c r="BC608" s="38"/>
      <c r="BD608" s="38"/>
      <c r="BE608" s="38"/>
      <c r="BF608" s="38"/>
      <c r="BG608" s="38"/>
      <c r="BH608" s="38"/>
      <c r="BI608" s="38"/>
      <c r="BJ608" s="38"/>
      <c r="BK608" s="38"/>
      <c r="BL608" s="38"/>
      <c r="BM608" s="38"/>
      <c r="BN608" s="38"/>
      <c r="BO608" s="38"/>
      <c r="BP608" s="38"/>
    </row>
    <row r="609">
      <c r="A609" s="40"/>
      <c r="B609" s="40"/>
      <c r="AF609" s="38"/>
      <c r="AG609" s="38"/>
      <c r="AH609" s="38"/>
      <c r="AI609" s="38"/>
      <c r="AJ609" s="38"/>
      <c r="AK609" s="38"/>
      <c r="AL609" s="38"/>
      <c r="AM609" s="38"/>
      <c r="AN609" s="38"/>
      <c r="AO609" s="38"/>
      <c r="AP609" s="38"/>
      <c r="AQ609" s="38"/>
      <c r="AR609" s="38"/>
      <c r="AS609" s="38"/>
      <c r="AT609" s="38"/>
      <c r="AU609" s="38"/>
      <c r="AV609" s="38"/>
      <c r="AW609" s="38"/>
      <c r="AX609" s="38"/>
      <c r="AY609" s="38"/>
      <c r="AZ609" s="38"/>
      <c r="BA609" s="38"/>
      <c r="BB609" s="38"/>
      <c r="BC609" s="38"/>
      <c r="BD609" s="38"/>
      <c r="BE609" s="38"/>
      <c r="BF609" s="38"/>
      <c r="BG609" s="38"/>
      <c r="BH609" s="38"/>
      <c r="BI609" s="38"/>
      <c r="BJ609" s="38"/>
      <c r="BK609" s="38"/>
      <c r="BL609" s="38"/>
      <c r="BM609" s="38"/>
      <c r="BN609" s="38"/>
      <c r="BO609" s="38"/>
      <c r="BP609" s="38"/>
    </row>
    <row r="610">
      <c r="A610" s="40"/>
      <c r="B610" s="40"/>
      <c r="AF610" s="38"/>
      <c r="AG610" s="38"/>
      <c r="AH610" s="38"/>
      <c r="AI610" s="38"/>
      <c r="AJ610" s="38"/>
      <c r="AK610" s="38"/>
      <c r="AL610" s="38"/>
      <c r="AM610" s="38"/>
      <c r="AN610" s="38"/>
      <c r="AO610" s="38"/>
      <c r="AP610" s="38"/>
      <c r="AQ610" s="38"/>
      <c r="AR610" s="38"/>
      <c r="AS610" s="38"/>
      <c r="AT610" s="38"/>
      <c r="AU610" s="38"/>
      <c r="AV610" s="38"/>
      <c r="AW610" s="38"/>
      <c r="AX610" s="38"/>
      <c r="AY610" s="38"/>
      <c r="AZ610" s="38"/>
      <c r="BA610" s="38"/>
      <c r="BB610" s="38"/>
      <c r="BC610" s="38"/>
      <c r="BD610" s="38"/>
      <c r="BE610" s="38"/>
      <c r="BF610" s="38"/>
      <c r="BG610" s="38"/>
      <c r="BH610" s="38"/>
      <c r="BI610" s="38"/>
      <c r="BJ610" s="38"/>
      <c r="BK610" s="38"/>
      <c r="BL610" s="38"/>
      <c r="BM610" s="38"/>
      <c r="BN610" s="38"/>
      <c r="BO610" s="38"/>
      <c r="BP610" s="38"/>
    </row>
    <row r="611">
      <c r="A611" s="40"/>
      <c r="B611" s="40"/>
      <c r="AF611" s="38"/>
      <c r="AG611" s="38"/>
      <c r="AH611" s="38"/>
      <c r="AI611" s="38"/>
      <c r="AJ611" s="38"/>
      <c r="AK611" s="38"/>
      <c r="AL611" s="38"/>
      <c r="AM611" s="38"/>
      <c r="AN611" s="38"/>
      <c r="AO611" s="38"/>
      <c r="AP611" s="38"/>
      <c r="AQ611" s="38"/>
      <c r="AR611" s="38"/>
      <c r="AS611" s="38"/>
      <c r="AT611" s="38"/>
      <c r="AU611" s="38"/>
      <c r="AV611" s="38"/>
      <c r="AW611" s="38"/>
      <c r="AX611" s="38"/>
      <c r="AY611" s="38"/>
      <c r="AZ611" s="38"/>
      <c r="BA611" s="38"/>
      <c r="BB611" s="38"/>
      <c r="BC611" s="38"/>
      <c r="BD611" s="38"/>
      <c r="BE611" s="38"/>
      <c r="BF611" s="38"/>
      <c r="BG611" s="38"/>
      <c r="BH611" s="38"/>
      <c r="BI611" s="38"/>
      <c r="BJ611" s="38"/>
      <c r="BK611" s="38"/>
      <c r="BL611" s="38"/>
      <c r="BM611" s="38"/>
      <c r="BN611" s="38"/>
      <c r="BO611" s="38"/>
      <c r="BP611" s="38"/>
    </row>
    <row r="612">
      <c r="A612" s="40"/>
      <c r="B612" s="40"/>
      <c r="AF612" s="38"/>
      <c r="AG612" s="38"/>
      <c r="AH612" s="38"/>
      <c r="AI612" s="38"/>
      <c r="AJ612" s="38"/>
      <c r="AK612" s="38"/>
      <c r="AL612" s="38"/>
      <c r="AM612" s="38"/>
      <c r="AN612" s="38"/>
      <c r="AO612" s="38"/>
      <c r="AP612" s="38"/>
      <c r="AQ612" s="38"/>
      <c r="AR612" s="38"/>
      <c r="AS612" s="38"/>
      <c r="AT612" s="38"/>
      <c r="AU612" s="38"/>
      <c r="AV612" s="38"/>
      <c r="AW612" s="38"/>
      <c r="AX612" s="38"/>
      <c r="AY612" s="38"/>
      <c r="AZ612" s="38"/>
      <c r="BA612" s="38"/>
      <c r="BB612" s="38"/>
      <c r="BC612" s="38"/>
      <c r="BD612" s="38"/>
      <c r="BE612" s="38"/>
      <c r="BF612" s="38"/>
      <c r="BG612" s="38"/>
      <c r="BH612" s="38"/>
      <c r="BI612" s="38"/>
      <c r="BJ612" s="38"/>
      <c r="BK612" s="38"/>
      <c r="BL612" s="38"/>
      <c r="BM612" s="38"/>
      <c r="BN612" s="38"/>
      <c r="BO612" s="38"/>
      <c r="BP612" s="38"/>
    </row>
    <row r="613">
      <c r="A613" s="40"/>
      <c r="B613" s="40"/>
      <c r="AF613" s="38"/>
      <c r="AG613" s="38"/>
      <c r="AH613" s="38"/>
      <c r="AI613" s="38"/>
      <c r="AJ613" s="38"/>
      <c r="AK613" s="38"/>
      <c r="AL613" s="38"/>
      <c r="AM613" s="38"/>
      <c r="AN613" s="38"/>
      <c r="AO613" s="38"/>
      <c r="AP613" s="38"/>
      <c r="AQ613" s="38"/>
      <c r="AR613" s="38"/>
      <c r="AS613" s="38"/>
      <c r="AT613" s="38"/>
      <c r="AU613" s="38"/>
      <c r="AV613" s="38"/>
      <c r="AW613" s="38"/>
      <c r="AX613" s="38"/>
      <c r="AY613" s="38"/>
      <c r="AZ613" s="38"/>
      <c r="BA613" s="38"/>
      <c r="BB613" s="38"/>
      <c r="BC613" s="38"/>
      <c r="BD613" s="38"/>
      <c r="BE613" s="38"/>
      <c r="BF613" s="38"/>
      <c r="BG613" s="38"/>
      <c r="BH613" s="38"/>
      <c r="BI613" s="38"/>
      <c r="BJ613" s="38"/>
      <c r="BK613" s="38"/>
      <c r="BL613" s="38"/>
      <c r="BM613" s="38"/>
      <c r="BN613" s="38"/>
      <c r="BO613" s="38"/>
      <c r="BP613" s="38"/>
    </row>
    <row r="614">
      <c r="A614" s="40"/>
      <c r="B614" s="40"/>
      <c r="AF614" s="38"/>
      <c r="AG614" s="38"/>
      <c r="AH614" s="38"/>
      <c r="AI614" s="38"/>
      <c r="AJ614" s="38"/>
      <c r="AK614" s="38"/>
      <c r="AL614" s="38"/>
      <c r="AM614" s="38"/>
      <c r="AN614" s="38"/>
      <c r="AO614" s="38"/>
      <c r="AP614" s="38"/>
      <c r="AQ614" s="38"/>
      <c r="AR614" s="38"/>
      <c r="AS614" s="38"/>
      <c r="AT614" s="38"/>
      <c r="AU614" s="38"/>
      <c r="AV614" s="38"/>
      <c r="AW614" s="38"/>
      <c r="AX614" s="38"/>
      <c r="AY614" s="38"/>
      <c r="AZ614" s="38"/>
      <c r="BA614" s="38"/>
      <c r="BB614" s="38"/>
      <c r="BC614" s="38"/>
      <c r="BD614" s="38"/>
      <c r="BE614" s="38"/>
      <c r="BF614" s="38"/>
      <c r="BG614" s="38"/>
      <c r="BH614" s="38"/>
      <c r="BI614" s="38"/>
      <c r="BJ614" s="38"/>
      <c r="BK614" s="38"/>
      <c r="BL614" s="38"/>
      <c r="BM614" s="38"/>
      <c r="BN614" s="38"/>
      <c r="BO614" s="38"/>
      <c r="BP614" s="38"/>
    </row>
    <row r="615">
      <c r="A615" s="40"/>
      <c r="B615" s="40"/>
      <c r="AF615" s="38"/>
      <c r="AG615" s="38"/>
      <c r="AH615" s="38"/>
      <c r="AI615" s="38"/>
      <c r="AJ615" s="38"/>
      <c r="AK615" s="38"/>
      <c r="AL615" s="38"/>
      <c r="AM615" s="38"/>
      <c r="AN615" s="38"/>
      <c r="AO615" s="38"/>
      <c r="AP615" s="38"/>
      <c r="AQ615" s="38"/>
      <c r="AR615" s="38"/>
      <c r="AS615" s="38"/>
      <c r="AT615" s="38"/>
      <c r="AU615" s="38"/>
      <c r="AV615" s="38"/>
      <c r="AW615" s="38"/>
      <c r="AX615" s="38"/>
      <c r="AY615" s="38"/>
      <c r="AZ615" s="38"/>
      <c r="BA615" s="38"/>
      <c r="BB615" s="38"/>
      <c r="BC615" s="38"/>
      <c r="BD615" s="38"/>
      <c r="BE615" s="38"/>
      <c r="BF615" s="38"/>
      <c r="BG615" s="38"/>
      <c r="BH615" s="38"/>
      <c r="BI615" s="38"/>
      <c r="BJ615" s="38"/>
      <c r="BK615" s="38"/>
      <c r="BL615" s="38"/>
      <c r="BM615" s="38"/>
      <c r="BN615" s="38"/>
      <c r="BO615" s="38"/>
      <c r="BP615" s="38"/>
    </row>
    <row r="616">
      <c r="A616" s="40"/>
      <c r="B616" s="40"/>
      <c r="AF616" s="38"/>
      <c r="AG616" s="38"/>
      <c r="AH616" s="38"/>
      <c r="AI616" s="38"/>
      <c r="AJ616" s="38"/>
      <c r="AK616" s="38"/>
      <c r="AL616" s="38"/>
      <c r="AM616" s="38"/>
      <c r="AN616" s="38"/>
      <c r="AO616" s="38"/>
      <c r="AP616" s="38"/>
      <c r="AQ616" s="38"/>
      <c r="AR616" s="38"/>
      <c r="AS616" s="38"/>
      <c r="AT616" s="38"/>
      <c r="AU616" s="38"/>
      <c r="AV616" s="38"/>
      <c r="AW616" s="38"/>
      <c r="AX616" s="38"/>
      <c r="AY616" s="38"/>
      <c r="AZ616" s="38"/>
      <c r="BA616" s="38"/>
      <c r="BB616" s="38"/>
      <c r="BC616" s="38"/>
      <c r="BD616" s="38"/>
      <c r="BE616" s="38"/>
      <c r="BF616" s="38"/>
      <c r="BG616" s="38"/>
      <c r="BH616" s="38"/>
      <c r="BI616" s="38"/>
      <c r="BJ616" s="38"/>
      <c r="BK616" s="38"/>
      <c r="BL616" s="38"/>
      <c r="BM616" s="38"/>
      <c r="BN616" s="38"/>
      <c r="BO616" s="38"/>
      <c r="BP616" s="38"/>
    </row>
    <row r="617">
      <c r="A617" s="40"/>
      <c r="B617" s="40"/>
      <c r="AF617" s="38"/>
      <c r="AG617" s="38"/>
      <c r="AH617" s="38"/>
      <c r="AI617" s="38"/>
      <c r="AJ617" s="38"/>
      <c r="AK617" s="38"/>
      <c r="AL617" s="38"/>
      <c r="AM617" s="38"/>
      <c r="AN617" s="38"/>
      <c r="AO617" s="38"/>
      <c r="AP617" s="38"/>
      <c r="AQ617" s="38"/>
      <c r="AR617" s="38"/>
      <c r="AS617" s="38"/>
      <c r="AT617" s="38"/>
      <c r="AU617" s="38"/>
      <c r="AV617" s="38"/>
      <c r="AW617" s="38"/>
      <c r="AX617" s="38"/>
      <c r="AY617" s="38"/>
      <c r="AZ617" s="38"/>
      <c r="BA617" s="38"/>
      <c r="BB617" s="38"/>
      <c r="BC617" s="38"/>
      <c r="BD617" s="38"/>
      <c r="BE617" s="38"/>
      <c r="BF617" s="38"/>
      <c r="BG617" s="38"/>
      <c r="BH617" s="38"/>
      <c r="BI617" s="38"/>
      <c r="BJ617" s="38"/>
      <c r="BK617" s="38"/>
      <c r="BL617" s="38"/>
      <c r="BM617" s="38"/>
      <c r="BN617" s="38"/>
      <c r="BO617" s="38"/>
      <c r="BP617" s="38"/>
    </row>
    <row r="618">
      <c r="A618" s="40"/>
      <c r="B618" s="40"/>
      <c r="AF618" s="38"/>
      <c r="AG618" s="38"/>
      <c r="AH618" s="38"/>
      <c r="AI618" s="38"/>
      <c r="AJ618" s="38"/>
      <c r="AK618" s="38"/>
      <c r="AL618" s="38"/>
      <c r="AM618" s="38"/>
      <c r="AN618" s="38"/>
      <c r="AO618" s="38"/>
      <c r="AP618" s="38"/>
      <c r="AQ618" s="38"/>
      <c r="AR618" s="38"/>
      <c r="AS618" s="38"/>
      <c r="AT618" s="38"/>
      <c r="AU618" s="38"/>
      <c r="AV618" s="38"/>
      <c r="AW618" s="38"/>
      <c r="AX618" s="38"/>
      <c r="AY618" s="38"/>
      <c r="AZ618" s="38"/>
      <c r="BA618" s="38"/>
      <c r="BB618" s="38"/>
      <c r="BC618" s="38"/>
      <c r="BD618" s="38"/>
      <c r="BE618" s="38"/>
      <c r="BF618" s="38"/>
      <c r="BG618" s="38"/>
      <c r="BH618" s="38"/>
      <c r="BI618" s="38"/>
      <c r="BJ618" s="38"/>
      <c r="BK618" s="38"/>
      <c r="BL618" s="38"/>
      <c r="BM618" s="38"/>
      <c r="BN618" s="38"/>
      <c r="BO618" s="38"/>
      <c r="BP618" s="38"/>
    </row>
    <row r="619">
      <c r="A619" s="40"/>
      <c r="B619" s="40"/>
      <c r="AF619" s="38"/>
      <c r="AG619" s="38"/>
      <c r="AH619" s="38"/>
      <c r="AI619" s="38"/>
      <c r="AJ619" s="38"/>
      <c r="AK619" s="38"/>
      <c r="AL619" s="38"/>
      <c r="AM619" s="38"/>
      <c r="AN619" s="38"/>
      <c r="AO619" s="38"/>
      <c r="AP619" s="38"/>
      <c r="AQ619" s="38"/>
      <c r="AR619" s="38"/>
      <c r="AS619" s="38"/>
      <c r="AT619" s="38"/>
      <c r="AU619" s="38"/>
      <c r="AV619" s="38"/>
      <c r="AW619" s="38"/>
      <c r="AX619" s="38"/>
      <c r="AY619" s="38"/>
      <c r="AZ619" s="38"/>
      <c r="BA619" s="38"/>
      <c r="BB619" s="38"/>
      <c r="BC619" s="38"/>
      <c r="BD619" s="38"/>
      <c r="BE619" s="38"/>
      <c r="BF619" s="38"/>
      <c r="BG619" s="38"/>
      <c r="BH619" s="38"/>
      <c r="BI619" s="38"/>
      <c r="BJ619" s="38"/>
      <c r="BK619" s="38"/>
      <c r="BL619" s="38"/>
      <c r="BM619" s="38"/>
      <c r="BN619" s="38"/>
      <c r="BO619" s="38"/>
      <c r="BP619" s="38"/>
    </row>
    <row r="620">
      <c r="A620" s="40"/>
      <c r="B620" s="40"/>
      <c r="AF620" s="38"/>
      <c r="AG620" s="38"/>
      <c r="AH620" s="38"/>
      <c r="AI620" s="38"/>
      <c r="AJ620" s="38"/>
      <c r="AK620" s="38"/>
      <c r="AL620" s="38"/>
      <c r="AM620" s="38"/>
      <c r="AN620" s="38"/>
      <c r="AO620" s="38"/>
      <c r="AP620" s="38"/>
      <c r="AQ620" s="38"/>
      <c r="AR620" s="38"/>
      <c r="AS620" s="38"/>
      <c r="AT620" s="38"/>
      <c r="AU620" s="38"/>
      <c r="AV620" s="38"/>
      <c r="AW620" s="38"/>
      <c r="AX620" s="38"/>
      <c r="AY620" s="38"/>
      <c r="AZ620" s="38"/>
      <c r="BA620" s="38"/>
      <c r="BB620" s="38"/>
      <c r="BC620" s="38"/>
      <c r="BD620" s="38"/>
      <c r="BE620" s="38"/>
      <c r="BF620" s="38"/>
      <c r="BG620" s="38"/>
      <c r="BH620" s="38"/>
      <c r="BI620" s="38"/>
      <c r="BJ620" s="38"/>
      <c r="BK620" s="38"/>
      <c r="BL620" s="38"/>
      <c r="BM620" s="38"/>
      <c r="BN620" s="38"/>
      <c r="BO620" s="38"/>
      <c r="BP620" s="38"/>
    </row>
    <row r="621">
      <c r="A621" s="40"/>
      <c r="B621" s="40"/>
      <c r="AF621" s="38"/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  <c r="AV621" s="38"/>
      <c r="AW621" s="38"/>
      <c r="AX621" s="38"/>
      <c r="AY621" s="38"/>
      <c r="AZ621" s="38"/>
      <c r="BA621" s="38"/>
      <c r="BB621" s="38"/>
      <c r="BC621" s="38"/>
      <c r="BD621" s="38"/>
      <c r="BE621" s="38"/>
      <c r="BF621" s="38"/>
      <c r="BG621" s="38"/>
      <c r="BH621" s="38"/>
      <c r="BI621" s="38"/>
      <c r="BJ621" s="38"/>
      <c r="BK621" s="38"/>
      <c r="BL621" s="38"/>
      <c r="BM621" s="38"/>
      <c r="BN621" s="38"/>
      <c r="BO621" s="38"/>
      <c r="BP621" s="38"/>
    </row>
    <row r="622">
      <c r="A622" s="40"/>
      <c r="B622" s="40"/>
      <c r="AF622" s="38"/>
      <c r="AG622" s="38"/>
      <c r="AH622" s="38"/>
      <c r="AI622" s="38"/>
      <c r="AJ622" s="38"/>
      <c r="AK622" s="38"/>
      <c r="AL622" s="38"/>
      <c r="AM622" s="38"/>
      <c r="AN622" s="38"/>
      <c r="AO622" s="38"/>
      <c r="AP622" s="38"/>
      <c r="AQ622" s="38"/>
      <c r="AR622" s="38"/>
      <c r="AS622" s="38"/>
      <c r="AT622" s="38"/>
      <c r="AU622" s="38"/>
      <c r="AV622" s="38"/>
      <c r="AW622" s="38"/>
      <c r="AX622" s="38"/>
      <c r="AY622" s="38"/>
      <c r="AZ622" s="38"/>
      <c r="BA622" s="38"/>
      <c r="BB622" s="38"/>
      <c r="BC622" s="38"/>
      <c r="BD622" s="38"/>
      <c r="BE622" s="38"/>
      <c r="BF622" s="38"/>
      <c r="BG622" s="38"/>
      <c r="BH622" s="38"/>
      <c r="BI622" s="38"/>
      <c r="BJ622" s="38"/>
      <c r="BK622" s="38"/>
      <c r="BL622" s="38"/>
      <c r="BM622" s="38"/>
      <c r="BN622" s="38"/>
      <c r="BO622" s="38"/>
      <c r="BP622" s="38"/>
    </row>
    <row r="623">
      <c r="A623" s="40"/>
      <c r="B623" s="40"/>
      <c r="AF623" s="38"/>
      <c r="AG623" s="38"/>
      <c r="AH623" s="38"/>
      <c r="AI623" s="38"/>
      <c r="AJ623" s="38"/>
      <c r="AK623" s="38"/>
      <c r="AL623" s="38"/>
      <c r="AM623" s="38"/>
      <c r="AN623" s="38"/>
      <c r="AO623" s="38"/>
      <c r="AP623" s="38"/>
      <c r="AQ623" s="38"/>
      <c r="AR623" s="38"/>
      <c r="AS623" s="38"/>
      <c r="AT623" s="38"/>
      <c r="AU623" s="38"/>
      <c r="AV623" s="38"/>
      <c r="AW623" s="38"/>
      <c r="AX623" s="38"/>
      <c r="AY623" s="38"/>
      <c r="AZ623" s="38"/>
      <c r="BA623" s="38"/>
      <c r="BB623" s="38"/>
      <c r="BC623" s="38"/>
      <c r="BD623" s="38"/>
      <c r="BE623" s="38"/>
      <c r="BF623" s="38"/>
      <c r="BG623" s="38"/>
      <c r="BH623" s="38"/>
      <c r="BI623" s="38"/>
      <c r="BJ623" s="38"/>
      <c r="BK623" s="38"/>
      <c r="BL623" s="38"/>
      <c r="BM623" s="38"/>
      <c r="BN623" s="38"/>
      <c r="BO623" s="38"/>
      <c r="BP623" s="38"/>
    </row>
    <row r="624">
      <c r="A624" s="40"/>
      <c r="B624" s="40"/>
      <c r="AF624" s="38"/>
      <c r="AG624" s="38"/>
      <c r="AH624" s="38"/>
      <c r="AI624" s="38"/>
      <c r="AJ624" s="38"/>
      <c r="AK624" s="38"/>
      <c r="AL624" s="38"/>
      <c r="AM624" s="38"/>
      <c r="AN624" s="38"/>
      <c r="AO624" s="38"/>
      <c r="AP624" s="38"/>
      <c r="AQ624" s="38"/>
      <c r="AR624" s="38"/>
      <c r="AS624" s="38"/>
      <c r="AT624" s="38"/>
      <c r="AU624" s="38"/>
      <c r="AV624" s="38"/>
      <c r="AW624" s="38"/>
      <c r="AX624" s="38"/>
      <c r="AY624" s="38"/>
      <c r="AZ624" s="38"/>
      <c r="BA624" s="38"/>
      <c r="BB624" s="38"/>
      <c r="BC624" s="38"/>
      <c r="BD624" s="38"/>
      <c r="BE624" s="38"/>
      <c r="BF624" s="38"/>
      <c r="BG624" s="38"/>
      <c r="BH624" s="38"/>
      <c r="BI624" s="38"/>
      <c r="BJ624" s="38"/>
      <c r="BK624" s="38"/>
      <c r="BL624" s="38"/>
      <c r="BM624" s="38"/>
      <c r="BN624" s="38"/>
      <c r="BO624" s="38"/>
      <c r="BP624" s="38"/>
    </row>
    <row r="625">
      <c r="A625" s="40"/>
      <c r="B625" s="40"/>
      <c r="AF625" s="38"/>
      <c r="AG625" s="38"/>
      <c r="AH625" s="38"/>
      <c r="AI625" s="38"/>
      <c r="AJ625" s="38"/>
      <c r="AK625" s="38"/>
      <c r="AL625" s="38"/>
      <c r="AM625" s="38"/>
      <c r="AN625" s="38"/>
      <c r="AO625" s="38"/>
      <c r="AP625" s="38"/>
      <c r="AQ625" s="38"/>
      <c r="AR625" s="38"/>
      <c r="AS625" s="38"/>
      <c r="AT625" s="38"/>
      <c r="AU625" s="38"/>
      <c r="AV625" s="38"/>
      <c r="AW625" s="38"/>
      <c r="AX625" s="38"/>
      <c r="AY625" s="38"/>
      <c r="AZ625" s="38"/>
      <c r="BA625" s="38"/>
      <c r="BB625" s="38"/>
      <c r="BC625" s="38"/>
      <c r="BD625" s="38"/>
      <c r="BE625" s="38"/>
      <c r="BF625" s="38"/>
      <c r="BG625" s="38"/>
      <c r="BH625" s="38"/>
      <c r="BI625" s="38"/>
      <c r="BJ625" s="38"/>
      <c r="BK625" s="38"/>
      <c r="BL625" s="38"/>
      <c r="BM625" s="38"/>
      <c r="BN625" s="38"/>
      <c r="BO625" s="38"/>
      <c r="BP625" s="38"/>
    </row>
    <row r="626">
      <c r="A626" s="40"/>
      <c r="B626" s="40"/>
      <c r="AF626" s="38"/>
      <c r="AG626" s="38"/>
      <c r="AH626" s="38"/>
      <c r="AI626" s="38"/>
      <c r="AJ626" s="38"/>
      <c r="AK626" s="38"/>
      <c r="AL626" s="38"/>
      <c r="AM626" s="38"/>
      <c r="AN626" s="38"/>
      <c r="AO626" s="38"/>
      <c r="AP626" s="38"/>
      <c r="AQ626" s="38"/>
      <c r="AR626" s="38"/>
      <c r="AS626" s="38"/>
      <c r="AT626" s="38"/>
      <c r="AU626" s="38"/>
      <c r="AV626" s="38"/>
      <c r="AW626" s="38"/>
      <c r="AX626" s="38"/>
      <c r="AY626" s="38"/>
      <c r="AZ626" s="38"/>
      <c r="BA626" s="38"/>
      <c r="BB626" s="38"/>
      <c r="BC626" s="38"/>
      <c r="BD626" s="38"/>
      <c r="BE626" s="38"/>
      <c r="BF626" s="38"/>
      <c r="BG626" s="38"/>
      <c r="BH626" s="38"/>
      <c r="BI626" s="38"/>
      <c r="BJ626" s="38"/>
      <c r="BK626" s="38"/>
      <c r="BL626" s="38"/>
      <c r="BM626" s="38"/>
      <c r="BN626" s="38"/>
      <c r="BO626" s="38"/>
      <c r="BP626" s="38"/>
    </row>
    <row r="627">
      <c r="A627" s="40"/>
      <c r="B627" s="40"/>
      <c r="AF627" s="38"/>
      <c r="AG627" s="38"/>
      <c r="AH627" s="38"/>
      <c r="AI627" s="38"/>
      <c r="AJ627" s="38"/>
      <c r="AK627" s="38"/>
      <c r="AL627" s="38"/>
      <c r="AM627" s="38"/>
      <c r="AN627" s="38"/>
      <c r="AO627" s="38"/>
      <c r="AP627" s="38"/>
      <c r="AQ627" s="38"/>
      <c r="AR627" s="38"/>
      <c r="AS627" s="38"/>
      <c r="AT627" s="38"/>
      <c r="AU627" s="38"/>
      <c r="AV627" s="38"/>
      <c r="AW627" s="38"/>
      <c r="AX627" s="38"/>
      <c r="AY627" s="38"/>
      <c r="AZ627" s="38"/>
      <c r="BA627" s="38"/>
      <c r="BB627" s="38"/>
      <c r="BC627" s="38"/>
      <c r="BD627" s="38"/>
      <c r="BE627" s="38"/>
      <c r="BF627" s="38"/>
      <c r="BG627" s="38"/>
      <c r="BH627" s="38"/>
      <c r="BI627" s="38"/>
      <c r="BJ627" s="38"/>
      <c r="BK627" s="38"/>
      <c r="BL627" s="38"/>
      <c r="BM627" s="38"/>
      <c r="BN627" s="38"/>
      <c r="BO627" s="38"/>
      <c r="BP627" s="38"/>
    </row>
    <row r="628">
      <c r="A628" s="40"/>
      <c r="B628" s="40"/>
      <c r="AF628" s="38"/>
      <c r="AG628" s="38"/>
      <c r="AH628" s="38"/>
      <c r="AI628" s="38"/>
      <c r="AJ628" s="38"/>
      <c r="AK628" s="38"/>
      <c r="AL628" s="38"/>
      <c r="AM628" s="38"/>
      <c r="AN628" s="38"/>
      <c r="AO628" s="38"/>
      <c r="AP628" s="38"/>
      <c r="AQ628" s="38"/>
      <c r="AR628" s="38"/>
      <c r="AS628" s="38"/>
      <c r="AT628" s="38"/>
      <c r="AU628" s="38"/>
      <c r="AV628" s="38"/>
      <c r="AW628" s="38"/>
      <c r="AX628" s="38"/>
      <c r="AY628" s="38"/>
      <c r="AZ628" s="38"/>
      <c r="BA628" s="38"/>
      <c r="BB628" s="38"/>
      <c r="BC628" s="38"/>
      <c r="BD628" s="38"/>
      <c r="BE628" s="38"/>
      <c r="BF628" s="38"/>
      <c r="BG628" s="38"/>
      <c r="BH628" s="38"/>
      <c r="BI628" s="38"/>
      <c r="BJ628" s="38"/>
      <c r="BK628" s="38"/>
      <c r="BL628" s="38"/>
      <c r="BM628" s="38"/>
      <c r="BN628" s="38"/>
      <c r="BO628" s="38"/>
      <c r="BP628" s="38"/>
    </row>
    <row r="629">
      <c r="A629" s="40"/>
      <c r="B629" s="40"/>
      <c r="AF629" s="38"/>
      <c r="AG629" s="38"/>
      <c r="AH629" s="38"/>
      <c r="AI629" s="38"/>
      <c r="AJ629" s="38"/>
      <c r="AK629" s="38"/>
      <c r="AL629" s="38"/>
      <c r="AM629" s="38"/>
      <c r="AN629" s="38"/>
      <c r="AO629" s="38"/>
      <c r="AP629" s="38"/>
      <c r="AQ629" s="38"/>
      <c r="AR629" s="38"/>
      <c r="AS629" s="38"/>
      <c r="AT629" s="38"/>
      <c r="AU629" s="38"/>
      <c r="AV629" s="38"/>
      <c r="AW629" s="38"/>
      <c r="AX629" s="38"/>
      <c r="AY629" s="38"/>
      <c r="AZ629" s="38"/>
      <c r="BA629" s="38"/>
      <c r="BB629" s="38"/>
      <c r="BC629" s="38"/>
      <c r="BD629" s="38"/>
      <c r="BE629" s="38"/>
      <c r="BF629" s="38"/>
      <c r="BG629" s="38"/>
      <c r="BH629" s="38"/>
      <c r="BI629" s="38"/>
      <c r="BJ629" s="38"/>
      <c r="BK629" s="38"/>
      <c r="BL629" s="38"/>
      <c r="BM629" s="38"/>
      <c r="BN629" s="38"/>
      <c r="BO629" s="38"/>
      <c r="BP629" s="38"/>
    </row>
    <row r="630">
      <c r="A630" s="40"/>
      <c r="B630" s="40"/>
      <c r="AF630" s="38"/>
      <c r="AG630" s="38"/>
      <c r="AH630" s="38"/>
      <c r="AI630" s="38"/>
      <c r="AJ630" s="38"/>
      <c r="AK630" s="38"/>
      <c r="AL630" s="38"/>
      <c r="AM630" s="38"/>
      <c r="AN630" s="38"/>
      <c r="AO630" s="38"/>
      <c r="AP630" s="38"/>
      <c r="AQ630" s="38"/>
      <c r="AR630" s="38"/>
      <c r="AS630" s="38"/>
      <c r="AT630" s="38"/>
      <c r="AU630" s="38"/>
      <c r="AV630" s="38"/>
      <c r="AW630" s="38"/>
      <c r="AX630" s="38"/>
      <c r="AY630" s="38"/>
      <c r="AZ630" s="38"/>
      <c r="BA630" s="38"/>
      <c r="BB630" s="38"/>
      <c r="BC630" s="38"/>
      <c r="BD630" s="38"/>
      <c r="BE630" s="38"/>
      <c r="BF630" s="38"/>
      <c r="BG630" s="38"/>
      <c r="BH630" s="38"/>
      <c r="BI630" s="38"/>
      <c r="BJ630" s="38"/>
      <c r="BK630" s="38"/>
      <c r="BL630" s="38"/>
      <c r="BM630" s="38"/>
      <c r="BN630" s="38"/>
      <c r="BO630" s="38"/>
      <c r="BP630" s="38"/>
    </row>
    <row r="631">
      <c r="A631" s="40"/>
      <c r="B631" s="40"/>
      <c r="AF631" s="38"/>
      <c r="AG631" s="38"/>
      <c r="AH631" s="38"/>
      <c r="AI631" s="38"/>
      <c r="AJ631" s="38"/>
      <c r="AK631" s="38"/>
      <c r="AL631" s="38"/>
      <c r="AM631" s="38"/>
      <c r="AN631" s="38"/>
      <c r="AO631" s="38"/>
      <c r="AP631" s="38"/>
      <c r="AQ631" s="38"/>
      <c r="AR631" s="38"/>
      <c r="AS631" s="38"/>
      <c r="AT631" s="38"/>
      <c r="AU631" s="38"/>
      <c r="AV631" s="38"/>
      <c r="AW631" s="38"/>
      <c r="AX631" s="38"/>
      <c r="AY631" s="38"/>
      <c r="AZ631" s="38"/>
      <c r="BA631" s="38"/>
      <c r="BB631" s="38"/>
      <c r="BC631" s="38"/>
      <c r="BD631" s="38"/>
      <c r="BE631" s="38"/>
      <c r="BF631" s="38"/>
      <c r="BG631" s="38"/>
      <c r="BH631" s="38"/>
      <c r="BI631" s="38"/>
      <c r="BJ631" s="38"/>
      <c r="BK631" s="38"/>
      <c r="BL631" s="38"/>
      <c r="BM631" s="38"/>
      <c r="BN631" s="38"/>
      <c r="BO631" s="38"/>
      <c r="BP631" s="38"/>
    </row>
    <row r="632">
      <c r="A632" s="40"/>
      <c r="B632" s="40"/>
      <c r="AF632" s="38"/>
      <c r="AG632" s="38"/>
      <c r="AH632" s="38"/>
      <c r="AI632" s="38"/>
      <c r="AJ632" s="38"/>
      <c r="AK632" s="38"/>
      <c r="AL632" s="38"/>
      <c r="AM632" s="38"/>
      <c r="AN632" s="38"/>
      <c r="AO632" s="38"/>
      <c r="AP632" s="38"/>
      <c r="AQ632" s="38"/>
      <c r="AR632" s="38"/>
      <c r="AS632" s="38"/>
      <c r="AT632" s="38"/>
      <c r="AU632" s="38"/>
      <c r="AV632" s="38"/>
      <c r="AW632" s="38"/>
      <c r="AX632" s="38"/>
      <c r="AY632" s="38"/>
      <c r="AZ632" s="38"/>
      <c r="BA632" s="38"/>
      <c r="BB632" s="38"/>
      <c r="BC632" s="38"/>
      <c r="BD632" s="38"/>
      <c r="BE632" s="38"/>
      <c r="BF632" s="38"/>
      <c r="BG632" s="38"/>
      <c r="BH632" s="38"/>
      <c r="BI632" s="38"/>
      <c r="BJ632" s="38"/>
      <c r="BK632" s="38"/>
      <c r="BL632" s="38"/>
      <c r="BM632" s="38"/>
      <c r="BN632" s="38"/>
      <c r="BO632" s="38"/>
      <c r="BP632" s="38"/>
    </row>
    <row r="633">
      <c r="A633" s="40"/>
      <c r="B633" s="40"/>
      <c r="AF633" s="38"/>
      <c r="AG633" s="38"/>
      <c r="AH633" s="38"/>
      <c r="AI633" s="38"/>
      <c r="AJ633" s="38"/>
      <c r="AK633" s="38"/>
      <c r="AL633" s="38"/>
      <c r="AM633" s="38"/>
      <c r="AN633" s="38"/>
      <c r="AO633" s="38"/>
      <c r="AP633" s="38"/>
      <c r="AQ633" s="38"/>
      <c r="AR633" s="38"/>
      <c r="AS633" s="38"/>
      <c r="AT633" s="38"/>
      <c r="AU633" s="38"/>
      <c r="AV633" s="38"/>
      <c r="AW633" s="38"/>
      <c r="AX633" s="38"/>
      <c r="AY633" s="38"/>
      <c r="AZ633" s="38"/>
      <c r="BA633" s="38"/>
      <c r="BB633" s="38"/>
      <c r="BC633" s="38"/>
      <c r="BD633" s="38"/>
      <c r="BE633" s="38"/>
      <c r="BF633" s="38"/>
      <c r="BG633" s="38"/>
      <c r="BH633" s="38"/>
      <c r="BI633" s="38"/>
      <c r="BJ633" s="38"/>
      <c r="BK633" s="38"/>
      <c r="BL633" s="38"/>
      <c r="BM633" s="38"/>
      <c r="BN633" s="38"/>
      <c r="BO633" s="38"/>
      <c r="BP633" s="38"/>
    </row>
    <row r="634">
      <c r="A634" s="40"/>
      <c r="B634" s="40"/>
      <c r="AF634" s="38"/>
      <c r="AG634" s="38"/>
      <c r="AH634" s="38"/>
      <c r="AI634" s="38"/>
      <c r="AJ634" s="38"/>
      <c r="AK634" s="38"/>
      <c r="AL634" s="38"/>
      <c r="AM634" s="38"/>
      <c r="AN634" s="38"/>
      <c r="AO634" s="38"/>
      <c r="AP634" s="38"/>
      <c r="AQ634" s="38"/>
      <c r="AR634" s="38"/>
      <c r="AS634" s="38"/>
      <c r="AT634" s="38"/>
      <c r="AU634" s="38"/>
      <c r="AV634" s="38"/>
      <c r="AW634" s="38"/>
      <c r="AX634" s="38"/>
      <c r="AY634" s="38"/>
      <c r="AZ634" s="38"/>
      <c r="BA634" s="38"/>
      <c r="BB634" s="38"/>
      <c r="BC634" s="38"/>
      <c r="BD634" s="38"/>
      <c r="BE634" s="38"/>
      <c r="BF634" s="38"/>
      <c r="BG634" s="38"/>
      <c r="BH634" s="38"/>
      <c r="BI634" s="38"/>
      <c r="BJ634" s="38"/>
      <c r="BK634" s="38"/>
      <c r="BL634" s="38"/>
      <c r="BM634" s="38"/>
      <c r="BN634" s="38"/>
      <c r="BO634" s="38"/>
      <c r="BP634" s="38"/>
    </row>
    <row r="635">
      <c r="A635" s="40"/>
      <c r="B635" s="40"/>
      <c r="AF635" s="38"/>
      <c r="AG635" s="38"/>
      <c r="AH635" s="38"/>
      <c r="AI635" s="38"/>
      <c r="AJ635" s="38"/>
      <c r="AK635" s="38"/>
      <c r="AL635" s="38"/>
      <c r="AM635" s="38"/>
      <c r="AN635" s="38"/>
      <c r="AO635" s="38"/>
      <c r="AP635" s="38"/>
      <c r="AQ635" s="38"/>
      <c r="AR635" s="38"/>
      <c r="AS635" s="38"/>
      <c r="AT635" s="38"/>
      <c r="AU635" s="38"/>
      <c r="AV635" s="38"/>
      <c r="AW635" s="38"/>
      <c r="AX635" s="38"/>
      <c r="AY635" s="38"/>
      <c r="AZ635" s="38"/>
      <c r="BA635" s="38"/>
      <c r="BB635" s="38"/>
      <c r="BC635" s="38"/>
      <c r="BD635" s="38"/>
      <c r="BE635" s="38"/>
      <c r="BF635" s="38"/>
      <c r="BG635" s="38"/>
      <c r="BH635" s="38"/>
      <c r="BI635" s="38"/>
      <c r="BJ635" s="38"/>
      <c r="BK635" s="38"/>
      <c r="BL635" s="38"/>
      <c r="BM635" s="38"/>
      <c r="BN635" s="38"/>
      <c r="BO635" s="38"/>
      <c r="BP635" s="38"/>
    </row>
    <row r="636">
      <c r="A636" s="40"/>
      <c r="B636" s="40"/>
      <c r="AF636" s="38"/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  <c r="AV636" s="38"/>
      <c r="AW636" s="38"/>
      <c r="AX636" s="38"/>
      <c r="AY636" s="38"/>
      <c r="AZ636" s="38"/>
      <c r="BA636" s="38"/>
      <c r="BB636" s="38"/>
      <c r="BC636" s="38"/>
      <c r="BD636" s="38"/>
      <c r="BE636" s="38"/>
      <c r="BF636" s="38"/>
      <c r="BG636" s="38"/>
      <c r="BH636" s="38"/>
      <c r="BI636" s="38"/>
      <c r="BJ636" s="38"/>
      <c r="BK636" s="38"/>
      <c r="BL636" s="38"/>
      <c r="BM636" s="38"/>
      <c r="BN636" s="38"/>
      <c r="BO636" s="38"/>
      <c r="BP636" s="38"/>
    </row>
    <row r="637">
      <c r="A637" s="40"/>
      <c r="B637" s="40"/>
      <c r="AF637" s="38"/>
      <c r="AG637" s="38"/>
      <c r="AH637" s="38"/>
      <c r="AI637" s="38"/>
      <c r="AJ637" s="38"/>
      <c r="AK637" s="38"/>
      <c r="AL637" s="38"/>
      <c r="AM637" s="38"/>
      <c r="AN637" s="38"/>
      <c r="AO637" s="38"/>
      <c r="AP637" s="38"/>
      <c r="AQ637" s="38"/>
      <c r="AR637" s="38"/>
      <c r="AS637" s="38"/>
      <c r="AT637" s="38"/>
      <c r="AU637" s="38"/>
      <c r="AV637" s="38"/>
      <c r="AW637" s="38"/>
      <c r="AX637" s="38"/>
      <c r="AY637" s="38"/>
      <c r="AZ637" s="38"/>
      <c r="BA637" s="38"/>
      <c r="BB637" s="38"/>
      <c r="BC637" s="38"/>
      <c r="BD637" s="38"/>
      <c r="BE637" s="38"/>
      <c r="BF637" s="38"/>
      <c r="BG637" s="38"/>
      <c r="BH637" s="38"/>
      <c r="BI637" s="38"/>
      <c r="BJ637" s="38"/>
      <c r="BK637" s="38"/>
      <c r="BL637" s="38"/>
      <c r="BM637" s="38"/>
      <c r="BN637" s="38"/>
      <c r="BO637" s="38"/>
      <c r="BP637" s="38"/>
    </row>
    <row r="638">
      <c r="A638" s="40"/>
      <c r="B638" s="40"/>
      <c r="AF638" s="38"/>
      <c r="AG638" s="38"/>
      <c r="AH638" s="38"/>
      <c r="AI638" s="38"/>
      <c r="AJ638" s="38"/>
      <c r="AK638" s="38"/>
      <c r="AL638" s="38"/>
      <c r="AM638" s="38"/>
      <c r="AN638" s="38"/>
      <c r="AO638" s="38"/>
      <c r="AP638" s="38"/>
      <c r="AQ638" s="38"/>
      <c r="AR638" s="38"/>
      <c r="AS638" s="38"/>
      <c r="AT638" s="38"/>
      <c r="AU638" s="38"/>
      <c r="AV638" s="38"/>
      <c r="AW638" s="38"/>
      <c r="AX638" s="38"/>
      <c r="AY638" s="38"/>
      <c r="AZ638" s="38"/>
      <c r="BA638" s="38"/>
      <c r="BB638" s="38"/>
      <c r="BC638" s="38"/>
      <c r="BD638" s="38"/>
      <c r="BE638" s="38"/>
      <c r="BF638" s="38"/>
      <c r="BG638" s="38"/>
      <c r="BH638" s="38"/>
      <c r="BI638" s="38"/>
      <c r="BJ638" s="38"/>
      <c r="BK638" s="38"/>
      <c r="BL638" s="38"/>
      <c r="BM638" s="38"/>
      <c r="BN638" s="38"/>
      <c r="BO638" s="38"/>
      <c r="BP638" s="38"/>
    </row>
    <row r="639">
      <c r="A639" s="40"/>
      <c r="B639" s="40"/>
      <c r="AF639" s="38"/>
      <c r="AG639" s="38"/>
      <c r="AH639" s="38"/>
      <c r="AI639" s="38"/>
      <c r="AJ639" s="38"/>
      <c r="AK639" s="38"/>
      <c r="AL639" s="38"/>
      <c r="AM639" s="38"/>
      <c r="AN639" s="38"/>
      <c r="AO639" s="38"/>
      <c r="AP639" s="38"/>
      <c r="AQ639" s="38"/>
      <c r="AR639" s="38"/>
      <c r="AS639" s="38"/>
      <c r="AT639" s="38"/>
      <c r="AU639" s="38"/>
      <c r="AV639" s="38"/>
      <c r="AW639" s="38"/>
      <c r="AX639" s="38"/>
      <c r="AY639" s="38"/>
      <c r="AZ639" s="38"/>
      <c r="BA639" s="38"/>
      <c r="BB639" s="38"/>
      <c r="BC639" s="38"/>
      <c r="BD639" s="38"/>
      <c r="BE639" s="38"/>
      <c r="BF639" s="38"/>
      <c r="BG639" s="38"/>
      <c r="BH639" s="38"/>
      <c r="BI639" s="38"/>
      <c r="BJ639" s="38"/>
      <c r="BK639" s="38"/>
      <c r="BL639" s="38"/>
      <c r="BM639" s="38"/>
      <c r="BN639" s="38"/>
      <c r="BO639" s="38"/>
      <c r="BP639" s="38"/>
    </row>
    <row r="640">
      <c r="A640" s="40"/>
      <c r="B640" s="40"/>
      <c r="AF640" s="38"/>
      <c r="AG640" s="38"/>
      <c r="AH640" s="38"/>
      <c r="AI640" s="38"/>
      <c r="AJ640" s="38"/>
      <c r="AK640" s="38"/>
      <c r="AL640" s="38"/>
      <c r="AM640" s="38"/>
      <c r="AN640" s="38"/>
      <c r="AO640" s="38"/>
      <c r="AP640" s="38"/>
      <c r="AQ640" s="38"/>
      <c r="AR640" s="38"/>
      <c r="AS640" s="38"/>
      <c r="AT640" s="38"/>
      <c r="AU640" s="38"/>
      <c r="AV640" s="38"/>
      <c r="AW640" s="38"/>
      <c r="AX640" s="38"/>
      <c r="AY640" s="38"/>
      <c r="AZ640" s="38"/>
      <c r="BA640" s="38"/>
      <c r="BB640" s="38"/>
      <c r="BC640" s="38"/>
      <c r="BD640" s="38"/>
      <c r="BE640" s="38"/>
      <c r="BF640" s="38"/>
      <c r="BG640" s="38"/>
      <c r="BH640" s="38"/>
      <c r="BI640" s="38"/>
      <c r="BJ640" s="38"/>
      <c r="BK640" s="38"/>
      <c r="BL640" s="38"/>
      <c r="BM640" s="38"/>
      <c r="BN640" s="38"/>
      <c r="BO640" s="38"/>
      <c r="BP640" s="38"/>
    </row>
    <row r="641">
      <c r="A641" s="40"/>
      <c r="B641" s="40"/>
      <c r="AF641" s="38"/>
      <c r="AG641" s="38"/>
      <c r="AH641" s="38"/>
      <c r="AI641" s="38"/>
      <c r="AJ641" s="38"/>
      <c r="AK641" s="38"/>
      <c r="AL641" s="38"/>
      <c r="AM641" s="38"/>
      <c r="AN641" s="38"/>
      <c r="AO641" s="38"/>
      <c r="AP641" s="38"/>
      <c r="AQ641" s="38"/>
      <c r="AR641" s="38"/>
      <c r="AS641" s="38"/>
      <c r="AT641" s="38"/>
      <c r="AU641" s="38"/>
      <c r="AV641" s="38"/>
      <c r="AW641" s="38"/>
      <c r="AX641" s="38"/>
      <c r="AY641" s="38"/>
      <c r="AZ641" s="38"/>
      <c r="BA641" s="38"/>
      <c r="BB641" s="38"/>
      <c r="BC641" s="38"/>
      <c r="BD641" s="38"/>
      <c r="BE641" s="38"/>
      <c r="BF641" s="38"/>
      <c r="BG641" s="38"/>
      <c r="BH641" s="38"/>
      <c r="BI641" s="38"/>
      <c r="BJ641" s="38"/>
      <c r="BK641" s="38"/>
      <c r="BL641" s="38"/>
      <c r="BM641" s="38"/>
      <c r="BN641" s="38"/>
      <c r="BO641" s="38"/>
      <c r="BP641" s="38"/>
    </row>
    <row r="642">
      <c r="A642" s="40"/>
      <c r="B642" s="40"/>
      <c r="AF642" s="38"/>
      <c r="AG642" s="38"/>
      <c r="AH642" s="38"/>
      <c r="AI642" s="38"/>
      <c r="AJ642" s="38"/>
      <c r="AK642" s="38"/>
      <c r="AL642" s="38"/>
      <c r="AM642" s="38"/>
      <c r="AN642" s="38"/>
      <c r="AO642" s="38"/>
      <c r="AP642" s="38"/>
      <c r="AQ642" s="38"/>
      <c r="AR642" s="38"/>
      <c r="AS642" s="38"/>
      <c r="AT642" s="38"/>
      <c r="AU642" s="38"/>
      <c r="AV642" s="38"/>
      <c r="AW642" s="38"/>
      <c r="AX642" s="38"/>
      <c r="AY642" s="38"/>
      <c r="AZ642" s="38"/>
      <c r="BA642" s="38"/>
      <c r="BB642" s="38"/>
      <c r="BC642" s="38"/>
      <c r="BD642" s="38"/>
      <c r="BE642" s="38"/>
      <c r="BF642" s="38"/>
      <c r="BG642" s="38"/>
      <c r="BH642" s="38"/>
      <c r="BI642" s="38"/>
      <c r="BJ642" s="38"/>
      <c r="BK642" s="38"/>
      <c r="BL642" s="38"/>
      <c r="BM642" s="38"/>
      <c r="BN642" s="38"/>
      <c r="BO642" s="38"/>
      <c r="BP642" s="38"/>
    </row>
    <row r="643">
      <c r="A643" s="40"/>
      <c r="B643" s="40"/>
      <c r="AF643" s="38"/>
      <c r="AG643" s="38"/>
      <c r="AH643" s="38"/>
      <c r="AI643" s="38"/>
      <c r="AJ643" s="38"/>
      <c r="AK643" s="38"/>
      <c r="AL643" s="38"/>
      <c r="AM643" s="38"/>
      <c r="AN643" s="38"/>
      <c r="AO643" s="38"/>
      <c r="AP643" s="38"/>
      <c r="AQ643" s="38"/>
      <c r="AR643" s="38"/>
      <c r="AS643" s="38"/>
      <c r="AT643" s="38"/>
      <c r="AU643" s="38"/>
      <c r="AV643" s="38"/>
      <c r="AW643" s="38"/>
      <c r="AX643" s="38"/>
      <c r="AY643" s="38"/>
      <c r="AZ643" s="38"/>
      <c r="BA643" s="38"/>
      <c r="BB643" s="38"/>
      <c r="BC643" s="38"/>
      <c r="BD643" s="38"/>
      <c r="BE643" s="38"/>
      <c r="BF643" s="38"/>
      <c r="BG643" s="38"/>
      <c r="BH643" s="38"/>
      <c r="BI643" s="38"/>
      <c r="BJ643" s="38"/>
      <c r="BK643" s="38"/>
      <c r="BL643" s="38"/>
      <c r="BM643" s="38"/>
      <c r="BN643" s="38"/>
      <c r="BO643" s="38"/>
      <c r="BP643" s="38"/>
    </row>
    <row r="644">
      <c r="A644" s="40"/>
      <c r="B644" s="40"/>
      <c r="AF644" s="38"/>
      <c r="AG644" s="38"/>
      <c r="AH644" s="38"/>
      <c r="AI644" s="38"/>
      <c r="AJ644" s="38"/>
      <c r="AK644" s="38"/>
      <c r="AL644" s="38"/>
      <c r="AM644" s="38"/>
      <c r="AN644" s="38"/>
      <c r="AO644" s="38"/>
      <c r="AP644" s="38"/>
      <c r="AQ644" s="38"/>
      <c r="AR644" s="38"/>
      <c r="AS644" s="38"/>
      <c r="AT644" s="38"/>
      <c r="AU644" s="38"/>
      <c r="AV644" s="38"/>
      <c r="AW644" s="38"/>
      <c r="AX644" s="38"/>
      <c r="AY644" s="38"/>
      <c r="AZ644" s="38"/>
      <c r="BA644" s="38"/>
      <c r="BB644" s="38"/>
      <c r="BC644" s="38"/>
      <c r="BD644" s="38"/>
      <c r="BE644" s="38"/>
      <c r="BF644" s="38"/>
      <c r="BG644" s="38"/>
      <c r="BH644" s="38"/>
      <c r="BI644" s="38"/>
      <c r="BJ644" s="38"/>
      <c r="BK644" s="38"/>
      <c r="BL644" s="38"/>
      <c r="BM644" s="38"/>
      <c r="BN644" s="38"/>
      <c r="BO644" s="38"/>
      <c r="BP644" s="38"/>
    </row>
    <row r="645">
      <c r="A645" s="40"/>
      <c r="B645" s="40"/>
      <c r="AF645" s="38"/>
      <c r="AG645" s="38"/>
      <c r="AH645" s="38"/>
      <c r="AI645" s="38"/>
      <c r="AJ645" s="38"/>
      <c r="AK645" s="38"/>
      <c r="AL645" s="38"/>
      <c r="AM645" s="38"/>
      <c r="AN645" s="38"/>
      <c r="AO645" s="38"/>
      <c r="AP645" s="38"/>
      <c r="AQ645" s="38"/>
      <c r="AR645" s="38"/>
      <c r="AS645" s="38"/>
      <c r="AT645" s="38"/>
      <c r="AU645" s="38"/>
      <c r="AV645" s="38"/>
      <c r="AW645" s="38"/>
      <c r="AX645" s="38"/>
      <c r="AY645" s="38"/>
      <c r="AZ645" s="38"/>
      <c r="BA645" s="38"/>
      <c r="BB645" s="38"/>
      <c r="BC645" s="38"/>
      <c r="BD645" s="38"/>
      <c r="BE645" s="38"/>
      <c r="BF645" s="38"/>
      <c r="BG645" s="38"/>
      <c r="BH645" s="38"/>
      <c r="BI645" s="38"/>
      <c r="BJ645" s="38"/>
      <c r="BK645" s="38"/>
      <c r="BL645" s="38"/>
      <c r="BM645" s="38"/>
      <c r="BN645" s="38"/>
      <c r="BO645" s="38"/>
      <c r="BP645" s="38"/>
    </row>
    <row r="646">
      <c r="A646" s="40"/>
      <c r="B646" s="40"/>
      <c r="AF646" s="38"/>
      <c r="AG646" s="38"/>
      <c r="AH646" s="38"/>
      <c r="AI646" s="38"/>
      <c r="AJ646" s="38"/>
      <c r="AK646" s="38"/>
      <c r="AL646" s="38"/>
      <c r="AM646" s="38"/>
      <c r="AN646" s="38"/>
      <c r="AO646" s="38"/>
      <c r="AP646" s="38"/>
      <c r="AQ646" s="38"/>
      <c r="AR646" s="38"/>
      <c r="AS646" s="38"/>
      <c r="AT646" s="38"/>
      <c r="AU646" s="38"/>
      <c r="AV646" s="38"/>
      <c r="AW646" s="38"/>
      <c r="AX646" s="38"/>
      <c r="AY646" s="38"/>
      <c r="AZ646" s="38"/>
      <c r="BA646" s="38"/>
      <c r="BB646" s="38"/>
      <c r="BC646" s="38"/>
      <c r="BD646" s="38"/>
      <c r="BE646" s="38"/>
      <c r="BF646" s="38"/>
      <c r="BG646" s="38"/>
      <c r="BH646" s="38"/>
      <c r="BI646" s="38"/>
      <c r="BJ646" s="38"/>
      <c r="BK646" s="38"/>
      <c r="BL646" s="38"/>
      <c r="BM646" s="38"/>
      <c r="BN646" s="38"/>
      <c r="BO646" s="38"/>
      <c r="BP646" s="38"/>
    </row>
    <row r="647">
      <c r="A647" s="40"/>
      <c r="B647" s="40"/>
      <c r="AF647" s="38"/>
      <c r="AG647" s="38"/>
      <c r="AH647" s="38"/>
      <c r="AI647" s="38"/>
      <c r="AJ647" s="38"/>
      <c r="AK647" s="38"/>
      <c r="AL647" s="38"/>
      <c r="AM647" s="38"/>
      <c r="AN647" s="38"/>
      <c r="AO647" s="38"/>
      <c r="AP647" s="38"/>
      <c r="AQ647" s="38"/>
      <c r="AR647" s="38"/>
      <c r="AS647" s="38"/>
      <c r="AT647" s="38"/>
      <c r="AU647" s="38"/>
      <c r="AV647" s="38"/>
      <c r="AW647" s="38"/>
      <c r="AX647" s="38"/>
      <c r="AY647" s="38"/>
      <c r="AZ647" s="38"/>
      <c r="BA647" s="38"/>
      <c r="BB647" s="38"/>
      <c r="BC647" s="38"/>
      <c r="BD647" s="38"/>
      <c r="BE647" s="38"/>
      <c r="BF647" s="38"/>
      <c r="BG647" s="38"/>
      <c r="BH647" s="38"/>
      <c r="BI647" s="38"/>
      <c r="BJ647" s="38"/>
      <c r="BK647" s="38"/>
      <c r="BL647" s="38"/>
      <c r="BM647" s="38"/>
      <c r="BN647" s="38"/>
      <c r="BO647" s="38"/>
      <c r="BP647" s="38"/>
    </row>
    <row r="648">
      <c r="A648" s="40"/>
      <c r="B648" s="40"/>
      <c r="AF648" s="38"/>
      <c r="AG648" s="38"/>
      <c r="AH648" s="38"/>
      <c r="AI648" s="38"/>
      <c r="AJ648" s="38"/>
      <c r="AK648" s="38"/>
      <c r="AL648" s="38"/>
      <c r="AM648" s="38"/>
      <c r="AN648" s="38"/>
      <c r="AO648" s="38"/>
      <c r="AP648" s="38"/>
      <c r="AQ648" s="38"/>
      <c r="AR648" s="38"/>
      <c r="AS648" s="38"/>
      <c r="AT648" s="38"/>
      <c r="AU648" s="38"/>
      <c r="AV648" s="38"/>
      <c r="AW648" s="38"/>
      <c r="AX648" s="38"/>
      <c r="AY648" s="38"/>
      <c r="AZ648" s="38"/>
      <c r="BA648" s="38"/>
      <c r="BB648" s="38"/>
      <c r="BC648" s="38"/>
      <c r="BD648" s="38"/>
      <c r="BE648" s="38"/>
      <c r="BF648" s="38"/>
      <c r="BG648" s="38"/>
      <c r="BH648" s="38"/>
      <c r="BI648" s="38"/>
      <c r="BJ648" s="38"/>
      <c r="BK648" s="38"/>
      <c r="BL648" s="38"/>
      <c r="BM648" s="38"/>
      <c r="BN648" s="38"/>
      <c r="BO648" s="38"/>
      <c r="BP648" s="38"/>
    </row>
    <row r="649">
      <c r="A649" s="40"/>
      <c r="B649" s="40"/>
      <c r="AF649" s="38"/>
      <c r="AG649" s="38"/>
      <c r="AH649" s="38"/>
      <c r="AI649" s="38"/>
      <c r="AJ649" s="38"/>
      <c r="AK649" s="38"/>
      <c r="AL649" s="38"/>
      <c r="AM649" s="38"/>
      <c r="AN649" s="38"/>
      <c r="AO649" s="38"/>
      <c r="AP649" s="38"/>
      <c r="AQ649" s="38"/>
      <c r="AR649" s="38"/>
      <c r="AS649" s="38"/>
      <c r="AT649" s="38"/>
      <c r="AU649" s="38"/>
      <c r="AV649" s="38"/>
      <c r="AW649" s="38"/>
      <c r="AX649" s="38"/>
      <c r="AY649" s="38"/>
      <c r="AZ649" s="38"/>
      <c r="BA649" s="38"/>
      <c r="BB649" s="38"/>
      <c r="BC649" s="38"/>
      <c r="BD649" s="38"/>
      <c r="BE649" s="38"/>
      <c r="BF649" s="38"/>
      <c r="BG649" s="38"/>
      <c r="BH649" s="38"/>
      <c r="BI649" s="38"/>
      <c r="BJ649" s="38"/>
      <c r="BK649" s="38"/>
      <c r="BL649" s="38"/>
      <c r="BM649" s="38"/>
      <c r="BN649" s="38"/>
      <c r="BO649" s="38"/>
      <c r="BP649" s="38"/>
    </row>
    <row r="650">
      <c r="A650" s="40"/>
      <c r="B650" s="40"/>
      <c r="AF650" s="38"/>
      <c r="AG650" s="38"/>
      <c r="AH650" s="38"/>
      <c r="AI650" s="38"/>
      <c r="AJ650" s="38"/>
      <c r="AK650" s="38"/>
      <c r="AL650" s="38"/>
      <c r="AM650" s="38"/>
      <c r="AN650" s="38"/>
      <c r="AO650" s="38"/>
      <c r="AP650" s="38"/>
      <c r="AQ650" s="38"/>
      <c r="AR650" s="38"/>
      <c r="AS650" s="38"/>
      <c r="AT650" s="38"/>
      <c r="AU650" s="38"/>
      <c r="AV650" s="38"/>
      <c r="AW650" s="38"/>
      <c r="AX650" s="38"/>
      <c r="AY650" s="38"/>
      <c r="AZ650" s="38"/>
      <c r="BA650" s="38"/>
      <c r="BB650" s="38"/>
      <c r="BC650" s="38"/>
      <c r="BD650" s="38"/>
      <c r="BE650" s="38"/>
      <c r="BF650" s="38"/>
      <c r="BG650" s="38"/>
      <c r="BH650" s="38"/>
      <c r="BI650" s="38"/>
      <c r="BJ650" s="38"/>
      <c r="BK650" s="38"/>
      <c r="BL650" s="38"/>
      <c r="BM650" s="38"/>
      <c r="BN650" s="38"/>
      <c r="BO650" s="38"/>
      <c r="BP650" s="38"/>
    </row>
    <row r="651">
      <c r="A651" s="40"/>
      <c r="B651" s="40"/>
      <c r="AF651" s="38"/>
      <c r="AG651" s="38"/>
      <c r="AH651" s="38"/>
      <c r="AI651" s="38"/>
      <c r="AJ651" s="38"/>
      <c r="AK651" s="38"/>
      <c r="AL651" s="38"/>
      <c r="AM651" s="38"/>
      <c r="AN651" s="38"/>
      <c r="AO651" s="38"/>
      <c r="AP651" s="38"/>
      <c r="AQ651" s="38"/>
      <c r="AR651" s="38"/>
      <c r="AS651" s="38"/>
      <c r="AT651" s="38"/>
      <c r="AU651" s="38"/>
      <c r="AV651" s="38"/>
      <c r="AW651" s="38"/>
      <c r="AX651" s="38"/>
      <c r="AY651" s="38"/>
      <c r="AZ651" s="38"/>
      <c r="BA651" s="38"/>
      <c r="BB651" s="38"/>
      <c r="BC651" s="38"/>
      <c r="BD651" s="38"/>
      <c r="BE651" s="38"/>
      <c r="BF651" s="38"/>
      <c r="BG651" s="38"/>
      <c r="BH651" s="38"/>
      <c r="BI651" s="38"/>
      <c r="BJ651" s="38"/>
      <c r="BK651" s="38"/>
      <c r="BL651" s="38"/>
      <c r="BM651" s="38"/>
      <c r="BN651" s="38"/>
      <c r="BO651" s="38"/>
      <c r="BP651" s="38"/>
    </row>
    <row r="652">
      <c r="A652" s="40"/>
      <c r="B652" s="40"/>
      <c r="AF652" s="38"/>
      <c r="AG652" s="38"/>
      <c r="AH652" s="38"/>
      <c r="AI652" s="38"/>
      <c r="AJ652" s="38"/>
      <c r="AK652" s="38"/>
      <c r="AL652" s="38"/>
      <c r="AM652" s="38"/>
      <c r="AN652" s="38"/>
      <c r="AO652" s="38"/>
      <c r="AP652" s="38"/>
      <c r="AQ652" s="38"/>
      <c r="AR652" s="38"/>
      <c r="AS652" s="38"/>
      <c r="AT652" s="38"/>
      <c r="AU652" s="38"/>
      <c r="AV652" s="38"/>
      <c r="AW652" s="38"/>
      <c r="AX652" s="38"/>
      <c r="AY652" s="38"/>
      <c r="AZ652" s="38"/>
      <c r="BA652" s="38"/>
      <c r="BB652" s="38"/>
      <c r="BC652" s="38"/>
      <c r="BD652" s="38"/>
      <c r="BE652" s="38"/>
      <c r="BF652" s="38"/>
      <c r="BG652" s="38"/>
      <c r="BH652" s="38"/>
      <c r="BI652" s="38"/>
      <c r="BJ652" s="38"/>
      <c r="BK652" s="38"/>
      <c r="BL652" s="38"/>
      <c r="BM652" s="38"/>
      <c r="BN652" s="38"/>
      <c r="BO652" s="38"/>
      <c r="BP652" s="38"/>
    </row>
    <row r="653">
      <c r="A653" s="40"/>
      <c r="B653" s="40"/>
      <c r="AF653" s="38"/>
      <c r="AG653" s="38"/>
      <c r="AH653" s="38"/>
      <c r="AI653" s="38"/>
      <c r="AJ653" s="38"/>
      <c r="AK653" s="38"/>
      <c r="AL653" s="38"/>
      <c r="AM653" s="38"/>
      <c r="AN653" s="38"/>
      <c r="AO653" s="38"/>
      <c r="AP653" s="38"/>
      <c r="AQ653" s="38"/>
      <c r="AR653" s="38"/>
      <c r="AS653" s="38"/>
      <c r="AT653" s="38"/>
      <c r="AU653" s="38"/>
      <c r="AV653" s="38"/>
      <c r="AW653" s="38"/>
      <c r="AX653" s="38"/>
      <c r="AY653" s="38"/>
      <c r="AZ653" s="38"/>
      <c r="BA653" s="38"/>
      <c r="BB653" s="38"/>
      <c r="BC653" s="38"/>
      <c r="BD653" s="38"/>
      <c r="BE653" s="38"/>
      <c r="BF653" s="38"/>
      <c r="BG653" s="38"/>
      <c r="BH653" s="38"/>
      <c r="BI653" s="38"/>
      <c r="BJ653" s="38"/>
      <c r="BK653" s="38"/>
      <c r="BL653" s="38"/>
      <c r="BM653" s="38"/>
      <c r="BN653" s="38"/>
      <c r="BO653" s="38"/>
      <c r="BP653" s="38"/>
    </row>
    <row r="654">
      <c r="A654" s="40"/>
      <c r="B654" s="40"/>
      <c r="AF654" s="38"/>
      <c r="AG654" s="38"/>
      <c r="AH654" s="38"/>
      <c r="AI654" s="38"/>
      <c r="AJ654" s="38"/>
      <c r="AK654" s="38"/>
      <c r="AL654" s="38"/>
      <c r="AM654" s="38"/>
      <c r="AN654" s="38"/>
      <c r="AO654" s="38"/>
      <c r="AP654" s="38"/>
      <c r="AQ654" s="38"/>
      <c r="AR654" s="38"/>
      <c r="AS654" s="38"/>
      <c r="AT654" s="38"/>
      <c r="AU654" s="38"/>
      <c r="AV654" s="38"/>
      <c r="AW654" s="38"/>
      <c r="AX654" s="38"/>
      <c r="AY654" s="38"/>
      <c r="AZ654" s="38"/>
      <c r="BA654" s="38"/>
      <c r="BB654" s="38"/>
      <c r="BC654" s="38"/>
      <c r="BD654" s="38"/>
      <c r="BE654" s="38"/>
      <c r="BF654" s="38"/>
      <c r="BG654" s="38"/>
      <c r="BH654" s="38"/>
      <c r="BI654" s="38"/>
      <c r="BJ654" s="38"/>
      <c r="BK654" s="38"/>
      <c r="BL654" s="38"/>
      <c r="BM654" s="38"/>
      <c r="BN654" s="38"/>
      <c r="BO654" s="38"/>
      <c r="BP654" s="38"/>
    </row>
    <row r="655">
      <c r="A655" s="40"/>
      <c r="B655" s="40"/>
      <c r="AF655" s="38"/>
      <c r="AG655" s="38"/>
      <c r="AH655" s="38"/>
      <c r="AI655" s="38"/>
      <c r="AJ655" s="38"/>
      <c r="AK655" s="38"/>
      <c r="AL655" s="38"/>
      <c r="AM655" s="38"/>
      <c r="AN655" s="38"/>
      <c r="AO655" s="38"/>
      <c r="AP655" s="38"/>
      <c r="AQ655" s="38"/>
      <c r="AR655" s="38"/>
      <c r="AS655" s="38"/>
      <c r="AT655" s="38"/>
      <c r="AU655" s="38"/>
      <c r="AV655" s="38"/>
      <c r="AW655" s="38"/>
      <c r="AX655" s="38"/>
      <c r="AY655" s="38"/>
      <c r="AZ655" s="38"/>
      <c r="BA655" s="38"/>
      <c r="BB655" s="38"/>
      <c r="BC655" s="38"/>
      <c r="BD655" s="38"/>
      <c r="BE655" s="38"/>
      <c r="BF655" s="38"/>
      <c r="BG655" s="38"/>
      <c r="BH655" s="38"/>
      <c r="BI655" s="38"/>
      <c r="BJ655" s="38"/>
      <c r="BK655" s="38"/>
      <c r="BL655" s="38"/>
      <c r="BM655" s="38"/>
      <c r="BN655" s="38"/>
      <c r="BO655" s="38"/>
      <c r="BP655" s="38"/>
    </row>
    <row r="656">
      <c r="A656" s="40"/>
      <c r="B656" s="40"/>
      <c r="AF656" s="38"/>
      <c r="AG656" s="38"/>
      <c r="AH656" s="38"/>
      <c r="AI656" s="38"/>
      <c r="AJ656" s="38"/>
      <c r="AK656" s="38"/>
      <c r="AL656" s="38"/>
      <c r="AM656" s="38"/>
      <c r="AN656" s="38"/>
      <c r="AO656" s="38"/>
      <c r="AP656" s="38"/>
      <c r="AQ656" s="38"/>
      <c r="AR656" s="38"/>
      <c r="AS656" s="38"/>
      <c r="AT656" s="38"/>
      <c r="AU656" s="38"/>
      <c r="AV656" s="38"/>
      <c r="AW656" s="38"/>
      <c r="AX656" s="38"/>
      <c r="AY656" s="38"/>
      <c r="AZ656" s="38"/>
      <c r="BA656" s="38"/>
      <c r="BB656" s="38"/>
      <c r="BC656" s="38"/>
      <c r="BD656" s="38"/>
      <c r="BE656" s="38"/>
      <c r="BF656" s="38"/>
      <c r="BG656" s="38"/>
      <c r="BH656" s="38"/>
      <c r="BI656" s="38"/>
      <c r="BJ656" s="38"/>
      <c r="BK656" s="38"/>
      <c r="BL656" s="38"/>
      <c r="BM656" s="38"/>
      <c r="BN656" s="38"/>
      <c r="BO656" s="38"/>
      <c r="BP656" s="38"/>
    </row>
    <row r="657">
      <c r="A657" s="40"/>
      <c r="B657" s="40"/>
      <c r="AF657" s="38"/>
      <c r="AG657" s="38"/>
      <c r="AH657" s="38"/>
      <c r="AI657" s="38"/>
      <c r="AJ657" s="38"/>
      <c r="AK657" s="38"/>
      <c r="AL657" s="38"/>
      <c r="AM657" s="38"/>
      <c r="AN657" s="38"/>
      <c r="AO657" s="38"/>
      <c r="AP657" s="38"/>
      <c r="AQ657" s="38"/>
      <c r="AR657" s="38"/>
      <c r="AS657" s="38"/>
      <c r="AT657" s="38"/>
      <c r="AU657" s="38"/>
      <c r="AV657" s="38"/>
      <c r="AW657" s="38"/>
      <c r="AX657" s="38"/>
      <c r="AY657" s="38"/>
      <c r="AZ657" s="38"/>
      <c r="BA657" s="38"/>
      <c r="BB657" s="38"/>
      <c r="BC657" s="38"/>
      <c r="BD657" s="38"/>
      <c r="BE657" s="38"/>
      <c r="BF657" s="38"/>
      <c r="BG657" s="38"/>
      <c r="BH657" s="38"/>
      <c r="BI657" s="38"/>
      <c r="BJ657" s="38"/>
      <c r="BK657" s="38"/>
      <c r="BL657" s="38"/>
      <c r="BM657" s="38"/>
      <c r="BN657" s="38"/>
      <c r="BO657" s="38"/>
      <c r="BP657" s="38"/>
    </row>
    <row r="658">
      <c r="A658" s="40"/>
      <c r="B658" s="40"/>
      <c r="AF658" s="38"/>
      <c r="AG658" s="38"/>
      <c r="AH658" s="38"/>
      <c r="AI658" s="38"/>
      <c r="AJ658" s="38"/>
      <c r="AK658" s="38"/>
      <c r="AL658" s="38"/>
      <c r="AM658" s="38"/>
      <c r="AN658" s="38"/>
      <c r="AO658" s="38"/>
      <c r="AP658" s="38"/>
      <c r="AQ658" s="38"/>
      <c r="AR658" s="38"/>
      <c r="AS658" s="38"/>
      <c r="AT658" s="38"/>
      <c r="AU658" s="38"/>
      <c r="AV658" s="38"/>
      <c r="AW658" s="38"/>
      <c r="AX658" s="38"/>
      <c r="AY658" s="38"/>
      <c r="AZ658" s="38"/>
      <c r="BA658" s="38"/>
      <c r="BB658" s="38"/>
      <c r="BC658" s="38"/>
      <c r="BD658" s="38"/>
      <c r="BE658" s="38"/>
      <c r="BF658" s="38"/>
      <c r="BG658" s="38"/>
      <c r="BH658" s="38"/>
      <c r="BI658" s="38"/>
      <c r="BJ658" s="38"/>
      <c r="BK658" s="38"/>
      <c r="BL658" s="38"/>
      <c r="BM658" s="38"/>
      <c r="BN658" s="38"/>
      <c r="BO658" s="38"/>
      <c r="BP658" s="38"/>
    </row>
    <row r="659">
      <c r="A659" s="40"/>
      <c r="B659" s="40"/>
      <c r="AF659" s="38"/>
      <c r="AG659" s="38"/>
      <c r="AH659" s="38"/>
      <c r="AI659" s="38"/>
      <c r="AJ659" s="38"/>
      <c r="AK659" s="38"/>
      <c r="AL659" s="38"/>
      <c r="AM659" s="38"/>
      <c r="AN659" s="38"/>
      <c r="AO659" s="38"/>
      <c r="AP659" s="38"/>
      <c r="AQ659" s="38"/>
      <c r="AR659" s="38"/>
      <c r="AS659" s="38"/>
      <c r="AT659" s="38"/>
      <c r="AU659" s="38"/>
      <c r="AV659" s="38"/>
      <c r="AW659" s="38"/>
      <c r="AX659" s="38"/>
      <c r="AY659" s="38"/>
      <c r="AZ659" s="38"/>
      <c r="BA659" s="38"/>
      <c r="BB659" s="38"/>
      <c r="BC659" s="38"/>
      <c r="BD659" s="38"/>
      <c r="BE659" s="38"/>
      <c r="BF659" s="38"/>
      <c r="BG659" s="38"/>
      <c r="BH659" s="38"/>
      <c r="BI659" s="38"/>
      <c r="BJ659" s="38"/>
      <c r="BK659" s="38"/>
      <c r="BL659" s="38"/>
      <c r="BM659" s="38"/>
      <c r="BN659" s="38"/>
      <c r="BO659" s="38"/>
      <c r="BP659" s="38"/>
    </row>
    <row r="660">
      <c r="A660" s="40"/>
      <c r="B660" s="40"/>
      <c r="AF660" s="38"/>
      <c r="AG660" s="38"/>
      <c r="AH660" s="38"/>
      <c r="AI660" s="38"/>
      <c r="AJ660" s="38"/>
      <c r="AK660" s="38"/>
      <c r="AL660" s="38"/>
      <c r="AM660" s="38"/>
      <c r="AN660" s="38"/>
      <c r="AO660" s="38"/>
      <c r="AP660" s="38"/>
      <c r="AQ660" s="38"/>
      <c r="AR660" s="38"/>
      <c r="AS660" s="38"/>
      <c r="AT660" s="38"/>
      <c r="AU660" s="38"/>
      <c r="AV660" s="38"/>
      <c r="AW660" s="38"/>
      <c r="AX660" s="38"/>
      <c r="AY660" s="38"/>
      <c r="AZ660" s="38"/>
      <c r="BA660" s="38"/>
      <c r="BB660" s="38"/>
      <c r="BC660" s="38"/>
      <c r="BD660" s="38"/>
      <c r="BE660" s="38"/>
      <c r="BF660" s="38"/>
      <c r="BG660" s="38"/>
      <c r="BH660" s="38"/>
      <c r="BI660" s="38"/>
      <c r="BJ660" s="38"/>
      <c r="BK660" s="38"/>
      <c r="BL660" s="38"/>
      <c r="BM660" s="38"/>
      <c r="BN660" s="38"/>
      <c r="BO660" s="38"/>
      <c r="BP660" s="38"/>
    </row>
    <row r="661">
      <c r="A661" s="40"/>
      <c r="B661" s="40"/>
      <c r="AF661" s="38"/>
      <c r="AG661" s="38"/>
      <c r="AH661" s="38"/>
      <c r="AI661" s="38"/>
      <c r="AJ661" s="38"/>
      <c r="AK661" s="38"/>
      <c r="AL661" s="38"/>
      <c r="AM661" s="38"/>
      <c r="AN661" s="38"/>
      <c r="AO661" s="38"/>
      <c r="AP661" s="38"/>
      <c r="AQ661" s="38"/>
      <c r="AR661" s="38"/>
      <c r="AS661" s="38"/>
      <c r="AT661" s="38"/>
      <c r="AU661" s="38"/>
      <c r="AV661" s="38"/>
      <c r="AW661" s="38"/>
      <c r="AX661" s="38"/>
      <c r="AY661" s="38"/>
      <c r="AZ661" s="38"/>
      <c r="BA661" s="38"/>
      <c r="BB661" s="38"/>
      <c r="BC661" s="38"/>
      <c r="BD661" s="38"/>
      <c r="BE661" s="38"/>
      <c r="BF661" s="38"/>
      <c r="BG661" s="38"/>
      <c r="BH661" s="38"/>
      <c r="BI661" s="38"/>
      <c r="BJ661" s="38"/>
      <c r="BK661" s="38"/>
      <c r="BL661" s="38"/>
      <c r="BM661" s="38"/>
      <c r="BN661" s="38"/>
      <c r="BO661" s="38"/>
      <c r="BP661" s="38"/>
    </row>
    <row r="662">
      <c r="A662" s="40"/>
      <c r="B662" s="40"/>
      <c r="AF662" s="38"/>
      <c r="AG662" s="38"/>
      <c r="AH662" s="38"/>
      <c r="AI662" s="38"/>
      <c r="AJ662" s="38"/>
      <c r="AK662" s="38"/>
      <c r="AL662" s="38"/>
      <c r="AM662" s="38"/>
      <c r="AN662" s="38"/>
      <c r="AO662" s="38"/>
      <c r="AP662" s="38"/>
      <c r="AQ662" s="38"/>
      <c r="AR662" s="38"/>
      <c r="AS662" s="38"/>
      <c r="AT662" s="38"/>
      <c r="AU662" s="38"/>
      <c r="AV662" s="38"/>
      <c r="AW662" s="38"/>
      <c r="AX662" s="38"/>
      <c r="AY662" s="38"/>
      <c r="AZ662" s="38"/>
      <c r="BA662" s="38"/>
      <c r="BB662" s="38"/>
      <c r="BC662" s="38"/>
      <c r="BD662" s="38"/>
      <c r="BE662" s="38"/>
      <c r="BF662" s="38"/>
      <c r="BG662" s="38"/>
      <c r="BH662" s="38"/>
      <c r="BI662" s="38"/>
      <c r="BJ662" s="38"/>
      <c r="BK662" s="38"/>
      <c r="BL662" s="38"/>
      <c r="BM662" s="38"/>
      <c r="BN662" s="38"/>
      <c r="BO662" s="38"/>
      <c r="BP662" s="38"/>
    </row>
    <row r="663">
      <c r="A663" s="40"/>
      <c r="B663" s="40"/>
      <c r="AF663" s="38"/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38"/>
      <c r="AT663" s="38"/>
      <c r="AU663" s="38"/>
      <c r="AV663" s="38"/>
      <c r="AW663" s="38"/>
      <c r="AX663" s="38"/>
      <c r="AY663" s="38"/>
      <c r="AZ663" s="38"/>
      <c r="BA663" s="38"/>
      <c r="BB663" s="38"/>
      <c r="BC663" s="38"/>
      <c r="BD663" s="38"/>
      <c r="BE663" s="38"/>
      <c r="BF663" s="38"/>
      <c r="BG663" s="38"/>
      <c r="BH663" s="38"/>
      <c r="BI663" s="38"/>
      <c r="BJ663" s="38"/>
      <c r="BK663" s="38"/>
      <c r="BL663" s="38"/>
      <c r="BM663" s="38"/>
      <c r="BN663" s="38"/>
      <c r="BO663" s="38"/>
      <c r="BP663" s="38"/>
    </row>
    <row r="664">
      <c r="A664" s="40"/>
      <c r="B664" s="40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  <c r="AZ664" s="38"/>
      <c r="BA664" s="38"/>
      <c r="BB664" s="38"/>
      <c r="BC664" s="38"/>
      <c r="BD664" s="38"/>
      <c r="BE664" s="38"/>
      <c r="BF664" s="38"/>
      <c r="BG664" s="38"/>
      <c r="BH664" s="38"/>
      <c r="BI664" s="38"/>
      <c r="BJ664" s="38"/>
      <c r="BK664" s="38"/>
      <c r="BL664" s="38"/>
      <c r="BM664" s="38"/>
      <c r="BN664" s="38"/>
      <c r="BO664" s="38"/>
      <c r="BP664" s="38"/>
    </row>
    <row r="665">
      <c r="A665" s="40"/>
      <c r="B665" s="40"/>
      <c r="AF665" s="38"/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38"/>
      <c r="AT665" s="38"/>
      <c r="AU665" s="38"/>
      <c r="AV665" s="38"/>
      <c r="AW665" s="38"/>
      <c r="AX665" s="38"/>
      <c r="AY665" s="38"/>
      <c r="AZ665" s="38"/>
      <c r="BA665" s="38"/>
      <c r="BB665" s="38"/>
      <c r="BC665" s="38"/>
      <c r="BD665" s="38"/>
      <c r="BE665" s="38"/>
      <c r="BF665" s="38"/>
      <c r="BG665" s="38"/>
      <c r="BH665" s="38"/>
      <c r="BI665" s="38"/>
      <c r="BJ665" s="38"/>
      <c r="BK665" s="38"/>
      <c r="BL665" s="38"/>
      <c r="BM665" s="38"/>
      <c r="BN665" s="38"/>
      <c r="BO665" s="38"/>
      <c r="BP665" s="38"/>
    </row>
    <row r="666">
      <c r="A666" s="40"/>
      <c r="B666" s="40"/>
      <c r="AF666" s="38"/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38"/>
      <c r="AT666" s="38"/>
      <c r="AU666" s="38"/>
      <c r="AV666" s="38"/>
      <c r="AW666" s="38"/>
      <c r="AX666" s="38"/>
      <c r="AY666" s="38"/>
      <c r="AZ666" s="38"/>
      <c r="BA666" s="38"/>
      <c r="BB666" s="38"/>
      <c r="BC666" s="38"/>
      <c r="BD666" s="38"/>
      <c r="BE666" s="38"/>
      <c r="BF666" s="38"/>
      <c r="BG666" s="38"/>
      <c r="BH666" s="38"/>
      <c r="BI666" s="38"/>
      <c r="BJ666" s="38"/>
      <c r="BK666" s="38"/>
      <c r="BL666" s="38"/>
      <c r="BM666" s="38"/>
      <c r="BN666" s="38"/>
      <c r="BO666" s="38"/>
      <c r="BP666" s="38"/>
    </row>
    <row r="667">
      <c r="A667" s="40"/>
      <c r="B667" s="40"/>
      <c r="AF667" s="38"/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38"/>
      <c r="AT667" s="38"/>
      <c r="AU667" s="38"/>
      <c r="AV667" s="38"/>
      <c r="AW667" s="38"/>
      <c r="AX667" s="38"/>
      <c r="AY667" s="38"/>
      <c r="AZ667" s="38"/>
      <c r="BA667" s="38"/>
      <c r="BB667" s="38"/>
      <c r="BC667" s="38"/>
      <c r="BD667" s="38"/>
      <c r="BE667" s="38"/>
      <c r="BF667" s="38"/>
      <c r="BG667" s="38"/>
      <c r="BH667" s="38"/>
      <c r="BI667" s="38"/>
      <c r="BJ667" s="38"/>
      <c r="BK667" s="38"/>
      <c r="BL667" s="38"/>
      <c r="BM667" s="38"/>
      <c r="BN667" s="38"/>
      <c r="BO667" s="38"/>
      <c r="BP667" s="38"/>
    </row>
    <row r="668">
      <c r="A668" s="40"/>
      <c r="B668" s="40"/>
      <c r="AF668" s="38"/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38"/>
      <c r="AT668" s="38"/>
      <c r="AU668" s="38"/>
      <c r="AV668" s="38"/>
      <c r="AW668" s="38"/>
      <c r="AX668" s="38"/>
      <c r="AY668" s="38"/>
      <c r="AZ668" s="38"/>
      <c r="BA668" s="38"/>
      <c r="BB668" s="38"/>
      <c r="BC668" s="38"/>
      <c r="BD668" s="38"/>
      <c r="BE668" s="38"/>
      <c r="BF668" s="38"/>
      <c r="BG668" s="38"/>
      <c r="BH668" s="38"/>
      <c r="BI668" s="38"/>
      <c r="BJ668" s="38"/>
      <c r="BK668" s="38"/>
      <c r="BL668" s="38"/>
      <c r="BM668" s="38"/>
      <c r="BN668" s="38"/>
      <c r="BO668" s="38"/>
      <c r="BP668" s="38"/>
    </row>
    <row r="669">
      <c r="A669" s="40"/>
      <c r="B669" s="40"/>
      <c r="AF669" s="38"/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38"/>
      <c r="AT669" s="38"/>
      <c r="AU669" s="38"/>
      <c r="AV669" s="38"/>
      <c r="AW669" s="38"/>
      <c r="AX669" s="38"/>
      <c r="AY669" s="38"/>
      <c r="AZ669" s="38"/>
      <c r="BA669" s="38"/>
      <c r="BB669" s="38"/>
      <c r="BC669" s="38"/>
      <c r="BD669" s="38"/>
      <c r="BE669" s="38"/>
      <c r="BF669" s="38"/>
      <c r="BG669" s="38"/>
      <c r="BH669" s="38"/>
      <c r="BI669" s="38"/>
      <c r="BJ669" s="38"/>
      <c r="BK669" s="38"/>
      <c r="BL669" s="38"/>
      <c r="BM669" s="38"/>
      <c r="BN669" s="38"/>
      <c r="BO669" s="38"/>
      <c r="BP669" s="38"/>
    </row>
    <row r="670">
      <c r="A670" s="40"/>
      <c r="B670" s="40"/>
      <c r="AF670" s="38"/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38"/>
      <c r="AT670" s="38"/>
      <c r="AU670" s="38"/>
      <c r="AV670" s="38"/>
      <c r="AW670" s="38"/>
      <c r="AX670" s="38"/>
      <c r="AY670" s="38"/>
      <c r="AZ670" s="38"/>
      <c r="BA670" s="38"/>
      <c r="BB670" s="38"/>
      <c r="BC670" s="38"/>
      <c r="BD670" s="38"/>
      <c r="BE670" s="38"/>
      <c r="BF670" s="38"/>
      <c r="BG670" s="38"/>
      <c r="BH670" s="38"/>
      <c r="BI670" s="38"/>
      <c r="BJ670" s="38"/>
      <c r="BK670" s="38"/>
      <c r="BL670" s="38"/>
      <c r="BM670" s="38"/>
      <c r="BN670" s="38"/>
      <c r="BO670" s="38"/>
      <c r="BP670" s="38"/>
    </row>
    <row r="671">
      <c r="A671" s="40"/>
      <c r="B671" s="40"/>
      <c r="AF671" s="38"/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38"/>
      <c r="AT671" s="38"/>
      <c r="AU671" s="38"/>
      <c r="AV671" s="38"/>
      <c r="AW671" s="38"/>
      <c r="AX671" s="38"/>
      <c r="AY671" s="38"/>
      <c r="AZ671" s="38"/>
      <c r="BA671" s="38"/>
      <c r="BB671" s="38"/>
      <c r="BC671" s="38"/>
      <c r="BD671" s="38"/>
      <c r="BE671" s="38"/>
      <c r="BF671" s="38"/>
      <c r="BG671" s="38"/>
      <c r="BH671" s="38"/>
      <c r="BI671" s="38"/>
      <c r="BJ671" s="38"/>
      <c r="BK671" s="38"/>
      <c r="BL671" s="38"/>
      <c r="BM671" s="38"/>
      <c r="BN671" s="38"/>
      <c r="BO671" s="38"/>
      <c r="BP671" s="38"/>
    </row>
    <row r="672">
      <c r="A672" s="40"/>
      <c r="B672" s="40"/>
      <c r="AF672" s="38"/>
      <c r="AG672" s="38"/>
      <c r="AH672" s="38"/>
      <c r="AI672" s="38"/>
      <c r="AJ672" s="38"/>
      <c r="AK672" s="38"/>
      <c r="AL672" s="38"/>
      <c r="AM672" s="38"/>
      <c r="AN672" s="38"/>
      <c r="AO672" s="38"/>
      <c r="AP672" s="38"/>
      <c r="AQ672" s="38"/>
      <c r="AR672" s="38"/>
      <c r="AS672" s="38"/>
      <c r="AT672" s="38"/>
      <c r="AU672" s="38"/>
      <c r="AV672" s="38"/>
      <c r="AW672" s="38"/>
      <c r="AX672" s="38"/>
      <c r="AY672" s="38"/>
      <c r="AZ672" s="38"/>
      <c r="BA672" s="38"/>
      <c r="BB672" s="38"/>
      <c r="BC672" s="38"/>
      <c r="BD672" s="38"/>
      <c r="BE672" s="38"/>
      <c r="BF672" s="38"/>
      <c r="BG672" s="38"/>
      <c r="BH672" s="38"/>
      <c r="BI672" s="38"/>
      <c r="BJ672" s="38"/>
      <c r="BK672" s="38"/>
      <c r="BL672" s="38"/>
      <c r="BM672" s="38"/>
      <c r="BN672" s="38"/>
      <c r="BO672" s="38"/>
      <c r="BP672" s="38"/>
    </row>
    <row r="673">
      <c r="A673" s="40"/>
      <c r="B673" s="40"/>
      <c r="AF673" s="38"/>
      <c r="AG673" s="38"/>
      <c r="AH673" s="38"/>
      <c r="AI673" s="38"/>
      <c r="AJ673" s="38"/>
      <c r="AK673" s="38"/>
      <c r="AL673" s="38"/>
      <c r="AM673" s="38"/>
      <c r="AN673" s="38"/>
      <c r="AO673" s="38"/>
      <c r="AP673" s="38"/>
      <c r="AQ673" s="38"/>
      <c r="AR673" s="38"/>
      <c r="AS673" s="38"/>
      <c r="AT673" s="38"/>
      <c r="AU673" s="38"/>
      <c r="AV673" s="38"/>
      <c r="AW673" s="38"/>
      <c r="AX673" s="38"/>
      <c r="AY673" s="38"/>
      <c r="AZ673" s="38"/>
      <c r="BA673" s="38"/>
      <c r="BB673" s="38"/>
      <c r="BC673" s="38"/>
      <c r="BD673" s="38"/>
      <c r="BE673" s="38"/>
      <c r="BF673" s="38"/>
      <c r="BG673" s="38"/>
      <c r="BH673" s="38"/>
      <c r="BI673" s="38"/>
      <c r="BJ673" s="38"/>
      <c r="BK673" s="38"/>
      <c r="BL673" s="38"/>
      <c r="BM673" s="38"/>
      <c r="BN673" s="38"/>
      <c r="BO673" s="38"/>
      <c r="BP673" s="38"/>
    </row>
    <row r="674">
      <c r="A674" s="40"/>
      <c r="B674" s="40"/>
      <c r="AF674" s="38"/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38"/>
      <c r="AT674" s="38"/>
      <c r="AU674" s="38"/>
      <c r="AV674" s="38"/>
      <c r="AW674" s="38"/>
      <c r="AX674" s="38"/>
      <c r="AY674" s="38"/>
      <c r="AZ674" s="38"/>
      <c r="BA674" s="38"/>
      <c r="BB674" s="38"/>
      <c r="BC674" s="38"/>
      <c r="BD674" s="38"/>
      <c r="BE674" s="38"/>
      <c r="BF674" s="38"/>
      <c r="BG674" s="38"/>
      <c r="BH674" s="38"/>
      <c r="BI674" s="38"/>
      <c r="BJ674" s="38"/>
      <c r="BK674" s="38"/>
      <c r="BL674" s="38"/>
      <c r="BM674" s="38"/>
      <c r="BN674" s="38"/>
      <c r="BO674" s="38"/>
      <c r="BP674" s="38"/>
    </row>
    <row r="675">
      <c r="A675" s="40"/>
      <c r="B675" s="40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</row>
    <row r="676">
      <c r="A676" s="40"/>
      <c r="B676" s="40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</row>
    <row r="677">
      <c r="A677" s="40"/>
      <c r="B677" s="40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</row>
    <row r="678">
      <c r="A678" s="40"/>
      <c r="B678" s="40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</row>
    <row r="679">
      <c r="A679" s="40"/>
      <c r="B679" s="40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</row>
    <row r="680">
      <c r="A680" s="40"/>
      <c r="B680" s="40"/>
      <c r="AF680" s="38"/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  <c r="AV680" s="38"/>
      <c r="AW680" s="38"/>
      <c r="AX680" s="38"/>
      <c r="AY680" s="38"/>
      <c r="AZ680" s="38"/>
      <c r="BA680" s="38"/>
      <c r="BB680" s="38"/>
      <c r="BC680" s="38"/>
      <c r="BD680" s="38"/>
      <c r="BE680" s="38"/>
      <c r="BF680" s="38"/>
      <c r="BG680" s="38"/>
      <c r="BH680" s="38"/>
      <c r="BI680" s="38"/>
      <c r="BJ680" s="38"/>
      <c r="BK680" s="38"/>
      <c r="BL680" s="38"/>
      <c r="BM680" s="38"/>
      <c r="BN680" s="38"/>
      <c r="BO680" s="38"/>
      <c r="BP680" s="38"/>
    </row>
    <row r="681">
      <c r="A681" s="40"/>
      <c r="B681" s="40"/>
      <c r="AF681" s="38"/>
      <c r="AG681" s="38"/>
      <c r="AH681" s="38"/>
      <c r="AI681" s="38"/>
      <c r="AJ681" s="38"/>
      <c r="AK681" s="38"/>
      <c r="AL681" s="38"/>
      <c r="AM681" s="38"/>
      <c r="AN681" s="38"/>
      <c r="AO681" s="38"/>
      <c r="AP681" s="38"/>
      <c r="AQ681" s="38"/>
      <c r="AR681" s="38"/>
      <c r="AS681" s="38"/>
      <c r="AT681" s="38"/>
      <c r="AU681" s="38"/>
      <c r="AV681" s="38"/>
      <c r="AW681" s="38"/>
      <c r="AX681" s="38"/>
      <c r="AY681" s="38"/>
      <c r="AZ681" s="38"/>
      <c r="BA681" s="38"/>
      <c r="BB681" s="38"/>
      <c r="BC681" s="38"/>
      <c r="BD681" s="38"/>
      <c r="BE681" s="38"/>
      <c r="BF681" s="38"/>
      <c r="BG681" s="38"/>
      <c r="BH681" s="38"/>
      <c r="BI681" s="38"/>
      <c r="BJ681" s="38"/>
      <c r="BK681" s="38"/>
      <c r="BL681" s="38"/>
      <c r="BM681" s="38"/>
      <c r="BN681" s="38"/>
      <c r="BO681" s="38"/>
      <c r="BP681" s="38"/>
    </row>
    <row r="682">
      <c r="A682" s="40"/>
      <c r="B682" s="40"/>
      <c r="AF682" s="38"/>
      <c r="AG682" s="38"/>
      <c r="AH682" s="38"/>
      <c r="AI682" s="38"/>
      <c r="AJ682" s="38"/>
      <c r="AK682" s="38"/>
      <c r="AL682" s="38"/>
      <c r="AM682" s="38"/>
      <c r="AN682" s="38"/>
      <c r="AO682" s="38"/>
      <c r="AP682" s="38"/>
      <c r="AQ682" s="38"/>
      <c r="AR682" s="38"/>
      <c r="AS682" s="38"/>
      <c r="AT682" s="38"/>
      <c r="AU682" s="38"/>
      <c r="AV682" s="38"/>
      <c r="AW682" s="38"/>
      <c r="AX682" s="38"/>
      <c r="AY682" s="38"/>
      <c r="AZ682" s="38"/>
      <c r="BA682" s="38"/>
      <c r="BB682" s="38"/>
      <c r="BC682" s="38"/>
      <c r="BD682" s="38"/>
      <c r="BE682" s="38"/>
      <c r="BF682" s="38"/>
      <c r="BG682" s="38"/>
      <c r="BH682" s="38"/>
      <c r="BI682" s="38"/>
      <c r="BJ682" s="38"/>
      <c r="BK682" s="38"/>
      <c r="BL682" s="38"/>
      <c r="BM682" s="38"/>
      <c r="BN682" s="38"/>
      <c r="BO682" s="38"/>
      <c r="BP682" s="38"/>
    </row>
    <row r="683">
      <c r="A683" s="40"/>
      <c r="B683" s="40"/>
      <c r="AF683" s="38"/>
      <c r="AG683" s="38"/>
      <c r="AH683" s="38"/>
      <c r="AI683" s="38"/>
      <c r="AJ683" s="38"/>
      <c r="AK683" s="38"/>
      <c r="AL683" s="38"/>
      <c r="AM683" s="38"/>
      <c r="AN683" s="38"/>
      <c r="AO683" s="38"/>
      <c r="AP683" s="38"/>
      <c r="AQ683" s="38"/>
      <c r="AR683" s="38"/>
      <c r="AS683" s="38"/>
      <c r="AT683" s="38"/>
      <c r="AU683" s="38"/>
      <c r="AV683" s="38"/>
      <c r="AW683" s="38"/>
      <c r="AX683" s="38"/>
      <c r="AY683" s="38"/>
      <c r="AZ683" s="38"/>
      <c r="BA683" s="38"/>
      <c r="BB683" s="38"/>
      <c r="BC683" s="38"/>
      <c r="BD683" s="38"/>
      <c r="BE683" s="38"/>
      <c r="BF683" s="38"/>
      <c r="BG683" s="38"/>
      <c r="BH683" s="38"/>
      <c r="BI683" s="38"/>
      <c r="BJ683" s="38"/>
      <c r="BK683" s="38"/>
      <c r="BL683" s="38"/>
      <c r="BM683" s="38"/>
      <c r="BN683" s="38"/>
      <c r="BO683" s="38"/>
      <c r="BP683" s="38"/>
    </row>
    <row r="684">
      <c r="A684" s="40"/>
      <c r="B684" s="40"/>
      <c r="AF684" s="38"/>
      <c r="AG684" s="38"/>
      <c r="AH684" s="38"/>
      <c r="AI684" s="38"/>
      <c r="AJ684" s="38"/>
      <c r="AK684" s="38"/>
      <c r="AL684" s="38"/>
      <c r="AM684" s="38"/>
      <c r="AN684" s="38"/>
      <c r="AO684" s="38"/>
      <c r="AP684" s="38"/>
      <c r="AQ684" s="38"/>
      <c r="AR684" s="38"/>
      <c r="AS684" s="38"/>
      <c r="AT684" s="38"/>
      <c r="AU684" s="38"/>
      <c r="AV684" s="38"/>
      <c r="AW684" s="38"/>
      <c r="AX684" s="38"/>
      <c r="AY684" s="38"/>
      <c r="AZ684" s="38"/>
      <c r="BA684" s="38"/>
      <c r="BB684" s="38"/>
      <c r="BC684" s="38"/>
      <c r="BD684" s="38"/>
      <c r="BE684" s="38"/>
      <c r="BF684" s="38"/>
      <c r="BG684" s="38"/>
      <c r="BH684" s="38"/>
      <c r="BI684" s="38"/>
      <c r="BJ684" s="38"/>
      <c r="BK684" s="38"/>
      <c r="BL684" s="38"/>
      <c r="BM684" s="38"/>
      <c r="BN684" s="38"/>
      <c r="BO684" s="38"/>
      <c r="BP684" s="38"/>
    </row>
    <row r="685">
      <c r="A685" s="40"/>
      <c r="B685" s="40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</row>
    <row r="686">
      <c r="A686" s="40"/>
      <c r="B686" s="40"/>
      <c r="AF686" s="38"/>
      <c r="AG686" s="38"/>
      <c r="AH686" s="38"/>
      <c r="AI686" s="38"/>
      <c r="AJ686" s="38"/>
      <c r="AK686" s="38"/>
      <c r="AL686" s="38"/>
      <c r="AM686" s="38"/>
      <c r="AN686" s="38"/>
      <c r="AO686" s="38"/>
      <c r="AP686" s="38"/>
      <c r="AQ686" s="38"/>
      <c r="AR686" s="38"/>
      <c r="AS686" s="38"/>
      <c r="AT686" s="38"/>
      <c r="AU686" s="38"/>
      <c r="AV686" s="38"/>
      <c r="AW686" s="38"/>
      <c r="AX686" s="38"/>
      <c r="AY686" s="38"/>
      <c r="AZ686" s="38"/>
      <c r="BA686" s="38"/>
      <c r="BB686" s="38"/>
      <c r="BC686" s="38"/>
      <c r="BD686" s="38"/>
      <c r="BE686" s="38"/>
      <c r="BF686" s="38"/>
      <c r="BG686" s="38"/>
      <c r="BH686" s="38"/>
      <c r="BI686" s="38"/>
      <c r="BJ686" s="38"/>
      <c r="BK686" s="38"/>
      <c r="BL686" s="38"/>
      <c r="BM686" s="38"/>
      <c r="BN686" s="38"/>
      <c r="BO686" s="38"/>
      <c r="BP686" s="38"/>
    </row>
    <row r="687">
      <c r="A687" s="40"/>
      <c r="B687" s="40"/>
      <c r="AF687" s="38"/>
      <c r="AG687" s="38"/>
      <c r="AH687" s="38"/>
      <c r="AI687" s="38"/>
      <c r="AJ687" s="38"/>
      <c r="AK687" s="38"/>
      <c r="AL687" s="38"/>
      <c r="AM687" s="38"/>
      <c r="AN687" s="38"/>
      <c r="AO687" s="38"/>
      <c r="AP687" s="38"/>
      <c r="AQ687" s="38"/>
      <c r="AR687" s="38"/>
      <c r="AS687" s="38"/>
      <c r="AT687" s="38"/>
      <c r="AU687" s="38"/>
      <c r="AV687" s="38"/>
      <c r="AW687" s="38"/>
      <c r="AX687" s="38"/>
      <c r="AY687" s="38"/>
      <c r="AZ687" s="38"/>
      <c r="BA687" s="38"/>
      <c r="BB687" s="38"/>
      <c r="BC687" s="38"/>
      <c r="BD687" s="38"/>
      <c r="BE687" s="38"/>
      <c r="BF687" s="38"/>
      <c r="BG687" s="38"/>
      <c r="BH687" s="38"/>
      <c r="BI687" s="38"/>
      <c r="BJ687" s="38"/>
      <c r="BK687" s="38"/>
      <c r="BL687" s="38"/>
      <c r="BM687" s="38"/>
      <c r="BN687" s="38"/>
      <c r="BO687" s="38"/>
      <c r="BP687" s="38"/>
    </row>
    <row r="688">
      <c r="A688" s="40"/>
      <c r="B688" s="40"/>
      <c r="AF688" s="38"/>
      <c r="AG688" s="38"/>
      <c r="AH688" s="38"/>
      <c r="AI688" s="38"/>
      <c r="AJ688" s="38"/>
      <c r="AK688" s="38"/>
      <c r="AL688" s="38"/>
      <c r="AM688" s="38"/>
      <c r="AN688" s="38"/>
      <c r="AO688" s="38"/>
      <c r="AP688" s="38"/>
      <c r="AQ688" s="38"/>
      <c r="AR688" s="38"/>
      <c r="AS688" s="38"/>
      <c r="AT688" s="38"/>
      <c r="AU688" s="38"/>
      <c r="AV688" s="38"/>
      <c r="AW688" s="38"/>
      <c r="AX688" s="38"/>
      <c r="AY688" s="38"/>
      <c r="AZ688" s="38"/>
      <c r="BA688" s="38"/>
      <c r="BB688" s="38"/>
      <c r="BC688" s="38"/>
      <c r="BD688" s="38"/>
      <c r="BE688" s="38"/>
      <c r="BF688" s="38"/>
      <c r="BG688" s="38"/>
      <c r="BH688" s="38"/>
      <c r="BI688" s="38"/>
      <c r="BJ688" s="38"/>
      <c r="BK688" s="38"/>
      <c r="BL688" s="38"/>
      <c r="BM688" s="38"/>
      <c r="BN688" s="38"/>
      <c r="BO688" s="38"/>
      <c r="BP688" s="38"/>
    </row>
    <row r="689">
      <c r="A689" s="40"/>
      <c r="B689" s="40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</row>
    <row r="690">
      <c r="A690" s="40"/>
      <c r="B690" s="40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</row>
    <row r="691">
      <c r="A691" s="40"/>
      <c r="B691" s="40"/>
      <c r="AF691" s="38"/>
      <c r="AG691" s="38"/>
      <c r="AH691" s="38"/>
      <c r="AI691" s="38"/>
      <c r="AJ691" s="38"/>
      <c r="AK691" s="38"/>
      <c r="AL691" s="38"/>
      <c r="AM691" s="38"/>
      <c r="AN691" s="38"/>
      <c r="AO691" s="38"/>
      <c r="AP691" s="38"/>
      <c r="AQ691" s="38"/>
      <c r="AR691" s="38"/>
      <c r="AS691" s="38"/>
      <c r="AT691" s="38"/>
      <c r="AU691" s="38"/>
      <c r="AV691" s="38"/>
      <c r="AW691" s="38"/>
      <c r="AX691" s="38"/>
      <c r="AY691" s="38"/>
      <c r="AZ691" s="38"/>
      <c r="BA691" s="38"/>
      <c r="BB691" s="38"/>
      <c r="BC691" s="38"/>
      <c r="BD691" s="38"/>
      <c r="BE691" s="38"/>
      <c r="BF691" s="38"/>
      <c r="BG691" s="38"/>
      <c r="BH691" s="38"/>
      <c r="BI691" s="38"/>
      <c r="BJ691" s="38"/>
      <c r="BK691" s="38"/>
      <c r="BL691" s="38"/>
      <c r="BM691" s="38"/>
      <c r="BN691" s="38"/>
      <c r="BO691" s="38"/>
      <c r="BP691" s="38"/>
    </row>
    <row r="692">
      <c r="A692" s="40"/>
      <c r="B692" s="40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</row>
    <row r="693">
      <c r="A693" s="40"/>
      <c r="B693" s="40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</row>
    <row r="694">
      <c r="A694" s="40"/>
      <c r="B694" s="40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</row>
    <row r="695">
      <c r="A695" s="40"/>
      <c r="B695" s="40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</row>
    <row r="696">
      <c r="A696" s="40"/>
      <c r="B696" s="40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</row>
    <row r="697">
      <c r="A697" s="40"/>
      <c r="B697" s="40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</row>
    <row r="698">
      <c r="A698" s="40"/>
      <c r="B698" s="40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</row>
    <row r="699">
      <c r="A699" s="40"/>
      <c r="B699" s="40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</row>
    <row r="700">
      <c r="A700" s="40"/>
      <c r="B700" s="40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</row>
    <row r="701">
      <c r="A701" s="40"/>
      <c r="B701" s="40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</row>
    <row r="702">
      <c r="A702" s="40"/>
      <c r="B702" s="40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</row>
    <row r="703">
      <c r="A703" s="40"/>
      <c r="B703" s="40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</row>
    <row r="704">
      <c r="A704" s="40"/>
      <c r="B704" s="40"/>
      <c r="AF704" s="38"/>
      <c r="AG704" s="38"/>
      <c r="AH704" s="38"/>
      <c r="AI704" s="38"/>
      <c r="AJ704" s="38"/>
      <c r="AK704" s="38"/>
      <c r="AL704" s="38"/>
      <c r="AM704" s="38"/>
      <c r="AN704" s="38"/>
      <c r="AO704" s="38"/>
      <c r="AP704" s="38"/>
      <c r="AQ704" s="38"/>
      <c r="AR704" s="38"/>
      <c r="AS704" s="38"/>
      <c r="AT704" s="38"/>
      <c r="AU704" s="38"/>
      <c r="AV704" s="38"/>
      <c r="AW704" s="38"/>
      <c r="AX704" s="38"/>
      <c r="AY704" s="38"/>
      <c r="AZ704" s="38"/>
      <c r="BA704" s="38"/>
      <c r="BB704" s="38"/>
      <c r="BC704" s="38"/>
      <c r="BD704" s="38"/>
      <c r="BE704" s="38"/>
      <c r="BF704" s="38"/>
      <c r="BG704" s="38"/>
      <c r="BH704" s="38"/>
      <c r="BI704" s="38"/>
      <c r="BJ704" s="38"/>
      <c r="BK704" s="38"/>
      <c r="BL704" s="38"/>
      <c r="BM704" s="38"/>
      <c r="BN704" s="38"/>
      <c r="BO704" s="38"/>
      <c r="BP704" s="38"/>
    </row>
    <row r="705">
      <c r="A705" s="40"/>
      <c r="B705" s="40"/>
      <c r="AF705" s="38"/>
      <c r="AG705" s="38"/>
      <c r="AH705" s="38"/>
      <c r="AI705" s="38"/>
      <c r="AJ705" s="38"/>
      <c r="AK705" s="38"/>
      <c r="AL705" s="38"/>
      <c r="AM705" s="38"/>
      <c r="AN705" s="38"/>
      <c r="AO705" s="38"/>
      <c r="AP705" s="38"/>
      <c r="AQ705" s="38"/>
      <c r="AR705" s="38"/>
      <c r="AS705" s="38"/>
      <c r="AT705" s="38"/>
      <c r="AU705" s="38"/>
      <c r="AV705" s="38"/>
      <c r="AW705" s="38"/>
      <c r="AX705" s="38"/>
      <c r="AY705" s="38"/>
      <c r="AZ705" s="38"/>
      <c r="BA705" s="38"/>
      <c r="BB705" s="38"/>
      <c r="BC705" s="38"/>
      <c r="BD705" s="38"/>
      <c r="BE705" s="38"/>
      <c r="BF705" s="38"/>
      <c r="BG705" s="38"/>
      <c r="BH705" s="38"/>
      <c r="BI705" s="38"/>
      <c r="BJ705" s="38"/>
      <c r="BK705" s="38"/>
      <c r="BL705" s="38"/>
      <c r="BM705" s="38"/>
      <c r="BN705" s="38"/>
      <c r="BO705" s="38"/>
      <c r="BP705" s="38"/>
    </row>
    <row r="706">
      <c r="A706" s="40"/>
      <c r="B706" s="40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</row>
    <row r="707">
      <c r="A707" s="40"/>
      <c r="B707" s="40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</row>
    <row r="708">
      <c r="A708" s="40"/>
      <c r="B708" s="40"/>
      <c r="AF708" s="38"/>
      <c r="AG708" s="38"/>
      <c r="AH708" s="38"/>
      <c r="AI708" s="38"/>
      <c r="AJ708" s="38"/>
      <c r="AK708" s="38"/>
      <c r="AL708" s="38"/>
      <c r="AM708" s="38"/>
      <c r="AN708" s="38"/>
      <c r="AO708" s="38"/>
      <c r="AP708" s="38"/>
      <c r="AQ708" s="38"/>
      <c r="AR708" s="38"/>
      <c r="AS708" s="38"/>
      <c r="AT708" s="38"/>
      <c r="AU708" s="38"/>
      <c r="AV708" s="38"/>
      <c r="AW708" s="38"/>
      <c r="AX708" s="38"/>
      <c r="AY708" s="38"/>
      <c r="AZ708" s="38"/>
      <c r="BA708" s="38"/>
      <c r="BB708" s="38"/>
      <c r="BC708" s="38"/>
      <c r="BD708" s="38"/>
      <c r="BE708" s="38"/>
      <c r="BF708" s="38"/>
      <c r="BG708" s="38"/>
      <c r="BH708" s="38"/>
      <c r="BI708" s="38"/>
      <c r="BJ708" s="38"/>
      <c r="BK708" s="38"/>
      <c r="BL708" s="38"/>
      <c r="BM708" s="38"/>
      <c r="BN708" s="38"/>
      <c r="BO708" s="38"/>
      <c r="BP708" s="38"/>
    </row>
    <row r="709">
      <c r="A709" s="40"/>
      <c r="B709" s="40"/>
      <c r="AF709" s="38"/>
      <c r="AG709" s="38"/>
      <c r="AH709" s="38"/>
      <c r="AI709" s="38"/>
      <c r="AJ709" s="38"/>
      <c r="AK709" s="38"/>
      <c r="AL709" s="38"/>
      <c r="AM709" s="38"/>
      <c r="AN709" s="38"/>
      <c r="AO709" s="38"/>
      <c r="AP709" s="38"/>
      <c r="AQ709" s="38"/>
      <c r="AR709" s="38"/>
      <c r="AS709" s="38"/>
      <c r="AT709" s="38"/>
      <c r="AU709" s="38"/>
      <c r="AV709" s="38"/>
      <c r="AW709" s="38"/>
      <c r="AX709" s="38"/>
      <c r="AY709" s="38"/>
      <c r="AZ709" s="38"/>
      <c r="BA709" s="38"/>
      <c r="BB709" s="38"/>
      <c r="BC709" s="38"/>
      <c r="BD709" s="38"/>
      <c r="BE709" s="38"/>
      <c r="BF709" s="38"/>
      <c r="BG709" s="38"/>
      <c r="BH709" s="38"/>
      <c r="BI709" s="38"/>
      <c r="BJ709" s="38"/>
      <c r="BK709" s="38"/>
      <c r="BL709" s="38"/>
      <c r="BM709" s="38"/>
      <c r="BN709" s="38"/>
      <c r="BO709" s="38"/>
      <c r="BP709" s="38"/>
    </row>
    <row r="710">
      <c r="A710" s="40"/>
      <c r="B710" s="40"/>
      <c r="AF710" s="38"/>
      <c r="AG710" s="38"/>
      <c r="AH710" s="38"/>
      <c r="AI710" s="38"/>
      <c r="AJ710" s="38"/>
      <c r="AK710" s="38"/>
      <c r="AL710" s="38"/>
      <c r="AM710" s="38"/>
      <c r="AN710" s="38"/>
      <c r="AO710" s="38"/>
      <c r="AP710" s="38"/>
      <c r="AQ710" s="38"/>
      <c r="AR710" s="38"/>
      <c r="AS710" s="38"/>
      <c r="AT710" s="38"/>
      <c r="AU710" s="38"/>
      <c r="AV710" s="38"/>
      <c r="AW710" s="38"/>
      <c r="AX710" s="38"/>
      <c r="AY710" s="38"/>
      <c r="AZ710" s="38"/>
      <c r="BA710" s="38"/>
      <c r="BB710" s="38"/>
      <c r="BC710" s="38"/>
      <c r="BD710" s="38"/>
      <c r="BE710" s="38"/>
      <c r="BF710" s="38"/>
      <c r="BG710" s="38"/>
      <c r="BH710" s="38"/>
      <c r="BI710" s="38"/>
      <c r="BJ710" s="38"/>
      <c r="BK710" s="38"/>
      <c r="BL710" s="38"/>
      <c r="BM710" s="38"/>
      <c r="BN710" s="38"/>
      <c r="BO710" s="38"/>
      <c r="BP710" s="38"/>
    </row>
    <row r="711">
      <c r="A711" s="40"/>
      <c r="B711" s="40"/>
      <c r="AF711" s="38"/>
      <c r="AG711" s="38"/>
      <c r="AH711" s="38"/>
      <c r="AI711" s="38"/>
      <c r="AJ711" s="38"/>
      <c r="AK711" s="38"/>
      <c r="AL711" s="38"/>
      <c r="AM711" s="38"/>
      <c r="AN711" s="38"/>
      <c r="AO711" s="38"/>
      <c r="AP711" s="38"/>
      <c r="AQ711" s="38"/>
      <c r="AR711" s="38"/>
      <c r="AS711" s="38"/>
      <c r="AT711" s="38"/>
      <c r="AU711" s="38"/>
      <c r="AV711" s="38"/>
      <c r="AW711" s="38"/>
      <c r="AX711" s="38"/>
      <c r="AY711" s="38"/>
      <c r="AZ711" s="38"/>
      <c r="BA711" s="38"/>
      <c r="BB711" s="38"/>
      <c r="BC711" s="38"/>
      <c r="BD711" s="38"/>
      <c r="BE711" s="38"/>
      <c r="BF711" s="38"/>
      <c r="BG711" s="38"/>
      <c r="BH711" s="38"/>
      <c r="BI711" s="38"/>
      <c r="BJ711" s="38"/>
      <c r="BK711" s="38"/>
      <c r="BL711" s="38"/>
      <c r="BM711" s="38"/>
      <c r="BN711" s="38"/>
      <c r="BO711" s="38"/>
      <c r="BP711" s="38"/>
    </row>
    <row r="712">
      <c r="A712" s="40"/>
      <c r="B712" s="40"/>
      <c r="AF712" s="38"/>
      <c r="AG712" s="38"/>
      <c r="AH712" s="38"/>
      <c r="AI712" s="38"/>
      <c r="AJ712" s="38"/>
      <c r="AK712" s="38"/>
      <c r="AL712" s="38"/>
      <c r="AM712" s="38"/>
      <c r="AN712" s="38"/>
      <c r="AO712" s="38"/>
      <c r="AP712" s="38"/>
      <c r="AQ712" s="38"/>
      <c r="AR712" s="38"/>
      <c r="AS712" s="38"/>
      <c r="AT712" s="38"/>
      <c r="AU712" s="38"/>
      <c r="AV712" s="38"/>
      <c r="AW712" s="38"/>
      <c r="AX712" s="38"/>
      <c r="AY712" s="38"/>
      <c r="AZ712" s="38"/>
      <c r="BA712" s="38"/>
      <c r="BB712" s="38"/>
      <c r="BC712" s="38"/>
      <c r="BD712" s="38"/>
      <c r="BE712" s="38"/>
      <c r="BF712" s="38"/>
      <c r="BG712" s="38"/>
      <c r="BH712" s="38"/>
      <c r="BI712" s="38"/>
      <c r="BJ712" s="38"/>
      <c r="BK712" s="38"/>
      <c r="BL712" s="38"/>
      <c r="BM712" s="38"/>
      <c r="BN712" s="38"/>
      <c r="BO712" s="38"/>
      <c r="BP712" s="38"/>
    </row>
    <row r="713">
      <c r="A713" s="40"/>
      <c r="B713" s="40"/>
      <c r="AF713" s="38"/>
      <c r="AG713" s="38"/>
      <c r="AH713" s="38"/>
      <c r="AI713" s="38"/>
      <c r="AJ713" s="38"/>
      <c r="AK713" s="38"/>
      <c r="AL713" s="38"/>
      <c r="AM713" s="38"/>
      <c r="AN713" s="38"/>
      <c r="AO713" s="38"/>
      <c r="AP713" s="38"/>
      <c r="AQ713" s="38"/>
      <c r="AR713" s="38"/>
      <c r="AS713" s="38"/>
      <c r="AT713" s="38"/>
      <c r="AU713" s="38"/>
      <c r="AV713" s="38"/>
      <c r="AW713" s="38"/>
      <c r="AX713" s="38"/>
      <c r="AY713" s="38"/>
      <c r="AZ713" s="38"/>
      <c r="BA713" s="38"/>
      <c r="BB713" s="38"/>
      <c r="BC713" s="38"/>
      <c r="BD713" s="38"/>
      <c r="BE713" s="38"/>
      <c r="BF713" s="38"/>
      <c r="BG713" s="38"/>
      <c r="BH713" s="38"/>
      <c r="BI713" s="38"/>
      <c r="BJ713" s="38"/>
      <c r="BK713" s="38"/>
      <c r="BL713" s="38"/>
      <c r="BM713" s="38"/>
      <c r="BN713" s="38"/>
      <c r="BO713" s="38"/>
      <c r="BP713" s="38"/>
    </row>
    <row r="714">
      <c r="A714" s="40"/>
      <c r="B714" s="40"/>
      <c r="AF714" s="38"/>
      <c r="AG714" s="38"/>
      <c r="AH714" s="38"/>
      <c r="AI714" s="38"/>
      <c r="AJ714" s="38"/>
      <c r="AK714" s="38"/>
      <c r="AL714" s="38"/>
      <c r="AM714" s="38"/>
      <c r="AN714" s="38"/>
      <c r="AO714" s="38"/>
      <c r="AP714" s="38"/>
      <c r="AQ714" s="38"/>
      <c r="AR714" s="38"/>
      <c r="AS714" s="38"/>
      <c r="AT714" s="38"/>
      <c r="AU714" s="38"/>
      <c r="AV714" s="38"/>
      <c r="AW714" s="38"/>
      <c r="AX714" s="38"/>
      <c r="AY714" s="38"/>
      <c r="AZ714" s="38"/>
      <c r="BA714" s="38"/>
      <c r="BB714" s="38"/>
      <c r="BC714" s="38"/>
      <c r="BD714" s="38"/>
      <c r="BE714" s="38"/>
      <c r="BF714" s="38"/>
      <c r="BG714" s="38"/>
      <c r="BH714" s="38"/>
      <c r="BI714" s="38"/>
      <c r="BJ714" s="38"/>
      <c r="BK714" s="38"/>
      <c r="BL714" s="38"/>
      <c r="BM714" s="38"/>
      <c r="BN714" s="38"/>
      <c r="BO714" s="38"/>
      <c r="BP714" s="38"/>
    </row>
    <row r="715">
      <c r="A715" s="40"/>
      <c r="B715" s="40"/>
      <c r="AF715" s="38"/>
      <c r="AG715" s="38"/>
      <c r="AH715" s="38"/>
      <c r="AI715" s="38"/>
      <c r="AJ715" s="38"/>
      <c r="AK715" s="38"/>
      <c r="AL715" s="38"/>
      <c r="AM715" s="38"/>
      <c r="AN715" s="38"/>
      <c r="AO715" s="38"/>
      <c r="AP715" s="38"/>
      <c r="AQ715" s="38"/>
      <c r="AR715" s="38"/>
      <c r="AS715" s="38"/>
      <c r="AT715" s="38"/>
      <c r="AU715" s="38"/>
      <c r="AV715" s="38"/>
      <c r="AW715" s="38"/>
      <c r="AX715" s="38"/>
      <c r="AY715" s="38"/>
      <c r="AZ715" s="38"/>
      <c r="BA715" s="38"/>
      <c r="BB715" s="38"/>
      <c r="BC715" s="38"/>
      <c r="BD715" s="38"/>
      <c r="BE715" s="38"/>
      <c r="BF715" s="38"/>
      <c r="BG715" s="38"/>
      <c r="BH715" s="38"/>
      <c r="BI715" s="38"/>
      <c r="BJ715" s="38"/>
      <c r="BK715" s="38"/>
      <c r="BL715" s="38"/>
      <c r="BM715" s="38"/>
      <c r="BN715" s="38"/>
      <c r="BO715" s="38"/>
      <c r="BP715" s="38"/>
    </row>
    <row r="716">
      <c r="A716" s="40"/>
      <c r="B716" s="40"/>
      <c r="AF716" s="38"/>
      <c r="AG716" s="38"/>
      <c r="AH716" s="38"/>
      <c r="AI716" s="38"/>
      <c r="AJ716" s="38"/>
      <c r="AK716" s="38"/>
      <c r="AL716" s="38"/>
      <c r="AM716" s="38"/>
      <c r="AN716" s="38"/>
      <c r="AO716" s="38"/>
      <c r="AP716" s="38"/>
      <c r="AQ716" s="38"/>
      <c r="AR716" s="38"/>
      <c r="AS716" s="38"/>
      <c r="AT716" s="38"/>
      <c r="AU716" s="38"/>
      <c r="AV716" s="38"/>
      <c r="AW716" s="38"/>
      <c r="AX716" s="38"/>
      <c r="AY716" s="38"/>
      <c r="AZ716" s="38"/>
      <c r="BA716" s="38"/>
      <c r="BB716" s="38"/>
      <c r="BC716" s="38"/>
      <c r="BD716" s="38"/>
      <c r="BE716" s="38"/>
      <c r="BF716" s="38"/>
      <c r="BG716" s="38"/>
      <c r="BH716" s="38"/>
      <c r="BI716" s="38"/>
      <c r="BJ716" s="38"/>
      <c r="BK716" s="38"/>
      <c r="BL716" s="38"/>
      <c r="BM716" s="38"/>
      <c r="BN716" s="38"/>
      <c r="BO716" s="38"/>
      <c r="BP716" s="38"/>
    </row>
    <row r="717">
      <c r="A717" s="40"/>
      <c r="B717" s="40"/>
      <c r="AF717" s="38"/>
      <c r="AG717" s="38"/>
      <c r="AH717" s="38"/>
      <c r="AI717" s="38"/>
      <c r="AJ717" s="38"/>
      <c r="AK717" s="38"/>
      <c r="AL717" s="38"/>
      <c r="AM717" s="38"/>
      <c r="AN717" s="38"/>
      <c r="AO717" s="38"/>
      <c r="AP717" s="38"/>
      <c r="AQ717" s="38"/>
      <c r="AR717" s="38"/>
      <c r="AS717" s="38"/>
      <c r="AT717" s="38"/>
      <c r="AU717" s="38"/>
      <c r="AV717" s="38"/>
      <c r="AW717" s="38"/>
      <c r="AX717" s="38"/>
      <c r="AY717" s="38"/>
      <c r="AZ717" s="38"/>
      <c r="BA717" s="38"/>
      <c r="BB717" s="38"/>
      <c r="BC717" s="38"/>
      <c r="BD717" s="38"/>
      <c r="BE717" s="38"/>
      <c r="BF717" s="38"/>
      <c r="BG717" s="38"/>
      <c r="BH717" s="38"/>
      <c r="BI717" s="38"/>
      <c r="BJ717" s="38"/>
      <c r="BK717" s="38"/>
      <c r="BL717" s="38"/>
      <c r="BM717" s="38"/>
      <c r="BN717" s="38"/>
      <c r="BO717" s="38"/>
      <c r="BP717" s="38"/>
    </row>
    <row r="718">
      <c r="A718" s="40"/>
      <c r="B718" s="40"/>
      <c r="AF718" s="38"/>
      <c r="AG718" s="38"/>
      <c r="AH718" s="38"/>
      <c r="AI718" s="38"/>
      <c r="AJ718" s="38"/>
      <c r="AK718" s="38"/>
      <c r="AL718" s="38"/>
      <c r="AM718" s="38"/>
      <c r="AN718" s="38"/>
      <c r="AO718" s="38"/>
      <c r="AP718" s="38"/>
      <c r="AQ718" s="38"/>
      <c r="AR718" s="38"/>
      <c r="AS718" s="38"/>
      <c r="AT718" s="38"/>
      <c r="AU718" s="38"/>
      <c r="AV718" s="38"/>
      <c r="AW718" s="38"/>
      <c r="AX718" s="38"/>
      <c r="AY718" s="38"/>
      <c r="AZ718" s="38"/>
      <c r="BA718" s="38"/>
      <c r="BB718" s="38"/>
      <c r="BC718" s="38"/>
      <c r="BD718" s="38"/>
      <c r="BE718" s="38"/>
      <c r="BF718" s="38"/>
      <c r="BG718" s="38"/>
      <c r="BH718" s="38"/>
      <c r="BI718" s="38"/>
      <c r="BJ718" s="38"/>
      <c r="BK718" s="38"/>
      <c r="BL718" s="38"/>
      <c r="BM718" s="38"/>
      <c r="BN718" s="38"/>
      <c r="BO718" s="38"/>
      <c r="BP718" s="38"/>
    </row>
    <row r="719">
      <c r="A719" s="40"/>
      <c r="B719" s="40"/>
      <c r="AF719" s="38"/>
      <c r="AG719" s="38"/>
      <c r="AH719" s="38"/>
      <c r="AI719" s="38"/>
      <c r="AJ719" s="38"/>
      <c r="AK719" s="38"/>
      <c r="AL719" s="38"/>
      <c r="AM719" s="38"/>
      <c r="AN719" s="38"/>
      <c r="AO719" s="38"/>
      <c r="AP719" s="38"/>
      <c r="AQ719" s="38"/>
      <c r="AR719" s="38"/>
      <c r="AS719" s="38"/>
      <c r="AT719" s="38"/>
      <c r="AU719" s="38"/>
      <c r="AV719" s="38"/>
      <c r="AW719" s="38"/>
      <c r="AX719" s="38"/>
      <c r="AY719" s="38"/>
      <c r="AZ719" s="38"/>
      <c r="BA719" s="38"/>
      <c r="BB719" s="38"/>
      <c r="BC719" s="38"/>
      <c r="BD719" s="38"/>
      <c r="BE719" s="38"/>
      <c r="BF719" s="38"/>
      <c r="BG719" s="38"/>
      <c r="BH719" s="38"/>
      <c r="BI719" s="38"/>
      <c r="BJ719" s="38"/>
      <c r="BK719" s="38"/>
      <c r="BL719" s="38"/>
      <c r="BM719" s="38"/>
      <c r="BN719" s="38"/>
      <c r="BO719" s="38"/>
      <c r="BP719" s="38"/>
    </row>
    <row r="720">
      <c r="A720" s="40"/>
      <c r="B720" s="40"/>
      <c r="AF720" s="38"/>
      <c r="AG720" s="38"/>
      <c r="AH720" s="38"/>
      <c r="AI720" s="38"/>
      <c r="AJ720" s="38"/>
      <c r="AK720" s="38"/>
      <c r="AL720" s="38"/>
      <c r="AM720" s="38"/>
      <c r="AN720" s="38"/>
      <c r="AO720" s="38"/>
      <c r="AP720" s="38"/>
      <c r="AQ720" s="38"/>
      <c r="AR720" s="38"/>
      <c r="AS720" s="38"/>
      <c r="AT720" s="38"/>
      <c r="AU720" s="38"/>
      <c r="AV720" s="38"/>
      <c r="AW720" s="38"/>
      <c r="AX720" s="38"/>
      <c r="AY720" s="38"/>
      <c r="AZ720" s="38"/>
      <c r="BA720" s="38"/>
      <c r="BB720" s="38"/>
      <c r="BC720" s="38"/>
      <c r="BD720" s="38"/>
      <c r="BE720" s="38"/>
      <c r="BF720" s="38"/>
      <c r="BG720" s="38"/>
      <c r="BH720" s="38"/>
      <c r="BI720" s="38"/>
      <c r="BJ720" s="38"/>
      <c r="BK720" s="38"/>
      <c r="BL720" s="38"/>
      <c r="BM720" s="38"/>
      <c r="BN720" s="38"/>
      <c r="BO720" s="38"/>
      <c r="BP720" s="38"/>
    </row>
    <row r="721">
      <c r="A721" s="40"/>
      <c r="B721" s="40"/>
      <c r="AF721" s="38"/>
      <c r="AG721" s="38"/>
      <c r="AH721" s="38"/>
      <c r="AI721" s="38"/>
      <c r="AJ721" s="38"/>
      <c r="AK721" s="38"/>
      <c r="AL721" s="38"/>
      <c r="AM721" s="38"/>
      <c r="AN721" s="38"/>
      <c r="AO721" s="38"/>
      <c r="AP721" s="38"/>
      <c r="AQ721" s="38"/>
      <c r="AR721" s="38"/>
      <c r="AS721" s="38"/>
      <c r="AT721" s="38"/>
      <c r="AU721" s="38"/>
      <c r="AV721" s="38"/>
      <c r="AW721" s="38"/>
      <c r="AX721" s="38"/>
      <c r="AY721" s="38"/>
      <c r="AZ721" s="38"/>
      <c r="BA721" s="38"/>
      <c r="BB721" s="38"/>
      <c r="BC721" s="38"/>
      <c r="BD721" s="38"/>
      <c r="BE721" s="38"/>
      <c r="BF721" s="38"/>
      <c r="BG721" s="38"/>
      <c r="BH721" s="38"/>
      <c r="BI721" s="38"/>
      <c r="BJ721" s="38"/>
      <c r="BK721" s="38"/>
      <c r="BL721" s="38"/>
      <c r="BM721" s="38"/>
      <c r="BN721" s="38"/>
      <c r="BO721" s="38"/>
      <c r="BP721" s="38"/>
    </row>
    <row r="722">
      <c r="A722" s="40"/>
      <c r="B722" s="40"/>
      <c r="AF722" s="38"/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  <c r="AV722" s="38"/>
      <c r="AW722" s="38"/>
      <c r="AX722" s="38"/>
      <c r="AY722" s="38"/>
      <c r="AZ722" s="38"/>
      <c r="BA722" s="38"/>
      <c r="BB722" s="38"/>
      <c r="BC722" s="38"/>
      <c r="BD722" s="38"/>
      <c r="BE722" s="38"/>
      <c r="BF722" s="38"/>
      <c r="BG722" s="38"/>
      <c r="BH722" s="38"/>
      <c r="BI722" s="38"/>
      <c r="BJ722" s="38"/>
      <c r="BK722" s="38"/>
      <c r="BL722" s="38"/>
      <c r="BM722" s="38"/>
      <c r="BN722" s="38"/>
      <c r="BO722" s="38"/>
      <c r="BP722" s="38"/>
    </row>
    <row r="723">
      <c r="A723" s="40"/>
      <c r="B723" s="40"/>
      <c r="AF723" s="38"/>
      <c r="AG723" s="38"/>
      <c r="AH723" s="38"/>
      <c r="AI723" s="38"/>
      <c r="AJ723" s="38"/>
      <c r="AK723" s="38"/>
      <c r="AL723" s="38"/>
      <c r="AM723" s="38"/>
      <c r="AN723" s="38"/>
      <c r="AO723" s="38"/>
      <c r="AP723" s="38"/>
      <c r="AQ723" s="38"/>
      <c r="AR723" s="38"/>
      <c r="AS723" s="38"/>
      <c r="AT723" s="38"/>
      <c r="AU723" s="38"/>
      <c r="AV723" s="38"/>
      <c r="AW723" s="38"/>
      <c r="AX723" s="38"/>
      <c r="AY723" s="38"/>
      <c r="AZ723" s="38"/>
      <c r="BA723" s="38"/>
      <c r="BB723" s="38"/>
      <c r="BC723" s="38"/>
      <c r="BD723" s="38"/>
      <c r="BE723" s="38"/>
      <c r="BF723" s="38"/>
      <c r="BG723" s="38"/>
      <c r="BH723" s="38"/>
      <c r="BI723" s="38"/>
      <c r="BJ723" s="38"/>
      <c r="BK723" s="38"/>
      <c r="BL723" s="38"/>
      <c r="BM723" s="38"/>
      <c r="BN723" s="38"/>
      <c r="BO723" s="38"/>
      <c r="BP723" s="38"/>
    </row>
    <row r="724">
      <c r="A724" s="40"/>
      <c r="B724" s="40"/>
      <c r="AF724" s="38"/>
      <c r="AG724" s="38"/>
      <c r="AH724" s="38"/>
      <c r="AI724" s="38"/>
      <c r="AJ724" s="38"/>
      <c r="AK724" s="38"/>
      <c r="AL724" s="38"/>
      <c r="AM724" s="38"/>
      <c r="AN724" s="38"/>
      <c r="AO724" s="38"/>
      <c r="AP724" s="38"/>
      <c r="AQ724" s="38"/>
      <c r="AR724" s="38"/>
      <c r="AS724" s="38"/>
      <c r="AT724" s="38"/>
      <c r="AU724" s="38"/>
      <c r="AV724" s="38"/>
      <c r="AW724" s="38"/>
      <c r="AX724" s="38"/>
      <c r="AY724" s="38"/>
      <c r="AZ724" s="38"/>
      <c r="BA724" s="38"/>
      <c r="BB724" s="38"/>
      <c r="BC724" s="38"/>
      <c r="BD724" s="38"/>
      <c r="BE724" s="38"/>
      <c r="BF724" s="38"/>
      <c r="BG724" s="38"/>
      <c r="BH724" s="38"/>
      <c r="BI724" s="38"/>
      <c r="BJ724" s="38"/>
      <c r="BK724" s="38"/>
      <c r="BL724" s="38"/>
      <c r="BM724" s="38"/>
      <c r="BN724" s="38"/>
      <c r="BO724" s="38"/>
      <c r="BP724" s="38"/>
    </row>
    <row r="725">
      <c r="A725" s="40"/>
      <c r="B725" s="40"/>
      <c r="AF725" s="38"/>
      <c r="AG725" s="38"/>
      <c r="AH725" s="38"/>
      <c r="AI725" s="38"/>
      <c r="AJ725" s="38"/>
      <c r="AK725" s="38"/>
      <c r="AL725" s="38"/>
      <c r="AM725" s="38"/>
      <c r="AN725" s="38"/>
      <c r="AO725" s="38"/>
      <c r="AP725" s="38"/>
      <c r="AQ725" s="38"/>
      <c r="AR725" s="38"/>
      <c r="AS725" s="38"/>
      <c r="AT725" s="38"/>
      <c r="AU725" s="38"/>
      <c r="AV725" s="38"/>
      <c r="AW725" s="38"/>
      <c r="AX725" s="38"/>
      <c r="AY725" s="38"/>
      <c r="AZ725" s="38"/>
      <c r="BA725" s="38"/>
      <c r="BB725" s="38"/>
      <c r="BC725" s="38"/>
      <c r="BD725" s="38"/>
      <c r="BE725" s="38"/>
      <c r="BF725" s="38"/>
      <c r="BG725" s="38"/>
      <c r="BH725" s="38"/>
      <c r="BI725" s="38"/>
      <c r="BJ725" s="38"/>
      <c r="BK725" s="38"/>
      <c r="BL725" s="38"/>
      <c r="BM725" s="38"/>
      <c r="BN725" s="38"/>
      <c r="BO725" s="38"/>
      <c r="BP725" s="38"/>
    </row>
    <row r="726">
      <c r="A726" s="40"/>
      <c r="B726" s="40"/>
      <c r="AF726" s="38"/>
      <c r="AG726" s="38"/>
      <c r="AH726" s="38"/>
      <c r="AI726" s="38"/>
      <c r="AJ726" s="38"/>
      <c r="AK726" s="38"/>
      <c r="AL726" s="38"/>
      <c r="AM726" s="38"/>
      <c r="AN726" s="38"/>
      <c r="AO726" s="38"/>
      <c r="AP726" s="38"/>
      <c r="AQ726" s="38"/>
      <c r="AR726" s="38"/>
      <c r="AS726" s="38"/>
      <c r="AT726" s="38"/>
      <c r="AU726" s="38"/>
      <c r="AV726" s="38"/>
      <c r="AW726" s="38"/>
      <c r="AX726" s="38"/>
      <c r="AY726" s="38"/>
      <c r="AZ726" s="38"/>
      <c r="BA726" s="38"/>
      <c r="BB726" s="38"/>
      <c r="BC726" s="38"/>
      <c r="BD726" s="38"/>
      <c r="BE726" s="38"/>
      <c r="BF726" s="38"/>
      <c r="BG726" s="38"/>
      <c r="BH726" s="38"/>
      <c r="BI726" s="38"/>
      <c r="BJ726" s="38"/>
      <c r="BK726" s="38"/>
      <c r="BL726" s="38"/>
      <c r="BM726" s="38"/>
      <c r="BN726" s="38"/>
      <c r="BO726" s="38"/>
      <c r="BP726" s="38"/>
    </row>
    <row r="727">
      <c r="A727" s="40"/>
      <c r="B727" s="40"/>
      <c r="AF727" s="38"/>
      <c r="AG727" s="38"/>
      <c r="AH727" s="38"/>
      <c r="AI727" s="38"/>
      <c r="AJ727" s="38"/>
      <c r="AK727" s="38"/>
      <c r="AL727" s="38"/>
      <c r="AM727" s="38"/>
      <c r="AN727" s="38"/>
      <c r="AO727" s="38"/>
      <c r="AP727" s="38"/>
      <c r="AQ727" s="38"/>
      <c r="AR727" s="38"/>
      <c r="AS727" s="38"/>
      <c r="AT727" s="38"/>
      <c r="AU727" s="38"/>
      <c r="AV727" s="38"/>
      <c r="AW727" s="38"/>
      <c r="AX727" s="38"/>
      <c r="AY727" s="38"/>
      <c r="AZ727" s="38"/>
      <c r="BA727" s="38"/>
      <c r="BB727" s="38"/>
      <c r="BC727" s="38"/>
      <c r="BD727" s="38"/>
      <c r="BE727" s="38"/>
      <c r="BF727" s="38"/>
      <c r="BG727" s="38"/>
      <c r="BH727" s="38"/>
      <c r="BI727" s="38"/>
      <c r="BJ727" s="38"/>
      <c r="BK727" s="38"/>
      <c r="BL727" s="38"/>
      <c r="BM727" s="38"/>
      <c r="BN727" s="38"/>
      <c r="BO727" s="38"/>
      <c r="BP727" s="38"/>
    </row>
    <row r="728">
      <c r="A728" s="40"/>
      <c r="B728" s="40"/>
      <c r="AF728" s="38"/>
      <c r="AG728" s="38"/>
      <c r="AH728" s="38"/>
      <c r="AI728" s="38"/>
      <c r="AJ728" s="38"/>
      <c r="AK728" s="38"/>
      <c r="AL728" s="38"/>
      <c r="AM728" s="38"/>
      <c r="AN728" s="38"/>
      <c r="AO728" s="38"/>
      <c r="AP728" s="38"/>
      <c r="AQ728" s="38"/>
      <c r="AR728" s="38"/>
      <c r="AS728" s="38"/>
      <c r="AT728" s="38"/>
      <c r="AU728" s="38"/>
      <c r="AV728" s="38"/>
      <c r="AW728" s="38"/>
      <c r="AX728" s="38"/>
      <c r="AY728" s="38"/>
      <c r="AZ728" s="38"/>
      <c r="BA728" s="38"/>
      <c r="BB728" s="38"/>
      <c r="BC728" s="38"/>
      <c r="BD728" s="38"/>
      <c r="BE728" s="38"/>
      <c r="BF728" s="38"/>
      <c r="BG728" s="38"/>
      <c r="BH728" s="38"/>
      <c r="BI728" s="38"/>
      <c r="BJ728" s="38"/>
      <c r="BK728" s="38"/>
      <c r="BL728" s="38"/>
      <c r="BM728" s="38"/>
      <c r="BN728" s="38"/>
      <c r="BO728" s="38"/>
      <c r="BP728" s="38"/>
    </row>
    <row r="729">
      <c r="A729" s="40"/>
      <c r="B729" s="40"/>
      <c r="AF729" s="38"/>
      <c r="AG729" s="38"/>
      <c r="AH729" s="38"/>
      <c r="AI729" s="38"/>
      <c r="AJ729" s="38"/>
      <c r="AK729" s="38"/>
      <c r="AL729" s="38"/>
      <c r="AM729" s="38"/>
      <c r="AN729" s="38"/>
      <c r="AO729" s="38"/>
      <c r="AP729" s="38"/>
      <c r="AQ729" s="38"/>
      <c r="AR729" s="38"/>
      <c r="AS729" s="38"/>
      <c r="AT729" s="38"/>
      <c r="AU729" s="38"/>
      <c r="AV729" s="38"/>
      <c r="AW729" s="38"/>
      <c r="AX729" s="38"/>
      <c r="AY729" s="38"/>
      <c r="AZ729" s="38"/>
      <c r="BA729" s="38"/>
      <c r="BB729" s="38"/>
      <c r="BC729" s="38"/>
      <c r="BD729" s="38"/>
      <c r="BE729" s="38"/>
      <c r="BF729" s="38"/>
      <c r="BG729" s="38"/>
      <c r="BH729" s="38"/>
      <c r="BI729" s="38"/>
      <c r="BJ729" s="38"/>
      <c r="BK729" s="38"/>
      <c r="BL729" s="38"/>
      <c r="BM729" s="38"/>
      <c r="BN729" s="38"/>
      <c r="BO729" s="38"/>
      <c r="BP729" s="38"/>
    </row>
    <row r="730">
      <c r="A730" s="40"/>
      <c r="B730" s="40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</row>
    <row r="731">
      <c r="A731" s="40"/>
      <c r="B731" s="40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</row>
    <row r="732">
      <c r="A732" s="40"/>
      <c r="B732" s="40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</row>
    <row r="733">
      <c r="A733" s="40"/>
      <c r="B733" s="40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</row>
    <row r="734">
      <c r="A734" s="40"/>
      <c r="B734" s="40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</row>
    <row r="735">
      <c r="A735" s="40"/>
      <c r="B735" s="40"/>
      <c r="AF735" s="38"/>
      <c r="AG735" s="38"/>
      <c r="AH735" s="38"/>
      <c r="AI735" s="38"/>
      <c r="AJ735" s="38"/>
      <c r="AK735" s="38"/>
      <c r="AL735" s="38"/>
      <c r="AM735" s="38"/>
      <c r="AN735" s="38"/>
      <c r="AO735" s="38"/>
      <c r="AP735" s="38"/>
      <c r="AQ735" s="38"/>
      <c r="AR735" s="38"/>
      <c r="AS735" s="38"/>
      <c r="AT735" s="38"/>
      <c r="AU735" s="38"/>
      <c r="AV735" s="38"/>
      <c r="AW735" s="38"/>
      <c r="AX735" s="38"/>
      <c r="AY735" s="38"/>
      <c r="AZ735" s="38"/>
      <c r="BA735" s="38"/>
      <c r="BB735" s="38"/>
      <c r="BC735" s="38"/>
      <c r="BD735" s="38"/>
      <c r="BE735" s="38"/>
      <c r="BF735" s="38"/>
      <c r="BG735" s="38"/>
      <c r="BH735" s="38"/>
      <c r="BI735" s="38"/>
      <c r="BJ735" s="38"/>
      <c r="BK735" s="38"/>
      <c r="BL735" s="38"/>
      <c r="BM735" s="38"/>
      <c r="BN735" s="38"/>
      <c r="BO735" s="38"/>
      <c r="BP735" s="38"/>
    </row>
    <row r="736">
      <c r="A736" s="40"/>
      <c r="B736" s="40"/>
      <c r="AF736" s="38"/>
      <c r="AG736" s="38"/>
      <c r="AH736" s="38"/>
      <c r="AI736" s="38"/>
      <c r="AJ736" s="38"/>
      <c r="AK736" s="38"/>
      <c r="AL736" s="38"/>
      <c r="AM736" s="38"/>
      <c r="AN736" s="38"/>
      <c r="AO736" s="38"/>
      <c r="AP736" s="38"/>
      <c r="AQ736" s="38"/>
      <c r="AR736" s="38"/>
      <c r="AS736" s="38"/>
      <c r="AT736" s="38"/>
      <c r="AU736" s="38"/>
      <c r="AV736" s="38"/>
      <c r="AW736" s="38"/>
      <c r="AX736" s="38"/>
      <c r="AY736" s="38"/>
      <c r="AZ736" s="38"/>
      <c r="BA736" s="38"/>
      <c r="BB736" s="38"/>
      <c r="BC736" s="38"/>
      <c r="BD736" s="38"/>
      <c r="BE736" s="38"/>
      <c r="BF736" s="38"/>
      <c r="BG736" s="38"/>
      <c r="BH736" s="38"/>
      <c r="BI736" s="38"/>
      <c r="BJ736" s="38"/>
      <c r="BK736" s="38"/>
      <c r="BL736" s="38"/>
      <c r="BM736" s="38"/>
      <c r="BN736" s="38"/>
      <c r="BO736" s="38"/>
      <c r="BP736" s="38"/>
    </row>
    <row r="737">
      <c r="A737" s="40"/>
      <c r="B737" s="40"/>
      <c r="AF737" s="38"/>
      <c r="AG737" s="38"/>
      <c r="AH737" s="38"/>
      <c r="AI737" s="38"/>
      <c r="AJ737" s="38"/>
      <c r="AK737" s="38"/>
      <c r="AL737" s="38"/>
      <c r="AM737" s="38"/>
      <c r="AN737" s="38"/>
      <c r="AO737" s="38"/>
      <c r="AP737" s="38"/>
      <c r="AQ737" s="38"/>
      <c r="AR737" s="38"/>
      <c r="AS737" s="38"/>
      <c r="AT737" s="38"/>
      <c r="AU737" s="38"/>
      <c r="AV737" s="38"/>
      <c r="AW737" s="38"/>
      <c r="AX737" s="38"/>
      <c r="AY737" s="38"/>
      <c r="AZ737" s="38"/>
      <c r="BA737" s="38"/>
      <c r="BB737" s="38"/>
      <c r="BC737" s="38"/>
      <c r="BD737" s="38"/>
      <c r="BE737" s="38"/>
      <c r="BF737" s="38"/>
      <c r="BG737" s="38"/>
      <c r="BH737" s="38"/>
      <c r="BI737" s="38"/>
      <c r="BJ737" s="38"/>
      <c r="BK737" s="38"/>
      <c r="BL737" s="38"/>
      <c r="BM737" s="38"/>
      <c r="BN737" s="38"/>
      <c r="BO737" s="38"/>
      <c r="BP737" s="38"/>
    </row>
    <row r="738">
      <c r="A738" s="40"/>
      <c r="B738" s="40"/>
      <c r="AF738" s="38"/>
      <c r="AG738" s="38"/>
      <c r="AH738" s="38"/>
      <c r="AI738" s="38"/>
      <c r="AJ738" s="38"/>
      <c r="AK738" s="38"/>
      <c r="AL738" s="38"/>
      <c r="AM738" s="38"/>
      <c r="AN738" s="38"/>
      <c r="AO738" s="38"/>
      <c r="AP738" s="38"/>
      <c r="AQ738" s="38"/>
      <c r="AR738" s="38"/>
      <c r="AS738" s="38"/>
      <c r="AT738" s="38"/>
      <c r="AU738" s="38"/>
      <c r="AV738" s="38"/>
      <c r="AW738" s="38"/>
      <c r="AX738" s="38"/>
      <c r="AY738" s="38"/>
      <c r="AZ738" s="38"/>
      <c r="BA738" s="38"/>
      <c r="BB738" s="38"/>
      <c r="BC738" s="38"/>
      <c r="BD738" s="38"/>
      <c r="BE738" s="38"/>
      <c r="BF738" s="38"/>
      <c r="BG738" s="38"/>
      <c r="BH738" s="38"/>
      <c r="BI738" s="38"/>
      <c r="BJ738" s="38"/>
      <c r="BK738" s="38"/>
      <c r="BL738" s="38"/>
      <c r="BM738" s="38"/>
      <c r="BN738" s="38"/>
      <c r="BO738" s="38"/>
      <c r="BP738" s="38"/>
    </row>
    <row r="739">
      <c r="A739" s="40"/>
      <c r="B739" s="40"/>
      <c r="AF739" s="38"/>
      <c r="AG739" s="38"/>
      <c r="AH739" s="38"/>
      <c r="AI739" s="38"/>
      <c r="AJ739" s="38"/>
      <c r="AK739" s="38"/>
      <c r="AL739" s="38"/>
      <c r="AM739" s="38"/>
      <c r="AN739" s="38"/>
      <c r="AO739" s="38"/>
      <c r="AP739" s="38"/>
      <c r="AQ739" s="38"/>
      <c r="AR739" s="38"/>
      <c r="AS739" s="38"/>
      <c r="AT739" s="38"/>
      <c r="AU739" s="38"/>
      <c r="AV739" s="38"/>
      <c r="AW739" s="38"/>
      <c r="AX739" s="38"/>
      <c r="AY739" s="38"/>
      <c r="AZ739" s="38"/>
      <c r="BA739" s="38"/>
      <c r="BB739" s="38"/>
      <c r="BC739" s="38"/>
      <c r="BD739" s="38"/>
      <c r="BE739" s="38"/>
      <c r="BF739" s="38"/>
      <c r="BG739" s="38"/>
      <c r="BH739" s="38"/>
      <c r="BI739" s="38"/>
      <c r="BJ739" s="38"/>
      <c r="BK739" s="38"/>
      <c r="BL739" s="38"/>
      <c r="BM739" s="38"/>
      <c r="BN739" s="38"/>
      <c r="BO739" s="38"/>
      <c r="BP739" s="38"/>
    </row>
    <row r="740">
      <c r="A740" s="40"/>
      <c r="B740" s="40"/>
      <c r="AF740" s="38"/>
      <c r="AG740" s="38"/>
      <c r="AH740" s="38"/>
      <c r="AI740" s="38"/>
      <c r="AJ740" s="38"/>
      <c r="AK740" s="38"/>
      <c r="AL740" s="38"/>
      <c r="AM740" s="38"/>
      <c r="AN740" s="38"/>
      <c r="AO740" s="38"/>
      <c r="AP740" s="38"/>
      <c r="AQ740" s="38"/>
      <c r="AR740" s="38"/>
      <c r="AS740" s="38"/>
      <c r="AT740" s="38"/>
      <c r="AU740" s="38"/>
      <c r="AV740" s="38"/>
      <c r="AW740" s="38"/>
      <c r="AX740" s="38"/>
      <c r="AY740" s="38"/>
      <c r="AZ740" s="38"/>
      <c r="BA740" s="38"/>
      <c r="BB740" s="38"/>
      <c r="BC740" s="38"/>
      <c r="BD740" s="38"/>
      <c r="BE740" s="38"/>
      <c r="BF740" s="38"/>
      <c r="BG740" s="38"/>
      <c r="BH740" s="38"/>
      <c r="BI740" s="38"/>
      <c r="BJ740" s="38"/>
      <c r="BK740" s="38"/>
      <c r="BL740" s="38"/>
      <c r="BM740" s="38"/>
      <c r="BN740" s="38"/>
      <c r="BO740" s="38"/>
      <c r="BP740" s="38"/>
    </row>
    <row r="741">
      <c r="A741" s="40"/>
      <c r="B741" s="40"/>
      <c r="AF741" s="38"/>
      <c r="AG741" s="38"/>
      <c r="AH741" s="38"/>
      <c r="AI741" s="38"/>
      <c r="AJ741" s="38"/>
      <c r="AK741" s="38"/>
      <c r="AL741" s="38"/>
      <c r="AM741" s="38"/>
      <c r="AN741" s="38"/>
      <c r="AO741" s="38"/>
      <c r="AP741" s="38"/>
      <c r="AQ741" s="38"/>
      <c r="AR741" s="38"/>
      <c r="AS741" s="38"/>
      <c r="AT741" s="38"/>
      <c r="AU741" s="38"/>
      <c r="AV741" s="38"/>
      <c r="AW741" s="38"/>
      <c r="AX741" s="38"/>
      <c r="AY741" s="38"/>
      <c r="AZ741" s="38"/>
      <c r="BA741" s="38"/>
      <c r="BB741" s="38"/>
      <c r="BC741" s="38"/>
      <c r="BD741" s="38"/>
      <c r="BE741" s="38"/>
      <c r="BF741" s="38"/>
      <c r="BG741" s="38"/>
      <c r="BH741" s="38"/>
      <c r="BI741" s="38"/>
      <c r="BJ741" s="38"/>
      <c r="BK741" s="38"/>
      <c r="BL741" s="38"/>
      <c r="BM741" s="38"/>
      <c r="BN741" s="38"/>
      <c r="BO741" s="38"/>
      <c r="BP741" s="38"/>
    </row>
    <row r="742">
      <c r="A742" s="40"/>
      <c r="B742" s="40"/>
      <c r="AF742" s="38"/>
      <c r="AG742" s="38"/>
      <c r="AH742" s="38"/>
      <c r="AI742" s="38"/>
      <c r="AJ742" s="38"/>
      <c r="AK742" s="38"/>
      <c r="AL742" s="38"/>
      <c r="AM742" s="38"/>
      <c r="AN742" s="38"/>
      <c r="AO742" s="38"/>
      <c r="AP742" s="38"/>
      <c r="AQ742" s="38"/>
      <c r="AR742" s="38"/>
      <c r="AS742" s="38"/>
      <c r="AT742" s="38"/>
      <c r="AU742" s="38"/>
      <c r="AV742" s="38"/>
      <c r="AW742" s="38"/>
      <c r="AX742" s="38"/>
      <c r="AY742" s="38"/>
      <c r="AZ742" s="38"/>
      <c r="BA742" s="38"/>
      <c r="BB742" s="38"/>
      <c r="BC742" s="38"/>
      <c r="BD742" s="38"/>
      <c r="BE742" s="38"/>
      <c r="BF742" s="38"/>
      <c r="BG742" s="38"/>
      <c r="BH742" s="38"/>
      <c r="BI742" s="38"/>
      <c r="BJ742" s="38"/>
      <c r="BK742" s="38"/>
      <c r="BL742" s="38"/>
      <c r="BM742" s="38"/>
      <c r="BN742" s="38"/>
      <c r="BO742" s="38"/>
      <c r="BP742" s="38"/>
    </row>
    <row r="743">
      <c r="A743" s="40"/>
      <c r="B743" s="40"/>
      <c r="AF743" s="38"/>
      <c r="AG743" s="38"/>
      <c r="AH743" s="38"/>
      <c r="AI743" s="38"/>
      <c r="AJ743" s="38"/>
      <c r="AK743" s="38"/>
      <c r="AL743" s="38"/>
      <c r="AM743" s="38"/>
      <c r="AN743" s="38"/>
      <c r="AO743" s="38"/>
      <c r="AP743" s="38"/>
      <c r="AQ743" s="38"/>
      <c r="AR743" s="38"/>
      <c r="AS743" s="38"/>
      <c r="AT743" s="38"/>
      <c r="AU743" s="38"/>
      <c r="AV743" s="38"/>
      <c r="AW743" s="38"/>
      <c r="AX743" s="38"/>
      <c r="AY743" s="38"/>
      <c r="AZ743" s="38"/>
      <c r="BA743" s="38"/>
      <c r="BB743" s="38"/>
      <c r="BC743" s="38"/>
      <c r="BD743" s="38"/>
      <c r="BE743" s="38"/>
      <c r="BF743" s="38"/>
      <c r="BG743" s="38"/>
      <c r="BH743" s="38"/>
      <c r="BI743" s="38"/>
      <c r="BJ743" s="38"/>
      <c r="BK743" s="38"/>
      <c r="BL743" s="38"/>
      <c r="BM743" s="38"/>
      <c r="BN743" s="38"/>
      <c r="BO743" s="38"/>
      <c r="BP743" s="38"/>
    </row>
    <row r="744">
      <c r="A744" s="40"/>
      <c r="B744" s="40"/>
      <c r="AF744" s="38"/>
      <c r="AG744" s="38"/>
      <c r="AH744" s="38"/>
      <c r="AI744" s="38"/>
      <c r="AJ744" s="38"/>
      <c r="AK744" s="38"/>
      <c r="AL744" s="38"/>
      <c r="AM744" s="38"/>
      <c r="AN744" s="38"/>
      <c r="AO744" s="38"/>
      <c r="AP744" s="38"/>
      <c r="AQ744" s="38"/>
      <c r="AR744" s="38"/>
      <c r="AS744" s="38"/>
      <c r="AT744" s="38"/>
      <c r="AU744" s="38"/>
      <c r="AV744" s="38"/>
      <c r="AW744" s="38"/>
      <c r="AX744" s="38"/>
      <c r="AY744" s="38"/>
      <c r="AZ744" s="38"/>
      <c r="BA744" s="38"/>
      <c r="BB744" s="38"/>
      <c r="BC744" s="38"/>
      <c r="BD744" s="38"/>
      <c r="BE744" s="38"/>
      <c r="BF744" s="38"/>
      <c r="BG744" s="38"/>
      <c r="BH744" s="38"/>
      <c r="BI744" s="38"/>
      <c r="BJ744" s="38"/>
      <c r="BK744" s="38"/>
      <c r="BL744" s="38"/>
      <c r="BM744" s="38"/>
      <c r="BN744" s="38"/>
      <c r="BO744" s="38"/>
      <c r="BP744" s="38"/>
    </row>
    <row r="745">
      <c r="A745" s="40"/>
      <c r="B745" s="40"/>
      <c r="AF745" s="38"/>
      <c r="AG745" s="38"/>
      <c r="AH745" s="38"/>
      <c r="AI745" s="38"/>
      <c r="AJ745" s="38"/>
      <c r="AK745" s="38"/>
      <c r="AL745" s="38"/>
      <c r="AM745" s="38"/>
      <c r="AN745" s="38"/>
      <c r="AO745" s="38"/>
      <c r="AP745" s="38"/>
      <c r="AQ745" s="38"/>
      <c r="AR745" s="38"/>
      <c r="AS745" s="38"/>
      <c r="AT745" s="38"/>
      <c r="AU745" s="38"/>
      <c r="AV745" s="38"/>
      <c r="AW745" s="38"/>
      <c r="AX745" s="38"/>
      <c r="AY745" s="38"/>
      <c r="AZ745" s="38"/>
      <c r="BA745" s="38"/>
      <c r="BB745" s="38"/>
      <c r="BC745" s="38"/>
      <c r="BD745" s="38"/>
      <c r="BE745" s="38"/>
      <c r="BF745" s="38"/>
      <c r="BG745" s="38"/>
      <c r="BH745" s="38"/>
      <c r="BI745" s="38"/>
      <c r="BJ745" s="38"/>
      <c r="BK745" s="38"/>
      <c r="BL745" s="38"/>
      <c r="BM745" s="38"/>
      <c r="BN745" s="38"/>
      <c r="BO745" s="38"/>
      <c r="BP745" s="38"/>
    </row>
    <row r="746">
      <c r="A746" s="40"/>
      <c r="B746" s="40"/>
      <c r="AF746" s="38"/>
      <c r="AG746" s="38"/>
      <c r="AH746" s="38"/>
      <c r="AI746" s="38"/>
      <c r="AJ746" s="38"/>
      <c r="AK746" s="38"/>
      <c r="AL746" s="38"/>
      <c r="AM746" s="38"/>
      <c r="AN746" s="38"/>
      <c r="AO746" s="38"/>
      <c r="AP746" s="38"/>
      <c r="AQ746" s="38"/>
      <c r="AR746" s="38"/>
      <c r="AS746" s="38"/>
      <c r="AT746" s="38"/>
      <c r="AU746" s="38"/>
      <c r="AV746" s="38"/>
      <c r="AW746" s="38"/>
      <c r="AX746" s="38"/>
      <c r="AY746" s="38"/>
      <c r="AZ746" s="38"/>
      <c r="BA746" s="38"/>
      <c r="BB746" s="38"/>
      <c r="BC746" s="38"/>
      <c r="BD746" s="38"/>
      <c r="BE746" s="38"/>
      <c r="BF746" s="38"/>
      <c r="BG746" s="38"/>
      <c r="BH746" s="38"/>
      <c r="BI746" s="38"/>
      <c r="BJ746" s="38"/>
      <c r="BK746" s="38"/>
      <c r="BL746" s="38"/>
      <c r="BM746" s="38"/>
      <c r="BN746" s="38"/>
      <c r="BO746" s="38"/>
      <c r="BP746" s="38"/>
    </row>
    <row r="747">
      <c r="A747" s="40"/>
      <c r="B747" s="40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  <c r="AZ747" s="38"/>
      <c r="BA747" s="38"/>
      <c r="BB747" s="38"/>
      <c r="BC747" s="38"/>
      <c r="BD747" s="38"/>
      <c r="BE747" s="38"/>
      <c r="BF747" s="38"/>
      <c r="BG747" s="38"/>
      <c r="BH747" s="38"/>
      <c r="BI747" s="38"/>
      <c r="BJ747" s="38"/>
      <c r="BK747" s="38"/>
      <c r="BL747" s="38"/>
      <c r="BM747" s="38"/>
      <c r="BN747" s="38"/>
      <c r="BO747" s="38"/>
      <c r="BP747" s="38"/>
    </row>
    <row r="748">
      <c r="A748" s="40"/>
      <c r="B748" s="40"/>
      <c r="AF748" s="38"/>
      <c r="AG748" s="38"/>
      <c r="AH748" s="38"/>
      <c r="AI748" s="38"/>
      <c r="AJ748" s="38"/>
      <c r="AK748" s="38"/>
      <c r="AL748" s="38"/>
      <c r="AM748" s="38"/>
      <c r="AN748" s="38"/>
      <c r="AO748" s="38"/>
      <c r="AP748" s="38"/>
      <c r="AQ748" s="38"/>
      <c r="AR748" s="38"/>
      <c r="AS748" s="38"/>
      <c r="AT748" s="38"/>
      <c r="AU748" s="38"/>
      <c r="AV748" s="38"/>
      <c r="AW748" s="38"/>
      <c r="AX748" s="38"/>
      <c r="AY748" s="38"/>
      <c r="AZ748" s="38"/>
      <c r="BA748" s="38"/>
      <c r="BB748" s="38"/>
      <c r="BC748" s="38"/>
      <c r="BD748" s="38"/>
      <c r="BE748" s="38"/>
      <c r="BF748" s="38"/>
      <c r="BG748" s="38"/>
      <c r="BH748" s="38"/>
      <c r="BI748" s="38"/>
      <c r="BJ748" s="38"/>
      <c r="BK748" s="38"/>
      <c r="BL748" s="38"/>
      <c r="BM748" s="38"/>
      <c r="BN748" s="38"/>
      <c r="BO748" s="38"/>
      <c r="BP748" s="38"/>
    </row>
    <row r="749">
      <c r="A749" s="40"/>
      <c r="B749" s="40"/>
      <c r="AF749" s="38"/>
      <c r="AG749" s="38"/>
      <c r="AH749" s="38"/>
      <c r="AI749" s="38"/>
      <c r="AJ749" s="38"/>
      <c r="AK749" s="38"/>
      <c r="AL749" s="38"/>
      <c r="AM749" s="38"/>
      <c r="AN749" s="38"/>
      <c r="AO749" s="38"/>
      <c r="AP749" s="38"/>
      <c r="AQ749" s="38"/>
      <c r="AR749" s="38"/>
      <c r="AS749" s="38"/>
      <c r="AT749" s="38"/>
      <c r="AU749" s="38"/>
      <c r="AV749" s="38"/>
      <c r="AW749" s="38"/>
      <c r="AX749" s="38"/>
      <c r="AY749" s="38"/>
      <c r="AZ749" s="38"/>
      <c r="BA749" s="38"/>
      <c r="BB749" s="38"/>
      <c r="BC749" s="38"/>
      <c r="BD749" s="38"/>
      <c r="BE749" s="38"/>
      <c r="BF749" s="38"/>
      <c r="BG749" s="38"/>
      <c r="BH749" s="38"/>
      <c r="BI749" s="38"/>
      <c r="BJ749" s="38"/>
      <c r="BK749" s="38"/>
      <c r="BL749" s="38"/>
      <c r="BM749" s="38"/>
      <c r="BN749" s="38"/>
      <c r="BO749" s="38"/>
      <c r="BP749" s="38"/>
    </row>
    <row r="750">
      <c r="A750" s="40"/>
      <c r="B750" s="40"/>
      <c r="AF750" s="38"/>
      <c r="AG750" s="38"/>
      <c r="AH750" s="38"/>
      <c r="AI750" s="38"/>
      <c r="AJ750" s="38"/>
      <c r="AK750" s="38"/>
      <c r="AL750" s="38"/>
      <c r="AM750" s="38"/>
      <c r="AN750" s="38"/>
      <c r="AO750" s="38"/>
      <c r="AP750" s="38"/>
      <c r="AQ750" s="38"/>
      <c r="AR750" s="38"/>
      <c r="AS750" s="38"/>
      <c r="AT750" s="38"/>
      <c r="AU750" s="38"/>
      <c r="AV750" s="38"/>
      <c r="AW750" s="38"/>
      <c r="AX750" s="38"/>
      <c r="AY750" s="38"/>
      <c r="AZ750" s="38"/>
      <c r="BA750" s="38"/>
      <c r="BB750" s="38"/>
      <c r="BC750" s="38"/>
      <c r="BD750" s="38"/>
      <c r="BE750" s="38"/>
      <c r="BF750" s="38"/>
      <c r="BG750" s="38"/>
      <c r="BH750" s="38"/>
      <c r="BI750" s="38"/>
      <c r="BJ750" s="38"/>
      <c r="BK750" s="38"/>
      <c r="BL750" s="38"/>
      <c r="BM750" s="38"/>
      <c r="BN750" s="38"/>
      <c r="BO750" s="38"/>
      <c r="BP750" s="38"/>
    </row>
    <row r="751">
      <c r="A751" s="40"/>
      <c r="B751" s="40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8"/>
      <c r="BN751" s="38"/>
      <c r="BO751" s="38"/>
      <c r="BP751" s="38"/>
    </row>
    <row r="752">
      <c r="A752" s="40"/>
      <c r="B752" s="40"/>
      <c r="AF752" s="38"/>
      <c r="AG752" s="38"/>
      <c r="AH752" s="38"/>
      <c r="AI752" s="38"/>
      <c r="AJ752" s="38"/>
      <c r="AK752" s="38"/>
      <c r="AL752" s="38"/>
      <c r="AM752" s="38"/>
      <c r="AN752" s="38"/>
      <c r="AO752" s="38"/>
      <c r="AP752" s="38"/>
      <c r="AQ752" s="38"/>
      <c r="AR752" s="38"/>
      <c r="AS752" s="38"/>
      <c r="AT752" s="38"/>
      <c r="AU752" s="38"/>
      <c r="AV752" s="38"/>
      <c r="AW752" s="38"/>
      <c r="AX752" s="38"/>
      <c r="AY752" s="38"/>
      <c r="AZ752" s="38"/>
      <c r="BA752" s="38"/>
      <c r="BB752" s="38"/>
      <c r="BC752" s="38"/>
      <c r="BD752" s="38"/>
      <c r="BE752" s="38"/>
      <c r="BF752" s="38"/>
      <c r="BG752" s="38"/>
      <c r="BH752" s="38"/>
      <c r="BI752" s="38"/>
      <c r="BJ752" s="38"/>
      <c r="BK752" s="38"/>
      <c r="BL752" s="38"/>
      <c r="BM752" s="38"/>
      <c r="BN752" s="38"/>
      <c r="BO752" s="38"/>
      <c r="BP752" s="38"/>
    </row>
    <row r="753">
      <c r="A753" s="40"/>
      <c r="B753" s="40"/>
      <c r="AF753" s="38"/>
      <c r="AG753" s="38"/>
      <c r="AH753" s="38"/>
      <c r="AI753" s="38"/>
      <c r="AJ753" s="38"/>
      <c r="AK753" s="38"/>
      <c r="AL753" s="38"/>
      <c r="AM753" s="38"/>
      <c r="AN753" s="38"/>
      <c r="AO753" s="38"/>
      <c r="AP753" s="38"/>
      <c r="AQ753" s="38"/>
      <c r="AR753" s="38"/>
      <c r="AS753" s="38"/>
      <c r="AT753" s="38"/>
      <c r="AU753" s="38"/>
      <c r="AV753" s="38"/>
      <c r="AW753" s="38"/>
      <c r="AX753" s="38"/>
      <c r="AY753" s="38"/>
      <c r="AZ753" s="38"/>
      <c r="BA753" s="38"/>
      <c r="BB753" s="38"/>
      <c r="BC753" s="38"/>
      <c r="BD753" s="38"/>
      <c r="BE753" s="38"/>
      <c r="BF753" s="38"/>
      <c r="BG753" s="38"/>
      <c r="BH753" s="38"/>
      <c r="BI753" s="38"/>
      <c r="BJ753" s="38"/>
      <c r="BK753" s="38"/>
      <c r="BL753" s="38"/>
      <c r="BM753" s="38"/>
      <c r="BN753" s="38"/>
      <c r="BO753" s="38"/>
      <c r="BP753" s="38"/>
    </row>
    <row r="754">
      <c r="A754" s="40"/>
      <c r="B754" s="40"/>
      <c r="AF754" s="38"/>
      <c r="AG754" s="38"/>
      <c r="AH754" s="38"/>
      <c r="AI754" s="38"/>
      <c r="AJ754" s="38"/>
      <c r="AK754" s="38"/>
      <c r="AL754" s="38"/>
      <c r="AM754" s="38"/>
      <c r="AN754" s="38"/>
      <c r="AO754" s="38"/>
      <c r="AP754" s="38"/>
      <c r="AQ754" s="38"/>
      <c r="AR754" s="38"/>
      <c r="AS754" s="38"/>
      <c r="AT754" s="38"/>
      <c r="AU754" s="38"/>
      <c r="AV754" s="38"/>
      <c r="AW754" s="38"/>
      <c r="AX754" s="38"/>
      <c r="AY754" s="38"/>
      <c r="AZ754" s="38"/>
      <c r="BA754" s="38"/>
      <c r="BB754" s="38"/>
      <c r="BC754" s="38"/>
      <c r="BD754" s="38"/>
      <c r="BE754" s="38"/>
      <c r="BF754" s="38"/>
      <c r="BG754" s="38"/>
      <c r="BH754" s="38"/>
      <c r="BI754" s="38"/>
      <c r="BJ754" s="38"/>
      <c r="BK754" s="38"/>
      <c r="BL754" s="38"/>
      <c r="BM754" s="38"/>
      <c r="BN754" s="38"/>
      <c r="BO754" s="38"/>
      <c r="BP754" s="38"/>
    </row>
    <row r="755">
      <c r="A755" s="40"/>
      <c r="B755" s="40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8"/>
      <c r="BN755" s="38"/>
      <c r="BO755" s="38"/>
      <c r="BP755" s="38"/>
    </row>
    <row r="756">
      <c r="A756" s="40"/>
      <c r="B756" s="40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8"/>
      <c r="BN756" s="38"/>
      <c r="BO756" s="38"/>
      <c r="BP756" s="38"/>
    </row>
    <row r="757">
      <c r="A757" s="40"/>
      <c r="B757" s="40"/>
      <c r="AF757" s="38"/>
      <c r="AG757" s="38"/>
      <c r="AH757" s="38"/>
      <c r="AI757" s="38"/>
      <c r="AJ757" s="38"/>
      <c r="AK757" s="38"/>
      <c r="AL757" s="38"/>
      <c r="AM757" s="38"/>
      <c r="AN757" s="38"/>
      <c r="AO757" s="38"/>
      <c r="AP757" s="38"/>
      <c r="AQ757" s="38"/>
      <c r="AR757" s="38"/>
      <c r="AS757" s="38"/>
      <c r="AT757" s="38"/>
      <c r="AU757" s="38"/>
      <c r="AV757" s="38"/>
      <c r="AW757" s="38"/>
      <c r="AX757" s="38"/>
      <c r="AY757" s="38"/>
      <c r="AZ757" s="38"/>
      <c r="BA757" s="38"/>
      <c r="BB757" s="38"/>
      <c r="BC757" s="38"/>
      <c r="BD757" s="38"/>
      <c r="BE757" s="38"/>
      <c r="BF757" s="38"/>
      <c r="BG757" s="38"/>
      <c r="BH757" s="38"/>
      <c r="BI757" s="38"/>
      <c r="BJ757" s="38"/>
      <c r="BK757" s="38"/>
      <c r="BL757" s="38"/>
      <c r="BM757" s="38"/>
      <c r="BN757" s="38"/>
      <c r="BO757" s="38"/>
      <c r="BP757" s="38"/>
    </row>
    <row r="758">
      <c r="A758" s="40"/>
      <c r="B758" s="40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</row>
    <row r="759">
      <c r="A759" s="40"/>
      <c r="B759" s="40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</row>
    <row r="760">
      <c r="A760" s="40"/>
      <c r="B760" s="40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</row>
    <row r="761">
      <c r="A761" s="40"/>
      <c r="B761" s="40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</row>
    <row r="762">
      <c r="A762" s="40"/>
      <c r="B762" s="40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</row>
    <row r="763">
      <c r="A763" s="40"/>
      <c r="B763" s="40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8"/>
      <c r="BN763" s="38"/>
      <c r="BO763" s="38"/>
      <c r="BP763" s="38"/>
    </row>
    <row r="764">
      <c r="A764" s="40"/>
      <c r="B764" s="40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8"/>
      <c r="BN764" s="38"/>
      <c r="BO764" s="38"/>
      <c r="BP764" s="38"/>
    </row>
    <row r="765">
      <c r="A765" s="40"/>
      <c r="B765" s="40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8"/>
      <c r="BN765" s="38"/>
      <c r="BO765" s="38"/>
      <c r="BP765" s="38"/>
    </row>
    <row r="766">
      <c r="A766" s="40"/>
      <c r="B766" s="40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8"/>
      <c r="BN766" s="38"/>
      <c r="BO766" s="38"/>
      <c r="BP766" s="38"/>
    </row>
    <row r="767">
      <c r="A767" s="40"/>
      <c r="B767" s="40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8"/>
      <c r="BN767" s="38"/>
      <c r="BO767" s="38"/>
      <c r="BP767" s="38"/>
    </row>
    <row r="768">
      <c r="A768" s="40"/>
      <c r="B768" s="40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8"/>
      <c r="BN768" s="38"/>
      <c r="BO768" s="38"/>
      <c r="BP768" s="38"/>
    </row>
    <row r="769">
      <c r="A769" s="40"/>
      <c r="B769" s="40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8"/>
      <c r="BN769" s="38"/>
      <c r="BO769" s="38"/>
      <c r="BP769" s="38"/>
    </row>
    <row r="770">
      <c r="A770" s="40"/>
      <c r="B770" s="40"/>
      <c r="AF770" s="38"/>
      <c r="AG770" s="38"/>
      <c r="AH770" s="38"/>
      <c r="AI770" s="38"/>
      <c r="AJ770" s="38"/>
      <c r="AK770" s="38"/>
      <c r="AL770" s="38"/>
      <c r="AM770" s="38"/>
      <c r="AN770" s="38"/>
      <c r="AO770" s="38"/>
      <c r="AP770" s="38"/>
      <c r="AQ770" s="38"/>
      <c r="AR770" s="38"/>
      <c r="AS770" s="38"/>
      <c r="AT770" s="38"/>
      <c r="AU770" s="38"/>
      <c r="AV770" s="38"/>
      <c r="AW770" s="38"/>
      <c r="AX770" s="38"/>
      <c r="AY770" s="38"/>
      <c r="AZ770" s="38"/>
      <c r="BA770" s="38"/>
      <c r="BB770" s="38"/>
      <c r="BC770" s="38"/>
      <c r="BD770" s="38"/>
      <c r="BE770" s="38"/>
      <c r="BF770" s="38"/>
      <c r="BG770" s="38"/>
      <c r="BH770" s="38"/>
      <c r="BI770" s="38"/>
      <c r="BJ770" s="38"/>
      <c r="BK770" s="38"/>
      <c r="BL770" s="38"/>
      <c r="BM770" s="38"/>
      <c r="BN770" s="38"/>
      <c r="BO770" s="38"/>
      <c r="BP770" s="38"/>
    </row>
    <row r="771">
      <c r="A771" s="40"/>
      <c r="B771" s="40"/>
      <c r="AF771" s="38"/>
      <c r="AG771" s="38"/>
      <c r="AH771" s="38"/>
      <c r="AI771" s="38"/>
      <c r="AJ771" s="38"/>
      <c r="AK771" s="38"/>
      <c r="AL771" s="38"/>
      <c r="AM771" s="38"/>
      <c r="AN771" s="38"/>
      <c r="AO771" s="38"/>
      <c r="AP771" s="38"/>
      <c r="AQ771" s="38"/>
      <c r="AR771" s="38"/>
      <c r="AS771" s="38"/>
      <c r="AT771" s="38"/>
      <c r="AU771" s="38"/>
      <c r="AV771" s="38"/>
      <c r="AW771" s="38"/>
      <c r="AX771" s="38"/>
      <c r="AY771" s="38"/>
      <c r="AZ771" s="38"/>
      <c r="BA771" s="38"/>
      <c r="BB771" s="38"/>
      <c r="BC771" s="38"/>
      <c r="BD771" s="38"/>
      <c r="BE771" s="38"/>
      <c r="BF771" s="38"/>
      <c r="BG771" s="38"/>
      <c r="BH771" s="38"/>
      <c r="BI771" s="38"/>
      <c r="BJ771" s="38"/>
      <c r="BK771" s="38"/>
      <c r="BL771" s="38"/>
      <c r="BM771" s="38"/>
      <c r="BN771" s="38"/>
      <c r="BO771" s="38"/>
      <c r="BP771" s="38"/>
    </row>
    <row r="772">
      <c r="A772" s="40"/>
      <c r="B772" s="40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8"/>
      <c r="BN772" s="38"/>
      <c r="BO772" s="38"/>
      <c r="BP772" s="38"/>
    </row>
    <row r="773">
      <c r="A773" s="40"/>
      <c r="B773" s="40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8"/>
      <c r="BN773" s="38"/>
      <c r="BO773" s="38"/>
      <c r="BP773" s="38"/>
    </row>
    <row r="774">
      <c r="A774" s="40"/>
      <c r="B774" s="40"/>
      <c r="AF774" s="38"/>
      <c r="AG774" s="38"/>
      <c r="AH774" s="38"/>
      <c r="AI774" s="38"/>
      <c r="AJ774" s="38"/>
      <c r="AK774" s="38"/>
      <c r="AL774" s="38"/>
      <c r="AM774" s="38"/>
      <c r="AN774" s="38"/>
      <c r="AO774" s="38"/>
      <c r="AP774" s="38"/>
      <c r="AQ774" s="38"/>
      <c r="AR774" s="38"/>
      <c r="AS774" s="38"/>
      <c r="AT774" s="38"/>
      <c r="AU774" s="38"/>
      <c r="AV774" s="38"/>
      <c r="AW774" s="38"/>
      <c r="AX774" s="38"/>
      <c r="AY774" s="38"/>
      <c r="AZ774" s="38"/>
      <c r="BA774" s="38"/>
      <c r="BB774" s="38"/>
      <c r="BC774" s="38"/>
      <c r="BD774" s="38"/>
      <c r="BE774" s="38"/>
      <c r="BF774" s="38"/>
      <c r="BG774" s="38"/>
      <c r="BH774" s="38"/>
      <c r="BI774" s="38"/>
      <c r="BJ774" s="38"/>
      <c r="BK774" s="38"/>
      <c r="BL774" s="38"/>
      <c r="BM774" s="38"/>
      <c r="BN774" s="38"/>
      <c r="BO774" s="38"/>
      <c r="BP774" s="38"/>
    </row>
    <row r="775">
      <c r="A775" s="40"/>
      <c r="B775" s="40"/>
      <c r="AF775" s="38"/>
      <c r="AG775" s="38"/>
      <c r="AH775" s="38"/>
      <c r="AI775" s="38"/>
      <c r="AJ775" s="38"/>
      <c r="AK775" s="38"/>
      <c r="AL775" s="38"/>
      <c r="AM775" s="38"/>
      <c r="AN775" s="38"/>
      <c r="AO775" s="38"/>
      <c r="AP775" s="38"/>
      <c r="AQ775" s="38"/>
      <c r="AR775" s="38"/>
      <c r="AS775" s="38"/>
      <c r="AT775" s="38"/>
      <c r="AU775" s="38"/>
      <c r="AV775" s="38"/>
      <c r="AW775" s="38"/>
      <c r="AX775" s="38"/>
      <c r="AY775" s="38"/>
      <c r="AZ775" s="38"/>
      <c r="BA775" s="38"/>
      <c r="BB775" s="38"/>
      <c r="BC775" s="38"/>
      <c r="BD775" s="38"/>
      <c r="BE775" s="38"/>
      <c r="BF775" s="38"/>
      <c r="BG775" s="38"/>
      <c r="BH775" s="38"/>
      <c r="BI775" s="38"/>
      <c r="BJ775" s="38"/>
      <c r="BK775" s="38"/>
      <c r="BL775" s="38"/>
      <c r="BM775" s="38"/>
      <c r="BN775" s="38"/>
      <c r="BO775" s="38"/>
      <c r="BP775" s="38"/>
    </row>
    <row r="776">
      <c r="A776" s="40"/>
      <c r="B776" s="40"/>
      <c r="AF776" s="38"/>
      <c r="AG776" s="38"/>
      <c r="AH776" s="38"/>
      <c r="AI776" s="38"/>
      <c r="AJ776" s="38"/>
      <c r="AK776" s="38"/>
      <c r="AL776" s="38"/>
      <c r="AM776" s="38"/>
      <c r="AN776" s="38"/>
      <c r="AO776" s="38"/>
      <c r="AP776" s="38"/>
      <c r="AQ776" s="38"/>
      <c r="AR776" s="38"/>
      <c r="AS776" s="38"/>
      <c r="AT776" s="38"/>
      <c r="AU776" s="38"/>
      <c r="AV776" s="38"/>
      <c r="AW776" s="38"/>
      <c r="AX776" s="38"/>
      <c r="AY776" s="38"/>
      <c r="AZ776" s="38"/>
      <c r="BA776" s="38"/>
      <c r="BB776" s="38"/>
      <c r="BC776" s="38"/>
      <c r="BD776" s="38"/>
      <c r="BE776" s="38"/>
      <c r="BF776" s="38"/>
      <c r="BG776" s="38"/>
      <c r="BH776" s="38"/>
      <c r="BI776" s="38"/>
      <c r="BJ776" s="38"/>
      <c r="BK776" s="38"/>
      <c r="BL776" s="38"/>
      <c r="BM776" s="38"/>
      <c r="BN776" s="38"/>
      <c r="BO776" s="38"/>
      <c r="BP776" s="38"/>
    </row>
    <row r="777">
      <c r="A777" s="40"/>
      <c r="B777" s="40"/>
      <c r="AF777" s="38"/>
      <c r="AG777" s="38"/>
      <c r="AH777" s="38"/>
      <c r="AI777" s="38"/>
      <c r="AJ777" s="38"/>
      <c r="AK777" s="38"/>
      <c r="AL777" s="38"/>
      <c r="AM777" s="38"/>
      <c r="AN777" s="38"/>
      <c r="AO777" s="38"/>
      <c r="AP777" s="38"/>
      <c r="AQ777" s="38"/>
      <c r="AR777" s="38"/>
      <c r="AS777" s="38"/>
      <c r="AT777" s="38"/>
      <c r="AU777" s="38"/>
      <c r="AV777" s="38"/>
      <c r="AW777" s="38"/>
      <c r="AX777" s="38"/>
      <c r="AY777" s="38"/>
      <c r="AZ777" s="38"/>
      <c r="BA777" s="38"/>
      <c r="BB777" s="38"/>
      <c r="BC777" s="38"/>
      <c r="BD777" s="38"/>
      <c r="BE777" s="38"/>
      <c r="BF777" s="38"/>
      <c r="BG777" s="38"/>
      <c r="BH777" s="38"/>
      <c r="BI777" s="38"/>
      <c r="BJ777" s="38"/>
      <c r="BK777" s="38"/>
      <c r="BL777" s="38"/>
      <c r="BM777" s="38"/>
      <c r="BN777" s="38"/>
      <c r="BO777" s="38"/>
      <c r="BP777" s="38"/>
    </row>
    <row r="778">
      <c r="A778" s="40"/>
      <c r="B778" s="40"/>
      <c r="AF778" s="38"/>
      <c r="AG778" s="38"/>
      <c r="AH778" s="38"/>
      <c r="AI778" s="38"/>
      <c r="AJ778" s="38"/>
      <c r="AK778" s="38"/>
      <c r="AL778" s="38"/>
      <c r="AM778" s="38"/>
      <c r="AN778" s="38"/>
      <c r="AO778" s="38"/>
      <c r="AP778" s="38"/>
      <c r="AQ778" s="38"/>
      <c r="AR778" s="38"/>
      <c r="AS778" s="38"/>
      <c r="AT778" s="38"/>
      <c r="AU778" s="38"/>
      <c r="AV778" s="38"/>
      <c r="AW778" s="38"/>
      <c r="AX778" s="38"/>
      <c r="AY778" s="38"/>
      <c r="AZ778" s="38"/>
      <c r="BA778" s="38"/>
      <c r="BB778" s="38"/>
      <c r="BC778" s="38"/>
      <c r="BD778" s="38"/>
      <c r="BE778" s="38"/>
      <c r="BF778" s="38"/>
      <c r="BG778" s="38"/>
      <c r="BH778" s="38"/>
      <c r="BI778" s="38"/>
      <c r="BJ778" s="38"/>
      <c r="BK778" s="38"/>
      <c r="BL778" s="38"/>
      <c r="BM778" s="38"/>
      <c r="BN778" s="38"/>
      <c r="BO778" s="38"/>
      <c r="BP778" s="38"/>
    </row>
    <row r="779">
      <c r="A779" s="40"/>
      <c r="B779" s="40"/>
      <c r="AF779" s="38"/>
      <c r="AG779" s="38"/>
      <c r="AH779" s="38"/>
      <c r="AI779" s="38"/>
      <c r="AJ779" s="38"/>
      <c r="AK779" s="38"/>
      <c r="AL779" s="38"/>
      <c r="AM779" s="38"/>
      <c r="AN779" s="38"/>
      <c r="AO779" s="38"/>
      <c r="AP779" s="38"/>
      <c r="AQ779" s="38"/>
      <c r="AR779" s="38"/>
      <c r="AS779" s="38"/>
      <c r="AT779" s="38"/>
      <c r="AU779" s="38"/>
      <c r="AV779" s="38"/>
      <c r="AW779" s="38"/>
      <c r="AX779" s="38"/>
      <c r="AY779" s="38"/>
      <c r="AZ779" s="38"/>
      <c r="BA779" s="38"/>
      <c r="BB779" s="38"/>
      <c r="BC779" s="38"/>
      <c r="BD779" s="38"/>
      <c r="BE779" s="38"/>
      <c r="BF779" s="38"/>
      <c r="BG779" s="38"/>
      <c r="BH779" s="38"/>
      <c r="BI779" s="38"/>
      <c r="BJ779" s="38"/>
      <c r="BK779" s="38"/>
      <c r="BL779" s="38"/>
      <c r="BM779" s="38"/>
      <c r="BN779" s="38"/>
      <c r="BO779" s="38"/>
      <c r="BP779" s="38"/>
    </row>
    <row r="780">
      <c r="A780" s="40"/>
      <c r="B780" s="40"/>
      <c r="AF780" s="38"/>
      <c r="AG780" s="38"/>
      <c r="AH780" s="38"/>
      <c r="AI780" s="38"/>
      <c r="AJ780" s="38"/>
      <c r="AK780" s="38"/>
      <c r="AL780" s="38"/>
      <c r="AM780" s="38"/>
      <c r="AN780" s="38"/>
      <c r="AO780" s="38"/>
      <c r="AP780" s="38"/>
      <c r="AQ780" s="38"/>
      <c r="AR780" s="38"/>
      <c r="AS780" s="38"/>
      <c r="AT780" s="38"/>
      <c r="AU780" s="38"/>
      <c r="AV780" s="38"/>
      <c r="AW780" s="38"/>
      <c r="AX780" s="38"/>
      <c r="AY780" s="38"/>
      <c r="AZ780" s="38"/>
      <c r="BA780" s="38"/>
      <c r="BB780" s="38"/>
      <c r="BC780" s="38"/>
      <c r="BD780" s="38"/>
      <c r="BE780" s="38"/>
      <c r="BF780" s="38"/>
      <c r="BG780" s="38"/>
      <c r="BH780" s="38"/>
      <c r="BI780" s="38"/>
      <c r="BJ780" s="38"/>
      <c r="BK780" s="38"/>
      <c r="BL780" s="38"/>
      <c r="BM780" s="38"/>
      <c r="BN780" s="38"/>
      <c r="BO780" s="38"/>
      <c r="BP780" s="38"/>
    </row>
    <row r="781">
      <c r="A781" s="40"/>
      <c r="B781" s="40"/>
      <c r="AF781" s="38"/>
      <c r="AG781" s="38"/>
      <c r="AH781" s="38"/>
      <c r="AI781" s="38"/>
      <c r="AJ781" s="38"/>
      <c r="AK781" s="38"/>
      <c r="AL781" s="38"/>
      <c r="AM781" s="38"/>
      <c r="AN781" s="38"/>
      <c r="AO781" s="38"/>
      <c r="AP781" s="38"/>
      <c r="AQ781" s="38"/>
      <c r="AR781" s="38"/>
      <c r="AS781" s="38"/>
      <c r="AT781" s="38"/>
      <c r="AU781" s="38"/>
      <c r="AV781" s="38"/>
      <c r="AW781" s="38"/>
      <c r="AX781" s="38"/>
      <c r="AY781" s="38"/>
      <c r="AZ781" s="38"/>
      <c r="BA781" s="38"/>
      <c r="BB781" s="38"/>
      <c r="BC781" s="38"/>
      <c r="BD781" s="38"/>
      <c r="BE781" s="38"/>
      <c r="BF781" s="38"/>
      <c r="BG781" s="38"/>
      <c r="BH781" s="38"/>
      <c r="BI781" s="38"/>
      <c r="BJ781" s="38"/>
      <c r="BK781" s="38"/>
      <c r="BL781" s="38"/>
      <c r="BM781" s="38"/>
      <c r="BN781" s="38"/>
      <c r="BO781" s="38"/>
      <c r="BP781" s="38"/>
    </row>
    <row r="782">
      <c r="A782" s="40"/>
      <c r="B782" s="40"/>
      <c r="AF782" s="38"/>
      <c r="AG782" s="38"/>
      <c r="AH782" s="38"/>
      <c r="AI782" s="38"/>
      <c r="AJ782" s="38"/>
      <c r="AK782" s="38"/>
      <c r="AL782" s="38"/>
      <c r="AM782" s="38"/>
      <c r="AN782" s="38"/>
      <c r="AO782" s="38"/>
      <c r="AP782" s="38"/>
      <c r="AQ782" s="38"/>
      <c r="AR782" s="38"/>
      <c r="AS782" s="38"/>
      <c r="AT782" s="38"/>
      <c r="AU782" s="38"/>
      <c r="AV782" s="38"/>
      <c r="AW782" s="38"/>
      <c r="AX782" s="38"/>
      <c r="AY782" s="38"/>
      <c r="AZ782" s="38"/>
      <c r="BA782" s="38"/>
      <c r="BB782" s="38"/>
      <c r="BC782" s="38"/>
      <c r="BD782" s="38"/>
      <c r="BE782" s="38"/>
      <c r="BF782" s="38"/>
      <c r="BG782" s="38"/>
      <c r="BH782" s="38"/>
      <c r="BI782" s="38"/>
      <c r="BJ782" s="38"/>
      <c r="BK782" s="38"/>
      <c r="BL782" s="38"/>
      <c r="BM782" s="38"/>
      <c r="BN782" s="38"/>
      <c r="BO782" s="38"/>
      <c r="BP782" s="38"/>
    </row>
    <row r="783">
      <c r="A783" s="40"/>
      <c r="B783" s="40"/>
      <c r="AF783" s="38"/>
      <c r="AG783" s="38"/>
      <c r="AH783" s="38"/>
      <c r="AI783" s="38"/>
      <c r="AJ783" s="38"/>
      <c r="AK783" s="38"/>
      <c r="AL783" s="38"/>
      <c r="AM783" s="38"/>
      <c r="AN783" s="38"/>
      <c r="AO783" s="38"/>
      <c r="AP783" s="38"/>
      <c r="AQ783" s="38"/>
      <c r="AR783" s="38"/>
      <c r="AS783" s="38"/>
      <c r="AT783" s="38"/>
      <c r="AU783" s="38"/>
      <c r="AV783" s="38"/>
      <c r="AW783" s="38"/>
      <c r="AX783" s="38"/>
      <c r="AY783" s="38"/>
      <c r="AZ783" s="38"/>
      <c r="BA783" s="38"/>
      <c r="BB783" s="38"/>
      <c r="BC783" s="38"/>
      <c r="BD783" s="38"/>
      <c r="BE783" s="38"/>
      <c r="BF783" s="38"/>
      <c r="BG783" s="38"/>
      <c r="BH783" s="38"/>
      <c r="BI783" s="38"/>
      <c r="BJ783" s="38"/>
      <c r="BK783" s="38"/>
      <c r="BL783" s="38"/>
      <c r="BM783" s="38"/>
      <c r="BN783" s="38"/>
      <c r="BO783" s="38"/>
      <c r="BP783" s="38"/>
    </row>
    <row r="784">
      <c r="A784" s="40"/>
      <c r="B784" s="40"/>
      <c r="AF784" s="38"/>
      <c r="AG784" s="38"/>
      <c r="AH784" s="38"/>
      <c r="AI784" s="38"/>
      <c r="AJ784" s="38"/>
      <c r="AK784" s="38"/>
      <c r="AL784" s="38"/>
      <c r="AM784" s="38"/>
      <c r="AN784" s="38"/>
      <c r="AO784" s="38"/>
      <c r="AP784" s="38"/>
      <c r="AQ784" s="38"/>
      <c r="AR784" s="38"/>
      <c r="AS784" s="38"/>
      <c r="AT784" s="38"/>
      <c r="AU784" s="38"/>
      <c r="AV784" s="38"/>
      <c r="AW784" s="38"/>
      <c r="AX784" s="38"/>
      <c r="AY784" s="38"/>
      <c r="AZ784" s="38"/>
      <c r="BA784" s="38"/>
      <c r="BB784" s="38"/>
      <c r="BC784" s="38"/>
      <c r="BD784" s="38"/>
      <c r="BE784" s="38"/>
      <c r="BF784" s="38"/>
      <c r="BG784" s="38"/>
      <c r="BH784" s="38"/>
      <c r="BI784" s="38"/>
      <c r="BJ784" s="38"/>
      <c r="BK784" s="38"/>
      <c r="BL784" s="38"/>
      <c r="BM784" s="38"/>
      <c r="BN784" s="38"/>
      <c r="BO784" s="38"/>
      <c r="BP784" s="38"/>
    </row>
    <row r="785">
      <c r="A785" s="40"/>
      <c r="B785" s="40"/>
      <c r="AF785" s="38"/>
      <c r="AG785" s="38"/>
      <c r="AH785" s="38"/>
      <c r="AI785" s="38"/>
      <c r="AJ785" s="38"/>
      <c r="AK785" s="38"/>
      <c r="AL785" s="38"/>
      <c r="AM785" s="38"/>
      <c r="AN785" s="38"/>
      <c r="AO785" s="38"/>
      <c r="AP785" s="38"/>
      <c r="AQ785" s="38"/>
      <c r="AR785" s="38"/>
      <c r="AS785" s="38"/>
      <c r="AT785" s="38"/>
      <c r="AU785" s="38"/>
      <c r="AV785" s="38"/>
      <c r="AW785" s="38"/>
      <c r="AX785" s="38"/>
      <c r="AY785" s="38"/>
      <c r="AZ785" s="38"/>
      <c r="BA785" s="38"/>
      <c r="BB785" s="38"/>
      <c r="BC785" s="38"/>
      <c r="BD785" s="38"/>
      <c r="BE785" s="38"/>
      <c r="BF785" s="38"/>
      <c r="BG785" s="38"/>
      <c r="BH785" s="38"/>
      <c r="BI785" s="38"/>
      <c r="BJ785" s="38"/>
      <c r="BK785" s="38"/>
      <c r="BL785" s="38"/>
      <c r="BM785" s="38"/>
      <c r="BN785" s="38"/>
      <c r="BO785" s="38"/>
      <c r="BP785" s="38"/>
    </row>
    <row r="786">
      <c r="A786" s="40"/>
      <c r="B786" s="40"/>
      <c r="AF786" s="38"/>
      <c r="AG786" s="38"/>
      <c r="AH786" s="38"/>
      <c r="AI786" s="38"/>
      <c r="AJ786" s="38"/>
      <c r="AK786" s="38"/>
      <c r="AL786" s="38"/>
      <c r="AM786" s="38"/>
      <c r="AN786" s="38"/>
      <c r="AO786" s="38"/>
      <c r="AP786" s="38"/>
      <c r="AQ786" s="38"/>
      <c r="AR786" s="38"/>
      <c r="AS786" s="38"/>
      <c r="AT786" s="38"/>
      <c r="AU786" s="38"/>
      <c r="AV786" s="38"/>
      <c r="AW786" s="38"/>
      <c r="AX786" s="38"/>
      <c r="AY786" s="38"/>
      <c r="AZ786" s="38"/>
      <c r="BA786" s="38"/>
      <c r="BB786" s="38"/>
      <c r="BC786" s="38"/>
      <c r="BD786" s="38"/>
      <c r="BE786" s="38"/>
      <c r="BF786" s="38"/>
      <c r="BG786" s="38"/>
      <c r="BH786" s="38"/>
      <c r="BI786" s="38"/>
      <c r="BJ786" s="38"/>
      <c r="BK786" s="38"/>
      <c r="BL786" s="38"/>
      <c r="BM786" s="38"/>
      <c r="BN786" s="38"/>
      <c r="BO786" s="38"/>
      <c r="BP786" s="38"/>
    </row>
    <row r="787">
      <c r="A787" s="40"/>
      <c r="B787" s="40"/>
      <c r="AF787" s="38"/>
      <c r="AG787" s="38"/>
      <c r="AH787" s="38"/>
      <c r="AI787" s="38"/>
      <c r="AJ787" s="38"/>
      <c r="AK787" s="38"/>
      <c r="AL787" s="38"/>
      <c r="AM787" s="38"/>
      <c r="AN787" s="38"/>
      <c r="AO787" s="38"/>
      <c r="AP787" s="38"/>
      <c r="AQ787" s="38"/>
      <c r="AR787" s="38"/>
      <c r="AS787" s="38"/>
      <c r="AT787" s="38"/>
      <c r="AU787" s="38"/>
      <c r="AV787" s="38"/>
      <c r="AW787" s="38"/>
      <c r="AX787" s="38"/>
      <c r="AY787" s="38"/>
      <c r="AZ787" s="38"/>
      <c r="BA787" s="38"/>
      <c r="BB787" s="38"/>
      <c r="BC787" s="38"/>
      <c r="BD787" s="38"/>
      <c r="BE787" s="38"/>
      <c r="BF787" s="38"/>
      <c r="BG787" s="38"/>
      <c r="BH787" s="38"/>
      <c r="BI787" s="38"/>
      <c r="BJ787" s="38"/>
      <c r="BK787" s="38"/>
      <c r="BL787" s="38"/>
      <c r="BM787" s="38"/>
      <c r="BN787" s="38"/>
      <c r="BO787" s="38"/>
      <c r="BP787" s="38"/>
    </row>
    <row r="788">
      <c r="A788" s="40"/>
      <c r="B788" s="40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</row>
    <row r="789">
      <c r="A789" s="40"/>
      <c r="B789" s="40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</row>
    <row r="790">
      <c r="A790" s="40"/>
      <c r="B790" s="40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</row>
    <row r="791">
      <c r="A791" s="40"/>
      <c r="B791" s="40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</row>
    <row r="792">
      <c r="A792" s="40"/>
      <c r="B792" s="40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</row>
    <row r="793">
      <c r="A793" s="40"/>
      <c r="B793" s="40"/>
      <c r="AF793" s="38"/>
      <c r="AG793" s="38"/>
      <c r="AH793" s="38"/>
      <c r="AI793" s="38"/>
      <c r="AJ793" s="38"/>
      <c r="AK793" s="38"/>
      <c r="AL793" s="38"/>
      <c r="AM793" s="38"/>
      <c r="AN793" s="38"/>
      <c r="AO793" s="38"/>
      <c r="AP793" s="38"/>
      <c r="AQ793" s="38"/>
      <c r="AR793" s="38"/>
      <c r="AS793" s="38"/>
      <c r="AT793" s="38"/>
      <c r="AU793" s="38"/>
      <c r="AV793" s="38"/>
      <c r="AW793" s="38"/>
      <c r="AX793" s="38"/>
      <c r="AY793" s="38"/>
      <c r="AZ793" s="38"/>
      <c r="BA793" s="38"/>
      <c r="BB793" s="38"/>
      <c r="BC793" s="38"/>
      <c r="BD793" s="38"/>
      <c r="BE793" s="38"/>
      <c r="BF793" s="38"/>
      <c r="BG793" s="38"/>
      <c r="BH793" s="38"/>
      <c r="BI793" s="38"/>
      <c r="BJ793" s="38"/>
      <c r="BK793" s="38"/>
      <c r="BL793" s="38"/>
      <c r="BM793" s="38"/>
      <c r="BN793" s="38"/>
      <c r="BO793" s="38"/>
      <c r="BP793" s="38"/>
    </row>
    <row r="794">
      <c r="A794" s="40"/>
      <c r="B794" s="40"/>
      <c r="AF794" s="38"/>
      <c r="AG794" s="38"/>
      <c r="AH794" s="38"/>
      <c r="AI794" s="38"/>
      <c r="AJ794" s="38"/>
      <c r="AK794" s="38"/>
      <c r="AL794" s="38"/>
      <c r="AM794" s="38"/>
      <c r="AN794" s="38"/>
      <c r="AO794" s="38"/>
      <c r="AP794" s="38"/>
      <c r="AQ794" s="38"/>
      <c r="AR794" s="38"/>
      <c r="AS794" s="38"/>
      <c r="AT794" s="38"/>
      <c r="AU794" s="38"/>
      <c r="AV794" s="38"/>
      <c r="AW794" s="38"/>
      <c r="AX794" s="38"/>
      <c r="AY794" s="38"/>
      <c r="AZ794" s="38"/>
      <c r="BA794" s="38"/>
      <c r="BB794" s="38"/>
      <c r="BC794" s="38"/>
      <c r="BD794" s="38"/>
      <c r="BE794" s="38"/>
      <c r="BF794" s="38"/>
      <c r="BG794" s="38"/>
      <c r="BH794" s="38"/>
      <c r="BI794" s="38"/>
      <c r="BJ794" s="38"/>
      <c r="BK794" s="38"/>
      <c r="BL794" s="38"/>
      <c r="BM794" s="38"/>
      <c r="BN794" s="38"/>
      <c r="BO794" s="38"/>
      <c r="BP794" s="38"/>
    </row>
    <row r="795">
      <c r="A795" s="40"/>
      <c r="B795" s="40"/>
      <c r="AF795" s="38"/>
      <c r="AG795" s="38"/>
      <c r="AH795" s="38"/>
      <c r="AI795" s="38"/>
      <c r="AJ795" s="38"/>
      <c r="AK795" s="38"/>
      <c r="AL795" s="38"/>
      <c r="AM795" s="38"/>
      <c r="AN795" s="38"/>
      <c r="AO795" s="38"/>
      <c r="AP795" s="38"/>
      <c r="AQ795" s="38"/>
      <c r="AR795" s="38"/>
      <c r="AS795" s="38"/>
      <c r="AT795" s="38"/>
      <c r="AU795" s="38"/>
      <c r="AV795" s="38"/>
      <c r="AW795" s="38"/>
      <c r="AX795" s="38"/>
      <c r="AY795" s="38"/>
      <c r="AZ795" s="38"/>
      <c r="BA795" s="38"/>
      <c r="BB795" s="38"/>
      <c r="BC795" s="38"/>
      <c r="BD795" s="38"/>
      <c r="BE795" s="38"/>
      <c r="BF795" s="38"/>
      <c r="BG795" s="38"/>
      <c r="BH795" s="38"/>
      <c r="BI795" s="38"/>
      <c r="BJ795" s="38"/>
      <c r="BK795" s="38"/>
      <c r="BL795" s="38"/>
      <c r="BM795" s="38"/>
      <c r="BN795" s="38"/>
      <c r="BO795" s="38"/>
      <c r="BP795" s="38"/>
    </row>
    <row r="796">
      <c r="A796" s="40"/>
      <c r="B796" s="40"/>
      <c r="AF796" s="38"/>
      <c r="AG796" s="38"/>
      <c r="AH796" s="38"/>
      <c r="AI796" s="38"/>
      <c r="AJ796" s="38"/>
      <c r="AK796" s="38"/>
      <c r="AL796" s="38"/>
      <c r="AM796" s="38"/>
      <c r="AN796" s="38"/>
      <c r="AO796" s="38"/>
      <c r="AP796" s="38"/>
      <c r="AQ796" s="38"/>
      <c r="AR796" s="38"/>
      <c r="AS796" s="38"/>
      <c r="AT796" s="38"/>
      <c r="AU796" s="38"/>
      <c r="AV796" s="38"/>
      <c r="AW796" s="38"/>
      <c r="AX796" s="38"/>
      <c r="AY796" s="38"/>
      <c r="AZ796" s="38"/>
      <c r="BA796" s="38"/>
      <c r="BB796" s="38"/>
      <c r="BC796" s="38"/>
      <c r="BD796" s="38"/>
      <c r="BE796" s="38"/>
      <c r="BF796" s="38"/>
      <c r="BG796" s="38"/>
      <c r="BH796" s="38"/>
      <c r="BI796" s="38"/>
      <c r="BJ796" s="38"/>
      <c r="BK796" s="38"/>
      <c r="BL796" s="38"/>
      <c r="BM796" s="38"/>
      <c r="BN796" s="38"/>
      <c r="BO796" s="38"/>
      <c r="BP796" s="38"/>
    </row>
    <row r="797">
      <c r="A797" s="40"/>
      <c r="B797" s="40"/>
      <c r="AF797" s="38"/>
      <c r="AG797" s="38"/>
      <c r="AH797" s="38"/>
      <c r="AI797" s="38"/>
      <c r="AJ797" s="38"/>
      <c r="AK797" s="38"/>
      <c r="AL797" s="38"/>
      <c r="AM797" s="38"/>
      <c r="AN797" s="38"/>
      <c r="AO797" s="38"/>
      <c r="AP797" s="38"/>
      <c r="AQ797" s="38"/>
      <c r="AR797" s="38"/>
      <c r="AS797" s="38"/>
      <c r="AT797" s="38"/>
      <c r="AU797" s="38"/>
      <c r="AV797" s="38"/>
      <c r="AW797" s="38"/>
      <c r="AX797" s="38"/>
      <c r="AY797" s="38"/>
      <c r="AZ797" s="38"/>
      <c r="BA797" s="38"/>
      <c r="BB797" s="38"/>
      <c r="BC797" s="38"/>
      <c r="BD797" s="38"/>
      <c r="BE797" s="38"/>
      <c r="BF797" s="38"/>
      <c r="BG797" s="38"/>
      <c r="BH797" s="38"/>
      <c r="BI797" s="38"/>
      <c r="BJ797" s="38"/>
      <c r="BK797" s="38"/>
      <c r="BL797" s="38"/>
      <c r="BM797" s="38"/>
      <c r="BN797" s="38"/>
      <c r="BO797" s="38"/>
      <c r="BP797" s="38"/>
    </row>
    <row r="798">
      <c r="A798" s="40"/>
      <c r="B798" s="40"/>
      <c r="AF798" s="38"/>
      <c r="AG798" s="38"/>
      <c r="AH798" s="38"/>
      <c r="AI798" s="38"/>
      <c r="AJ798" s="38"/>
      <c r="AK798" s="38"/>
      <c r="AL798" s="38"/>
      <c r="AM798" s="38"/>
      <c r="AN798" s="38"/>
      <c r="AO798" s="38"/>
      <c r="AP798" s="38"/>
      <c r="AQ798" s="38"/>
      <c r="AR798" s="38"/>
      <c r="AS798" s="38"/>
      <c r="AT798" s="38"/>
      <c r="AU798" s="38"/>
      <c r="AV798" s="38"/>
      <c r="AW798" s="38"/>
      <c r="AX798" s="38"/>
      <c r="AY798" s="38"/>
      <c r="AZ798" s="38"/>
      <c r="BA798" s="38"/>
      <c r="BB798" s="38"/>
      <c r="BC798" s="38"/>
      <c r="BD798" s="38"/>
      <c r="BE798" s="38"/>
      <c r="BF798" s="38"/>
      <c r="BG798" s="38"/>
      <c r="BH798" s="38"/>
      <c r="BI798" s="38"/>
      <c r="BJ798" s="38"/>
      <c r="BK798" s="38"/>
      <c r="BL798" s="38"/>
      <c r="BM798" s="38"/>
      <c r="BN798" s="38"/>
      <c r="BO798" s="38"/>
      <c r="BP798" s="38"/>
    </row>
    <row r="799">
      <c r="A799" s="40"/>
      <c r="B799" s="40"/>
      <c r="AF799" s="38"/>
      <c r="AG799" s="38"/>
      <c r="AH799" s="38"/>
      <c r="AI799" s="38"/>
      <c r="AJ799" s="38"/>
      <c r="AK799" s="38"/>
      <c r="AL799" s="38"/>
      <c r="AM799" s="38"/>
      <c r="AN799" s="38"/>
      <c r="AO799" s="38"/>
      <c r="AP799" s="38"/>
      <c r="AQ799" s="38"/>
      <c r="AR799" s="38"/>
      <c r="AS799" s="38"/>
      <c r="AT799" s="38"/>
      <c r="AU799" s="38"/>
      <c r="AV799" s="38"/>
      <c r="AW799" s="38"/>
      <c r="AX799" s="38"/>
      <c r="AY799" s="38"/>
      <c r="AZ799" s="38"/>
      <c r="BA799" s="38"/>
      <c r="BB799" s="38"/>
      <c r="BC799" s="38"/>
      <c r="BD799" s="38"/>
      <c r="BE799" s="38"/>
      <c r="BF799" s="38"/>
      <c r="BG799" s="38"/>
      <c r="BH799" s="38"/>
      <c r="BI799" s="38"/>
      <c r="BJ799" s="38"/>
      <c r="BK799" s="38"/>
      <c r="BL799" s="38"/>
      <c r="BM799" s="38"/>
      <c r="BN799" s="38"/>
      <c r="BO799" s="38"/>
      <c r="BP799" s="38"/>
    </row>
    <row r="800">
      <c r="A800" s="40"/>
      <c r="B800" s="40"/>
      <c r="AF800" s="38"/>
      <c r="AG800" s="38"/>
      <c r="AH800" s="38"/>
      <c r="AI800" s="38"/>
      <c r="AJ800" s="38"/>
      <c r="AK800" s="38"/>
      <c r="AL800" s="38"/>
      <c r="AM800" s="38"/>
      <c r="AN800" s="38"/>
      <c r="AO800" s="38"/>
      <c r="AP800" s="38"/>
      <c r="AQ800" s="38"/>
      <c r="AR800" s="38"/>
      <c r="AS800" s="38"/>
      <c r="AT800" s="38"/>
      <c r="AU800" s="38"/>
      <c r="AV800" s="38"/>
      <c r="AW800" s="38"/>
      <c r="AX800" s="38"/>
      <c r="AY800" s="38"/>
      <c r="AZ800" s="38"/>
      <c r="BA800" s="38"/>
      <c r="BB800" s="38"/>
      <c r="BC800" s="38"/>
      <c r="BD800" s="38"/>
      <c r="BE800" s="38"/>
      <c r="BF800" s="38"/>
      <c r="BG800" s="38"/>
      <c r="BH800" s="38"/>
      <c r="BI800" s="38"/>
      <c r="BJ800" s="38"/>
      <c r="BK800" s="38"/>
      <c r="BL800" s="38"/>
      <c r="BM800" s="38"/>
      <c r="BN800" s="38"/>
      <c r="BO800" s="38"/>
      <c r="BP800" s="38"/>
    </row>
    <row r="801">
      <c r="A801" s="40"/>
      <c r="B801" s="40"/>
      <c r="AF801" s="38"/>
      <c r="AG801" s="38"/>
      <c r="AH801" s="38"/>
      <c r="AI801" s="38"/>
      <c r="AJ801" s="38"/>
      <c r="AK801" s="38"/>
      <c r="AL801" s="38"/>
      <c r="AM801" s="38"/>
      <c r="AN801" s="38"/>
      <c r="AO801" s="38"/>
      <c r="AP801" s="38"/>
      <c r="AQ801" s="38"/>
      <c r="AR801" s="38"/>
      <c r="AS801" s="38"/>
      <c r="AT801" s="38"/>
      <c r="AU801" s="38"/>
      <c r="AV801" s="38"/>
      <c r="AW801" s="38"/>
      <c r="AX801" s="38"/>
      <c r="AY801" s="38"/>
      <c r="AZ801" s="38"/>
      <c r="BA801" s="38"/>
      <c r="BB801" s="38"/>
      <c r="BC801" s="38"/>
      <c r="BD801" s="38"/>
      <c r="BE801" s="38"/>
      <c r="BF801" s="38"/>
      <c r="BG801" s="38"/>
      <c r="BH801" s="38"/>
      <c r="BI801" s="38"/>
      <c r="BJ801" s="38"/>
      <c r="BK801" s="38"/>
      <c r="BL801" s="38"/>
      <c r="BM801" s="38"/>
      <c r="BN801" s="38"/>
      <c r="BO801" s="38"/>
      <c r="BP801" s="38"/>
    </row>
    <row r="802">
      <c r="A802" s="40"/>
      <c r="B802" s="40"/>
      <c r="AF802" s="38"/>
      <c r="AG802" s="38"/>
      <c r="AH802" s="38"/>
      <c r="AI802" s="38"/>
      <c r="AJ802" s="38"/>
      <c r="AK802" s="38"/>
      <c r="AL802" s="38"/>
      <c r="AM802" s="38"/>
      <c r="AN802" s="38"/>
      <c r="AO802" s="38"/>
      <c r="AP802" s="38"/>
      <c r="AQ802" s="38"/>
      <c r="AR802" s="38"/>
      <c r="AS802" s="38"/>
      <c r="AT802" s="38"/>
      <c r="AU802" s="38"/>
      <c r="AV802" s="38"/>
      <c r="AW802" s="38"/>
      <c r="AX802" s="38"/>
      <c r="AY802" s="38"/>
      <c r="AZ802" s="38"/>
      <c r="BA802" s="38"/>
      <c r="BB802" s="38"/>
      <c r="BC802" s="38"/>
      <c r="BD802" s="38"/>
      <c r="BE802" s="38"/>
      <c r="BF802" s="38"/>
      <c r="BG802" s="38"/>
      <c r="BH802" s="38"/>
      <c r="BI802" s="38"/>
      <c r="BJ802" s="38"/>
      <c r="BK802" s="38"/>
      <c r="BL802" s="38"/>
      <c r="BM802" s="38"/>
      <c r="BN802" s="38"/>
      <c r="BO802" s="38"/>
      <c r="BP802" s="38"/>
    </row>
    <row r="803">
      <c r="A803" s="40"/>
      <c r="B803" s="40"/>
      <c r="AF803" s="38"/>
      <c r="AG803" s="38"/>
      <c r="AH803" s="38"/>
      <c r="AI803" s="38"/>
      <c r="AJ803" s="38"/>
      <c r="AK803" s="38"/>
      <c r="AL803" s="38"/>
      <c r="AM803" s="38"/>
      <c r="AN803" s="38"/>
      <c r="AO803" s="38"/>
      <c r="AP803" s="38"/>
      <c r="AQ803" s="38"/>
      <c r="AR803" s="38"/>
      <c r="AS803" s="38"/>
      <c r="AT803" s="38"/>
      <c r="AU803" s="38"/>
      <c r="AV803" s="38"/>
      <c r="AW803" s="38"/>
      <c r="AX803" s="38"/>
      <c r="AY803" s="38"/>
      <c r="AZ803" s="38"/>
      <c r="BA803" s="38"/>
      <c r="BB803" s="38"/>
      <c r="BC803" s="38"/>
      <c r="BD803" s="38"/>
      <c r="BE803" s="38"/>
      <c r="BF803" s="38"/>
      <c r="BG803" s="38"/>
      <c r="BH803" s="38"/>
      <c r="BI803" s="38"/>
      <c r="BJ803" s="38"/>
      <c r="BK803" s="38"/>
      <c r="BL803" s="38"/>
      <c r="BM803" s="38"/>
      <c r="BN803" s="38"/>
      <c r="BO803" s="38"/>
      <c r="BP803" s="38"/>
    </row>
    <row r="804">
      <c r="A804" s="40"/>
      <c r="B804" s="40"/>
      <c r="AF804" s="38"/>
      <c r="AG804" s="38"/>
      <c r="AH804" s="38"/>
      <c r="AI804" s="38"/>
      <c r="AJ804" s="38"/>
      <c r="AK804" s="38"/>
      <c r="AL804" s="38"/>
      <c r="AM804" s="38"/>
      <c r="AN804" s="38"/>
      <c r="AO804" s="38"/>
      <c r="AP804" s="38"/>
      <c r="AQ804" s="38"/>
      <c r="AR804" s="38"/>
      <c r="AS804" s="38"/>
      <c r="AT804" s="38"/>
      <c r="AU804" s="38"/>
      <c r="AV804" s="38"/>
      <c r="AW804" s="38"/>
      <c r="AX804" s="38"/>
      <c r="AY804" s="38"/>
      <c r="AZ804" s="38"/>
      <c r="BA804" s="38"/>
      <c r="BB804" s="38"/>
      <c r="BC804" s="38"/>
      <c r="BD804" s="38"/>
      <c r="BE804" s="38"/>
      <c r="BF804" s="38"/>
      <c r="BG804" s="38"/>
      <c r="BH804" s="38"/>
      <c r="BI804" s="38"/>
      <c r="BJ804" s="38"/>
      <c r="BK804" s="38"/>
      <c r="BL804" s="38"/>
      <c r="BM804" s="38"/>
      <c r="BN804" s="38"/>
      <c r="BO804" s="38"/>
      <c r="BP804" s="38"/>
    </row>
    <row r="805">
      <c r="A805" s="40"/>
      <c r="B805" s="40"/>
      <c r="AF805" s="38"/>
      <c r="AG805" s="38"/>
      <c r="AH805" s="38"/>
      <c r="AI805" s="38"/>
      <c r="AJ805" s="38"/>
      <c r="AK805" s="38"/>
      <c r="AL805" s="38"/>
      <c r="AM805" s="38"/>
      <c r="AN805" s="38"/>
      <c r="AO805" s="38"/>
      <c r="AP805" s="38"/>
      <c r="AQ805" s="38"/>
      <c r="AR805" s="38"/>
      <c r="AS805" s="38"/>
      <c r="AT805" s="38"/>
      <c r="AU805" s="38"/>
      <c r="AV805" s="38"/>
      <c r="AW805" s="38"/>
      <c r="AX805" s="38"/>
      <c r="AY805" s="38"/>
      <c r="AZ805" s="38"/>
      <c r="BA805" s="38"/>
      <c r="BB805" s="38"/>
      <c r="BC805" s="38"/>
      <c r="BD805" s="38"/>
      <c r="BE805" s="38"/>
      <c r="BF805" s="38"/>
      <c r="BG805" s="38"/>
      <c r="BH805" s="38"/>
      <c r="BI805" s="38"/>
      <c r="BJ805" s="38"/>
      <c r="BK805" s="38"/>
      <c r="BL805" s="38"/>
      <c r="BM805" s="38"/>
      <c r="BN805" s="38"/>
      <c r="BO805" s="38"/>
      <c r="BP805" s="38"/>
    </row>
    <row r="806">
      <c r="A806" s="40"/>
      <c r="B806" s="40"/>
      <c r="AF806" s="38"/>
      <c r="AG806" s="38"/>
      <c r="AH806" s="38"/>
      <c r="AI806" s="38"/>
      <c r="AJ806" s="38"/>
      <c r="AK806" s="38"/>
      <c r="AL806" s="38"/>
      <c r="AM806" s="38"/>
      <c r="AN806" s="38"/>
      <c r="AO806" s="38"/>
      <c r="AP806" s="38"/>
      <c r="AQ806" s="38"/>
      <c r="AR806" s="38"/>
      <c r="AS806" s="38"/>
      <c r="AT806" s="38"/>
      <c r="AU806" s="38"/>
      <c r="AV806" s="38"/>
      <c r="AW806" s="38"/>
      <c r="AX806" s="38"/>
      <c r="AY806" s="38"/>
      <c r="AZ806" s="38"/>
      <c r="BA806" s="38"/>
      <c r="BB806" s="38"/>
      <c r="BC806" s="38"/>
      <c r="BD806" s="38"/>
      <c r="BE806" s="38"/>
      <c r="BF806" s="38"/>
      <c r="BG806" s="38"/>
      <c r="BH806" s="38"/>
      <c r="BI806" s="38"/>
      <c r="BJ806" s="38"/>
      <c r="BK806" s="38"/>
      <c r="BL806" s="38"/>
      <c r="BM806" s="38"/>
      <c r="BN806" s="38"/>
      <c r="BO806" s="38"/>
      <c r="BP806" s="38"/>
    </row>
    <row r="807">
      <c r="A807" s="40"/>
      <c r="B807" s="40"/>
      <c r="AF807" s="38"/>
      <c r="AG807" s="38"/>
      <c r="AH807" s="38"/>
      <c r="AI807" s="38"/>
      <c r="AJ807" s="38"/>
      <c r="AK807" s="38"/>
      <c r="AL807" s="38"/>
      <c r="AM807" s="38"/>
      <c r="AN807" s="38"/>
      <c r="AO807" s="38"/>
      <c r="AP807" s="38"/>
      <c r="AQ807" s="38"/>
      <c r="AR807" s="38"/>
      <c r="AS807" s="38"/>
      <c r="AT807" s="38"/>
      <c r="AU807" s="38"/>
      <c r="AV807" s="38"/>
      <c r="AW807" s="38"/>
      <c r="AX807" s="38"/>
      <c r="AY807" s="38"/>
      <c r="AZ807" s="38"/>
      <c r="BA807" s="38"/>
      <c r="BB807" s="38"/>
      <c r="BC807" s="38"/>
      <c r="BD807" s="38"/>
      <c r="BE807" s="38"/>
      <c r="BF807" s="38"/>
      <c r="BG807" s="38"/>
      <c r="BH807" s="38"/>
      <c r="BI807" s="38"/>
      <c r="BJ807" s="38"/>
      <c r="BK807" s="38"/>
      <c r="BL807" s="38"/>
      <c r="BM807" s="38"/>
      <c r="BN807" s="38"/>
      <c r="BO807" s="38"/>
      <c r="BP807" s="38"/>
    </row>
    <row r="808">
      <c r="A808" s="40"/>
      <c r="B808" s="40"/>
      <c r="AF808" s="38"/>
      <c r="AG808" s="38"/>
      <c r="AH808" s="38"/>
      <c r="AI808" s="38"/>
      <c r="AJ808" s="38"/>
      <c r="AK808" s="38"/>
      <c r="AL808" s="38"/>
      <c r="AM808" s="38"/>
      <c r="AN808" s="38"/>
      <c r="AO808" s="38"/>
      <c r="AP808" s="38"/>
      <c r="AQ808" s="38"/>
      <c r="AR808" s="38"/>
      <c r="AS808" s="38"/>
      <c r="AT808" s="38"/>
      <c r="AU808" s="38"/>
      <c r="AV808" s="38"/>
      <c r="AW808" s="38"/>
      <c r="AX808" s="38"/>
      <c r="AY808" s="38"/>
      <c r="AZ808" s="38"/>
      <c r="BA808" s="38"/>
      <c r="BB808" s="38"/>
      <c r="BC808" s="38"/>
      <c r="BD808" s="38"/>
      <c r="BE808" s="38"/>
      <c r="BF808" s="38"/>
      <c r="BG808" s="38"/>
      <c r="BH808" s="38"/>
      <c r="BI808" s="38"/>
      <c r="BJ808" s="38"/>
      <c r="BK808" s="38"/>
      <c r="BL808" s="38"/>
      <c r="BM808" s="38"/>
      <c r="BN808" s="38"/>
      <c r="BO808" s="38"/>
      <c r="BP808" s="38"/>
    </row>
    <row r="809">
      <c r="A809" s="40"/>
      <c r="B809" s="40"/>
      <c r="AF809" s="38"/>
      <c r="AG809" s="38"/>
      <c r="AH809" s="38"/>
      <c r="AI809" s="38"/>
      <c r="AJ809" s="38"/>
      <c r="AK809" s="38"/>
      <c r="AL809" s="38"/>
      <c r="AM809" s="38"/>
      <c r="AN809" s="38"/>
      <c r="AO809" s="38"/>
      <c r="AP809" s="38"/>
      <c r="AQ809" s="38"/>
      <c r="AR809" s="38"/>
      <c r="AS809" s="38"/>
      <c r="AT809" s="38"/>
      <c r="AU809" s="38"/>
      <c r="AV809" s="38"/>
      <c r="AW809" s="38"/>
      <c r="AX809" s="38"/>
      <c r="AY809" s="38"/>
      <c r="AZ809" s="38"/>
      <c r="BA809" s="38"/>
      <c r="BB809" s="38"/>
      <c r="BC809" s="38"/>
      <c r="BD809" s="38"/>
      <c r="BE809" s="38"/>
      <c r="BF809" s="38"/>
      <c r="BG809" s="38"/>
      <c r="BH809" s="38"/>
      <c r="BI809" s="38"/>
      <c r="BJ809" s="38"/>
      <c r="BK809" s="38"/>
      <c r="BL809" s="38"/>
      <c r="BM809" s="38"/>
      <c r="BN809" s="38"/>
      <c r="BO809" s="38"/>
      <c r="BP809" s="38"/>
    </row>
    <row r="810">
      <c r="A810" s="40"/>
      <c r="B810" s="40"/>
      <c r="AF810" s="38"/>
      <c r="AG810" s="38"/>
      <c r="AH810" s="38"/>
      <c r="AI810" s="38"/>
      <c r="AJ810" s="38"/>
      <c r="AK810" s="38"/>
      <c r="AL810" s="38"/>
      <c r="AM810" s="38"/>
      <c r="AN810" s="38"/>
      <c r="AO810" s="38"/>
      <c r="AP810" s="38"/>
      <c r="AQ810" s="38"/>
      <c r="AR810" s="38"/>
      <c r="AS810" s="38"/>
      <c r="AT810" s="38"/>
      <c r="AU810" s="38"/>
      <c r="AV810" s="38"/>
      <c r="AW810" s="38"/>
      <c r="AX810" s="38"/>
      <c r="AY810" s="38"/>
      <c r="AZ810" s="38"/>
      <c r="BA810" s="38"/>
      <c r="BB810" s="38"/>
      <c r="BC810" s="38"/>
      <c r="BD810" s="38"/>
      <c r="BE810" s="38"/>
      <c r="BF810" s="38"/>
      <c r="BG810" s="38"/>
      <c r="BH810" s="38"/>
      <c r="BI810" s="38"/>
      <c r="BJ810" s="38"/>
      <c r="BK810" s="38"/>
      <c r="BL810" s="38"/>
      <c r="BM810" s="38"/>
      <c r="BN810" s="38"/>
      <c r="BO810" s="38"/>
      <c r="BP810" s="38"/>
    </row>
    <row r="811">
      <c r="A811" s="40"/>
      <c r="B811" s="40"/>
      <c r="AF811" s="38"/>
      <c r="AG811" s="38"/>
      <c r="AH811" s="38"/>
      <c r="AI811" s="38"/>
      <c r="AJ811" s="38"/>
      <c r="AK811" s="38"/>
      <c r="AL811" s="38"/>
      <c r="AM811" s="38"/>
      <c r="AN811" s="38"/>
      <c r="AO811" s="38"/>
      <c r="AP811" s="38"/>
      <c r="AQ811" s="38"/>
      <c r="AR811" s="38"/>
      <c r="AS811" s="38"/>
      <c r="AT811" s="38"/>
      <c r="AU811" s="38"/>
      <c r="AV811" s="38"/>
      <c r="AW811" s="38"/>
      <c r="AX811" s="38"/>
      <c r="AY811" s="38"/>
      <c r="AZ811" s="38"/>
      <c r="BA811" s="38"/>
      <c r="BB811" s="38"/>
      <c r="BC811" s="38"/>
      <c r="BD811" s="38"/>
      <c r="BE811" s="38"/>
      <c r="BF811" s="38"/>
      <c r="BG811" s="38"/>
      <c r="BH811" s="38"/>
      <c r="BI811" s="38"/>
      <c r="BJ811" s="38"/>
      <c r="BK811" s="38"/>
      <c r="BL811" s="38"/>
      <c r="BM811" s="38"/>
      <c r="BN811" s="38"/>
      <c r="BO811" s="38"/>
      <c r="BP811" s="38"/>
    </row>
    <row r="812">
      <c r="A812" s="40"/>
      <c r="B812" s="40"/>
      <c r="AF812" s="38"/>
      <c r="AG812" s="38"/>
      <c r="AH812" s="38"/>
      <c r="AI812" s="38"/>
      <c r="AJ812" s="38"/>
      <c r="AK812" s="38"/>
      <c r="AL812" s="38"/>
      <c r="AM812" s="38"/>
      <c r="AN812" s="38"/>
      <c r="AO812" s="38"/>
      <c r="AP812" s="38"/>
      <c r="AQ812" s="38"/>
      <c r="AR812" s="38"/>
      <c r="AS812" s="38"/>
      <c r="AT812" s="38"/>
      <c r="AU812" s="38"/>
      <c r="AV812" s="38"/>
      <c r="AW812" s="38"/>
      <c r="AX812" s="38"/>
      <c r="AY812" s="38"/>
      <c r="AZ812" s="38"/>
      <c r="BA812" s="38"/>
      <c r="BB812" s="38"/>
      <c r="BC812" s="38"/>
      <c r="BD812" s="38"/>
      <c r="BE812" s="38"/>
      <c r="BF812" s="38"/>
      <c r="BG812" s="38"/>
      <c r="BH812" s="38"/>
      <c r="BI812" s="38"/>
      <c r="BJ812" s="38"/>
      <c r="BK812" s="38"/>
      <c r="BL812" s="38"/>
      <c r="BM812" s="38"/>
      <c r="BN812" s="38"/>
      <c r="BO812" s="38"/>
      <c r="BP812" s="38"/>
    </row>
    <row r="813">
      <c r="A813" s="40"/>
      <c r="B813" s="40"/>
      <c r="AF813" s="38"/>
      <c r="AG813" s="38"/>
      <c r="AH813" s="38"/>
      <c r="AI813" s="38"/>
      <c r="AJ813" s="38"/>
      <c r="AK813" s="38"/>
      <c r="AL813" s="38"/>
      <c r="AM813" s="38"/>
      <c r="AN813" s="38"/>
      <c r="AO813" s="38"/>
      <c r="AP813" s="38"/>
      <c r="AQ813" s="38"/>
      <c r="AR813" s="38"/>
      <c r="AS813" s="38"/>
      <c r="AT813" s="38"/>
      <c r="AU813" s="38"/>
      <c r="AV813" s="38"/>
      <c r="AW813" s="38"/>
      <c r="AX813" s="38"/>
      <c r="AY813" s="38"/>
      <c r="AZ813" s="38"/>
      <c r="BA813" s="38"/>
      <c r="BB813" s="38"/>
      <c r="BC813" s="38"/>
      <c r="BD813" s="38"/>
      <c r="BE813" s="38"/>
      <c r="BF813" s="38"/>
      <c r="BG813" s="38"/>
      <c r="BH813" s="38"/>
      <c r="BI813" s="38"/>
      <c r="BJ813" s="38"/>
      <c r="BK813" s="38"/>
      <c r="BL813" s="38"/>
      <c r="BM813" s="38"/>
      <c r="BN813" s="38"/>
      <c r="BO813" s="38"/>
      <c r="BP813" s="38"/>
    </row>
    <row r="814">
      <c r="A814" s="40"/>
      <c r="B814" s="40"/>
      <c r="AF814" s="38"/>
      <c r="AG814" s="38"/>
      <c r="AH814" s="38"/>
      <c r="AI814" s="38"/>
      <c r="AJ814" s="38"/>
      <c r="AK814" s="38"/>
      <c r="AL814" s="38"/>
      <c r="AM814" s="38"/>
      <c r="AN814" s="38"/>
      <c r="AO814" s="38"/>
      <c r="AP814" s="38"/>
      <c r="AQ814" s="38"/>
      <c r="AR814" s="38"/>
      <c r="AS814" s="38"/>
      <c r="AT814" s="38"/>
      <c r="AU814" s="38"/>
      <c r="AV814" s="38"/>
      <c r="AW814" s="38"/>
      <c r="AX814" s="38"/>
      <c r="AY814" s="38"/>
      <c r="AZ814" s="38"/>
      <c r="BA814" s="38"/>
      <c r="BB814" s="38"/>
      <c r="BC814" s="38"/>
      <c r="BD814" s="38"/>
      <c r="BE814" s="38"/>
      <c r="BF814" s="38"/>
      <c r="BG814" s="38"/>
      <c r="BH814" s="38"/>
      <c r="BI814" s="38"/>
      <c r="BJ814" s="38"/>
      <c r="BK814" s="38"/>
      <c r="BL814" s="38"/>
      <c r="BM814" s="38"/>
      <c r="BN814" s="38"/>
      <c r="BO814" s="38"/>
      <c r="BP814" s="38"/>
    </row>
    <row r="815">
      <c r="A815" s="40"/>
      <c r="B815" s="40"/>
      <c r="AF815" s="38"/>
      <c r="AG815" s="38"/>
      <c r="AH815" s="38"/>
      <c r="AI815" s="38"/>
      <c r="AJ815" s="38"/>
      <c r="AK815" s="38"/>
      <c r="AL815" s="38"/>
      <c r="AM815" s="38"/>
      <c r="AN815" s="38"/>
      <c r="AO815" s="38"/>
      <c r="AP815" s="38"/>
      <c r="AQ815" s="38"/>
      <c r="AR815" s="38"/>
      <c r="AS815" s="38"/>
      <c r="AT815" s="38"/>
      <c r="AU815" s="38"/>
      <c r="AV815" s="38"/>
      <c r="AW815" s="38"/>
      <c r="AX815" s="38"/>
      <c r="AY815" s="38"/>
      <c r="AZ815" s="38"/>
      <c r="BA815" s="38"/>
      <c r="BB815" s="38"/>
      <c r="BC815" s="38"/>
      <c r="BD815" s="38"/>
      <c r="BE815" s="38"/>
      <c r="BF815" s="38"/>
      <c r="BG815" s="38"/>
      <c r="BH815" s="38"/>
      <c r="BI815" s="38"/>
      <c r="BJ815" s="38"/>
      <c r="BK815" s="38"/>
      <c r="BL815" s="38"/>
      <c r="BM815" s="38"/>
      <c r="BN815" s="38"/>
      <c r="BO815" s="38"/>
      <c r="BP815" s="38"/>
    </row>
    <row r="816">
      <c r="A816" s="40"/>
      <c r="B816" s="40"/>
      <c r="AF816" s="38"/>
      <c r="AG816" s="38"/>
      <c r="AH816" s="38"/>
      <c r="AI816" s="38"/>
      <c r="AJ816" s="38"/>
      <c r="AK816" s="38"/>
      <c r="AL816" s="38"/>
      <c r="AM816" s="38"/>
      <c r="AN816" s="38"/>
      <c r="AO816" s="38"/>
      <c r="AP816" s="38"/>
      <c r="AQ816" s="38"/>
      <c r="AR816" s="38"/>
      <c r="AS816" s="38"/>
      <c r="AT816" s="38"/>
      <c r="AU816" s="38"/>
      <c r="AV816" s="38"/>
      <c r="AW816" s="38"/>
      <c r="AX816" s="38"/>
      <c r="AY816" s="38"/>
      <c r="AZ816" s="38"/>
      <c r="BA816" s="38"/>
      <c r="BB816" s="38"/>
      <c r="BC816" s="38"/>
      <c r="BD816" s="38"/>
      <c r="BE816" s="38"/>
      <c r="BF816" s="38"/>
      <c r="BG816" s="38"/>
      <c r="BH816" s="38"/>
      <c r="BI816" s="38"/>
      <c r="BJ816" s="38"/>
      <c r="BK816" s="38"/>
      <c r="BL816" s="38"/>
      <c r="BM816" s="38"/>
      <c r="BN816" s="38"/>
      <c r="BO816" s="38"/>
      <c r="BP816" s="38"/>
    </row>
    <row r="817">
      <c r="A817" s="40"/>
      <c r="B817" s="40"/>
      <c r="AF817" s="38"/>
      <c r="AG817" s="38"/>
      <c r="AH817" s="38"/>
      <c r="AI817" s="38"/>
      <c r="AJ817" s="38"/>
      <c r="AK817" s="38"/>
      <c r="AL817" s="38"/>
      <c r="AM817" s="38"/>
      <c r="AN817" s="38"/>
      <c r="AO817" s="38"/>
      <c r="AP817" s="38"/>
      <c r="AQ817" s="38"/>
      <c r="AR817" s="38"/>
      <c r="AS817" s="38"/>
      <c r="AT817" s="38"/>
      <c r="AU817" s="38"/>
      <c r="AV817" s="38"/>
      <c r="AW817" s="38"/>
      <c r="AX817" s="38"/>
      <c r="AY817" s="38"/>
      <c r="AZ817" s="38"/>
      <c r="BA817" s="38"/>
      <c r="BB817" s="38"/>
      <c r="BC817" s="38"/>
      <c r="BD817" s="38"/>
      <c r="BE817" s="38"/>
      <c r="BF817" s="38"/>
      <c r="BG817" s="38"/>
      <c r="BH817" s="38"/>
      <c r="BI817" s="38"/>
      <c r="BJ817" s="38"/>
      <c r="BK817" s="38"/>
      <c r="BL817" s="38"/>
      <c r="BM817" s="38"/>
      <c r="BN817" s="38"/>
      <c r="BO817" s="38"/>
      <c r="BP817" s="38"/>
    </row>
    <row r="818">
      <c r="A818" s="40"/>
      <c r="B818" s="40"/>
      <c r="AF818" s="38"/>
      <c r="AG818" s="38"/>
      <c r="AH818" s="38"/>
      <c r="AI818" s="38"/>
      <c r="AJ818" s="38"/>
      <c r="AK818" s="38"/>
      <c r="AL818" s="38"/>
      <c r="AM818" s="38"/>
      <c r="AN818" s="38"/>
      <c r="AO818" s="38"/>
      <c r="AP818" s="38"/>
      <c r="AQ818" s="38"/>
      <c r="AR818" s="38"/>
      <c r="AS818" s="38"/>
      <c r="AT818" s="38"/>
      <c r="AU818" s="38"/>
      <c r="AV818" s="38"/>
      <c r="AW818" s="38"/>
      <c r="AX818" s="38"/>
      <c r="AY818" s="38"/>
      <c r="AZ818" s="38"/>
      <c r="BA818" s="38"/>
      <c r="BB818" s="38"/>
      <c r="BC818" s="38"/>
      <c r="BD818" s="38"/>
      <c r="BE818" s="38"/>
      <c r="BF818" s="38"/>
      <c r="BG818" s="38"/>
      <c r="BH818" s="38"/>
      <c r="BI818" s="38"/>
      <c r="BJ818" s="38"/>
      <c r="BK818" s="38"/>
      <c r="BL818" s="38"/>
      <c r="BM818" s="38"/>
      <c r="BN818" s="38"/>
      <c r="BO818" s="38"/>
      <c r="BP818" s="38"/>
    </row>
    <row r="819">
      <c r="A819" s="40"/>
      <c r="B819" s="40"/>
      <c r="AF819" s="38"/>
      <c r="AG819" s="38"/>
      <c r="AH819" s="38"/>
      <c r="AI819" s="38"/>
      <c r="AJ819" s="38"/>
      <c r="AK819" s="38"/>
      <c r="AL819" s="38"/>
      <c r="AM819" s="38"/>
      <c r="AN819" s="38"/>
      <c r="AO819" s="38"/>
      <c r="AP819" s="38"/>
      <c r="AQ819" s="38"/>
      <c r="AR819" s="38"/>
      <c r="AS819" s="38"/>
      <c r="AT819" s="38"/>
      <c r="AU819" s="38"/>
      <c r="AV819" s="38"/>
      <c r="AW819" s="38"/>
      <c r="AX819" s="38"/>
      <c r="AY819" s="38"/>
      <c r="AZ819" s="38"/>
      <c r="BA819" s="38"/>
      <c r="BB819" s="38"/>
      <c r="BC819" s="38"/>
      <c r="BD819" s="38"/>
      <c r="BE819" s="38"/>
      <c r="BF819" s="38"/>
      <c r="BG819" s="38"/>
      <c r="BH819" s="38"/>
      <c r="BI819" s="38"/>
      <c r="BJ819" s="38"/>
      <c r="BK819" s="38"/>
      <c r="BL819" s="38"/>
      <c r="BM819" s="38"/>
      <c r="BN819" s="38"/>
      <c r="BO819" s="38"/>
      <c r="BP819" s="38"/>
    </row>
    <row r="820">
      <c r="A820" s="40"/>
      <c r="B820" s="40"/>
      <c r="AF820" s="38"/>
      <c r="AG820" s="38"/>
      <c r="AH820" s="38"/>
      <c r="AI820" s="38"/>
      <c r="AJ820" s="38"/>
      <c r="AK820" s="38"/>
      <c r="AL820" s="38"/>
      <c r="AM820" s="38"/>
      <c r="AN820" s="38"/>
      <c r="AO820" s="38"/>
      <c r="AP820" s="38"/>
      <c r="AQ820" s="38"/>
      <c r="AR820" s="38"/>
      <c r="AS820" s="38"/>
      <c r="AT820" s="38"/>
      <c r="AU820" s="38"/>
      <c r="AV820" s="38"/>
      <c r="AW820" s="38"/>
      <c r="AX820" s="38"/>
      <c r="AY820" s="38"/>
      <c r="AZ820" s="38"/>
      <c r="BA820" s="38"/>
      <c r="BB820" s="38"/>
      <c r="BC820" s="38"/>
      <c r="BD820" s="38"/>
      <c r="BE820" s="38"/>
      <c r="BF820" s="38"/>
      <c r="BG820" s="38"/>
      <c r="BH820" s="38"/>
      <c r="BI820" s="38"/>
      <c r="BJ820" s="38"/>
      <c r="BK820" s="38"/>
      <c r="BL820" s="38"/>
      <c r="BM820" s="38"/>
      <c r="BN820" s="38"/>
      <c r="BO820" s="38"/>
      <c r="BP820" s="38"/>
    </row>
    <row r="821">
      <c r="A821" s="40"/>
      <c r="B821" s="40"/>
      <c r="AF821" s="38"/>
      <c r="AG821" s="38"/>
      <c r="AH821" s="38"/>
      <c r="AI821" s="38"/>
      <c r="AJ821" s="38"/>
      <c r="AK821" s="38"/>
      <c r="AL821" s="38"/>
      <c r="AM821" s="38"/>
      <c r="AN821" s="38"/>
      <c r="AO821" s="38"/>
      <c r="AP821" s="38"/>
      <c r="AQ821" s="38"/>
      <c r="AR821" s="38"/>
      <c r="AS821" s="38"/>
      <c r="AT821" s="38"/>
      <c r="AU821" s="38"/>
      <c r="AV821" s="38"/>
      <c r="AW821" s="38"/>
      <c r="AX821" s="38"/>
      <c r="AY821" s="38"/>
      <c r="AZ821" s="38"/>
      <c r="BA821" s="38"/>
      <c r="BB821" s="38"/>
      <c r="BC821" s="38"/>
      <c r="BD821" s="38"/>
      <c r="BE821" s="38"/>
      <c r="BF821" s="38"/>
      <c r="BG821" s="38"/>
      <c r="BH821" s="38"/>
      <c r="BI821" s="38"/>
      <c r="BJ821" s="38"/>
      <c r="BK821" s="38"/>
      <c r="BL821" s="38"/>
      <c r="BM821" s="38"/>
      <c r="BN821" s="38"/>
      <c r="BO821" s="38"/>
      <c r="BP821" s="38"/>
    </row>
    <row r="822">
      <c r="A822" s="40"/>
      <c r="B822" s="40"/>
      <c r="AF822" s="38"/>
      <c r="AG822" s="38"/>
      <c r="AH822" s="38"/>
      <c r="AI822" s="38"/>
      <c r="AJ822" s="38"/>
      <c r="AK822" s="38"/>
      <c r="AL822" s="38"/>
      <c r="AM822" s="38"/>
      <c r="AN822" s="38"/>
      <c r="AO822" s="38"/>
      <c r="AP822" s="38"/>
      <c r="AQ822" s="38"/>
      <c r="AR822" s="38"/>
      <c r="AS822" s="38"/>
      <c r="AT822" s="38"/>
      <c r="AU822" s="38"/>
      <c r="AV822" s="38"/>
      <c r="AW822" s="38"/>
      <c r="AX822" s="38"/>
      <c r="AY822" s="38"/>
      <c r="AZ822" s="38"/>
      <c r="BA822" s="38"/>
      <c r="BB822" s="38"/>
      <c r="BC822" s="38"/>
      <c r="BD822" s="38"/>
      <c r="BE822" s="38"/>
      <c r="BF822" s="38"/>
      <c r="BG822" s="38"/>
      <c r="BH822" s="38"/>
      <c r="BI822" s="38"/>
      <c r="BJ822" s="38"/>
      <c r="BK822" s="38"/>
      <c r="BL822" s="38"/>
      <c r="BM822" s="38"/>
      <c r="BN822" s="38"/>
      <c r="BO822" s="38"/>
      <c r="BP822" s="38"/>
    </row>
    <row r="823">
      <c r="A823" s="40"/>
      <c r="B823" s="40"/>
      <c r="AF823" s="38"/>
      <c r="AG823" s="38"/>
      <c r="AH823" s="38"/>
      <c r="AI823" s="38"/>
      <c r="AJ823" s="38"/>
      <c r="AK823" s="38"/>
      <c r="AL823" s="38"/>
      <c r="AM823" s="38"/>
      <c r="AN823" s="38"/>
      <c r="AO823" s="38"/>
      <c r="AP823" s="38"/>
      <c r="AQ823" s="38"/>
      <c r="AR823" s="38"/>
      <c r="AS823" s="38"/>
      <c r="AT823" s="38"/>
      <c r="AU823" s="38"/>
      <c r="AV823" s="38"/>
      <c r="AW823" s="38"/>
      <c r="AX823" s="38"/>
      <c r="AY823" s="38"/>
      <c r="AZ823" s="38"/>
      <c r="BA823" s="38"/>
      <c r="BB823" s="38"/>
      <c r="BC823" s="38"/>
      <c r="BD823" s="38"/>
      <c r="BE823" s="38"/>
      <c r="BF823" s="38"/>
      <c r="BG823" s="38"/>
      <c r="BH823" s="38"/>
      <c r="BI823" s="38"/>
      <c r="BJ823" s="38"/>
      <c r="BK823" s="38"/>
      <c r="BL823" s="38"/>
      <c r="BM823" s="38"/>
      <c r="BN823" s="38"/>
      <c r="BO823" s="38"/>
      <c r="BP823" s="38"/>
    </row>
    <row r="824">
      <c r="A824" s="40"/>
      <c r="B824" s="40"/>
      <c r="AF824" s="38"/>
      <c r="AG824" s="38"/>
      <c r="AH824" s="38"/>
      <c r="AI824" s="38"/>
      <c r="AJ824" s="38"/>
      <c r="AK824" s="38"/>
      <c r="AL824" s="38"/>
      <c r="AM824" s="38"/>
      <c r="AN824" s="38"/>
      <c r="AO824" s="38"/>
      <c r="AP824" s="38"/>
      <c r="AQ824" s="38"/>
      <c r="AR824" s="38"/>
      <c r="AS824" s="38"/>
      <c r="AT824" s="38"/>
      <c r="AU824" s="38"/>
      <c r="AV824" s="38"/>
      <c r="AW824" s="38"/>
      <c r="AX824" s="38"/>
      <c r="AY824" s="38"/>
      <c r="AZ824" s="38"/>
      <c r="BA824" s="38"/>
      <c r="BB824" s="38"/>
      <c r="BC824" s="38"/>
      <c r="BD824" s="38"/>
      <c r="BE824" s="38"/>
      <c r="BF824" s="38"/>
      <c r="BG824" s="38"/>
      <c r="BH824" s="38"/>
      <c r="BI824" s="38"/>
      <c r="BJ824" s="38"/>
      <c r="BK824" s="38"/>
      <c r="BL824" s="38"/>
      <c r="BM824" s="38"/>
      <c r="BN824" s="38"/>
      <c r="BO824" s="38"/>
      <c r="BP824" s="38"/>
    </row>
    <row r="825">
      <c r="A825" s="40"/>
      <c r="B825" s="40"/>
      <c r="AF825" s="38"/>
      <c r="AG825" s="38"/>
      <c r="AH825" s="38"/>
      <c r="AI825" s="38"/>
      <c r="AJ825" s="38"/>
      <c r="AK825" s="38"/>
      <c r="AL825" s="38"/>
      <c r="AM825" s="38"/>
      <c r="AN825" s="38"/>
      <c r="AO825" s="38"/>
      <c r="AP825" s="38"/>
      <c r="AQ825" s="38"/>
      <c r="AR825" s="38"/>
      <c r="AS825" s="38"/>
      <c r="AT825" s="38"/>
      <c r="AU825" s="38"/>
      <c r="AV825" s="38"/>
      <c r="AW825" s="38"/>
      <c r="AX825" s="38"/>
      <c r="AY825" s="38"/>
      <c r="AZ825" s="38"/>
      <c r="BA825" s="38"/>
      <c r="BB825" s="38"/>
      <c r="BC825" s="38"/>
      <c r="BD825" s="38"/>
      <c r="BE825" s="38"/>
      <c r="BF825" s="38"/>
      <c r="BG825" s="38"/>
      <c r="BH825" s="38"/>
      <c r="BI825" s="38"/>
      <c r="BJ825" s="38"/>
      <c r="BK825" s="38"/>
      <c r="BL825" s="38"/>
      <c r="BM825" s="38"/>
      <c r="BN825" s="38"/>
      <c r="BO825" s="38"/>
      <c r="BP825" s="38"/>
    </row>
    <row r="826">
      <c r="A826" s="40"/>
      <c r="B826" s="40"/>
      <c r="AF826" s="38"/>
      <c r="AG826" s="38"/>
      <c r="AH826" s="38"/>
      <c r="AI826" s="38"/>
      <c r="AJ826" s="38"/>
      <c r="AK826" s="38"/>
      <c r="AL826" s="38"/>
      <c r="AM826" s="38"/>
      <c r="AN826" s="38"/>
      <c r="AO826" s="38"/>
      <c r="AP826" s="38"/>
      <c r="AQ826" s="38"/>
      <c r="AR826" s="38"/>
      <c r="AS826" s="38"/>
      <c r="AT826" s="38"/>
      <c r="AU826" s="38"/>
      <c r="AV826" s="38"/>
      <c r="AW826" s="38"/>
      <c r="AX826" s="38"/>
      <c r="AY826" s="38"/>
      <c r="AZ826" s="38"/>
      <c r="BA826" s="38"/>
      <c r="BB826" s="38"/>
      <c r="BC826" s="38"/>
      <c r="BD826" s="38"/>
      <c r="BE826" s="38"/>
      <c r="BF826" s="38"/>
      <c r="BG826" s="38"/>
      <c r="BH826" s="38"/>
      <c r="BI826" s="38"/>
      <c r="BJ826" s="38"/>
      <c r="BK826" s="38"/>
      <c r="BL826" s="38"/>
      <c r="BM826" s="38"/>
      <c r="BN826" s="38"/>
      <c r="BO826" s="38"/>
      <c r="BP826" s="38"/>
    </row>
    <row r="827">
      <c r="A827" s="40"/>
      <c r="B827" s="40"/>
      <c r="AF827" s="38"/>
      <c r="AG827" s="38"/>
      <c r="AH827" s="38"/>
      <c r="AI827" s="38"/>
      <c r="AJ827" s="38"/>
      <c r="AK827" s="38"/>
      <c r="AL827" s="38"/>
      <c r="AM827" s="38"/>
      <c r="AN827" s="38"/>
      <c r="AO827" s="38"/>
      <c r="AP827" s="38"/>
      <c r="AQ827" s="38"/>
      <c r="AR827" s="38"/>
      <c r="AS827" s="38"/>
      <c r="AT827" s="38"/>
      <c r="AU827" s="38"/>
      <c r="AV827" s="38"/>
      <c r="AW827" s="38"/>
      <c r="AX827" s="38"/>
      <c r="AY827" s="38"/>
      <c r="AZ827" s="38"/>
      <c r="BA827" s="38"/>
      <c r="BB827" s="38"/>
      <c r="BC827" s="38"/>
      <c r="BD827" s="38"/>
      <c r="BE827" s="38"/>
      <c r="BF827" s="38"/>
      <c r="BG827" s="38"/>
      <c r="BH827" s="38"/>
      <c r="BI827" s="38"/>
      <c r="BJ827" s="38"/>
      <c r="BK827" s="38"/>
      <c r="BL827" s="38"/>
      <c r="BM827" s="38"/>
      <c r="BN827" s="38"/>
      <c r="BO827" s="38"/>
      <c r="BP827" s="38"/>
    </row>
    <row r="828">
      <c r="A828" s="40"/>
      <c r="B828" s="40"/>
      <c r="AF828" s="38"/>
      <c r="AG828" s="38"/>
      <c r="AH828" s="38"/>
      <c r="AI828" s="38"/>
      <c r="AJ828" s="38"/>
      <c r="AK828" s="38"/>
      <c r="AL828" s="38"/>
      <c r="AM828" s="38"/>
      <c r="AN828" s="38"/>
      <c r="AO828" s="38"/>
      <c r="AP828" s="38"/>
      <c r="AQ828" s="38"/>
      <c r="AR828" s="38"/>
      <c r="AS828" s="38"/>
      <c r="AT828" s="38"/>
      <c r="AU828" s="38"/>
      <c r="AV828" s="38"/>
      <c r="AW828" s="38"/>
      <c r="AX828" s="38"/>
      <c r="AY828" s="38"/>
      <c r="AZ828" s="38"/>
      <c r="BA828" s="38"/>
      <c r="BB828" s="38"/>
      <c r="BC828" s="38"/>
      <c r="BD828" s="38"/>
      <c r="BE828" s="38"/>
      <c r="BF828" s="38"/>
      <c r="BG828" s="38"/>
      <c r="BH828" s="38"/>
      <c r="BI828" s="38"/>
      <c r="BJ828" s="38"/>
      <c r="BK828" s="38"/>
      <c r="BL828" s="38"/>
      <c r="BM828" s="38"/>
      <c r="BN828" s="38"/>
      <c r="BO828" s="38"/>
      <c r="BP828" s="38"/>
    </row>
    <row r="829">
      <c r="A829" s="40"/>
      <c r="B829" s="40"/>
      <c r="AF829" s="38"/>
      <c r="AG829" s="38"/>
      <c r="AH829" s="38"/>
      <c r="AI829" s="38"/>
      <c r="AJ829" s="38"/>
      <c r="AK829" s="38"/>
      <c r="AL829" s="38"/>
      <c r="AM829" s="38"/>
      <c r="AN829" s="38"/>
      <c r="AO829" s="38"/>
      <c r="AP829" s="38"/>
      <c r="AQ829" s="38"/>
      <c r="AR829" s="38"/>
      <c r="AS829" s="38"/>
      <c r="AT829" s="38"/>
      <c r="AU829" s="38"/>
      <c r="AV829" s="38"/>
      <c r="AW829" s="38"/>
      <c r="AX829" s="38"/>
      <c r="AY829" s="38"/>
      <c r="AZ829" s="38"/>
      <c r="BA829" s="38"/>
      <c r="BB829" s="38"/>
      <c r="BC829" s="38"/>
      <c r="BD829" s="38"/>
      <c r="BE829" s="38"/>
      <c r="BF829" s="38"/>
      <c r="BG829" s="38"/>
      <c r="BH829" s="38"/>
      <c r="BI829" s="38"/>
      <c r="BJ829" s="38"/>
      <c r="BK829" s="38"/>
      <c r="BL829" s="38"/>
      <c r="BM829" s="38"/>
      <c r="BN829" s="38"/>
      <c r="BO829" s="38"/>
      <c r="BP829" s="38"/>
    </row>
    <row r="830">
      <c r="A830" s="40"/>
      <c r="B830" s="40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  <c r="AZ830" s="38"/>
      <c r="BA830" s="38"/>
      <c r="BB830" s="38"/>
      <c r="BC830" s="38"/>
      <c r="BD830" s="38"/>
      <c r="BE830" s="38"/>
      <c r="BF830" s="38"/>
      <c r="BG830" s="38"/>
      <c r="BH830" s="38"/>
      <c r="BI830" s="38"/>
      <c r="BJ830" s="38"/>
      <c r="BK830" s="38"/>
      <c r="BL830" s="38"/>
      <c r="BM830" s="38"/>
      <c r="BN830" s="38"/>
      <c r="BO830" s="38"/>
      <c r="BP830" s="38"/>
    </row>
    <row r="831">
      <c r="A831" s="40"/>
      <c r="B831" s="40"/>
      <c r="AF831" s="38"/>
      <c r="AG831" s="38"/>
      <c r="AH831" s="38"/>
      <c r="AI831" s="38"/>
      <c r="AJ831" s="38"/>
      <c r="AK831" s="38"/>
      <c r="AL831" s="38"/>
      <c r="AM831" s="38"/>
      <c r="AN831" s="38"/>
      <c r="AO831" s="38"/>
      <c r="AP831" s="38"/>
      <c r="AQ831" s="38"/>
      <c r="AR831" s="38"/>
      <c r="AS831" s="38"/>
      <c r="AT831" s="38"/>
      <c r="AU831" s="38"/>
      <c r="AV831" s="38"/>
      <c r="AW831" s="38"/>
      <c r="AX831" s="38"/>
      <c r="AY831" s="38"/>
      <c r="AZ831" s="38"/>
      <c r="BA831" s="38"/>
      <c r="BB831" s="38"/>
      <c r="BC831" s="38"/>
      <c r="BD831" s="38"/>
      <c r="BE831" s="38"/>
      <c r="BF831" s="38"/>
      <c r="BG831" s="38"/>
      <c r="BH831" s="38"/>
      <c r="BI831" s="38"/>
      <c r="BJ831" s="38"/>
      <c r="BK831" s="38"/>
      <c r="BL831" s="38"/>
      <c r="BM831" s="38"/>
      <c r="BN831" s="38"/>
      <c r="BO831" s="38"/>
      <c r="BP831" s="38"/>
    </row>
    <row r="832">
      <c r="A832" s="40"/>
      <c r="B832" s="40"/>
      <c r="AF832" s="38"/>
      <c r="AG832" s="38"/>
      <c r="AH832" s="38"/>
      <c r="AI832" s="38"/>
      <c r="AJ832" s="38"/>
      <c r="AK832" s="38"/>
      <c r="AL832" s="38"/>
      <c r="AM832" s="38"/>
      <c r="AN832" s="38"/>
      <c r="AO832" s="38"/>
      <c r="AP832" s="38"/>
      <c r="AQ832" s="38"/>
      <c r="AR832" s="38"/>
      <c r="AS832" s="38"/>
      <c r="AT832" s="38"/>
      <c r="AU832" s="38"/>
      <c r="AV832" s="38"/>
      <c r="AW832" s="38"/>
      <c r="AX832" s="38"/>
      <c r="AY832" s="38"/>
      <c r="AZ832" s="38"/>
      <c r="BA832" s="38"/>
      <c r="BB832" s="38"/>
      <c r="BC832" s="38"/>
      <c r="BD832" s="38"/>
      <c r="BE832" s="38"/>
      <c r="BF832" s="38"/>
      <c r="BG832" s="38"/>
      <c r="BH832" s="38"/>
      <c r="BI832" s="38"/>
      <c r="BJ832" s="38"/>
      <c r="BK832" s="38"/>
      <c r="BL832" s="38"/>
      <c r="BM832" s="38"/>
      <c r="BN832" s="38"/>
      <c r="BO832" s="38"/>
      <c r="BP832" s="38"/>
    </row>
    <row r="833">
      <c r="A833" s="40"/>
      <c r="B833" s="40"/>
      <c r="AF833" s="38"/>
      <c r="AG833" s="38"/>
      <c r="AH833" s="38"/>
      <c r="AI833" s="38"/>
      <c r="AJ833" s="38"/>
      <c r="AK833" s="38"/>
      <c r="AL833" s="38"/>
      <c r="AM833" s="38"/>
      <c r="AN833" s="38"/>
      <c r="AO833" s="38"/>
      <c r="AP833" s="38"/>
      <c r="AQ833" s="38"/>
      <c r="AR833" s="38"/>
      <c r="AS833" s="38"/>
      <c r="AT833" s="38"/>
      <c r="AU833" s="38"/>
      <c r="AV833" s="38"/>
      <c r="AW833" s="38"/>
      <c r="AX833" s="38"/>
      <c r="AY833" s="38"/>
      <c r="AZ833" s="38"/>
      <c r="BA833" s="38"/>
      <c r="BB833" s="38"/>
      <c r="BC833" s="38"/>
      <c r="BD833" s="38"/>
      <c r="BE833" s="38"/>
      <c r="BF833" s="38"/>
      <c r="BG833" s="38"/>
      <c r="BH833" s="38"/>
      <c r="BI833" s="38"/>
      <c r="BJ833" s="38"/>
      <c r="BK833" s="38"/>
      <c r="BL833" s="38"/>
      <c r="BM833" s="38"/>
      <c r="BN833" s="38"/>
      <c r="BO833" s="38"/>
      <c r="BP833" s="38"/>
    </row>
    <row r="834">
      <c r="A834" s="40"/>
      <c r="B834" s="40"/>
      <c r="AF834" s="38"/>
      <c r="AG834" s="38"/>
      <c r="AH834" s="38"/>
      <c r="AI834" s="38"/>
      <c r="AJ834" s="38"/>
      <c r="AK834" s="38"/>
      <c r="AL834" s="38"/>
      <c r="AM834" s="38"/>
      <c r="AN834" s="38"/>
      <c r="AO834" s="38"/>
      <c r="AP834" s="38"/>
      <c r="AQ834" s="38"/>
      <c r="AR834" s="38"/>
      <c r="AS834" s="38"/>
      <c r="AT834" s="38"/>
      <c r="AU834" s="38"/>
      <c r="AV834" s="38"/>
      <c r="AW834" s="38"/>
      <c r="AX834" s="38"/>
      <c r="AY834" s="38"/>
      <c r="AZ834" s="38"/>
      <c r="BA834" s="38"/>
      <c r="BB834" s="38"/>
      <c r="BC834" s="38"/>
      <c r="BD834" s="38"/>
      <c r="BE834" s="38"/>
      <c r="BF834" s="38"/>
      <c r="BG834" s="38"/>
      <c r="BH834" s="38"/>
      <c r="BI834" s="38"/>
      <c r="BJ834" s="38"/>
      <c r="BK834" s="38"/>
      <c r="BL834" s="38"/>
      <c r="BM834" s="38"/>
      <c r="BN834" s="38"/>
      <c r="BO834" s="38"/>
      <c r="BP834" s="38"/>
    </row>
    <row r="835">
      <c r="A835" s="40"/>
      <c r="B835" s="40"/>
      <c r="AF835" s="38"/>
      <c r="AG835" s="38"/>
      <c r="AH835" s="38"/>
      <c r="AI835" s="38"/>
      <c r="AJ835" s="38"/>
      <c r="AK835" s="38"/>
      <c r="AL835" s="38"/>
      <c r="AM835" s="38"/>
      <c r="AN835" s="38"/>
      <c r="AO835" s="38"/>
      <c r="AP835" s="38"/>
      <c r="AQ835" s="38"/>
      <c r="AR835" s="38"/>
      <c r="AS835" s="38"/>
      <c r="AT835" s="38"/>
      <c r="AU835" s="38"/>
      <c r="AV835" s="38"/>
      <c r="AW835" s="38"/>
      <c r="AX835" s="38"/>
      <c r="AY835" s="38"/>
      <c r="AZ835" s="38"/>
      <c r="BA835" s="38"/>
      <c r="BB835" s="38"/>
      <c r="BC835" s="38"/>
      <c r="BD835" s="38"/>
      <c r="BE835" s="38"/>
      <c r="BF835" s="38"/>
      <c r="BG835" s="38"/>
      <c r="BH835" s="38"/>
      <c r="BI835" s="38"/>
      <c r="BJ835" s="38"/>
      <c r="BK835" s="38"/>
      <c r="BL835" s="38"/>
      <c r="BM835" s="38"/>
      <c r="BN835" s="38"/>
      <c r="BO835" s="38"/>
      <c r="BP835" s="38"/>
    </row>
    <row r="836">
      <c r="A836" s="40"/>
      <c r="B836" s="40"/>
      <c r="AF836" s="38"/>
      <c r="AG836" s="38"/>
      <c r="AH836" s="38"/>
      <c r="AI836" s="38"/>
      <c r="AJ836" s="38"/>
      <c r="AK836" s="38"/>
      <c r="AL836" s="38"/>
      <c r="AM836" s="38"/>
      <c r="AN836" s="38"/>
      <c r="AO836" s="38"/>
      <c r="AP836" s="38"/>
      <c r="AQ836" s="38"/>
      <c r="AR836" s="38"/>
      <c r="AS836" s="38"/>
      <c r="AT836" s="38"/>
      <c r="AU836" s="38"/>
      <c r="AV836" s="38"/>
      <c r="AW836" s="38"/>
      <c r="AX836" s="38"/>
      <c r="AY836" s="38"/>
      <c r="AZ836" s="38"/>
      <c r="BA836" s="38"/>
      <c r="BB836" s="38"/>
      <c r="BC836" s="38"/>
      <c r="BD836" s="38"/>
      <c r="BE836" s="38"/>
      <c r="BF836" s="38"/>
      <c r="BG836" s="38"/>
      <c r="BH836" s="38"/>
      <c r="BI836" s="38"/>
      <c r="BJ836" s="38"/>
      <c r="BK836" s="38"/>
      <c r="BL836" s="38"/>
      <c r="BM836" s="38"/>
      <c r="BN836" s="38"/>
      <c r="BO836" s="38"/>
      <c r="BP836" s="38"/>
    </row>
    <row r="837">
      <c r="A837" s="40"/>
      <c r="B837" s="40"/>
      <c r="AF837" s="38"/>
      <c r="AG837" s="38"/>
      <c r="AH837" s="38"/>
      <c r="AI837" s="38"/>
      <c r="AJ837" s="38"/>
      <c r="AK837" s="38"/>
      <c r="AL837" s="38"/>
      <c r="AM837" s="38"/>
      <c r="AN837" s="38"/>
      <c r="AO837" s="38"/>
      <c r="AP837" s="38"/>
      <c r="AQ837" s="38"/>
      <c r="AR837" s="38"/>
      <c r="AS837" s="38"/>
      <c r="AT837" s="38"/>
      <c r="AU837" s="38"/>
      <c r="AV837" s="38"/>
      <c r="AW837" s="38"/>
      <c r="AX837" s="38"/>
      <c r="AY837" s="38"/>
      <c r="AZ837" s="38"/>
      <c r="BA837" s="38"/>
      <c r="BB837" s="38"/>
      <c r="BC837" s="38"/>
      <c r="BD837" s="38"/>
      <c r="BE837" s="38"/>
      <c r="BF837" s="38"/>
      <c r="BG837" s="38"/>
      <c r="BH837" s="38"/>
      <c r="BI837" s="38"/>
      <c r="BJ837" s="38"/>
      <c r="BK837" s="38"/>
      <c r="BL837" s="38"/>
      <c r="BM837" s="38"/>
      <c r="BN837" s="38"/>
      <c r="BO837" s="38"/>
      <c r="BP837" s="38"/>
    </row>
    <row r="838">
      <c r="A838" s="40"/>
      <c r="B838" s="40"/>
      <c r="AF838" s="38"/>
      <c r="AG838" s="38"/>
      <c r="AH838" s="38"/>
      <c r="AI838" s="38"/>
      <c r="AJ838" s="38"/>
      <c r="AK838" s="38"/>
      <c r="AL838" s="38"/>
      <c r="AM838" s="38"/>
      <c r="AN838" s="38"/>
      <c r="AO838" s="38"/>
      <c r="AP838" s="38"/>
      <c r="AQ838" s="38"/>
      <c r="AR838" s="38"/>
      <c r="AS838" s="38"/>
      <c r="AT838" s="38"/>
      <c r="AU838" s="38"/>
      <c r="AV838" s="38"/>
      <c r="AW838" s="38"/>
      <c r="AX838" s="38"/>
      <c r="AY838" s="38"/>
      <c r="AZ838" s="38"/>
      <c r="BA838" s="38"/>
      <c r="BB838" s="38"/>
      <c r="BC838" s="38"/>
      <c r="BD838" s="38"/>
      <c r="BE838" s="38"/>
      <c r="BF838" s="38"/>
      <c r="BG838" s="38"/>
      <c r="BH838" s="38"/>
      <c r="BI838" s="38"/>
      <c r="BJ838" s="38"/>
      <c r="BK838" s="38"/>
      <c r="BL838" s="38"/>
      <c r="BM838" s="38"/>
      <c r="BN838" s="38"/>
      <c r="BO838" s="38"/>
      <c r="BP838" s="38"/>
    </row>
    <row r="839">
      <c r="A839" s="40"/>
      <c r="B839" s="40"/>
      <c r="AF839" s="38"/>
      <c r="AG839" s="38"/>
      <c r="AH839" s="38"/>
      <c r="AI839" s="38"/>
      <c r="AJ839" s="38"/>
      <c r="AK839" s="38"/>
      <c r="AL839" s="38"/>
      <c r="AM839" s="38"/>
      <c r="AN839" s="38"/>
      <c r="AO839" s="38"/>
      <c r="AP839" s="38"/>
      <c r="AQ839" s="38"/>
      <c r="AR839" s="38"/>
      <c r="AS839" s="38"/>
      <c r="AT839" s="38"/>
      <c r="AU839" s="38"/>
      <c r="AV839" s="38"/>
      <c r="AW839" s="38"/>
      <c r="AX839" s="38"/>
      <c r="AY839" s="38"/>
      <c r="AZ839" s="38"/>
      <c r="BA839" s="38"/>
      <c r="BB839" s="38"/>
      <c r="BC839" s="38"/>
      <c r="BD839" s="38"/>
      <c r="BE839" s="38"/>
      <c r="BF839" s="38"/>
      <c r="BG839" s="38"/>
      <c r="BH839" s="38"/>
      <c r="BI839" s="38"/>
      <c r="BJ839" s="38"/>
      <c r="BK839" s="38"/>
      <c r="BL839" s="38"/>
      <c r="BM839" s="38"/>
      <c r="BN839" s="38"/>
      <c r="BO839" s="38"/>
      <c r="BP839" s="38"/>
    </row>
    <row r="840">
      <c r="A840" s="40"/>
      <c r="B840" s="40"/>
      <c r="AF840" s="38"/>
      <c r="AG840" s="38"/>
      <c r="AH840" s="38"/>
      <c r="AI840" s="38"/>
      <c r="AJ840" s="38"/>
      <c r="AK840" s="38"/>
      <c r="AL840" s="38"/>
      <c r="AM840" s="38"/>
      <c r="AN840" s="38"/>
      <c r="AO840" s="38"/>
      <c r="AP840" s="38"/>
      <c r="AQ840" s="38"/>
      <c r="AR840" s="38"/>
      <c r="AS840" s="38"/>
      <c r="AT840" s="38"/>
      <c r="AU840" s="38"/>
      <c r="AV840" s="38"/>
      <c r="AW840" s="38"/>
      <c r="AX840" s="38"/>
      <c r="AY840" s="38"/>
      <c r="AZ840" s="38"/>
      <c r="BA840" s="38"/>
      <c r="BB840" s="38"/>
      <c r="BC840" s="38"/>
      <c r="BD840" s="38"/>
      <c r="BE840" s="38"/>
      <c r="BF840" s="38"/>
      <c r="BG840" s="38"/>
      <c r="BH840" s="38"/>
      <c r="BI840" s="38"/>
      <c r="BJ840" s="38"/>
      <c r="BK840" s="38"/>
      <c r="BL840" s="38"/>
      <c r="BM840" s="38"/>
      <c r="BN840" s="38"/>
      <c r="BO840" s="38"/>
      <c r="BP840" s="38"/>
    </row>
    <row r="841">
      <c r="A841" s="40"/>
      <c r="B841" s="40"/>
      <c r="AF841" s="38"/>
      <c r="AG841" s="38"/>
      <c r="AH841" s="38"/>
      <c r="AI841" s="38"/>
      <c r="AJ841" s="38"/>
      <c r="AK841" s="38"/>
      <c r="AL841" s="38"/>
      <c r="AM841" s="38"/>
      <c r="AN841" s="38"/>
      <c r="AO841" s="38"/>
      <c r="AP841" s="38"/>
      <c r="AQ841" s="38"/>
      <c r="AR841" s="38"/>
      <c r="AS841" s="38"/>
      <c r="AT841" s="38"/>
      <c r="AU841" s="38"/>
      <c r="AV841" s="38"/>
      <c r="AW841" s="38"/>
      <c r="AX841" s="38"/>
      <c r="AY841" s="38"/>
      <c r="AZ841" s="38"/>
      <c r="BA841" s="38"/>
      <c r="BB841" s="38"/>
      <c r="BC841" s="38"/>
      <c r="BD841" s="38"/>
      <c r="BE841" s="38"/>
      <c r="BF841" s="38"/>
      <c r="BG841" s="38"/>
      <c r="BH841" s="38"/>
      <c r="BI841" s="38"/>
      <c r="BJ841" s="38"/>
      <c r="BK841" s="38"/>
      <c r="BL841" s="38"/>
      <c r="BM841" s="38"/>
      <c r="BN841" s="38"/>
      <c r="BO841" s="38"/>
      <c r="BP841" s="38"/>
    </row>
    <row r="842">
      <c r="A842" s="40"/>
      <c r="B842" s="40"/>
      <c r="AF842" s="38"/>
      <c r="AG842" s="38"/>
      <c r="AH842" s="38"/>
      <c r="AI842" s="38"/>
      <c r="AJ842" s="38"/>
      <c r="AK842" s="38"/>
      <c r="AL842" s="38"/>
      <c r="AM842" s="38"/>
      <c r="AN842" s="38"/>
      <c r="AO842" s="38"/>
      <c r="AP842" s="38"/>
      <c r="AQ842" s="38"/>
      <c r="AR842" s="38"/>
      <c r="AS842" s="38"/>
      <c r="AT842" s="38"/>
      <c r="AU842" s="38"/>
      <c r="AV842" s="38"/>
      <c r="AW842" s="38"/>
      <c r="AX842" s="38"/>
      <c r="AY842" s="38"/>
      <c r="AZ842" s="38"/>
      <c r="BA842" s="38"/>
      <c r="BB842" s="38"/>
      <c r="BC842" s="38"/>
      <c r="BD842" s="38"/>
      <c r="BE842" s="38"/>
      <c r="BF842" s="38"/>
      <c r="BG842" s="38"/>
      <c r="BH842" s="38"/>
      <c r="BI842" s="38"/>
      <c r="BJ842" s="38"/>
      <c r="BK842" s="38"/>
      <c r="BL842" s="38"/>
      <c r="BM842" s="38"/>
      <c r="BN842" s="38"/>
      <c r="BO842" s="38"/>
      <c r="BP842" s="38"/>
    </row>
    <row r="843">
      <c r="A843" s="40"/>
      <c r="B843" s="40"/>
      <c r="AF843" s="38"/>
      <c r="AG843" s="38"/>
      <c r="AH843" s="38"/>
      <c r="AI843" s="38"/>
      <c r="AJ843" s="38"/>
      <c r="AK843" s="38"/>
      <c r="AL843" s="38"/>
      <c r="AM843" s="38"/>
      <c r="AN843" s="38"/>
      <c r="AO843" s="38"/>
      <c r="AP843" s="38"/>
      <c r="AQ843" s="38"/>
      <c r="AR843" s="38"/>
      <c r="AS843" s="38"/>
      <c r="AT843" s="38"/>
      <c r="AU843" s="38"/>
      <c r="AV843" s="38"/>
      <c r="AW843" s="38"/>
      <c r="AX843" s="38"/>
      <c r="AY843" s="38"/>
      <c r="AZ843" s="38"/>
      <c r="BA843" s="38"/>
      <c r="BB843" s="38"/>
      <c r="BC843" s="38"/>
      <c r="BD843" s="38"/>
      <c r="BE843" s="38"/>
      <c r="BF843" s="38"/>
      <c r="BG843" s="38"/>
      <c r="BH843" s="38"/>
      <c r="BI843" s="38"/>
      <c r="BJ843" s="38"/>
      <c r="BK843" s="38"/>
      <c r="BL843" s="38"/>
      <c r="BM843" s="38"/>
      <c r="BN843" s="38"/>
      <c r="BO843" s="38"/>
      <c r="BP843" s="38"/>
    </row>
    <row r="844">
      <c r="A844" s="40"/>
      <c r="B844" s="40"/>
      <c r="AF844" s="38"/>
      <c r="AG844" s="38"/>
      <c r="AH844" s="38"/>
      <c r="AI844" s="38"/>
      <c r="AJ844" s="38"/>
      <c r="AK844" s="38"/>
      <c r="AL844" s="38"/>
      <c r="AM844" s="38"/>
      <c r="AN844" s="38"/>
      <c r="AO844" s="38"/>
      <c r="AP844" s="38"/>
      <c r="AQ844" s="38"/>
      <c r="AR844" s="38"/>
      <c r="AS844" s="38"/>
      <c r="AT844" s="38"/>
      <c r="AU844" s="38"/>
      <c r="AV844" s="38"/>
      <c r="AW844" s="38"/>
      <c r="AX844" s="38"/>
      <c r="AY844" s="38"/>
      <c r="AZ844" s="38"/>
      <c r="BA844" s="38"/>
      <c r="BB844" s="38"/>
      <c r="BC844" s="38"/>
      <c r="BD844" s="38"/>
      <c r="BE844" s="38"/>
      <c r="BF844" s="38"/>
      <c r="BG844" s="38"/>
      <c r="BH844" s="38"/>
      <c r="BI844" s="38"/>
      <c r="BJ844" s="38"/>
      <c r="BK844" s="38"/>
      <c r="BL844" s="38"/>
      <c r="BM844" s="38"/>
      <c r="BN844" s="38"/>
      <c r="BO844" s="38"/>
      <c r="BP844" s="38"/>
    </row>
    <row r="845">
      <c r="A845" s="40"/>
      <c r="B845" s="40"/>
      <c r="AF845" s="38"/>
      <c r="AG845" s="38"/>
      <c r="AH845" s="38"/>
      <c r="AI845" s="38"/>
      <c r="AJ845" s="38"/>
      <c r="AK845" s="38"/>
      <c r="AL845" s="38"/>
      <c r="AM845" s="38"/>
      <c r="AN845" s="38"/>
      <c r="AO845" s="38"/>
      <c r="AP845" s="38"/>
      <c r="AQ845" s="38"/>
      <c r="AR845" s="38"/>
      <c r="AS845" s="38"/>
      <c r="AT845" s="38"/>
      <c r="AU845" s="38"/>
      <c r="AV845" s="38"/>
      <c r="AW845" s="38"/>
      <c r="AX845" s="38"/>
      <c r="AY845" s="38"/>
      <c r="AZ845" s="38"/>
      <c r="BA845" s="38"/>
      <c r="BB845" s="38"/>
      <c r="BC845" s="38"/>
      <c r="BD845" s="38"/>
      <c r="BE845" s="38"/>
      <c r="BF845" s="38"/>
      <c r="BG845" s="38"/>
      <c r="BH845" s="38"/>
      <c r="BI845" s="38"/>
      <c r="BJ845" s="38"/>
      <c r="BK845" s="38"/>
      <c r="BL845" s="38"/>
      <c r="BM845" s="38"/>
      <c r="BN845" s="38"/>
      <c r="BO845" s="38"/>
      <c r="BP845" s="38"/>
    </row>
    <row r="846">
      <c r="A846" s="40"/>
      <c r="B846" s="40"/>
      <c r="AF846" s="38"/>
      <c r="AG846" s="38"/>
      <c r="AH846" s="38"/>
      <c r="AI846" s="38"/>
      <c r="AJ846" s="38"/>
      <c r="AK846" s="38"/>
      <c r="AL846" s="38"/>
      <c r="AM846" s="38"/>
      <c r="AN846" s="38"/>
      <c r="AO846" s="38"/>
      <c r="AP846" s="38"/>
      <c r="AQ846" s="38"/>
      <c r="AR846" s="38"/>
      <c r="AS846" s="38"/>
      <c r="AT846" s="38"/>
      <c r="AU846" s="38"/>
      <c r="AV846" s="38"/>
      <c r="AW846" s="38"/>
      <c r="AX846" s="38"/>
      <c r="AY846" s="38"/>
      <c r="AZ846" s="38"/>
      <c r="BA846" s="38"/>
      <c r="BB846" s="38"/>
      <c r="BC846" s="38"/>
      <c r="BD846" s="38"/>
      <c r="BE846" s="38"/>
      <c r="BF846" s="38"/>
      <c r="BG846" s="38"/>
      <c r="BH846" s="38"/>
      <c r="BI846" s="38"/>
      <c r="BJ846" s="38"/>
      <c r="BK846" s="38"/>
      <c r="BL846" s="38"/>
      <c r="BM846" s="38"/>
      <c r="BN846" s="38"/>
      <c r="BO846" s="38"/>
      <c r="BP846" s="38"/>
    </row>
    <row r="847">
      <c r="A847" s="40"/>
      <c r="B847" s="40"/>
      <c r="AF847" s="38"/>
      <c r="AG847" s="38"/>
      <c r="AH847" s="38"/>
      <c r="AI847" s="38"/>
      <c r="AJ847" s="38"/>
      <c r="AK847" s="38"/>
      <c r="AL847" s="38"/>
      <c r="AM847" s="38"/>
      <c r="AN847" s="38"/>
      <c r="AO847" s="38"/>
      <c r="AP847" s="38"/>
      <c r="AQ847" s="38"/>
      <c r="AR847" s="38"/>
      <c r="AS847" s="38"/>
      <c r="AT847" s="38"/>
      <c r="AU847" s="38"/>
      <c r="AV847" s="38"/>
      <c r="AW847" s="38"/>
      <c r="AX847" s="38"/>
      <c r="AY847" s="38"/>
      <c r="AZ847" s="38"/>
      <c r="BA847" s="38"/>
      <c r="BB847" s="38"/>
      <c r="BC847" s="38"/>
      <c r="BD847" s="38"/>
      <c r="BE847" s="38"/>
      <c r="BF847" s="38"/>
      <c r="BG847" s="38"/>
      <c r="BH847" s="38"/>
      <c r="BI847" s="38"/>
      <c r="BJ847" s="38"/>
      <c r="BK847" s="38"/>
      <c r="BL847" s="38"/>
      <c r="BM847" s="38"/>
      <c r="BN847" s="38"/>
      <c r="BO847" s="38"/>
      <c r="BP847" s="38"/>
    </row>
    <row r="848">
      <c r="A848" s="40"/>
      <c r="B848" s="40"/>
      <c r="AF848" s="38"/>
      <c r="AG848" s="38"/>
      <c r="AH848" s="38"/>
      <c r="AI848" s="38"/>
      <c r="AJ848" s="38"/>
      <c r="AK848" s="38"/>
      <c r="AL848" s="38"/>
      <c r="AM848" s="38"/>
      <c r="AN848" s="38"/>
      <c r="AO848" s="38"/>
      <c r="AP848" s="38"/>
      <c r="AQ848" s="38"/>
      <c r="AR848" s="38"/>
      <c r="AS848" s="38"/>
      <c r="AT848" s="38"/>
      <c r="AU848" s="38"/>
      <c r="AV848" s="38"/>
      <c r="AW848" s="38"/>
      <c r="AX848" s="38"/>
      <c r="AY848" s="38"/>
      <c r="AZ848" s="38"/>
      <c r="BA848" s="38"/>
      <c r="BB848" s="38"/>
      <c r="BC848" s="38"/>
      <c r="BD848" s="38"/>
      <c r="BE848" s="38"/>
      <c r="BF848" s="38"/>
      <c r="BG848" s="38"/>
      <c r="BH848" s="38"/>
      <c r="BI848" s="38"/>
      <c r="BJ848" s="38"/>
      <c r="BK848" s="38"/>
      <c r="BL848" s="38"/>
      <c r="BM848" s="38"/>
      <c r="BN848" s="38"/>
      <c r="BO848" s="38"/>
      <c r="BP848" s="38"/>
    </row>
    <row r="849">
      <c r="A849" s="40"/>
      <c r="B849" s="40"/>
      <c r="AF849" s="38"/>
      <c r="AG849" s="38"/>
      <c r="AH849" s="38"/>
      <c r="AI849" s="38"/>
      <c r="AJ849" s="38"/>
      <c r="AK849" s="38"/>
      <c r="AL849" s="38"/>
      <c r="AM849" s="38"/>
      <c r="AN849" s="38"/>
      <c r="AO849" s="38"/>
      <c r="AP849" s="38"/>
      <c r="AQ849" s="38"/>
      <c r="AR849" s="38"/>
      <c r="AS849" s="38"/>
      <c r="AT849" s="38"/>
      <c r="AU849" s="38"/>
      <c r="AV849" s="38"/>
      <c r="AW849" s="38"/>
      <c r="AX849" s="38"/>
      <c r="AY849" s="38"/>
      <c r="AZ849" s="38"/>
      <c r="BA849" s="38"/>
      <c r="BB849" s="38"/>
      <c r="BC849" s="38"/>
      <c r="BD849" s="38"/>
      <c r="BE849" s="38"/>
      <c r="BF849" s="38"/>
      <c r="BG849" s="38"/>
      <c r="BH849" s="38"/>
      <c r="BI849" s="38"/>
      <c r="BJ849" s="38"/>
      <c r="BK849" s="38"/>
      <c r="BL849" s="38"/>
      <c r="BM849" s="38"/>
      <c r="BN849" s="38"/>
      <c r="BO849" s="38"/>
      <c r="BP849" s="38"/>
    </row>
    <row r="850">
      <c r="A850" s="40"/>
      <c r="B850" s="40"/>
      <c r="AF850" s="38"/>
      <c r="AG850" s="38"/>
      <c r="AH850" s="38"/>
      <c r="AI850" s="38"/>
      <c r="AJ850" s="38"/>
      <c r="AK850" s="38"/>
      <c r="AL850" s="38"/>
      <c r="AM850" s="38"/>
      <c r="AN850" s="38"/>
      <c r="AO850" s="38"/>
      <c r="AP850" s="38"/>
      <c r="AQ850" s="38"/>
      <c r="AR850" s="38"/>
      <c r="AS850" s="38"/>
      <c r="AT850" s="38"/>
      <c r="AU850" s="38"/>
      <c r="AV850" s="38"/>
      <c r="AW850" s="38"/>
      <c r="AX850" s="38"/>
      <c r="AY850" s="38"/>
      <c r="AZ850" s="38"/>
      <c r="BA850" s="38"/>
      <c r="BB850" s="38"/>
      <c r="BC850" s="38"/>
      <c r="BD850" s="38"/>
      <c r="BE850" s="38"/>
      <c r="BF850" s="38"/>
      <c r="BG850" s="38"/>
      <c r="BH850" s="38"/>
      <c r="BI850" s="38"/>
      <c r="BJ850" s="38"/>
      <c r="BK850" s="38"/>
      <c r="BL850" s="38"/>
      <c r="BM850" s="38"/>
      <c r="BN850" s="38"/>
      <c r="BO850" s="38"/>
      <c r="BP850" s="38"/>
    </row>
    <row r="851">
      <c r="A851" s="40"/>
      <c r="B851" s="40"/>
      <c r="AF851" s="38"/>
      <c r="AG851" s="38"/>
      <c r="AH851" s="38"/>
      <c r="AI851" s="38"/>
      <c r="AJ851" s="38"/>
      <c r="AK851" s="38"/>
      <c r="AL851" s="38"/>
      <c r="AM851" s="38"/>
      <c r="AN851" s="38"/>
      <c r="AO851" s="38"/>
      <c r="AP851" s="38"/>
      <c r="AQ851" s="38"/>
      <c r="AR851" s="38"/>
      <c r="AS851" s="38"/>
      <c r="AT851" s="38"/>
      <c r="AU851" s="38"/>
      <c r="AV851" s="38"/>
      <c r="AW851" s="38"/>
      <c r="AX851" s="38"/>
      <c r="AY851" s="38"/>
      <c r="AZ851" s="38"/>
      <c r="BA851" s="38"/>
      <c r="BB851" s="38"/>
      <c r="BC851" s="38"/>
      <c r="BD851" s="38"/>
      <c r="BE851" s="38"/>
      <c r="BF851" s="38"/>
      <c r="BG851" s="38"/>
      <c r="BH851" s="38"/>
      <c r="BI851" s="38"/>
      <c r="BJ851" s="38"/>
      <c r="BK851" s="38"/>
      <c r="BL851" s="38"/>
      <c r="BM851" s="38"/>
      <c r="BN851" s="38"/>
      <c r="BO851" s="38"/>
      <c r="BP851" s="38"/>
    </row>
    <row r="852">
      <c r="A852" s="40"/>
      <c r="B852" s="40"/>
      <c r="AF852" s="38"/>
      <c r="AG852" s="38"/>
      <c r="AH852" s="38"/>
      <c r="AI852" s="38"/>
      <c r="AJ852" s="38"/>
      <c r="AK852" s="38"/>
      <c r="AL852" s="38"/>
      <c r="AM852" s="38"/>
      <c r="AN852" s="38"/>
      <c r="AO852" s="38"/>
      <c r="AP852" s="38"/>
      <c r="AQ852" s="38"/>
      <c r="AR852" s="38"/>
      <c r="AS852" s="38"/>
      <c r="AT852" s="38"/>
      <c r="AU852" s="38"/>
      <c r="AV852" s="38"/>
      <c r="AW852" s="38"/>
      <c r="AX852" s="38"/>
      <c r="AY852" s="38"/>
      <c r="AZ852" s="38"/>
      <c r="BA852" s="38"/>
      <c r="BB852" s="38"/>
      <c r="BC852" s="38"/>
      <c r="BD852" s="38"/>
      <c r="BE852" s="38"/>
      <c r="BF852" s="38"/>
      <c r="BG852" s="38"/>
      <c r="BH852" s="38"/>
      <c r="BI852" s="38"/>
      <c r="BJ852" s="38"/>
      <c r="BK852" s="38"/>
      <c r="BL852" s="38"/>
      <c r="BM852" s="38"/>
      <c r="BN852" s="38"/>
      <c r="BO852" s="38"/>
      <c r="BP852" s="38"/>
    </row>
    <row r="853">
      <c r="A853" s="40"/>
      <c r="B853" s="40"/>
      <c r="AF853" s="38"/>
      <c r="AG853" s="38"/>
      <c r="AH853" s="38"/>
      <c r="AI853" s="38"/>
      <c r="AJ853" s="38"/>
      <c r="AK853" s="38"/>
      <c r="AL853" s="38"/>
      <c r="AM853" s="38"/>
      <c r="AN853" s="38"/>
      <c r="AO853" s="38"/>
      <c r="AP853" s="38"/>
      <c r="AQ853" s="38"/>
      <c r="AR853" s="38"/>
      <c r="AS853" s="38"/>
      <c r="AT853" s="38"/>
      <c r="AU853" s="38"/>
      <c r="AV853" s="38"/>
      <c r="AW853" s="38"/>
      <c r="AX853" s="38"/>
      <c r="AY853" s="38"/>
      <c r="AZ853" s="38"/>
      <c r="BA853" s="38"/>
      <c r="BB853" s="38"/>
      <c r="BC853" s="38"/>
      <c r="BD853" s="38"/>
      <c r="BE853" s="38"/>
      <c r="BF853" s="38"/>
      <c r="BG853" s="38"/>
      <c r="BH853" s="38"/>
      <c r="BI853" s="38"/>
      <c r="BJ853" s="38"/>
      <c r="BK853" s="38"/>
      <c r="BL853" s="38"/>
      <c r="BM853" s="38"/>
      <c r="BN853" s="38"/>
      <c r="BO853" s="38"/>
      <c r="BP853" s="38"/>
    </row>
    <row r="854">
      <c r="A854" s="40"/>
      <c r="B854" s="40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</row>
    <row r="855">
      <c r="A855" s="40"/>
      <c r="B855" s="40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</row>
    <row r="856">
      <c r="A856" s="40"/>
      <c r="B856" s="40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</row>
    <row r="857">
      <c r="A857" s="40"/>
      <c r="B857" s="40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</row>
    <row r="858">
      <c r="A858" s="40"/>
      <c r="B858" s="40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</row>
    <row r="859">
      <c r="A859" s="40"/>
      <c r="B859" s="40"/>
      <c r="AF859" s="38"/>
      <c r="AG859" s="38"/>
      <c r="AH859" s="38"/>
      <c r="AI859" s="38"/>
      <c r="AJ859" s="38"/>
      <c r="AK859" s="38"/>
      <c r="AL859" s="38"/>
      <c r="AM859" s="38"/>
      <c r="AN859" s="38"/>
      <c r="AO859" s="38"/>
      <c r="AP859" s="38"/>
      <c r="AQ859" s="38"/>
      <c r="AR859" s="38"/>
      <c r="AS859" s="38"/>
      <c r="AT859" s="38"/>
      <c r="AU859" s="38"/>
      <c r="AV859" s="38"/>
      <c r="AW859" s="38"/>
      <c r="AX859" s="38"/>
      <c r="AY859" s="38"/>
      <c r="AZ859" s="38"/>
      <c r="BA859" s="38"/>
      <c r="BB859" s="38"/>
      <c r="BC859" s="38"/>
      <c r="BD859" s="38"/>
      <c r="BE859" s="38"/>
      <c r="BF859" s="38"/>
      <c r="BG859" s="38"/>
      <c r="BH859" s="38"/>
      <c r="BI859" s="38"/>
      <c r="BJ859" s="38"/>
      <c r="BK859" s="38"/>
      <c r="BL859" s="38"/>
      <c r="BM859" s="38"/>
      <c r="BN859" s="38"/>
      <c r="BO859" s="38"/>
      <c r="BP859" s="38"/>
    </row>
    <row r="860">
      <c r="A860" s="40"/>
      <c r="B860" s="40"/>
      <c r="AF860" s="38"/>
      <c r="AG860" s="38"/>
      <c r="AH860" s="38"/>
      <c r="AI860" s="38"/>
      <c r="AJ860" s="38"/>
      <c r="AK860" s="38"/>
      <c r="AL860" s="38"/>
      <c r="AM860" s="38"/>
      <c r="AN860" s="38"/>
      <c r="AO860" s="38"/>
      <c r="AP860" s="38"/>
      <c r="AQ860" s="38"/>
      <c r="AR860" s="38"/>
      <c r="AS860" s="38"/>
      <c r="AT860" s="38"/>
      <c r="AU860" s="38"/>
      <c r="AV860" s="38"/>
      <c r="AW860" s="38"/>
      <c r="AX860" s="38"/>
      <c r="AY860" s="38"/>
      <c r="AZ860" s="38"/>
      <c r="BA860" s="38"/>
      <c r="BB860" s="38"/>
      <c r="BC860" s="38"/>
      <c r="BD860" s="38"/>
      <c r="BE860" s="38"/>
      <c r="BF860" s="38"/>
      <c r="BG860" s="38"/>
      <c r="BH860" s="38"/>
      <c r="BI860" s="38"/>
      <c r="BJ860" s="38"/>
      <c r="BK860" s="38"/>
      <c r="BL860" s="38"/>
      <c r="BM860" s="38"/>
      <c r="BN860" s="38"/>
      <c r="BO860" s="38"/>
      <c r="BP860" s="38"/>
    </row>
    <row r="861">
      <c r="A861" s="40"/>
      <c r="B861" s="40"/>
      <c r="AF861" s="38"/>
      <c r="AG861" s="38"/>
      <c r="AH861" s="38"/>
      <c r="AI861" s="38"/>
      <c r="AJ861" s="38"/>
      <c r="AK861" s="38"/>
      <c r="AL861" s="38"/>
      <c r="AM861" s="38"/>
      <c r="AN861" s="38"/>
      <c r="AO861" s="38"/>
      <c r="AP861" s="38"/>
      <c r="AQ861" s="38"/>
      <c r="AR861" s="38"/>
      <c r="AS861" s="38"/>
      <c r="AT861" s="38"/>
      <c r="AU861" s="38"/>
      <c r="AV861" s="38"/>
      <c r="AW861" s="38"/>
      <c r="AX861" s="38"/>
      <c r="AY861" s="38"/>
      <c r="AZ861" s="38"/>
      <c r="BA861" s="38"/>
      <c r="BB861" s="38"/>
      <c r="BC861" s="38"/>
      <c r="BD861" s="38"/>
      <c r="BE861" s="38"/>
      <c r="BF861" s="38"/>
      <c r="BG861" s="38"/>
      <c r="BH861" s="38"/>
      <c r="BI861" s="38"/>
      <c r="BJ861" s="38"/>
      <c r="BK861" s="38"/>
      <c r="BL861" s="38"/>
      <c r="BM861" s="38"/>
      <c r="BN861" s="38"/>
      <c r="BO861" s="38"/>
      <c r="BP861" s="38"/>
    </row>
    <row r="862">
      <c r="A862" s="40"/>
      <c r="B862" s="40"/>
      <c r="AF862" s="38"/>
      <c r="AG862" s="38"/>
      <c r="AH862" s="38"/>
      <c r="AI862" s="38"/>
      <c r="AJ862" s="38"/>
      <c r="AK862" s="38"/>
      <c r="AL862" s="38"/>
      <c r="AM862" s="38"/>
      <c r="AN862" s="38"/>
      <c r="AO862" s="38"/>
      <c r="AP862" s="38"/>
      <c r="AQ862" s="38"/>
      <c r="AR862" s="38"/>
      <c r="AS862" s="38"/>
      <c r="AT862" s="38"/>
      <c r="AU862" s="38"/>
      <c r="AV862" s="38"/>
      <c r="AW862" s="38"/>
      <c r="AX862" s="38"/>
      <c r="AY862" s="38"/>
      <c r="AZ862" s="38"/>
      <c r="BA862" s="38"/>
      <c r="BB862" s="38"/>
      <c r="BC862" s="38"/>
      <c r="BD862" s="38"/>
      <c r="BE862" s="38"/>
      <c r="BF862" s="38"/>
      <c r="BG862" s="38"/>
      <c r="BH862" s="38"/>
      <c r="BI862" s="38"/>
      <c r="BJ862" s="38"/>
      <c r="BK862" s="38"/>
      <c r="BL862" s="38"/>
      <c r="BM862" s="38"/>
      <c r="BN862" s="38"/>
      <c r="BO862" s="38"/>
      <c r="BP862" s="38"/>
    </row>
    <row r="863">
      <c r="A863" s="40"/>
      <c r="B863" s="40"/>
      <c r="AF863" s="38"/>
      <c r="AG863" s="38"/>
      <c r="AH863" s="38"/>
      <c r="AI863" s="38"/>
      <c r="AJ863" s="38"/>
      <c r="AK863" s="38"/>
      <c r="AL863" s="38"/>
      <c r="AM863" s="38"/>
      <c r="AN863" s="38"/>
      <c r="AO863" s="38"/>
      <c r="AP863" s="38"/>
      <c r="AQ863" s="38"/>
      <c r="AR863" s="38"/>
      <c r="AS863" s="38"/>
      <c r="AT863" s="38"/>
      <c r="AU863" s="38"/>
      <c r="AV863" s="38"/>
      <c r="AW863" s="38"/>
      <c r="AX863" s="38"/>
      <c r="AY863" s="38"/>
      <c r="AZ863" s="38"/>
      <c r="BA863" s="38"/>
      <c r="BB863" s="38"/>
      <c r="BC863" s="38"/>
      <c r="BD863" s="38"/>
      <c r="BE863" s="38"/>
      <c r="BF863" s="38"/>
      <c r="BG863" s="38"/>
      <c r="BH863" s="38"/>
      <c r="BI863" s="38"/>
      <c r="BJ863" s="38"/>
      <c r="BK863" s="38"/>
      <c r="BL863" s="38"/>
      <c r="BM863" s="38"/>
      <c r="BN863" s="38"/>
      <c r="BO863" s="38"/>
      <c r="BP863" s="38"/>
    </row>
    <row r="864">
      <c r="A864" s="40"/>
      <c r="B864" s="40"/>
      <c r="AF864" s="38"/>
      <c r="AG864" s="38"/>
      <c r="AH864" s="38"/>
      <c r="AI864" s="38"/>
      <c r="AJ864" s="38"/>
      <c r="AK864" s="38"/>
      <c r="AL864" s="38"/>
      <c r="AM864" s="38"/>
      <c r="AN864" s="38"/>
      <c r="AO864" s="38"/>
      <c r="AP864" s="38"/>
      <c r="AQ864" s="38"/>
      <c r="AR864" s="38"/>
      <c r="AS864" s="38"/>
      <c r="AT864" s="38"/>
      <c r="AU864" s="38"/>
      <c r="AV864" s="38"/>
      <c r="AW864" s="38"/>
      <c r="AX864" s="38"/>
      <c r="AY864" s="38"/>
      <c r="AZ864" s="38"/>
      <c r="BA864" s="38"/>
      <c r="BB864" s="38"/>
      <c r="BC864" s="38"/>
      <c r="BD864" s="38"/>
      <c r="BE864" s="38"/>
      <c r="BF864" s="38"/>
      <c r="BG864" s="38"/>
      <c r="BH864" s="38"/>
      <c r="BI864" s="38"/>
      <c r="BJ864" s="38"/>
      <c r="BK864" s="38"/>
      <c r="BL864" s="38"/>
      <c r="BM864" s="38"/>
      <c r="BN864" s="38"/>
      <c r="BO864" s="38"/>
      <c r="BP864" s="38"/>
    </row>
    <row r="865">
      <c r="A865" s="40"/>
      <c r="B865" s="40"/>
      <c r="AF865" s="38"/>
      <c r="AG865" s="38"/>
      <c r="AH865" s="38"/>
      <c r="AI865" s="38"/>
      <c r="AJ865" s="38"/>
      <c r="AK865" s="38"/>
      <c r="AL865" s="38"/>
      <c r="AM865" s="38"/>
      <c r="AN865" s="38"/>
      <c r="AO865" s="38"/>
      <c r="AP865" s="38"/>
      <c r="AQ865" s="38"/>
      <c r="AR865" s="38"/>
      <c r="AS865" s="38"/>
      <c r="AT865" s="38"/>
      <c r="AU865" s="38"/>
      <c r="AV865" s="38"/>
      <c r="AW865" s="38"/>
      <c r="AX865" s="38"/>
      <c r="AY865" s="38"/>
      <c r="AZ865" s="38"/>
      <c r="BA865" s="38"/>
      <c r="BB865" s="38"/>
      <c r="BC865" s="38"/>
      <c r="BD865" s="38"/>
      <c r="BE865" s="38"/>
      <c r="BF865" s="38"/>
      <c r="BG865" s="38"/>
      <c r="BH865" s="38"/>
      <c r="BI865" s="38"/>
      <c r="BJ865" s="38"/>
      <c r="BK865" s="38"/>
      <c r="BL865" s="38"/>
      <c r="BM865" s="38"/>
      <c r="BN865" s="38"/>
      <c r="BO865" s="38"/>
      <c r="BP865" s="38"/>
    </row>
    <row r="866">
      <c r="A866" s="40"/>
      <c r="B866" s="40"/>
      <c r="AF866" s="38"/>
      <c r="AG866" s="38"/>
      <c r="AH866" s="38"/>
      <c r="AI866" s="38"/>
      <c r="AJ866" s="38"/>
      <c r="AK866" s="38"/>
      <c r="AL866" s="38"/>
      <c r="AM866" s="38"/>
      <c r="AN866" s="38"/>
      <c r="AO866" s="38"/>
      <c r="AP866" s="38"/>
      <c r="AQ866" s="38"/>
      <c r="AR866" s="38"/>
      <c r="AS866" s="38"/>
      <c r="AT866" s="38"/>
      <c r="AU866" s="38"/>
      <c r="AV866" s="38"/>
      <c r="AW866" s="38"/>
      <c r="AX866" s="38"/>
      <c r="AY866" s="38"/>
      <c r="AZ866" s="38"/>
      <c r="BA866" s="38"/>
      <c r="BB866" s="38"/>
      <c r="BC866" s="38"/>
      <c r="BD866" s="38"/>
      <c r="BE866" s="38"/>
      <c r="BF866" s="38"/>
      <c r="BG866" s="38"/>
      <c r="BH866" s="38"/>
      <c r="BI866" s="38"/>
      <c r="BJ866" s="38"/>
      <c r="BK866" s="38"/>
      <c r="BL866" s="38"/>
      <c r="BM866" s="38"/>
      <c r="BN866" s="38"/>
      <c r="BO866" s="38"/>
      <c r="BP866" s="38"/>
    </row>
    <row r="867">
      <c r="A867" s="40"/>
      <c r="B867" s="40"/>
      <c r="AF867" s="38"/>
      <c r="AG867" s="38"/>
      <c r="AH867" s="38"/>
      <c r="AI867" s="38"/>
      <c r="AJ867" s="38"/>
      <c r="AK867" s="38"/>
      <c r="AL867" s="38"/>
      <c r="AM867" s="38"/>
      <c r="AN867" s="38"/>
      <c r="AO867" s="38"/>
      <c r="AP867" s="38"/>
      <c r="AQ867" s="38"/>
      <c r="AR867" s="38"/>
      <c r="AS867" s="38"/>
      <c r="AT867" s="38"/>
      <c r="AU867" s="38"/>
      <c r="AV867" s="38"/>
      <c r="AW867" s="38"/>
      <c r="AX867" s="38"/>
      <c r="AY867" s="38"/>
      <c r="AZ867" s="38"/>
      <c r="BA867" s="38"/>
      <c r="BB867" s="38"/>
      <c r="BC867" s="38"/>
      <c r="BD867" s="38"/>
      <c r="BE867" s="38"/>
      <c r="BF867" s="38"/>
      <c r="BG867" s="38"/>
      <c r="BH867" s="38"/>
      <c r="BI867" s="38"/>
      <c r="BJ867" s="38"/>
      <c r="BK867" s="38"/>
      <c r="BL867" s="38"/>
      <c r="BM867" s="38"/>
      <c r="BN867" s="38"/>
      <c r="BO867" s="38"/>
      <c r="BP867" s="38"/>
    </row>
    <row r="868">
      <c r="A868" s="40"/>
      <c r="B868" s="40"/>
      <c r="AF868" s="38"/>
      <c r="AG868" s="38"/>
      <c r="AH868" s="38"/>
      <c r="AI868" s="38"/>
      <c r="AJ868" s="38"/>
      <c r="AK868" s="38"/>
      <c r="AL868" s="38"/>
      <c r="AM868" s="38"/>
      <c r="AN868" s="38"/>
      <c r="AO868" s="38"/>
      <c r="AP868" s="38"/>
      <c r="AQ868" s="38"/>
      <c r="AR868" s="38"/>
      <c r="AS868" s="38"/>
      <c r="AT868" s="38"/>
      <c r="AU868" s="38"/>
      <c r="AV868" s="38"/>
      <c r="AW868" s="38"/>
      <c r="AX868" s="38"/>
      <c r="AY868" s="38"/>
      <c r="AZ868" s="38"/>
      <c r="BA868" s="38"/>
      <c r="BB868" s="38"/>
      <c r="BC868" s="38"/>
      <c r="BD868" s="38"/>
      <c r="BE868" s="38"/>
      <c r="BF868" s="38"/>
      <c r="BG868" s="38"/>
      <c r="BH868" s="38"/>
      <c r="BI868" s="38"/>
      <c r="BJ868" s="38"/>
      <c r="BK868" s="38"/>
      <c r="BL868" s="38"/>
      <c r="BM868" s="38"/>
      <c r="BN868" s="38"/>
      <c r="BO868" s="38"/>
      <c r="BP868" s="38"/>
    </row>
    <row r="869">
      <c r="A869" s="40"/>
      <c r="B869" s="40"/>
      <c r="AF869" s="38"/>
      <c r="AG869" s="38"/>
      <c r="AH869" s="38"/>
      <c r="AI869" s="38"/>
      <c r="AJ869" s="38"/>
      <c r="AK869" s="38"/>
      <c r="AL869" s="38"/>
      <c r="AM869" s="38"/>
      <c r="AN869" s="38"/>
      <c r="AO869" s="38"/>
      <c r="AP869" s="38"/>
      <c r="AQ869" s="38"/>
      <c r="AR869" s="38"/>
      <c r="AS869" s="38"/>
      <c r="AT869" s="38"/>
      <c r="AU869" s="38"/>
      <c r="AV869" s="38"/>
      <c r="AW869" s="38"/>
      <c r="AX869" s="38"/>
      <c r="AY869" s="38"/>
      <c r="AZ869" s="38"/>
      <c r="BA869" s="38"/>
      <c r="BB869" s="38"/>
      <c r="BC869" s="38"/>
      <c r="BD869" s="38"/>
      <c r="BE869" s="38"/>
      <c r="BF869" s="38"/>
      <c r="BG869" s="38"/>
      <c r="BH869" s="38"/>
      <c r="BI869" s="38"/>
      <c r="BJ869" s="38"/>
      <c r="BK869" s="38"/>
      <c r="BL869" s="38"/>
      <c r="BM869" s="38"/>
      <c r="BN869" s="38"/>
      <c r="BO869" s="38"/>
      <c r="BP869" s="38"/>
    </row>
    <row r="870">
      <c r="A870" s="40"/>
      <c r="B870" s="40"/>
      <c r="AF870" s="38"/>
      <c r="AG870" s="38"/>
      <c r="AH870" s="38"/>
      <c r="AI870" s="38"/>
      <c r="AJ870" s="38"/>
      <c r="AK870" s="38"/>
      <c r="AL870" s="38"/>
      <c r="AM870" s="38"/>
      <c r="AN870" s="38"/>
      <c r="AO870" s="38"/>
      <c r="AP870" s="38"/>
      <c r="AQ870" s="38"/>
      <c r="AR870" s="38"/>
      <c r="AS870" s="38"/>
      <c r="AT870" s="38"/>
      <c r="AU870" s="38"/>
      <c r="AV870" s="38"/>
      <c r="AW870" s="38"/>
      <c r="AX870" s="38"/>
      <c r="AY870" s="38"/>
      <c r="AZ870" s="38"/>
      <c r="BA870" s="38"/>
      <c r="BB870" s="38"/>
      <c r="BC870" s="38"/>
      <c r="BD870" s="38"/>
      <c r="BE870" s="38"/>
      <c r="BF870" s="38"/>
      <c r="BG870" s="38"/>
      <c r="BH870" s="38"/>
      <c r="BI870" s="38"/>
      <c r="BJ870" s="38"/>
      <c r="BK870" s="38"/>
      <c r="BL870" s="38"/>
      <c r="BM870" s="38"/>
      <c r="BN870" s="38"/>
      <c r="BO870" s="38"/>
      <c r="BP870" s="38"/>
    </row>
    <row r="871">
      <c r="A871" s="40"/>
      <c r="B871" s="40"/>
      <c r="AF871" s="38"/>
      <c r="AG871" s="38"/>
      <c r="AH871" s="38"/>
      <c r="AI871" s="38"/>
      <c r="AJ871" s="38"/>
      <c r="AK871" s="38"/>
      <c r="AL871" s="38"/>
      <c r="AM871" s="38"/>
      <c r="AN871" s="38"/>
      <c r="AO871" s="38"/>
      <c r="AP871" s="38"/>
      <c r="AQ871" s="38"/>
      <c r="AR871" s="38"/>
      <c r="AS871" s="38"/>
      <c r="AT871" s="38"/>
      <c r="AU871" s="38"/>
      <c r="AV871" s="38"/>
      <c r="AW871" s="38"/>
      <c r="AX871" s="38"/>
      <c r="AY871" s="38"/>
      <c r="AZ871" s="38"/>
      <c r="BA871" s="38"/>
      <c r="BB871" s="38"/>
      <c r="BC871" s="38"/>
      <c r="BD871" s="38"/>
      <c r="BE871" s="38"/>
      <c r="BF871" s="38"/>
      <c r="BG871" s="38"/>
      <c r="BH871" s="38"/>
      <c r="BI871" s="38"/>
      <c r="BJ871" s="38"/>
      <c r="BK871" s="38"/>
      <c r="BL871" s="38"/>
      <c r="BM871" s="38"/>
      <c r="BN871" s="38"/>
      <c r="BO871" s="38"/>
      <c r="BP871" s="38"/>
    </row>
    <row r="872">
      <c r="A872" s="40"/>
      <c r="B872" s="40"/>
      <c r="AF872" s="38"/>
      <c r="AG872" s="38"/>
      <c r="AH872" s="38"/>
      <c r="AI872" s="38"/>
      <c r="AJ872" s="38"/>
      <c r="AK872" s="38"/>
      <c r="AL872" s="38"/>
      <c r="AM872" s="38"/>
      <c r="AN872" s="38"/>
      <c r="AO872" s="38"/>
      <c r="AP872" s="38"/>
      <c r="AQ872" s="38"/>
      <c r="AR872" s="38"/>
      <c r="AS872" s="38"/>
      <c r="AT872" s="38"/>
      <c r="AU872" s="38"/>
      <c r="AV872" s="38"/>
      <c r="AW872" s="38"/>
      <c r="AX872" s="38"/>
      <c r="AY872" s="38"/>
      <c r="AZ872" s="38"/>
      <c r="BA872" s="38"/>
      <c r="BB872" s="38"/>
      <c r="BC872" s="38"/>
      <c r="BD872" s="38"/>
      <c r="BE872" s="38"/>
      <c r="BF872" s="38"/>
      <c r="BG872" s="38"/>
      <c r="BH872" s="38"/>
      <c r="BI872" s="38"/>
      <c r="BJ872" s="38"/>
      <c r="BK872" s="38"/>
      <c r="BL872" s="38"/>
      <c r="BM872" s="38"/>
      <c r="BN872" s="38"/>
      <c r="BO872" s="38"/>
      <c r="BP872" s="38"/>
    </row>
    <row r="873">
      <c r="A873" s="40"/>
      <c r="B873" s="40"/>
      <c r="AF873" s="38"/>
      <c r="AG873" s="38"/>
      <c r="AH873" s="38"/>
      <c r="AI873" s="38"/>
      <c r="AJ873" s="38"/>
      <c r="AK873" s="38"/>
      <c r="AL873" s="38"/>
      <c r="AM873" s="38"/>
      <c r="AN873" s="38"/>
      <c r="AO873" s="38"/>
      <c r="AP873" s="38"/>
      <c r="AQ873" s="38"/>
      <c r="AR873" s="38"/>
      <c r="AS873" s="38"/>
      <c r="AT873" s="38"/>
      <c r="AU873" s="38"/>
      <c r="AV873" s="38"/>
      <c r="AW873" s="38"/>
      <c r="AX873" s="38"/>
      <c r="AY873" s="38"/>
      <c r="AZ873" s="38"/>
      <c r="BA873" s="38"/>
      <c r="BB873" s="38"/>
      <c r="BC873" s="38"/>
      <c r="BD873" s="38"/>
      <c r="BE873" s="38"/>
      <c r="BF873" s="38"/>
      <c r="BG873" s="38"/>
      <c r="BH873" s="38"/>
      <c r="BI873" s="38"/>
      <c r="BJ873" s="38"/>
      <c r="BK873" s="38"/>
      <c r="BL873" s="38"/>
      <c r="BM873" s="38"/>
      <c r="BN873" s="38"/>
      <c r="BO873" s="38"/>
      <c r="BP873" s="38"/>
    </row>
    <row r="874">
      <c r="A874" s="40"/>
      <c r="B874" s="40"/>
      <c r="AF874" s="38"/>
      <c r="AG874" s="38"/>
      <c r="AH874" s="38"/>
      <c r="AI874" s="38"/>
      <c r="AJ874" s="38"/>
      <c r="AK874" s="38"/>
      <c r="AL874" s="38"/>
      <c r="AM874" s="38"/>
      <c r="AN874" s="38"/>
      <c r="AO874" s="38"/>
      <c r="AP874" s="38"/>
      <c r="AQ874" s="38"/>
      <c r="AR874" s="38"/>
      <c r="AS874" s="38"/>
      <c r="AT874" s="38"/>
      <c r="AU874" s="38"/>
      <c r="AV874" s="38"/>
      <c r="AW874" s="38"/>
      <c r="AX874" s="38"/>
      <c r="AY874" s="38"/>
      <c r="AZ874" s="38"/>
      <c r="BA874" s="38"/>
      <c r="BB874" s="38"/>
      <c r="BC874" s="38"/>
      <c r="BD874" s="38"/>
      <c r="BE874" s="38"/>
      <c r="BF874" s="38"/>
      <c r="BG874" s="38"/>
      <c r="BH874" s="38"/>
      <c r="BI874" s="38"/>
      <c r="BJ874" s="38"/>
      <c r="BK874" s="38"/>
      <c r="BL874" s="38"/>
      <c r="BM874" s="38"/>
      <c r="BN874" s="38"/>
      <c r="BO874" s="38"/>
      <c r="BP874" s="38"/>
    </row>
    <row r="875">
      <c r="A875" s="40"/>
      <c r="B875" s="40"/>
      <c r="AF875" s="38"/>
      <c r="AG875" s="38"/>
      <c r="AH875" s="38"/>
      <c r="AI875" s="38"/>
      <c r="AJ875" s="38"/>
      <c r="AK875" s="38"/>
      <c r="AL875" s="38"/>
      <c r="AM875" s="38"/>
      <c r="AN875" s="38"/>
      <c r="AO875" s="38"/>
      <c r="AP875" s="38"/>
      <c r="AQ875" s="38"/>
      <c r="AR875" s="38"/>
      <c r="AS875" s="38"/>
      <c r="AT875" s="38"/>
      <c r="AU875" s="38"/>
      <c r="AV875" s="38"/>
      <c r="AW875" s="38"/>
      <c r="AX875" s="38"/>
      <c r="AY875" s="38"/>
      <c r="AZ875" s="38"/>
      <c r="BA875" s="38"/>
      <c r="BB875" s="38"/>
      <c r="BC875" s="38"/>
      <c r="BD875" s="38"/>
      <c r="BE875" s="38"/>
      <c r="BF875" s="38"/>
      <c r="BG875" s="38"/>
      <c r="BH875" s="38"/>
      <c r="BI875" s="38"/>
      <c r="BJ875" s="38"/>
      <c r="BK875" s="38"/>
      <c r="BL875" s="38"/>
      <c r="BM875" s="38"/>
      <c r="BN875" s="38"/>
      <c r="BO875" s="38"/>
      <c r="BP875" s="38"/>
    </row>
    <row r="876">
      <c r="A876" s="40"/>
      <c r="B876" s="40"/>
      <c r="AF876" s="38"/>
      <c r="AG876" s="38"/>
      <c r="AH876" s="38"/>
      <c r="AI876" s="38"/>
      <c r="AJ876" s="38"/>
      <c r="AK876" s="38"/>
      <c r="AL876" s="38"/>
      <c r="AM876" s="38"/>
      <c r="AN876" s="38"/>
      <c r="AO876" s="38"/>
      <c r="AP876" s="38"/>
      <c r="AQ876" s="38"/>
      <c r="AR876" s="38"/>
      <c r="AS876" s="38"/>
      <c r="AT876" s="38"/>
      <c r="AU876" s="38"/>
      <c r="AV876" s="38"/>
      <c r="AW876" s="38"/>
      <c r="AX876" s="38"/>
      <c r="AY876" s="38"/>
      <c r="AZ876" s="38"/>
      <c r="BA876" s="38"/>
      <c r="BB876" s="38"/>
      <c r="BC876" s="38"/>
      <c r="BD876" s="38"/>
      <c r="BE876" s="38"/>
      <c r="BF876" s="38"/>
      <c r="BG876" s="38"/>
      <c r="BH876" s="38"/>
      <c r="BI876" s="38"/>
      <c r="BJ876" s="38"/>
      <c r="BK876" s="38"/>
      <c r="BL876" s="38"/>
      <c r="BM876" s="38"/>
      <c r="BN876" s="38"/>
      <c r="BO876" s="38"/>
      <c r="BP876" s="38"/>
    </row>
    <row r="877">
      <c r="A877" s="40"/>
      <c r="B877" s="40"/>
      <c r="AF877" s="38"/>
      <c r="AG877" s="38"/>
      <c r="AH877" s="38"/>
      <c r="AI877" s="38"/>
      <c r="AJ877" s="38"/>
      <c r="AK877" s="38"/>
      <c r="AL877" s="38"/>
      <c r="AM877" s="38"/>
      <c r="AN877" s="38"/>
      <c r="AO877" s="38"/>
      <c r="AP877" s="38"/>
      <c r="AQ877" s="38"/>
      <c r="AR877" s="38"/>
      <c r="AS877" s="38"/>
      <c r="AT877" s="38"/>
      <c r="AU877" s="38"/>
      <c r="AV877" s="38"/>
      <c r="AW877" s="38"/>
      <c r="AX877" s="38"/>
      <c r="AY877" s="38"/>
      <c r="AZ877" s="38"/>
      <c r="BA877" s="38"/>
      <c r="BB877" s="38"/>
      <c r="BC877" s="38"/>
      <c r="BD877" s="38"/>
      <c r="BE877" s="38"/>
      <c r="BF877" s="38"/>
      <c r="BG877" s="38"/>
      <c r="BH877" s="38"/>
      <c r="BI877" s="38"/>
      <c r="BJ877" s="38"/>
      <c r="BK877" s="38"/>
      <c r="BL877" s="38"/>
      <c r="BM877" s="38"/>
      <c r="BN877" s="38"/>
      <c r="BO877" s="38"/>
      <c r="BP877" s="38"/>
    </row>
    <row r="878">
      <c r="A878" s="40"/>
      <c r="B878" s="40"/>
      <c r="AF878" s="38"/>
      <c r="AG878" s="38"/>
      <c r="AH878" s="38"/>
      <c r="AI878" s="38"/>
      <c r="AJ878" s="38"/>
      <c r="AK878" s="38"/>
      <c r="AL878" s="38"/>
      <c r="AM878" s="38"/>
      <c r="AN878" s="38"/>
      <c r="AO878" s="38"/>
      <c r="AP878" s="38"/>
      <c r="AQ878" s="38"/>
      <c r="AR878" s="38"/>
      <c r="AS878" s="38"/>
      <c r="AT878" s="38"/>
      <c r="AU878" s="38"/>
      <c r="AV878" s="38"/>
      <c r="AW878" s="38"/>
      <c r="AX878" s="38"/>
      <c r="AY878" s="38"/>
      <c r="AZ878" s="38"/>
      <c r="BA878" s="38"/>
      <c r="BB878" s="38"/>
      <c r="BC878" s="38"/>
      <c r="BD878" s="38"/>
      <c r="BE878" s="38"/>
      <c r="BF878" s="38"/>
      <c r="BG878" s="38"/>
      <c r="BH878" s="38"/>
      <c r="BI878" s="38"/>
      <c r="BJ878" s="38"/>
      <c r="BK878" s="38"/>
      <c r="BL878" s="38"/>
      <c r="BM878" s="38"/>
      <c r="BN878" s="38"/>
      <c r="BO878" s="38"/>
      <c r="BP878" s="38"/>
    </row>
    <row r="879">
      <c r="A879" s="40"/>
      <c r="B879" s="40"/>
      <c r="AF879" s="38"/>
      <c r="AG879" s="38"/>
      <c r="AH879" s="38"/>
      <c r="AI879" s="38"/>
      <c r="AJ879" s="38"/>
      <c r="AK879" s="38"/>
      <c r="AL879" s="38"/>
      <c r="AM879" s="38"/>
      <c r="AN879" s="38"/>
      <c r="AO879" s="38"/>
      <c r="AP879" s="38"/>
      <c r="AQ879" s="38"/>
      <c r="AR879" s="38"/>
      <c r="AS879" s="38"/>
      <c r="AT879" s="38"/>
      <c r="AU879" s="38"/>
      <c r="AV879" s="38"/>
      <c r="AW879" s="38"/>
      <c r="AX879" s="38"/>
      <c r="AY879" s="38"/>
      <c r="AZ879" s="38"/>
      <c r="BA879" s="38"/>
      <c r="BB879" s="38"/>
      <c r="BC879" s="38"/>
      <c r="BD879" s="38"/>
      <c r="BE879" s="38"/>
      <c r="BF879" s="38"/>
      <c r="BG879" s="38"/>
      <c r="BH879" s="38"/>
      <c r="BI879" s="38"/>
      <c r="BJ879" s="38"/>
      <c r="BK879" s="38"/>
      <c r="BL879" s="38"/>
      <c r="BM879" s="38"/>
      <c r="BN879" s="38"/>
      <c r="BO879" s="38"/>
      <c r="BP879" s="38"/>
    </row>
    <row r="880">
      <c r="A880" s="40"/>
      <c r="B880" s="40"/>
      <c r="AF880" s="38"/>
      <c r="AG880" s="38"/>
      <c r="AH880" s="38"/>
      <c r="AI880" s="38"/>
      <c r="AJ880" s="38"/>
      <c r="AK880" s="38"/>
      <c r="AL880" s="38"/>
      <c r="AM880" s="38"/>
      <c r="AN880" s="38"/>
      <c r="AO880" s="38"/>
      <c r="AP880" s="38"/>
      <c r="AQ880" s="38"/>
      <c r="AR880" s="38"/>
      <c r="AS880" s="38"/>
      <c r="AT880" s="38"/>
      <c r="AU880" s="38"/>
      <c r="AV880" s="38"/>
      <c r="AW880" s="38"/>
      <c r="AX880" s="38"/>
      <c r="AY880" s="38"/>
      <c r="AZ880" s="38"/>
      <c r="BA880" s="38"/>
      <c r="BB880" s="38"/>
      <c r="BC880" s="38"/>
      <c r="BD880" s="38"/>
      <c r="BE880" s="38"/>
      <c r="BF880" s="38"/>
      <c r="BG880" s="38"/>
      <c r="BH880" s="38"/>
      <c r="BI880" s="38"/>
      <c r="BJ880" s="38"/>
      <c r="BK880" s="38"/>
      <c r="BL880" s="38"/>
      <c r="BM880" s="38"/>
      <c r="BN880" s="38"/>
      <c r="BO880" s="38"/>
      <c r="BP880" s="38"/>
    </row>
    <row r="881">
      <c r="A881" s="40"/>
      <c r="B881" s="40"/>
      <c r="AF881" s="38"/>
      <c r="AG881" s="38"/>
      <c r="AH881" s="38"/>
      <c r="AI881" s="38"/>
      <c r="AJ881" s="38"/>
      <c r="AK881" s="38"/>
      <c r="AL881" s="38"/>
      <c r="AM881" s="38"/>
      <c r="AN881" s="38"/>
      <c r="AO881" s="38"/>
      <c r="AP881" s="38"/>
      <c r="AQ881" s="38"/>
      <c r="AR881" s="38"/>
      <c r="AS881" s="38"/>
      <c r="AT881" s="38"/>
      <c r="AU881" s="38"/>
      <c r="AV881" s="38"/>
      <c r="AW881" s="38"/>
      <c r="AX881" s="38"/>
      <c r="AY881" s="38"/>
      <c r="AZ881" s="38"/>
      <c r="BA881" s="38"/>
      <c r="BB881" s="38"/>
      <c r="BC881" s="38"/>
      <c r="BD881" s="38"/>
      <c r="BE881" s="38"/>
      <c r="BF881" s="38"/>
      <c r="BG881" s="38"/>
      <c r="BH881" s="38"/>
      <c r="BI881" s="38"/>
      <c r="BJ881" s="38"/>
      <c r="BK881" s="38"/>
      <c r="BL881" s="38"/>
      <c r="BM881" s="38"/>
      <c r="BN881" s="38"/>
      <c r="BO881" s="38"/>
      <c r="BP881" s="38"/>
    </row>
    <row r="882">
      <c r="A882" s="40"/>
      <c r="B882" s="40"/>
      <c r="AF882" s="38"/>
      <c r="AG882" s="38"/>
      <c r="AH882" s="38"/>
      <c r="AI882" s="38"/>
      <c r="AJ882" s="38"/>
      <c r="AK882" s="38"/>
      <c r="AL882" s="38"/>
      <c r="AM882" s="38"/>
      <c r="AN882" s="38"/>
      <c r="AO882" s="38"/>
      <c r="AP882" s="38"/>
      <c r="AQ882" s="38"/>
      <c r="AR882" s="38"/>
      <c r="AS882" s="38"/>
      <c r="AT882" s="38"/>
      <c r="AU882" s="38"/>
      <c r="AV882" s="38"/>
      <c r="AW882" s="38"/>
      <c r="AX882" s="38"/>
      <c r="AY882" s="38"/>
      <c r="AZ882" s="38"/>
      <c r="BA882" s="38"/>
      <c r="BB882" s="38"/>
      <c r="BC882" s="38"/>
      <c r="BD882" s="38"/>
      <c r="BE882" s="38"/>
      <c r="BF882" s="38"/>
      <c r="BG882" s="38"/>
      <c r="BH882" s="38"/>
      <c r="BI882" s="38"/>
      <c r="BJ882" s="38"/>
      <c r="BK882" s="38"/>
      <c r="BL882" s="38"/>
      <c r="BM882" s="38"/>
      <c r="BN882" s="38"/>
      <c r="BO882" s="38"/>
      <c r="BP882" s="38"/>
    </row>
    <row r="883">
      <c r="A883" s="40"/>
      <c r="B883" s="40"/>
      <c r="AF883" s="38"/>
      <c r="AG883" s="38"/>
      <c r="AH883" s="38"/>
      <c r="AI883" s="38"/>
      <c r="AJ883" s="38"/>
      <c r="AK883" s="38"/>
      <c r="AL883" s="38"/>
      <c r="AM883" s="38"/>
      <c r="AN883" s="38"/>
      <c r="AO883" s="38"/>
      <c r="AP883" s="38"/>
      <c r="AQ883" s="38"/>
      <c r="AR883" s="38"/>
      <c r="AS883" s="38"/>
      <c r="AT883" s="38"/>
      <c r="AU883" s="38"/>
      <c r="AV883" s="38"/>
      <c r="AW883" s="38"/>
      <c r="AX883" s="38"/>
      <c r="AY883" s="38"/>
      <c r="AZ883" s="38"/>
      <c r="BA883" s="38"/>
      <c r="BB883" s="38"/>
      <c r="BC883" s="38"/>
      <c r="BD883" s="38"/>
      <c r="BE883" s="38"/>
      <c r="BF883" s="38"/>
      <c r="BG883" s="38"/>
      <c r="BH883" s="38"/>
      <c r="BI883" s="38"/>
      <c r="BJ883" s="38"/>
      <c r="BK883" s="38"/>
      <c r="BL883" s="38"/>
      <c r="BM883" s="38"/>
      <c r="BN883" s="38"/>
      <c r="BO883" s="38"/>
      <c r="BP883" s="38"/>
    </row>
    <row r="884">
      <c r="A884" s="40"/>
      <c r="B884" s="40"/>
      <c r="AF884" s="38"/>
      <c r="AG884" s="38"/>
      <c r="AH884" s="38"/>
      <c r="AI884" s="38"/>
      <c r="AJ884" s="38"/>
      <c r="AK884" s="38"/>
      <c r="AL884" s="38"/>
      <c r="AM884" s="38"/>
      <c r="AN884" s="38"/>
      <c r="AO884" s="38"/>
      <c r="AP884" s="38"/>
      <c r="AQ884" s="38"/>
      <c r="AR884" s="38"/>
      <c r="AS884" s="38"/>
      <c r="AT884" s="38"/>
      <c r="AU884" s="38"/>
      <c r="AV884" s="38"/>
      <c r="AW884" s="38"/>
      <c r="AX884" s="38"/>
      <c r="AY884" s="38"/>
      <c r="AZ884" s="38"/>
      <c r="BA884" s="38"/>
      <c r="BB884" s="38"/>
      <c r="BC884" s="38"/>
      <c r="BD884" s="38"/>
      <c r="BE884" s="38"/>
      <c r="BF884" s="38"/>
      <c r="BG884" s="38"/>
      <c r="BH884" s="38"/>
      <c r="BI884" s="38"/>
      <c r="BJ884" s="38"/>
      <c r="BK884" s="38"/>
      <c r="BL884" s="38"/>
      <c r="BM884" s="38"/>
      <c r="BN884" s="38"/>
      <c r="BO884" s="38"/>
      <c r="BP884" s="38"/>
    </row>
    <row r="885">
      <c r="A885" s="40"/>
      <c r="B885" s="40"/>
      <c r="AF885" s="38"/>
      <c r="AG885" s="38"/>
      <c r="AH885" s="38"/>
      <c r="AI885" s="38"/>
      <c r="AJ885" s="38"/>
      <c r="AK885" s="38"/>
      <c r="AL885" s="38"/>
      <c r="AM885" s="38"/>
      <c r="AN885" s="38"/>
      <c r="AO885" s="38"/>
      <c r="AP885" s="38"/>
      <c r="AQ885" s="38"/>
      <c r="AR885" s="38"/>
      <c r="AS885" s="38"/>
      <c r="AT885" s="38"/>
      <c r="AU885" s="38"/>
      <c r="AV885" s="38"/>
      <c r="AW885" s="38"/>
      <c r="AX885" s="38"/>
      <c r="AY885" s="38"/>
      <c r="AZ885" s="38"/>
      <c r="BA885" s="38"/>
      <c r="BB885" s="38"/>
      <c r="BC885" s="38"/>
      <c r="BD885" s="38"/>
      <c r="BE885" s="38"/>
      <c r="BF885" s="38"/>
      <c r="BG885" s="38"/>
      <c r="BH885" s="38"/>
      <c r="BI885" s="38"/>
      <c r="BJ885" s="38"/>
      <c r="BK885" s="38"/>
      <c r="BL885" s="38"/>
      <c r="BM885" s="38"/>
      <c r="BN885" s="38"/>
      <c r="BO885" s="38"/>
      <c r="BP885" s="38"/>
    </row>
    <row r="886">
      <c r="A886" s="40"/>
      <c r="B886" s="40"/>
      <c r="AF886" s="38"/>
      <c r="AG886" s="38"/>
      <c r="AH886" s="38"/>
      <c r="AI886" s="38"/>
      <c r="AJ886" s="38"/>
      <c r="AK886" s="38"/>
      <c r="AL886" s="38"/>
      <c r="AM886" s="38"/>
      <c r="AN886" s="38"/>
      <c r="AO886" s="38"/>
      <c r="AP886" s="38"/>
      <c r="AQ886" s="38"/>
      <c r="AR886" s="38"/>
      <c r="AS886" s="38"/>
      <c r="AT886" s="38"/>
      <c r="AU886" s="38"/>
      <c r="AV886" s="38"/>
      <c r="AW886" s="38"/>
      <c r="AX886" s="38"/>
      <c r="AY886" s="38"/>
      <c r="AZ886" s="38"/>
      <c r="BA886" s="38"/>
      <c r="BB886" s="38"/>
      <c r="BC886" s="38"/>
      <c r="BD886" s="38"/>
      <c r="BE886" s="38"/>
      <c r="BF886" s="38"/>
      <c r="BG886" s="38"/>
      <c r="BH886" s="38"/>
      <c r="BI886" s="38"/>
      <c r="BJ886" s="38"/>
      <c r="BK886" s="38"/>
      <c r="BL886" s="38"/>
      <c r="BM886" s="38"/>
      <c r="BN886" s="38"/>
      <c r="BO886" s="38"/>
      <c r="BP886" s="38"/>
    </row>
    <row r="887">
      <c r="A887" s="40"/>
      <c r="B887" s="40"/>
      <c r="AF887" s="38"/>
      <c r="AG887" s="38"/>
      <c r="AH887" s="38"/>
      <c r="AI887" s="38"/>
      <c r="AJ887" s="38"/>
      <c r="AK887" s="38"/>
      <c r="AL887" s="38"/>
      <c r="AM887" s="38"/>
      <c r="AN887" s="38"/>
      <c r="AO887" s="38"/>
      <c r="AP887" s="38"/>
      <c r="AQ887" s="38"/>
      <c r="AR887" s="38"/>
      <c r="AS887" s="38"/>
      <c r="AT887" s="38"/>
      <c r="AU887" s="38"/>
      <c r="AV887" s="38"/>
      <c r="AW887" s="38"/>
      <c r="AX887" s="38"/>
      <c r="AY887" s="38"/>
      <c r="AZ887" s="38"/>
      <c r="BA887" s="38"/>
      <c r="BB887" s="38"/>
      <c r="BC887" s="38"/>
      <c r="BD887" s="38"/>
      <c r="BE887" s="38"/>
      <c r="BF887" s="38"/>
      <c r="BG887" s="38"/>
      <c r="BH887" s="38"/>
      <c r="BI887" s="38"/>
      <c r="BJ887" s="38"/>
      <c r="BK887" s="38"/>
      <c r="BL887" s="38"/>
      <c r="BM887" s="38"/>
      <c r="BN887" s="38"/>
      <c r="BO887" s="38"/>
      <c r="BP887" s="38"/>
    </row>
    <row r="888">
      <c r="A888" s="40"/>
      <c r="B888" s="40"/>
      <c r="AF888" s="38"/>
      <c r="AG888" s="38"/>
      <c r="AH888" s="38"/>
      <c r="AI888" s="38"/>
      <c r="AJ888" s="38"/>
      <c r="AK888" s="38"/>
      <c r="AL888" s="38"/>
      <c r="AM888" s="38"/>
      <c r="AN888" s="38"/>
      <c r="AO888" s="38"/>
      <c r="AP888" s="38"/>
      <c r="AQ888" s="38"/>
      <c r="AR888" s="38"/>
      <c r="AS888" s="38"/>
      <c r="AT888" s="38"/>
      <c r="AU888" s="38"/>
      <c r="AV888" s="38"/>
      <c r="AW888" s="38"/>
      <c r="AX888" s="38"/>
      <c r="AY888" s="38"/>
      <c r="AZ888" s="38"/>
      <c r="BA888" s="38"/>
      <c r="BB888" s="38"/>
      <c r="BC888" s="38"/>
      <c r="BD888" s="38"/>
      <c r="BE888" s="38"/>
      <c r="BF888" s="38"/>
      <c r="BG888" s="38"/>
      <c r="BH888" s="38"/>
      <c r="BI888" s="38"/>
      <c r="BJ888" s="38"/>
      <c r="BK888" s="38"/>
      <c r="BL888" s="38"/>
      <c r="BM888" s="38"/>
      <c r="BN888" s="38"/>
      <c r="BO888" s="38"/>
      <c r="BP888" s="38"/>
    </row>
    <row r="889">
      <c r="A889" s="40"/>
      <c r="B889" s="40"/>
      <c r="AF889" s="38"/>
      <c r="AG889" s="38"/>
      <c r="AH889" s="38"/>
      <c r="AI889" s="38"/>
      <c r="AJ889" s="38"/>
      <c r="AK889" s="38"/>
      <c r="AL889" s="38"/>
      <c r="AM889" s="38"/>
      <c r="AN889" s="38"/>
      <c r="AO889" s="38"/>
      <c r="AP889" s="38"/>
      <c r="AQ889" s="38"/>
      <c r="AR889" s="38"/>
      <c r="AS889" s="38"/>
      <c r="AT889" s="38"/>
      <c r="AU889" s="38"/>
      <c r="AV889" s="38"/>
      <c r="AW889" s="38"/>
      <c r="AX889" s="38"/>
      <c r="AY889" s="38"/>
      <c r="AZ889" s="38"/>
      <c r="BA889" s="38"/>
      <c r="BB889" s="38"/>
      <c r="BC889" s="38"/>
      <c r="BD889" s="38"/>
      <c r="BE889" s="38"/>
      <c r="BF889" s="38"/>
      <c r="BG889" s="38"/>
      <c r="BH889" s="38"/>
      <c r="BI889" s="38"/>
      <c r="BJ889" s="38"/>
      <c r="BK889" s="38"/>
      <c r="BL889" s="38"/>
      <c r="BM889" s="38"/>
      <c r="BN889" s="38"/>
      <c r="BO889" s="38"/>
      <c r="BP889" s="38"/>
    </row>
    <row r="890">
      <c r="A890" s="40"/>
      <c r="B890" s="40"/>
      <c r="AF890" s="38"/>
      <c r="AG890" s="38"/>
      <c r="AH890" s="38"/>
      <c r="AI890" s="38"/>
      <c r="AJ890" s="38"/>
      <c r="AK890" s="38"/>
      <c r="AL890" s="38"/>
      <c r="AM890" s="38"/>
      <c r="AN890" s="38"/>
      <c r="AO890" s="38"/>
      <c r="AP890" s="38"/>
      <c r="AQ890" s="38"/>
      <c r="AR890" s="38"/>
      <c r="AS890" s="38"/>
      <c r="AT890" s="38"/>
      <c r="AU890" s="38"/>
      <c r="AV890" s="38"/>
      <c r="AW890" s="38"/>
      <c r="AX890" s="38"/>
      <c r="AY890" s="38"/>
      <c r="AZ890" s="38"/>
      <c r="BA890" s="38"/>
      <c r="BB890" s="38"/>
      <c r="BC890" s="38"/>
      <c r="BD890" s="38"/>
      <c r="BE890" s="38"/>
      <c r="BF890" s="38"/>
      <c r="BG890" s="38"/>
      <c r="BH890" s="38"/>
      <c r="BI890" s="38"/>
      <c r="BJ890" s="38"/>
      <c r="BK890" s="38"/>
      <c r="BL890" s="38"/>
      <c r="BM890" s="38"/>
      <c r="BN890" s="38"/>
      <c r="BO890" s="38"/>
      <c r="BP890" s="38"/>
    </row>
    <row r="891">
      <c r="A891" s="40"/>
      <c r="B891" s="40"/>
      <c r="AF891" s="38"/>
      <c r="AG891" s="38"/>
      <c r="AH891" s="38"/>
      <c r="AI891" s="38"/>
      <c r="AJ891" s="38"/>
      <c r="AK891" s="38"/>
      <c r="AL891" s="38"/>
      <c r="AM891" s="38"/>
      <c r="AN891" s="38"/>
      <c r="AO891" s="38"/>
      <c r="AP891" s="38"/>
      <c r="AQ891" s="38"/>
      <c r="AR891" s="38"/>
      <c r="AS891" s="38"/>
      <c r="AT891" s="38"/>
      <c r="AU891" s="38"/>
      <c r="AV891" s="38"/>
      <c r="AW891" s="38"/>
      <c r="AX891" s="38"/>
      <c r="AY891" s="38"/>
      <c r="AZ891" s="38"/>
      <c r="BA891" s="38"/>
      <c r="BB891" s="38"/>
      <c r="BC891" s="38"/>
      <c r="BD891" s="38"/>
      <c r="BE891" s="38"/>
      <c r="BF891" s="38"/>
      <c r="BG891" s="38"/>
      <c r="BH891" s="38"/>
      <c r="BI891" s="38"/>
      <c r="BJ891" s="38"/>
      <c r="BK891" s="38"/>
      <c r="BL891" s="38"/>
      <c r="BM891" s="38"/>
      <c r="BN891" s="38"/>
      <c r="BO891" s="38"/>
      <c r="BP891" s="38"/>
    </row>
    <row r="892">
      <c r="A892" s="40"/>
      <c r="B892" s="40"/>
      <c r="AF892" s="38"/>
      <c r="AG892" s="38"/>
      <c r="AH892" s="38"/>
      <c r="AI892" s="38"/>
      <c r="AJ892" s="38"/>
      <c r="AK892" s="38"/>
      <c r="AL892" s="38"/>
      <c r="AM892" s="38"/>
      <c r="AN892" s="38"/>
      <c r="AO892" s="38"/>
      <c r="AP892" s="38"/>
      <c r="AQ892" s="38"/>
      <c r="AR892" s="38"/>
      <c r="AS892" s="38"/>
      <c r="AT892" s="38"/>
      <c r="AU892" s="38"/>
      <c r="AV892" s="38"/>
      <c r="AW892" s="38"/>
      <c r="AX892" s="38"/>
      <c r="AY892" s="38"/>
      <c r="AZ892" s="38"/>
      <c r="BA892" s="38"/>
      <c r="BB892" s="38"/>
      <c r="BC892" s="38"/>
      <c r="BD892" s="38"/>
      <c r="BE892" s="38"/>
      <c r="BF892" s="38"/>
      <c r="BG892" s="38"/>
      <c r="BH892" s="38"/>
      <c r="BI892" s="38"/>
      <c r="BJ892" s="38"/>
      <c r="BK892" s="38"/>
      <c r="BL892" s="38"/>
      <c r="BM892" s="38"/>
      <c r="BN892" s="38"/>
      <c r="BO892" s="38"/>
      <c r="BP892" s="38"/>
    </row>
    <row r="893">
      <c r="A893" s="40"/>
      <c r="B893" s="40"/>
      <c r="AF893" s="38"/>
      <c r="AG893" s="38"/>
      <c r="AH893" s="38"/>
      <c r="AI893" s="38"/>
      <c r="AJ893" s="38"/>
      <c r="AK893" s="38"/>
      <c r="AL893" s="38"/>
      <c r="AM893" s="38"/>
      <c r="AN893" s="38"/>
      <c r="AO893" s="38"/>
      <c r="AP893" s="38"/>
      <c r="AQ893" s="38"/>
      <c r="AR893" s="38"/>
      <c r="AS893" s="38"/>
      <c r="AT893" s="38"/>
      <c r="AU893" s="38"/>
      <c r="AV893" s="38"/>
      <c r="AW893" s="38"/>
      <c r="AX893" s="38"/>
      <c r="AY893" s="38"/>
      <c r="AZ893" s="38"/>
      <c r="BA893" s="38"/>
      <c r="BB893" s="38"/>
      <c r="BC893" s="38"/>
      <c r="BD893" s="38"/>
      <c r="BE893" s="38"/>
      <c r="BF893" s="38"/>
      <c r="BG893" s="38"/>
      <c r="BH893" s="38"/>
      <c r="BI893" s="38"/>
      <c r="BJ893" s="38"/>
      <c r="BK893" s="38"/>
      <c r="BL893" s="38"/>
      <c r="BM893" s="38"/>
      <c r="BN893" s="38"/>
      <c r="BO893" s="38"/>
      <c r="BP893" s="38"/>
    </row>
    <row r="894">
      <c r="A894" s="40"/>
      <c r="B894" s="40"/>
      <c r="AF894" s="38"/>
      <c r="AG894" s="38"/>
      <c r="AH894" s="38"/>
      <c r="AI894" s="38"/>
      <c r="AJ894" s="38"/>
      <c r="AK894" s="38"/>
      <c r="AL894" s="38"/>
      <c r="AM894" s="38"/>
      <c r="AN894" s="38"/>
      <c r="AO894" s="38"/>
      <c r="AP894" s="38"/>
      <c r="AQ894" s="38"/>
      <c r="AR894" s="38"/>
      <c r="AS894" s="38"/>
      <c r="AT894" s="38"/>
      <c r="AU894" s="38"/>
      <c r="AV894" s="38"/>
      <c r="AW894" s="38"/>
      <c r="AX894" s="38"/>
      <c r="AY894" s="38"/>
      <c r="AZ894" s="38"/>
      <c r="BA894" s="38"/>
      <c r="BB894" s="38"/>
      <c r="BC894" s="38"/>
      <c r="BD894" s="38"/>
      <c r="BE894" s="38"/>
      <c r="BF894" s="38"/>
      <c r="BG894" s="38"/>
      <c r="BH894" s="38"/>
      <c r="BI894" s="38"/>
      <c r="BJ894" s="38"/>
      <c r="BK894" s="38"/>
      <c r="BL894" s="38"/>
      <c r="BM894" s="38"/>
      <c r="BN894" s="38"/>
      <c r="BO894" s="38"/>
      <c r="BP894" s="38"/>
    </row>
    <row r="895">
      <c r="A895" s="40"/>
      <c r="B895" s="40"/>
      <c r="AF895" s="38"/>
      <c r="AG895" s="38"/>
      <c r="AH895" s="38"/>
      <c r="AI895" s="38"/>
      <c r="AJ895" s="38"/>
      <c r="AK895" s="38"/>
      <c r="AL895" s="38"/>
      <c r="AM895" s="38"/>
      <c r="AN895" s="38"/>
      <c r="AO895" s="38"/>
      <c r="AP895" s="38"/>
      <c r="AQ895" s="38"/>
      <c r="AR895" s="38"/>
      <c r="AS895" s="38"/>
      <c r="AT895" s="38"/>
      <c r="AU895" s="38"/>
      <c r="AV895" s="38"/>
      <c r="AW895" s="38"/>
      <c r="AX895" s="38"/>
      <c r="AY895" s="38"/>
      <c r="AZ895" s="38"/>
      <c r="BA895" s="38"/>
      <c r="BB895" s="38"/>
      <c r="BC895" s="38"/>
      <c r="BD895" s="38"/>
      <c r="BE895" s="38"/>
      <c r="BF895" s="38"/>
      <c r="BG895" s="38"/>
      <c r="BH895" s="38"/>
      <c r="BI895" s="38"/>
      <c r="BJ895" s="38"/>
      <c r="BK895" s="38"/>
      <c r="BL895" s="38"/>
      <c r="BM895" s="38"/>
      <c r="BN895" s="38"/>
      <c r="BO895" s="38"/>
      <c r="BP895" s="38"/>
    </row>
    <row r="896">
      <c r="A896" s="40"/>
      <c r="B896" s="40"/>
      <c r="AF896" s="38"/>
      <c r="AG896" s="38"/>
      <c r="AH896" s="38"/>
      <c r="AI896" s="38"/>
      <c r="AJ896" s="38"/>
      <c r="AK896" s="38"/>
      <c r="AL896" s="38"/>
      <c r="AM896" s="38"/>
      <c r="AN896" s="38"/>
      <c r="AO896" s="38"/>
      <c r="AP896" s="38"/>
      <c r="AQ896" s="38"/>
      <c r="AR896" s="38"/>
      <c r="AS896" s="38"/>
      <c r="AT896" s="38"/>
      <c r="AU896" s="38"/>
      <c r="AV896" s="38"/>
      <c r="AW896" s="38"/>
      <c r="AX896" s="38"/>
      <c r="AY896" s="38"/>
      <c r="AZ896" s="38"/>
      <c r="BA896" s="38"/>
      <c r="BB896" s="38"/>
      <c r="BC896" s="38"/>
      <c r="BD896" s="38"/>
      <c r="BE896" s="38"/>
      <c r="BF896" s="38"/>
      <c r="BG896" s="38"/>
      <c r="BH896" s="38"/>
      <c r="BI896" s="38"/>
      <c r="BJ896" s="38"/>
      <c r="BK896" s="38"/>
      <c r="BL896" s="38"/>
      <c r="BM896" s="38"/>
      <c r="BN896" s="38"/>
      <c r="BO896" s="38"/>
      <c r="BP896" s="38"/>
    </row>
    <row r="897">
      <c r="A897" s="40"/>
      <c r="B897" s="40"/>
      <c r="AF897" s="38"/>
      <c r="AG897" s="38"/>
      <c r="AH897" s="38"/>
      <c r="AI897" s="38"/>
      <c r="AJ897" s="38"/>
      <c r="AK897" s="38"/>
      <c r="AL897" s="38"/>
      <c r="AM897" s="38"/>
      <c r="AN897" s="38"/>
      <c r="AO897" s="38"/>
      <c r="AP897" s="38"/>
      <c r="AQ897" s="38"/>
      <c r="AR897" s="38"/>
      <c r="AS897" s="38"/>
      <c r="AT897" s="38"/>
      <c r="AU897" s="38"/>
      <c r="AV897" s="38"/>
      <c r="AW897" s="38"/>
      <c r="AX897" s="38"/>
      <c r="AY897" s="38"/>
      <c r="AZ897" s="38"/>
      <c r="BA897" s="38"/>
      <c r="BB897" s="38"/>
      <c r="BC897" s="38"/>
      <c r="BD897" s="38"/>
      <c r="BE897" s="38"/>
      <c r="BF897" s="38"/>
      <c r="BG897" s="38"/>
      <c r="BH897" s="38"/>
      <c r="BI897" s="38"/>
      <c r="BJ897" s="38"/>
      <c r="BK897" s="38"/>
      <c r="BL897" s="38"/>
      <c r="BM897" s="38"/>
      <c r="BN897" s="38"/>
      <c r="BO897" s="38"/>
      <c r="BP897" s="38"/>
    </row>
    <row r="898">
      <c r="A898" s="40"/>
      <c r="B898" s="40"/>
      <c r="AF898" s="38"/>
      <c r="AG898" s="38"/>
      <c r="AH898" s="38"/>
      <c r="AI898" s="38"/>
      <c r="AJ898" s="38"/>
      <c r="AK898" s="38"/>
      <c r="AL898" s="38"/>
      <c r="AM898" s="38"/>
      <c r="AN898" s="38"/>
      <c r="AO898" s="38"/>
      <c r="AP898" s="38"/>
      <c r="AQ898" s="38"/>
      <c r="AR898" s="38"/>
      <c r="AS898" s="38"/>
      <c r="AT898" s="38"/>
      <c r="AU898" s="38"/>
      <c r="AV898" s="38"/>
      <c r="AW898" s="38"/>
      <c r="AX898" s="38"/>
      <c r="AY898" s="38"/>
      <c r="AZ898" s="38"/>
      <c r="BA898" s="38"/>
      <c r="BB898" s="38"/>
      <c r="BC898" s="38"/>
      <c r="BD898" s="38"/>
      <c r="BE898" s="38"/>
      <c r="BF898" s="38"/>
      <c r="BG898" s="38"/>
      <c r="BH898" s="38"/>
      <c r="BI898" s="38"/>
      <c r="BJ898" s="38"/>
      <c r="BK898" s="38"/>
      <c r="BL898" s="38"/>
      <c r="BM898" s="38"/>
      <c r="BN898" s="38"/>
      <c r="BO898" s="38"/>
      <c r="BP898" s="38"/>
    </row>
    <row r="899">
      <c r="A899" s="40"/>
      <c r="B899" s="40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</row>
    <row r="900">
      <c r="A900" s="40"/>
      <c r="B900" s="40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</row>
    <row r="901">
      <c r="A901" s="40"/>
      <c r="B901" s="40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</row>
    <row r="902">
      <c r="A902" s="40"/>
      <c r="B902" s="40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</row>
    <row r="903">
      <c r="A903" s="40"/>
      <c r="B903" s="40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</row>
    <row r="904">
      <c r="A904" s="40"/>
      <c r="B904" s="40"/>
      <c r="AF904" s="38"/>
      <c r="AG904" s="38"/>
      <c r="AH904" s="38"/>
      <c r="AI904" s="38"/>
      <c r="AJ904" s="38"/>
      <c r="AK904" s="38"/>
      <c r="AL904" s="38"/>
      <c r="AM904" s="38"/>
      <c r="AN904" s="38"/>
      <c r="AO904" s="38"/>
      <c r="AP904" s="38"/>
      <c r="AQ904" s="38"/>
      <c r="AR904" s="38"/>
      <c r="AS904" s="38"/>
      <c r="AT904" s="38"/>
      <c r="AU904" s="38"/>
      <c r="AV904" s="38"/>
      <c r="AW904" s="38"/>
      <c r="AX904" s="38"/>
      <c r="AY904" s="38"/>
      <c r="AZ904" s="38"/>
      <c r="BA904" s="38"/>
      <c r="BB904" s="38"/>
      <c r="BC904" s="38"/>
      <c r="BD904" s="38"/>
      <c r="BE904" s="38"/>
      <c r="BF904" s="38"/>
      <c r="BG904" s="38"/>
      <c r="BH904" s="38"/>
      <c r="BI904" s="38"/>
      <c r="BJ904" s="38"/>
      <c r="BK904" s="38"/>
      <c r="BL904" s="38"/>
      <c r="BM904" s="38"/>
      <c r="BN904" s="38"/>
      <c r="BO904" s="38"/>
      <c r="BP904" s="38"/>
    </row>
    <row r="905">
      <c r="A905" s="40"/>
      <c r="B905" s="40"/>
      <c r="AF905" s="38"/>
      <c r="AG905" s="38"/>
      <c r="AH905" s="38"/>
      <c r="AI905" s="38"/>
      <c r="AJ905" s="38"/>
      <c r="AK905" s="38"/>
      <c r="AL905" s="38"/>
      <c r="AM905" s="38"/>
      <c r="AN905" s="38"/>
      <c r="AO905" s="38"/>
      <c r="AP905" s="38"/>
      <c r="AQ905" s="38"/>
      <c r="AR905" s="38"/>
      <c r="AS905" s="38"/>
      <c r="AT905" s="38"/>
      <c r="AU905" s="38"/>
      <c r="AV905" s="38"/>
      <c r="AW905" s="38"/>
      <c r="AX905" s="38"/>
      <c r="AY905" s="38"/>
      <c r="AZ905" s="38"/>
      <c r="BA905" s="38"/>
      <c r="BB905" s="38"/>
      <c r="BC905" s="38"/>
      <c r="BD905" s="38"/>
      <c r="BE905" s="38"/>
      <c r="BF905" s="38"/>
      <c r="BG905" s="38"/>
      <c r="BH905" s="38"/>
      <c r="BI905" s="38"/>
      <c r="BJ905" s="38"/>
      <c r="BK905" s="38"/>
      <c r="BL905" s="38"/>
      <c r="BM905" s="38"/>
      <c r="BN905" s="38"/>
      <c r="BO905" s="38"/>
      <c r="BP905" s="38"/>
    </row>
    <row r="906">
      <c r="A906" s="40"/>
      <c r="B906" s="40"/>
      <c r="AF906" s="38"/>
      <c r="AG906" s="38"/>
      <c r="AH906" s="38"/>
      <c r="AI906" s="38"/>
      <c r="AJ906" s="38"/>
      <c r="AK906" s="38"/>
      <c r="AL906" s="38"/>
      <c r="AM906" s="38"/>
      <c r="AN906" s="38"/>
      <c r="AO906" s="38"/>
      <c r="AP906" s="38"/>
      <c r="AQ906" s="38"/>
      <c r="AR906" s="38"/>
      <c r="AS906" s="38"/>
      <c r="AT906" s="38"/>
      <c r="AU906" s="38"/>
      <c r="AV906" s="38"/>
      <c r="AW906" s="38"/>
      <c r="AX906" s="38"/>
      <c r="AY906" s="38"/>
      <c r="AZ906" s="38"/>
      <c r="BA906" s="38"/>
      <c r="BB906" s="38"/>
      <c r="BC906" s="38"/>
      <c r="BD906" s="38"/>
      <c r="BE906" s="38"/>
      <c r="BF906" s="38"/>
      <c r="BG906" s="38"/>
      <c r="BH906" s="38"/>
      <c r="BI906" s="38"/>
      <c r="BJ906" s="38"/>
      <c r="BK906" s="38"/>
      <c r="BL906" s="38"/>
      <c r="BM906" s="38"/>
      <c r="BN906" s="38"/>
      <c r="BO906" s="38"/>
      <c r="BP906" s="38"/>
    </row>
    <row r="907">
      <c r="A907" s="40"/>
      <c r="B907" s="40"/>
      <c r="AF907" s="38"/>
      <c r="AG907" s="38"/>
      <c r="AH907" s="38"/>
      <c r="AI907" s="38"/>
      <c r="AJ907" s="38"/>
      <c r="AK907" s="38"/>
      <c r="AL907" s="38"/>
      <c r="AM907" s="38"/>
      <c r="AN907" s="38"/>
      <c r="AO907" s="38"/>
      <c r="AP907" s="38"/>
      <c r="AQ907" s="38"/>
      <c r="AR907" s="38"/>
      <c r="AS907" s="38"/>
      <c r="AT907" s="38"/>
      <c r="AU907" s="38"/>
      <c r="AV907" s="38"/>
      <c r="AW907" s="38"/>
      <c r="AX907" s="38"/>
      <c r="AY907" s="38"/>
      <c r="AZ907" s="38"/>
      <c r="BA907" s="38"/>
      <c r="BB907" s="38"/>
      <c r="BC907" s="38"/>
      <c r="BD907" s="38"/>
      <c r="BE907" s="38"/>
      <c r="BF907" s="38"/>
      <c r="BG907" s="38"/>
      <c r="BH907" s="38"/>
      <c r="BI907" s="38"/>
      <c r="BJ907" s="38"/>
      <c r="BK907" s="38"/>
      <c r="BL907" s="38"/>
      <c r="BM907" s="38"/>
      <c r="BN907" s="38"/>
      <c r="BO907" s="38"/>
      <c r="BP907" s="38"/>
    </row>
    <row r="908">
      <c r="A908" s="40"/>
      <c r="B908" s="40"/>
      <c r="AF908" s="38"/>
      <c r="AG908" s="38"/>
      <c r="AH908" s="38"/>
      <c r="AI908" s="38"/>
      <c r="AJ908" s="38"/>
      <c r="AK908" s="38"/>
      <c r="AL908" s="38"/>
      <c r="AM908" s="38"/>
      <c r="AN908" s="38"/>
      <c r="AO908" s="38"/>
      <c r="AP908" s="38"/>
      <c r="AQ908" s="38"/>
      <c r="AR908" s="38"/>
      <c r="AS908" s="38"/>
      <c r="AT908" s="38"/>
      <c r="AU908" s="38"/>
      <c r="AV908" s="38"/>
      <c r="AW908" s="38"/>
      <c r="AX908" s="38"/>
      <c r="AY908" s="38"/>
      <c r="AZ908" s="38"/>
      <c r="BA908" s="38"/>
      <c r="BB908" s="38"/>
      <c r="BC908" s="38"/>
      <c r="BD908" s="38"/>
      <c r="BE908" s="38"/>
      <c r="BF908" s="38"/>
      <c r="BG908" s="38"/>
      <c r="BH908" s="38"/>
      <c r="BI908" s="38"/>
      <c r="BJ908" s="38"/>
      <c r="BK908" s="38"/>
      <c r="BL908" s="38"/>
      <c r="BM908" s="38"/>
      <c r="BN908" s="38"/>
      <c r="BO908" s="38"/>
      <c r="BP908" s="38"/>
    </row>
    <row r="909">
      <c r="A909" s="40"/>
      <c r="B909" s="40"/>
      <c r="AF909" s="38"/>
      <c r="AG909" s="38"/>
      <c r="AH909" s="38"/>
      <c r="AI909" s="38"/>
      <c r="AJ909" s="38"/>
      <c r="AK909" s="38"/>
      <c r="AL909" s="38"/>
      <c r="AM909" s="38"/>
      <c r="AN909" s="38"/>
      <c r="AO909" s="38"/>
      <c r="AP909" s="38"/>
      <c r="AQ909" s="38"/>
      <c r="AR909" s="38"/>
      <c r="AS909" s="38"/>
      <c r="AT909" s="38"/>
      <c r="AU909" s="38"/>
      <c r="AV909" s="38"/>
      <c r="AW909" s="38"/>
      <c r="AX909" s="38"/>
      <c r="AY909" s="38"/>
      <c r="AZ909" s="38"/>
      <c r="BA909" s="38"/>
      <c r="BB909" s="38"/>
      <c r="BC909" s="38"/>
      <c r="BD909" s="38"/>
      <c r="BE909" s="38"/>
      <c r="BF909" s="38"/>
      <c r="BG909" s="38"/>
      <c r="BH909" s="38"/>
      <c r="BI909" s="38"/>
      <c r="BJ909" s="38"/>
      <c r="BK909" s="38"/>
      <c r="BL909" s="38"/>
      <c r="BM909" s="38"/>
      <c r="BN909" s="38"/>
      <c r="BO909" s="38"/>
      <c r="BP909" s="38"/>
    </row>
    <row r="910">
      <c r="A910" s="40"/>
      <c r="B910" s="40"/>
      <c r="AF910" s="38"/>
      <c r="AG910" s="38"/>
      <c r="AH910" s="38"/>
      <c r="AI910" s="38"/>
      <c r="AJ910" s="38"/>
      <c r="AK910" s="38"/>
      <c r="AL910" s="38"/>
      <c r="AM910" s="38"/>
      <c r="AN910" s="38"/>
      <c r="AO910" s="38"/>
      <c r="AP910" s="38"/>
      <c r="AQ910" s="38"/>
      <c r="AR910" s="38"/>
      <c r="AS910" s="38"/>
      <c r="AT910" s="38"/>
      <c r="AU910" s="38"/>
      <c r="AV910" s="38"/>
      <c r="AW910" s="38"/>
      <c r="AX910" s="38"/>
      <c r="AY910" s="38"/>
      <c r="AZ910" s="38"/>
      <c r="BA910" s="38"/>
      <c r="BB910" s="38"/>
      <c r="BC910" s="38"/>
      <c r="BD910" s="38"/>
      <c r="BE910" s="38"/>
      <c r="BF910" s="38"/>
      <c r="BG910" s="38"/>
      <c r="BH910" s="38"/>
      <c r="BI910" s="38"/>
      <c r="BJ910" s="38"/>
      <c r="BK910" s="38"/>
      <c r="BL910" s="38"/>
      <c r="BM910" s="38"/>
      <c r="BN910" s="38"/>
      <c r="BO910" s="38"/>
      <c r="BP910" s="38"/>
    </row>
    <row r="911">
      <c r="A911" s="40"/>
      <c r="B911" s="40"/>
      <c r="AF911" s="38"/>
      <c r="AG911" s="38"/>
      <c r="AH911" s="38"/>
      <c r="AI911" s="38"/>
      <c r="AJ911" s="38"/>
      <c r="AK911" s="38"/>
      <c r="AL911" s="38"/>
      <c r="AM911" s="38"/>
      <c r="AN911" s="38"/>
      <c r="AO911" s="38"/>
      <c r="AP911" s="38"/>
      <c r="AQ911" s="38"/>
      <c r="AR911" s="38"/>
      <c r="AS911" s="38"/>
      <c r="AT911" s="38"/>
      <c r="AU911" s="38"/>
      <c r="AV911" s="38"/>
      <c r="AW911" s="38"/>
      <c r="AX911" s="38"/>
      <c r="AY911" s="38"/>
      <c r="AZ911" s="38"/>
      <c r="BA911" s="38"/>
      <c r="BB911" s="38"/>
      <c r="BC911" s="38"/>
      <c r="BD911" s="38"/>
      <c r="BE911" s="38"/>
      <c r="BF911" s="38"/>
      <c r="BG911" s="38"/>
      <c r="BH911" s="38"/>
      <c r="BI911" s="38"/>
      <c r="BJ911" s="38"/>
      <c r="BK911" s="38"/>
      <c r="BL911" s="38"/>
      <c r="BM911" s="38"/>
      <c r="BN911" s="38"/>
      <c r="BO911" s="38"/>
      <c r="BP911" s="38"/>
    </row>
    <row r="912">
      <c r="A912" s="40"/>
      <c r="B912" s="40"/>
      <c r="AF912" s="38"/>
      <c r="AG912" s="38"/>
      <c r="AH912" s="38"/>
      <c r="AI912" s="38"/>
      <c r="AJ912" s="38"/>
      <c r="AK912" s="38"/>
      <c r="AL912" s="38"/>
      <c r="AM912" s="38"/>
      <c r="AN912" s="38"/>
      <c r="AO912" s="38"/>
      <c r="AP912" s="38"/>
      <c r="AQ912" s="38"/>
      <c r="AR912" s="38"/>
      <c r="AS912" s="38"/>
      <c r="AT912" s="38"/>
      <c r="AU912" s="38"/>
      <c r="AV912" s="38"/>
      <c r="AW912" s="38"/>
      <c r="AX912" s="38"/>
      <c r="AY912" s="38"/>
      <c r="AZ912" s="38"/>
      <c r="BA912" s="38"/>
      <c r="BB912" s="38"/>
      <c r="BC912" s="38"/>
      <c r="BD912" s="38"/>
      <c r="BE912" s="38"/>
      <c r="BF912" s="38"/>
      <c r="BG912" s="38"/>
      <c r="BH912" s="38"/>
      <c r="BI912" s="38"/>
      <c r="BJ912" s="38"/>
      <c r="BK912" s="38"/>
      <c r="BL912" s="38"/>
      <c r="BM912" s="38"/>
      <c r="BN912" s="38"/>
      <c r="BO912" s="38"/>
      <c r="BP912" s="38"/>
    </row>
    <row r="913">
      <c r="A913" s="40"/>
      <c r="B913" s="40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  <c r="AZ913" s="38"/>
      <c r="BA913" s="38"/>
      <c r="BB913" s="38"/>
      <c r="BC913" s="38"/>
      <c r="BD913" s="38"/>
      <c r="BE913" s="38"/>
      <c r="BF913" s="38"/>
      <c r="BG913" s="38"/>
      <c r="BH913" s="38"/>
      <c r="BI913" s="38"/>
      <c r="BJ913" s="38"/>
      <c r="BK913" s="38"/>
      <c r="BL913" s="38"/>
      <c r="BM913" s="38"/>
      <c r="BN913" s="38"/>
      <c r="BO913" s="38"/>
      <c r="BP913" s="38"/>
    </row>
    <row r="914">
      <c r="A914" s="40"/>
      <c r="B914" s="40"/>
      <c r="AF914" s="38"/>
      <c r="AG914" s="38"/>
      <c r="AH914" s="38"/>
      <c r="AI914" s="38"/>
      <c r="AJ914" s="38"/>
      <c r="AK914" s="38"/>
      <c r="AL914" s="38"/>
      <c r="AM914" s="38"/>
      <c r="AN914" s="38"/>
      <c r="AO914" s="38"/>
      <c r="AP914" s="38"/>
      <c r="AQ914" s="38"/>
      <c r="AR914" s="38"/>
      <c r="AS914" s="38"/>
      <c r="AT914" s="38"/>
      <c r="AU914" s="38"/>
      <c r="AV914" s="38"/>
      <c r="AW914" s="38"/>
      <c r="AX914" s="38"/>
      <c r="AY914" s="38"/>
      <c r="AZ914" s="38"/>
      <c r="BA914" s="38"/>
      <c r="BB914" s="38"/>
      <c r="BC914" s="38"/>
      <c r="BD914" s="38"/>
      <c r="BE914" s="38"/>
      <c r="BF914" s="38"/>
      <c r="BG914" s="38"/>
      <c r="BH914" s="38"/>
      <c r="BI914" s="38"/>
      <c r="BJ914" s="38"/>
      <c r="BK914" s="38"/>
      <c r="BL914" s="38"/>
      <c r="BM914" s="38"/>
      <c r="BN914" s="38"/>
      <c r="BO914" s="38"/>
      <c r="BP914" s="38"/>
    </row>
    <row r="915">
      <c r="A915" s="40"/>
      <c r="B915" s="40"/>
      <c r="AF915" s="38"/>
      <c r="AG915" s="38"/>
      <c r="AH915" s="38"/>
      <c r="AI915" s="38"/>
      <c r="AJ915" s="38"/>
      <c r="AK915" s="38"/>
      <c r="AL915" s="38"/>
      <c r="AM915" s="38"/>
      <c r="AN915" s="38"/>
      <c r="AO915" s="38"/>
      <c r="AP915" s="38"/>
      <c r="AQ915" s="38"/>
      <c r="AR915" s="38"/>
      <c r="AS915" s="38"/>
      <c r="AT915" s="38"/>
      <c r="AU915" s="38"/>
      <c r="AV915" s="38"/>
      <c r="AW915" s="38"/>
      <c r="AX915" s="38"/>
      <c r="AY915" s="38"/>
      <c r="AZ915" s="38"/>
      <c r="BA915" s="38"/>
      <c r="BB915" s="38"/>
      <c r="BC915" s="38"/>
      <c r="BD915" s="38"/>
      <c r="BE915" s="38"/>
      <c r="BF915" s="38"/>
      <c r="BG915" s="38"/>
      <c r="BH915" s="38"/>
      <c r="BI915" s="38"/>
      <c r="BJ915" s="38"/>
      <c r="BK915" s="38"/>
      <c r="BL915" s="38"/>
      <c r="BM915" s="38"/>
      <c r="BN915" s="38"/>
      <c r="BO915" s="38"/>
      <c r="BP915" s="38"/>
    </row>
    <row r="916">
      <c r="A916" s="40"/>
      <c r="B916" s="40"/>
      <c r="AF916" s="38"/>
      <c r="AG916" s="38"/>
      <c r="AH916" s="38"/>
      <c r="AI916" s="38"/>
      <c r="AJ916" s="38"/>
      <c r="AK916" s="38"/>
      <c r="AL916" s="38"/>
      <c r="AM916" s="38"/>
      <c r="AN916" s="38"/>
      <c r="AO916" s="38"/>
      <c r="AP916" s="38"/>
      <c r="AQ916" s="38"/>
      <c r="AR916" s="38"/>
      <c r="AS916" s="38"/>
      <c r="AT916" s="38"/>
      <c r="AU916" s="38"/>
      <c r="AV916" s="38"/>
      <c r="AW916" s="38"/>
      <c r="AX916" s="38"/>
      <c r="AY916" s="38"/>
      <c r="AZ916" s="38"/>
      <c r="BA916" s="38"/>
      <c r="BB916" s="38"/>
      <c r="BC916" s="38"/>
      <c r="BD916" s="38"/>
      <c r="BE916" s="38"/>
      <c r="BF916" s="38"/>
      <c r="BG916" s="38"/>
      <c r="BH916" s="38"/>
      <c r="BI916" s="38"/>
      <c r="BJ916" s="38"/>
      <c r="BK916" s="38"/>
      <c r="BL916" s="38"/>
      <c r="BM916" s="38"/>
      <c r="BN916" s="38"/>
      <c r="BO916" s="38"/>
      <c r="BP916" s="38"/>
    </row>
    <row r="917">
      <c r="A917" s="40"/>
      <c r="B917" s="40"/>
      <c r="AF917" s="38"/>
      <c r="AG917" s="38"/>
      <c r="AH917" s="38"/>
      <c r="AI917" s="38"/>
      <c r="AJ917" s="38"/>
      <c r="AK917" s="38"/>
      <c r="AL917" s="38"/>
      <c r="AM917" s="38"/>
      <c r="AN917" s="38"/>
      <c r="AO917" s="38"/>
      <c r="AP917" s="38"/>
      <c r="AQ917" s="38"/>
      <c r="AR917" s="38"/>
      <c r="AS917" s="38"/>
      <c r="AT917" s="38"/>
      <c r="AU917" s="38"/>
      <c r="AV917" s="38"/>
      <c r="AW917" s="38"/>
      <c r="AX917" s="38"/>
      <c r="AY917" s="38"/>
      <c r="AZ917" s="38"/>
      <c r="BA917" s="38"/>
      <c r="BB917" s="38"/>
      <c r="BC917" s="38"/>
      <c r="BD917" s="38"/>
      <c r="BE917" s="38"/>
      <c r="BF917" s="38"/>
      <c r="BG917" s="38"/>
      <c r="BH917" s="38"/>
      <c r="BI917" s="38"/>
      <c r="BJ917" s="38"/>
      <c r="BK917" s="38"/>
      <c r="BL917" s="38"/>
      <c r="BM917" s="38"/>
      <c r="BN917" s="38"/>
      <c r="BO917" s="38"/>
      <c r="BP917" s="38"/>
    </row>
    <row r="918">
      <c r="A918" s="40"/>
      <c r="B918" s="40"/>
      <c r="AF918" s="38"/>
      <c r="AG918" s="38"/>
      <c r="AH918" s="38"/>
      <c r="AI918" s="38"/>
      <c r="AJ918" s="38"/>
      <c r="AK918" s="38"/>
      <c r="AL918" s="38"/>
      <c r="AM918" s="38"/>
      <c r="AN918" s="38"/>
      <c r="AO918" s="38"/>
      <c r="AP918" s="38"/>
      <c r="AQ918" s="38"/>
      <c r="AR918" s="38"/>
      <c r="AS918" s="38"/>
      <c r="AT918" s="38"/>
      <c r="AU918" s="38"/>
      <c r="AV918" s="38"/>
      <c r="AW918" s="38"/>
      <c r="AX918" s="38"/>
      <c r="AY918" s="38"/>
      <c r="AZ918" s="38"/>
      <c r="BA918" s="38"/>
      <c r="BB918" s="38"/>
      <c r="BC918" s="38"/>
      <c r="BD918" s="38"/>
      <c r="BE918" s="38"/>
      <c r="BF918" s="38"/>
      <c r="BG918" s="38"/>
      <c r="BH918" s="38"/>
      <c r="BI918" s="38"/>
      <c r="BJ918" s="38"/>
      <c r="BK918" s="38"/>
      <c r="BL918" s="38"/>
      <c r="BM918" s="38"/>
      <c r="BN918" s="38"/>
      <c r="BO918" s="38"/>
      <c r="BP918" s="38"/>
    </row>
    <row r="919">
      <c r="A919" s="40"/>
      <c r="B919" s="40"/>
      <c r="AF919" s="38"/>
      <c r="AG919" s="38"/>
      <c r="AH919" s="38"/>
      <c r="AI919" s="38"/>
      <c r="AJ919" s="38"/>
      <c r="AK919" s="38"/>
      <c r="AL919" s="38"/>
      <c r="AM919" s="38"/>
      <c r="AN919" s="38"/>
      <c r="AO919" s="38"/>
      <c r="AP919" s="38"/>
      <c r="AQ919" s="38"/>
      <c r="AR919" s="38"/>
      <c r="AS919" s="38"/>
      <c r="AT919" s="38"/>
      <c r="AU919" s="38"/>
      <c r="AV919" s="38"/>
      <c r="AW919" s="38"/>
      <c r="AX919" s="38"/>
      <c r="AY919" s="38"/>
      <c r="AZ919" s="38"/>
      <c r="BA919" s="38"/>
      <c r="BB919" s="38"/>
      <c r="BC919" s="38"/>
      <c r="BD919" s="38"/>
      <c r="BE919" s="38"/>
      <c r="BF919" s="38"/>
      <c r="BG919" s="38"/>
      <c r="BH919" s="38"/>
      <c r="BI919" s="38"/>
      <c r="BJ919" s="38"/>
      <c r="BK919" s="38"/>
      <c r="BL919" s="38"/>
      <c r="BM919" s="38"/>
      <c r="BN919" s="38"/>
      <c r="BO919" s="38"/>
      <c r="BP919" s="38"/>
    </row>
    <row r="920">
      <c r="A920" s="40"/>
      <c r="B920" s="40"/>
      <c r="AF920" s="38"/>
      <c r="AG920" s="38"/>
      <c r="AH920" s="38"/>
      <c r="AI920" s="38"/>
      <c r="AJ920" s="38"/>
      <c r="AK920" s="38"/>
      <c r="AL920" s="38"/>
      <c r="AM920" s="38"/>
      <c r="AN920" s="38"/>
      <c r="AO920" s="38"/>
      <c r="AP920" s="38"/>
      <c r="AQ920" s="38"/>
      <c r="AR920" s="38"/>
      <c r="AS920" s="38"/>
      <c r="AT920" s="38"/>
      <c r="AU920" s="38"/>
      <c r="AV920" s="38"/>
      <c r="AW920" s="38"/>
      <c r="AX920" s="38"/>
      <c r="AY920" s="38"/>
      <c r="AZ920" s="38"/>
      <c r="BA920" s="38"/>
      <c r="BB920" s="38"/>
      <c r="BC920" s="38"/>
      <c r="BD920" s="38"/>
      <c r="BE920" s="38"/>
      <c r="BF920" s="38"/>
      <c r="BG920" s="38"/>
      <c r="BH920" s="38"/>
      <c r="BI920" s="38"/>
      <c r="BJ920" s="38"/>
      <c r="BK920" s="38"/>
      <c r="BL920" s="38"/>
      <c r="BM920" s="38"/>
      <c r="BN920" s="38"/>
      <c r="BO920" s="38"/>
      <c r="BP920" s="38"/>
    </row>
    <row r="921">
      <c r="A921" s="40"/>
      <c r="B921" s="40"/>
      <c r="AF921" s="38"/>
      <c r="AG921" s="38"/>
      <c r="AH921" s="38"/>
      <c r="AI921" s="38"/>
      <c r="AJ921" s="38"/>
      <c r="AK921" s="38"/>
      <c r="AL921" s="38"/>
      <c r="AM921" s="38"/>
      <c r="AN921" s="38"/>
      <c r="AO921" s="38"/>
      <c r="AP921" s="38"/>
      <c r="AQ921" s="38"/>
      <c r="AR921" s="38"/>
      <c r="AS921" s="38"/>
      <c r="AT921" s="38"/>
      <c r="AU921" s="38"/>
      <c r="AV921" s="38"/>
      <c r="AW921" s="38"/>
      <c r="AX921" s="38"/>
      <c r="AY921" s="38"/>
      <c r="AZ921" s="38"/>
      <c r="BA921" s="38"/>
      <c r="BB921" s="38"/>
      <c r="BC921" s="38"/>
      <c r="BD921" s="38"/>
      <c r="BE921" s="38"/>
      <c r="BF921" s="38"/>
      <c r="BG921" s="38"/>
      <c r="BH921" s="38"/>
      <c r="BI921" s="38"/>
      <c r="BJ921" s="38"/>
      <c r="BK921" s="38"/>
      <c r="BL921" s="38"/>
      <c r="BM921" s="38"/>
      <c r="BN921" s="38"/>
      <c r="BO921" s="38"/>
      <c r="BP921" s="38"/>
    </row>
    <row r="922">
      <c r="A922" s="40"/>
      <c r="B922" s="40"/>
      <c r="AF922" s="38"/>
      <c r="AG922" s="38"/>
      <c r="AH922" s="38"/>
      <c r="AI922" s="38"/>
      <c r="AJ922" s="38"/>
      <c r="AK922" s="38"/>
      <c r="AL922" s="38"/>
      <c r="AM922" s="38"/>
      <c r="AN922" s="38"/>
      <c r="AO922" s="38"/>
      <c r="AP922" s="38"/>
      <c r="AQ922" s="38"/>
      <c r="AR922" s="38"/>
      <c r="AS922" s="38"/>
      <c r="AT922" s="38"/>
      <c r="AU922" s="38"/>
      <c r="AV922" s="38"/>
      <c r="AW922" s="38"/>
      <c r="AX922" s="38"/>
      <c r="AY922" s="38"/>
      <c r="AZ922" s="38"/>
      <c r="BA922" s="38"/>
      <c r="BB922" s="38"/>
      <c r="BC922" s="38"/>
      <c r="BD922" s="38"/>
      <c r="BE922" s="38"/>
      <c r="BF922" s="38"/>
      <c r="BG922" s="38"/>
      <c r="BH922" s="38"/>
      <c r="BI922" s="38"/>
      <c r="BJ922" s="38"/>
      <c r="BK922" s="38"/>
      <c r="BL922" s="38"/>
      <c r="BM922" s="38"/>
      <c r="BN922" s="38"/>
      <c r="BO922" s="38"/>
      <c r="BP922" s="38"/>
    </row>
    <row r="923">
      <c r="A923" s="40"/>
      <c r="B923" s="40"/>
      <c r="AF923" s="38"/>
      <c r="AG923" s="38"/>
      <c r="AH923" s="38"/>
      <c r="AI923" s="38"/>
      <c r="AJ923" s="38"/>
      <c r="AK923" s="38"/>
      <c r="AL923" s="38"/>
      <c r="AM923" s="38"/>
      <c r="AN923" s="38"/>
      <c r="AO923" s="38"/>
      <c r="AP923" s="38"/>
      <c r="AQ923" s="38"/>
      <c r="AR923" s="38"/>
      <c r="AS923" s="38"/>
      <c r="AT923" s="38"/>
      <c r="AU923" s="38"/>
      <c r="AV923" s="38"/>
      <c r="AW923" s="38"/>
      <c r="AX923" s="38"/>
      <c r="AY923" s="38"/>
      <c r="AZ923" s="38"/>
      <c r="BA923" s="38"/>
      <c r="BB923" s="38"/>
      <c r="BC923" s="38"/>
      <c r="BD923" s="38"/>
      <c r="BE923" s="38"/>
      <c r="BF923" s="38"/>
      <c r="BG923" s="38"/>
      <c r="BH923" s="38"/>
      <c r="BI923" s="38"/>
      <c r="BJ923" s="38"/>
      <c r="BK923" s="38"/>
      <c r="BL923" s="38"/>
      <c r="BM923" s="38"/>
      <c r="BN923" s="38"/>
      <c r="BO923" s="38"/>
      <c r="BP923" s="38"/>
    </row>
    <row r="924">
      <c r="A924" s="40"/>
      <c r="B924" s="40"/>
      <c r="AF924" s="38"/>
      <c r="AG924" s="38"/>
      <c r="AH924" s="38"/>
      <c r="AI924" s="38"/>
      <c r="AJ924" s="38"/>
      <c r="AK924" s="38"/>
      <c r="AL924" s="38"/>
      <c r="AM924" s="38"/>
      <c r="AN924" s="38"/>
      <c r="AO924" s="38"/>
      <c r="AP924" s="38"/>
      <c r="AQ924" s="38"/>
      <c r="AR924" s="38"/>
      <c r="AS924" s="38"/>
      <c r="AT924" s="38"/>
      <c r="AU924" s="38"/>
      <c r="AV924" s="38"/>
      <c r="AW924" s="38"/>
      <c r="AX924" s="38"/>
      <c r="AY924" s="38"/>
      <c r="AZ924" s="38"/>
      <c r="BA924" s="38"/>
      <c r="BB924" s="38"/>
      <c r="BC924" s="38"/>
      <c r="BD924" s="38"/>
      <c r="BE924" s="38"/>
      <c r="BF924" s="38"/>
      <c r="BG924" s="38"/>
      <c r="BH924" s="38"/>
      <c r="BI924" s="38"/>
      <c r="BJ924" s="38"/>
      <c r="BK924" s="38"/>
      <c r="BL924" s="38"/>
      <c r="BM924" s="38"/>
      <c r="BN924" s="38"/>
      <c r="BO924" s="38"/>
      <c r="BP924" s="38"/>
    </row>
    <row r="925">
      <c r="A925" s="40"/>
      <c r="B925" s="40"/>
      <c r="AF925" s="38"/>
      <c r="AG925" s="38"/>
      <c r="AH925" s="38"/>
      <c r="AI925" s="38"/>
      <c r="AJ925" s="38"/>
      <c r="AK925" s="38"/>
      <c r="AL925" s="38"/>
      <c r="AM925" s="38"/>
      <c r="AN925" s="38"/>
      <c r="AO925" s="38"/>
      <c r="AP925" s="38"/>
      <c r="AQ925" s="38"/>
      <c r="AR925" s="38"/>
      <c r="AS925" s="38"/>
      <c r="AT925" s="38"/>
      <c r="AU925" s="38"/>
      <c r="AV925" s="38"/>
      <c r="AW925" s="38"/>
      <c r="AX925" s="38"/>
      <c r="AY925" s="38"/>
      <c r="AZ925" s="38"/>
      <c r="BA925" s="38"/>
      <c r="BB925" s="38"/>
      <c r="BC925" s="38"/>
      <c r="BD925" s="38"/>
      <c r="BE925" s="38"/>
      <c r="BF925" s="38"/>
      <c r="BG925" s="38"/>
      <c r="BH925" s="38"/>
      <c r="BI925" s="38"/>
      <c r="BJ925" s="38"/>
      <c r="BK925" s="38"/>
      <c r="BL925" s="38"/>
      <c r="BM925" s="38"/>
      <c r="BN925" s="38"/>
      <c r="BO925" s="38"/>
      <c r="BP925" s="38"/>
    </row>
    <row r="926">
      <c r="A926" s="40"/>
      <c r="B926" s="40"/>
      <c r="AF926" s="38"/>
      <c r="AG926" s="38"/>
      <c r="AH926" s="38"/>
      <c r="AI926" s="38"/>
      <c r="AJ926" s="38"/>
      <c r="AK926" s="38"/>
      <c r="AL926" s="38"/>
      <c r="AM926" s="38"/>
      <c r="AN926" s="38"/>
      <c r="AO926" s="38"/>
      <c r="AP926" s="38"/>
      <c r="AQ926" s="38"/>
      <c r="AR926" s="38"/>
      <c r="AS926" s="38"/>
      <c r="AT926" s="38"/>
      <c r="AU926" s="38"/>
      <c r="AV926" s="38"/>
      <c r="AW926" s="38"/>
      <c r="AX926" s="38"/>
      <c r="AY926" s="38"/>
      <c r="AZ926" s="38"/>
      <c r="BA926" s="38"/>
      <c r="BB926" s="38"/>
      <c r="BC926" s="38"/>
      <c r="BD926" s="38"/>
      <c r="BE926" s="38"/>
      <c r="BF926" s="38"/>
      <c r="BG926" s="38"/>
      <c r="BH926" s="38"/>
      <c r="BI926" s="38"/>
      <c r="BJ926" s="38"/>
      <c r="BK926" s="38"/>
      <c r="BL926" s="38"/>
      <c r="BM926" s="38"/>
      <c r="BN926" s="38"/>
      <c r="BO926" s="38"/>
      <c r="BP926" s="38"/>
    </row>
    <row r="927">
      <c r="A927" s="40"/>
      <c r="B927" s="40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</row>
    <row r="928">
      <c r="A928" s="40"/>
      <c r="B928" s="40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</row>
    <row r="929">
      <c r="A929" s="40"/>
      <c r="B929" s="40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</row>
    <row r="930">
      <c r="A930" s="40"/>
      <c r="B930" s="40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</row>
    <row r="931">
      <c r="A931" s="40"/>
      <c r="B931" s="40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</row>
    <row r="932">
      <c r="A932" s="40"/>
      <c r="B932" s="40"/>
      <c r="AF932" s="38"/>
      <c r="AG932" s="38"/>
      <c r="AH932" s="38"/>
      <c r="AI932" s="38"/>
      <c r="AJ932" s="38"/>
      <c r="AK932" s="38"/>
      <c r="AL932" s="38"/>
      <c r="AM932" s="38"/>
      <c r="AN932" s="38"/>
      <c r="AO932" s="38"/>
      <c r="AP932" s="38"/>
      <c r="AQ932" s="38"/>
      <c r="AR932" s="38"/>
      <c r="AS932" s="38"/>
      <c r="AT932" s="38"/>
      <c r="AU932" s="38"/>
      <c r="AV932" s="38"/>
      <c r="AW932" s="38"/>
      <c r="AX932" s="38"/>
      <c r="AY932" s="38"/>
      <c r="AZ932" s="38"/>
      <c r="BA932" s="38"/>
      <c r="BB932" s="38"/>
      <c r="BC932" s="38"/>
      <c r="BD932" s="38"/>
      <c r="BE932" s="38"/>
      <c r="BF932" s="38"/>
      <c r="BG932" s="38"/>
      <c r="BH932" s="38"/>
      <c r="BI932" s="38"/>
      <c r="BJ932" s="38"/>
      <c r="BK932" s="38"/>
      <c r="BL932" s="38"/>
      <c r="BM932" s="38"/>
      <c r="BN932" s="38"/>
      <c r="BO932" s="38"/>
      <c r="BP932" s="38"/>
    </row>
    <row r="933">
      <c r="A933" s="40"/>
      <c r="B933" s="40"/>
      <c r="AF933" s="38"/>
      <c r="AG933" s="38"/>
      <c r="AH933" s="38"/>
      <c r="AI933" s="38"/>
      <c r="AJ933" s="38"/>
      <c r="AK933" s="38"/>
      <c r="AL933" s="38"/>
      <c r="AM933" s="38"/>
      <c r="AN933" s="38"/>
      <c r="AO933" s="38"/>
      <c r="AP933" s="38"/>
      <c r="AQ933" s="38"/>
      <c r="AR933" s="38"/>
      <c r="AS933" s="38"/>
      <c r="AT933" s="38"/>
      <c r="AU933" s="38"/>
      <c r="AV933" s="38"/>
      <c r="AW933" s="38"/>
      <c r="AX933" s="38"/>
      <c r="AY933" s="38"/>
      <c r="AZ933" s="38"/>
      <c r="BA933" s="38"/>
      <c r="BB933" s="38"/>
      <c r="BC933" s="38"/>
      <c r="BD933" s="38"/>
      <c r="BE933" s="38"/>
      <c r="BF933" s="38"/>
      <c r="BG933" s="38"/>
      <c r="BH933" s="38"/>
      <c r="BI933" s="38"/>
      <c r="BJ933" s="38"/>
      <c r="BK933" s="38"/>
      <c r="BL933" s="38"/>
      <c r="BM933" s="38"/>
      <c r="BN933" s="38"/>
      <c r="BO933" s="38"/>
      <c r="BP933" s="38"/>
    </row>
    <row r="934">
      <c r="A934" s="40"/>
      <c r="B934" s="40"/>
      <c r="AF934" s="38"/>
      <c r="AG934" s="38"/>
      <c r="AH934" s="38"/>
      <c r="AI934" s="38"/>
      <c r="AJ934" s="38"/>
      <c r="AK934" s="38"/>
      <c r="AL934" s="38"/>
      <c r="AM934" s="38"/>
      <c r="AN934" s="38"/>
      <c r="AO934" s="38"/>
      <c r="AP934" s="38"/>
      <c r="AQ934" s="38"/>
      <c r="AR934" s="38"/>
      <c r="AS934" s="38"/>
      <c r="AT934" s="38"/>
      <c r="AU934" s="38"/>
      <c r="AV934" s="38"/>
      <c r="AW934" s="38"/>
      <c r="AX934" s="38"/>
      <c r="AY934" s="38"/>
      <c r="AZ934" s="38"/>
      <c r="BA934" s="38"/>
      <c r="BB934" s="38"/>
      <c r="BC934" s="38"/>
      <c r="BD934" s="38"/>
      <c r="BE934" s="38"/>
      <c r="BF934" s="38"/>
      <c r="BG934" s="38"/>
      <c r="BH934" s="38"/>
      <c r="BI934" s="38"/>
      <c r="BJ934" s="38"/>
      <c r="BK934" s="38"/>
      <c r="BL934" s="38"/>
      <c r="BM934" s="38"/>
      <c r="BN934" s="38"/>
      <c r="BO934" s="38"/>
      <c r="BP934" s="38"/>
    </row>
    <row r="935">
      <c r="A935" s="40"/>
      <c r="B935" s="40"/>
      <c r="AF935" s="38"/>
      <c r="AG935" s="38"/>
      <c r="AH935" s="38"/>
      <c r="AI935" s="38"/>
      <c r="AJ935" s="38"/>
      <c r="AK935" s="38"/>
      <c r="AL935" s="38"/>
      <c r="AM935" s="38"/>
      <c r="AN935" s="38"/>
      <c r="AO935" s="38"/>
      <c r="AP935" s="38"/>
      <c r="AQ935" s="38"/>
      <c r="AR935" s="38"/>
      <c r="AS935" s="38"/>
      <c r="AT935" s="38"/>
      <c r="AU935" s="38"/>
      <c r="AV935" s="38"/>
      <c r="AW935" s="38"/>
      <c r="AX935" s="38"/>
      <c r="AY935" s="38"/>
      <c r="AZ935" s="38"/>
      <c r="BA935" s="38"/>
      <c r="BB935" s="38"/>
      <c r="BC935" s="38"/>
      <c r="BD935" s="38"/>
      <c r="BE935" s="38"/>
      <c r="BF935" s="38"/>
      <c r="BG935" s="38"/>
      <c r="BH935" s="38"/>
      <c r="BI935" s="38"/>
      <c r="BJ935" s="38"/>
      <c r="BK935" s="38"/>
      <c r="BL935" s="38"/>
      <c r="BM935" s="38"/>
      <c r="BN935" s="38"/>
      <c r="BO935" s="38"/>
      <c r="BP935" s="38"/>
    </row>
    <row r="936">
      <c r="A936" s="40"/>
      <c r="B936" s="40"/>
      <c r="AF936" s="38"/>
      <c r="AG936" s="38"/>
      <c r="AH936" s="38"/>
      <c r="AI936" s="38"/>
      <c r="AJ936" s="38"/>
      <c r="AK936" s="38"/>
      <c r="AL936" s="38"/>
      <c r="AM936" s="38"/>
      <c r="AN936" s="38"/>
      <c r="AO936" s="38"/>
      <c r="AP936" s="38"/>
      <c r="AQ936" s="38"/>
      <c r="AR936" s="38"/>
      <c r="AS936" s="38"/>
      <c r="AT936" s="38"/>
      <c r="AU936" s="38"/>
      <c r="AV936" s="38"/>
      <c r="AW936" s="38"/>
      <c r="AX936" s="38"/>
      <c r="AY936" s="38"/>
      <c r="AZ936" s="38"/>
      <c r="BA936" s="38"/>
      <c r="BB936" s="38"/>
      <c r="BC936" s="38"/>
      <c r="BD936" s="38"/>
      <c r="BE936" s="38"/>
      <c r="BF936" s="38"/>
      <c r="BG936" s="38"/>
      <c r="BH936" s="38"/>
      <c r="BI936" s="38"/>
      <c r="BJ936" s="38"/>
      <c r="BK936" s="38"/>
      <c r="BL936" s="38"/>
      <c r="BM936" s="38"/>
      <c r="BN936" s="38"/>
      <c r="BO936" s="38"/>
      <c r="BP936" s="38"/>
    </row>
    <row r="937">
      <c r="A937" s="40"/>
      <c r="B937" s="40"/>
      <c r="AF937" s="38"/>
      <c r="AG937" s="38"/>
      <c r="AH937" s="38"/>
      <c r="AI937" s="38"/>
      <c r="AJ937" s="38"/>
      <c r="AK937" s="38"/>
      <c r="AL937" s="38"/>
      <c r="AM937" s="38"/>
      <c r="AN937" s="38"/>
      <c r="AO937" s="38"/>
      <c r="AP937" s="38"/>
      <c r="AQ937" s="38"/>
      <c r="AR937" s="38"/>
      <c r="AS937" s="38"/>
      <c r="AT937" s="38"/>
      <c r="AU937" s="38"/>
      <c r="AV937" s="38"/>
      <c r="AW937" s="38"/>
      <c r="AX937" s="38"/>
      <c r="AY937" s="38"/>
      <c r="AZ937" s="38"/>
      <c r="BA937" s="38"/>
      <c r="BB937" s="38"/>
      <c r="BC937" s="38"/>
      <c r="BD937" s="38"/>
      <c r="BE937" s="38"/>
      <c r="BF937" s="38"/>
      <c r="BG937" s="38"/>
      <c r="BH937" s="38"/>
      <c r="BI937" s="38"/>
      <c r="BJ937" s="38"/>
      <c r="BK937" s="38"/>
      <c r="BL937" s="38"/>
      <c r="BM937" s="38"/>
      <c r="BN937" s="38"/>
      <c r="BO937" s="38"/>
      <c r="BP937" s="38"/>
    </row>
    <row r="938">
      <c r="A938" s="40"/>
      <c r="B938" s="40"/>
      <c r="AF938" s="38"/>
      <c r="AG938" s="38"/>
      <c r="AH938" s="38"/>
      <c r="AI938" s="38"/>
      <c r="AJ938" s="38"/>
      <c r="AK938" s="38"/>
      <c r="AL938" s="38"/>
      <c r="AM938" s="38"/>
      <c r="AN938" s="38"/>
      <c r="AO938" s="38"/>
      <c r="AP938" s="38"/>
      <c r="AQ938" s="38"/>
      <c r="AR938" s="38"/>
      <c r="AS938" s="38"/>
      <c r="AT938" s="38"/>
      <c r="AU938" s="38"/>
      <c r="AV938" s="38"/>
      <c r="AW938" s="38"/>
      <c r="AX938" s="38"/>
      <c r="AY938" s="38"/>
      <c r="AZ938" s="38"/>
      <c r="BA938" s="38"/>
      <c r="BB938" s="38"/>
      <c r="BC938" s="38"/>
      <c r="BD938" s="38"/>
      <c r="BE938" s="38"/>
      <c r="BF938" s="38"/>
      <c r="BG938" s="38"/>
      <c r="BH938" s="38"/>
      <c r="BI938" s="38"/>
      <c r="BJ938" s="38"/>
      <c r="BK938" s="38"/>
      <c r="BL938" s="38"/>
      <c r="BM938" s="38"/>
      <c r="BN938" s="38"/>
      <c r="BO938" s="38"/>
      <c r="BP938" s="38"/>
    </row>
    <row r="939">
      <c r="A939" s="40"/>
      <c r="B939" s="40"/>
      <c r="AF939" s="38"/>
      <c r="AG939" s="38"/>
      <c r="AH939" s="38"/>
      <c r="AI939" s="38"/>
      <c r="AJ939" s="38"/>
      <c r="AK939" s="38"/>
      <c r="AL939" s="38"/>
      <c r="AM939" s="38"/>
      <c r="AN939" s="38"/>
      <c r="AO939" s="38"/>
      <c r="AP939" s="38"/>
      <c r="AQ939" s="38"/>
      <c r="AR939" s="38"/>
      <c r="AS939" s="38"/>
      <c r="AT939" s="38"/>
      <c r="AU939" s="38"/>
      <c r="AV939" s="38"/>
      <c r="AW939" s="38"/>
      <c r="AX939" s="38"/>
      <c r="AY939" s="38"/>
      <c r="AZ939" s="38"/>
      <c r="BA939" s="38"/>
      <c r="BB939" s="38"/>
      <c r="BC939" s="38"/>
      <c r="BD939" s="38"/>
      <c r="BE939" s="38"/>
      <c r="BF939" s="38"/>
      <c r="BG939" s="38"/>
      <c r="BH939" s="38"/>
      <c r="BI939" s="38"/>
      <c r="BJ939" s="38"/>
      <c r="BK939" s="38"/>
      <c r="BL939" s="38"/>
      <c r="BM939" s="38"/>
      <c r="BN939" s="38"/>
      <c r="BO939" s="38"/>
      <c r="BP939" s="38"/>
    </row>
    <row r="940">
      <c r="A940" s="40"/>
      <c r="B940" s="40"/>
      <c r="AF940" s="38"/>
      <c r="AG940" s="38"/>
      <c r="AH940" s="38"/>
      <c r="AI940" s="38"/>
      <c r="AJ940" s="38"/>
      <c r="AK940" s="38"/>
      <c r="AL940" s="38"/>
      <c r="AM940" s="38"/>
      <c r="AN940" s="38"/>
      <c r="AO940" s="38"/>
      <c r="AP940" s="38"/>
      <c r="AQ940" s="38"/>
      <c r="AR940" s="38"/>
      <c r="AS940" s="38"/>
      <c r="AT940" s="38"/>
      <c r="AU940" s="38"/>
      <c r="AV940" s="38"/>
      <c r="AW940" s="38"/>
      <c r="AX940" s="38"/>
      <c r="AY940" s="38"/>
      <c r="AZ940" s="38"/>
      <c r="BA940" s="38"/>
      <c r="BB940" s="38"/>
      <c r="BC940" s="38"/>
      <c r="BD940" s="38"/>
      <c r="BE940" s="38"/>
      <c r="BF940" s="38"/>
      <c r="BG940" s="38"/>
      <c r="BH940" s="38"/>
      <c r="BI940" s="38"/>
      <c r="BJ940" s="38"/>
      <c r="BK940" s="38"/>
      <c r="BL940" s="38"/>
      <c r="BM940" s="38"/>
      <c r="BN940" s="38"/>
      <c r="BO940" s="38"/>
      <c r="BP940" s="38"/>
    </row>
    <row r="941">
      <c r="A941" s="40"/>
      <c r="B941" s="40"/>
      <c r="AF941" s="38"/>
      <c r="AG941" s="38"/>
      <c r="AH941" s="38"/>
      <c r="AI941" s="38"/>
      <c r="AJ941" s="38"/>
      <c r="AK941" s="38"/>
      <c r="AL941" s="38"/>
      <c r="AM941" s="38"/>
      <c r="AN941" s="38"/>
      <c r="AO941" s="38"/>
      <c r="AP941" s="38"/>
      <c r="AQ941" s="38"/>
      <c r="AR941" s="38"/>
      <c r="AS941" s="38"/>
      <c r="AT941" s="38"/>
      <c r="AU941" s="38"/>
      <c r="AV941" s="38"/>
      <c r="AW941" s="38"/>
      <c r="AX941" s="38"/>
      <c r="AY941" s="38"/>
      <c r="AZ941" s="38"/>
      <c r="BA941" s="38"/>
      <c r="BB941" s="38"/>
      <c r="BC941" s="38"/>
      <c r="BD941" s="38"/>
      <c r="BE941" s="38"/>
      <c r="BF941" s="38"/>
      <c r="BG941" s="38"/>
      <c r="BH941" s="38"/>
      <c r="BI941" s="38"/>
      <c r="BJ941" s="38"/>
      <c r="BK941" s="38"/>
      <c r="BL941" s="38"/>
      <c r="BM941" s="38"/>
      <c r="BN941" s="38"/>
      <c r="BO941" s="38"/>
      <c r="BP941" s="38"/>
    </row>
    <row r="942">
      <c r="A942" s="40"/>
      <c r="B942" s="40"/>
      <c r="AF942" s="38"/>
      <c r="AG942" s="38"/>
      <c r="AH942" s="38"/>
      <c r="AI942" s="38"/>
      <c r="AJ942" s="38"/>
      <c r="AK942" s="38"/>
      <c r="AL942" s="38"/>
      <c r="AM942" s="38"/>
      <c r="AN942" s="38"/>
      <c r="AO942" s="38"/>
      <c r="AP942" s="38"/>
      <c r="AQ942" s="38"/>
      <c r="AR942" s="38"/>
      <c r="AS942" s="38"/>
      <c r="AT942" s="38"/>
      <c r="AU942" s="38"/>
      <c r="AV942" s="38"/>
      <c r="AW942" s="38"/>
      <c r="AX942" s="38"/>
      <c r="AY942" s="38"/>
      <c r="AZ942" s="38"/>
      <c r="BA942" s="38"/>
      <c r="BB942" s="38"/>
      <c r="BC942" s="38"/>
      <c r="BD942" s="38"/>
      <c r="BE942" s="38"/>
      <c r="BF942" s="38"/>
      <c r="BG942" s="38"/>
      <c r="BH942" s="38"/>
      <c r="BI942" s="38"/>
      <c r="BJ942" s="38"/>
      <c r="BK942" s="38"/>
      <c r="BL942" s="38"/>
      <c r="BM942" s="38"/>
      <c r="BN942" s="38"/>
      <c r="BO942" s="38"/>
      <c r="BP942" s="38"/>
    </row>
    <row r="943">
      <c r="A943" s="40"/>
      <c r="B943" s="40"/>
      <c r="AF943" s="38"/>
      <c r="AG943" s="38"/>
      <c r="AH943" s="38"/>
      <c r="AI943" s="38"/>
      <c r="AJ943" s="38"/>
      <c r="AK943" s="38"/>
      <c r="AL943" s="38"/>
      <c r="AM943" s="38"/>
      <c r="AN943" s="38"/>
      <c r="AO943" s="38"/>
      <c r="AP943" s="38"/>
      <c r="AQ943" s="38"/>
      <c r="AR943" s="38"/>
      <c r="AS943" s="38"/>
      <c r="AT943" s="38"/>
      <c r="AU943" s="38"/>
      <c r="AV943" s="38"/>
      <c r="AW943" s="38"/>
      <c r="AX943" s="38"/>
      <c r="AY943" s="38"/>
      <c r="AZ943" s="38"/>
      <c r="BA943" s="38"/>
      <c r="BB943" s="38"/>
      <c r="BC943" s="38"/>
      <c r="BD943" s="38"/>
      <c r="BE943" s="38"/>
      <c r="BF943" s="38"/>
      <c r="BG943" s="38"/>
      <c r="BH943" s="38"/>
      <c r="BI943" s="38"/>
      <c r="BJ943" s="38"/>
      <c r="BK943" s="38"/>
      <c r="BL943" s="38"/>
      <c r="BM943" s="38"/>
      <c r="BN943" s="38"/>
      <c r="BO943" s="38"/>
      <c r="BP943" s="38"/>
    </row>
    <row r="944">
      <c r="A944" s="40"/>
      <c r="B944" s="40"/>
      <c r="AF944" s="38"/>
      <c r="AG944" s="38"/>
      <c r="AH944" s="38"/>
      <c r="AI944" s="38"/>
      <c r="AJ944" s="38"/>
      <c r="AK944" s="38"/>
      <c r="AL944" s="38"/>
      <c r="AM944" s="38"/>
      <c r="AN944" s="38"/>
      <c r="AO944" s="38"/>
      <c r="AP944" s="38"/>
      <c r="AQ944" s="38"/>
      <c r="AR944" s="38"/>
      <c r="AS944" s="38"/>
      <c r="AT944" s="38"/>
      <c r="AU944" s="38"/>
      <c r="AV944" s="38"/>
      <c r="AW944" s="38"/>
      <c r="AX944" s="38"/>
      <c r="AY944" s="38"/>
      <c r="AZ944" s="38"/>
      <c r="BA944" s="38"/>
      <c r="BB944" s="38"/>
      <c r="BC944" s="38"/>
      <c r="BD944" s="38"/>
      <c r="BE944" s="38"/>
      <c r="BF944" s="38"/>
      <c r="BG944" s="38"/>
      <c r="BH944" s="38"/>
      <c r="BI944" s="38"/>
      <c r="BJ944" s="38"/>
      <c r="BK944" s="38"/>
      <c r="BL944" s="38"/>
      <c r="BM944" s="38"/>
      <c r="BN944" s="38"/>
      <c r="BO944" s="38"/>
      <c r="BP944" s="38"/>
    </row>
    <row r="945">
      <c r="A945" s="40"/>
      <c r="B945" s="40"/>
      <c r="AF945" s="38"/>
      <c r="AG945" s="38"/>
      <c r="AH945" s="38"/>
      <c r="AI945" s="38"/>
      <c r="AJ945" s="38"/>
      <c r="AK945" s="38"/>
      <c r="AL945" s="38"/>
      <c r="AM945" s="38"/>
      <c r="AN945" s="38"/>
      <c r="AO945" s="38"/>
      <c r="AP945" s="38"/>
      <c r="AQ945" s="38"/>
      <c r="AR945" s="38"/>
      <c r="AS945" s="38"/>
      <c r="AT945" s="38"/>
      <c r="AU945" s="38"/>
      <c r="AV945" s="38"/>
      <c r="AW945" s="38"/>
      <c r="AX945" s="38"/>
      <c r="AY945" s="38"/>
      <c r="AZ945" s="38"/>
      <c r="BA945" s="38"/>
      <c r="BB945" s="38"/>
      <c r="BC945" s="38"/>
      <c r="BD945" s="38"/>
      <c r="BE945" s="38"/>
      <c r="BF945" s="38"/>
      <c r="BG945" s="38"/>
      <c r="BH945" s="38"/>
      <c r="BI945" s="38"/>
      <c r="BJ945" s="38"/>
      <c r="BK945" s="38"/>
      <c r="BL945" s="38"/>
      <c r="BM945" s="38"/>
      <c r="BN945" s="38"/>
      <c r="BO945" s="38"/>
      <c r="BP945" s="38"/>
    </row>
    <row r="946">
      <c r="A946" s="40"/>
      <c r="B946" s="40"/>
      <c r="AF946" s="38"/>
      <c r="AG946" s="38"/>
      <c r="AH946" s="38"/>
      <c r="AI946" s="38"/>
      <c r="AJ946" s="38"/>
      <c r="AK946" s="38"/>
      <c r="AL946" s="38"/>
      <c r="AM946" s="38"/>
      <c r="AN946" s="38"/>
      <c r="AO946" s="38"/>
      <c r="AP946" s="38"/>
      <c r="AQ946" s="38"/>
      <c r="AR946" s="38"/>
      <c r="AS946" s="38"/>
      <c r="AT946" s="38"/>
      <c r="AU946" s="38"/>
      <c r="AV946" s="38"/>
      <c r="AW946" s="38"/>
      <c r="AX946" s="38"/>
      <c r="AY946" s="38"/>
      <c r="AZ946" s="38"/>
      <c r="BA946" s="38"/>
      <c r="BB946" s="38"/>
      <c r="BC946" s="38"/>
      <c r="BD946" s="38"/>
      <c r="BE946" s="38"/>
      <c r="BF946" s="38"/>
      <c r="BG946" s="38"/>
      <c r="BH946" s="38"/>
      <c r="BI946" s="38"/>
      <c r="BJ946" s="38"/>
      <c r="BK946" s="38"/>
      <c r="BL946" s="38"/>
      <c r="BM946" s="38"/>
      <c r="BN946" s="38"/>
      <c r="BO946" s="38"/>
      <c r="BP946" s="38"/>
    </row>
    <row r="947">
      <c r="A947" s="40"/>
      <c r="B947" s="40"/>
      <c r="AF947" s="38"/>
      <c r="AG947" s="38"/>
      <c r="AH947" s="38"/>
      <c r="AI947" s="38"/>
      <c r="AJ947" s="38"/>
      <c r="AK947" s="38"/>
      <c r="AL947" s="38"/>
      <c r="AM947" s="38"/>
      <c r="AN947" s="38"/>
      <c r="AO947" s="38"/>
      <c r="AP947" s="38"/>
      <c r="AQ947" s="38"/>
      <c r="AR947" s="38"/>
      <c r="AS947" s="38"/>
      <c r="AT947" s="38"/>
      <c r="AU947" s="38"/>
      <c r="AV947" s="38"/>
      <c r="AW947" s="38"/>
      <c r="AX947" s="38"/>
      <c r="AY947" s="38"/>
      <c r="AZ947" s="38"/>
      <c r="BA947" s="38"/>
      <c r="BB947" s="38"/>
      <c r="BC947" s="38"/>
      <c r="BD947" s="38"/>
      <c r="BE947" s="38"/>
      <c r="BF947" s="38"/>
      <c r="BG947" s="38"/>
      <c r="BH947" s="38"/>
      <c r="BI947" s="38"/>
      <c r="BJ947" s="38"/>
      <c r="BK947" s="38"/>
      <c r="BL947" s="38"/>
      <c r="BM947" s="38"/>
      <c r="BN947" s="38"/>
      <c r="BO947" s="38"/>
      <c r="BP947" s="38"/>
    </row>
    <row r="948">
      <c r="A948" s="40"/>
      <c r="B948" s="40"/>
      <c r="AF948" s="38"/>
      <c r="AG948" s="38"/>
      <c r="AH948" s="38"/>
      <c r="AI948" s="38"/>
      <c r="AJ948" s="38"/>
      <c r="AK948" s="38"/>
      <c r="AL948" s="38"/>
      <c r="AM948" s="38"/>
      <c r="AN948" s="38"/>
      <c r="AO948" s="38"/>
      <c r="AP948" s="38"/>
      <c r="AQ948" s="38"/>
      <c r="AR948" s="38"/>
      <c r="AS948" s="38"/>
      <c r="AT948" s="38"/>
      <c r="AU948" s="38"/>
      <c r="AV948" s="38"/>
      <c r="AW948" s="38"/>
      <c r="AX948" s="38"/>
      <c r="AY948" s="38"/>
      <c r="AZ948" s="38"/>
      <c r="BA948" s="38"/>
      <c r="BB948" s="38"/>
      <c r="BC948" s="38"/>
      <c r="BD948" s="38"/>
      <c r="BE948" s="38"/>
      <c r="BF948" s="38"/>
      <c r="BG948" s="38"/>
      <c r="BH948" s="38"/>
      <c r="BI948" s="38"/>
      <c r="BJ948" s="38"/>
      <c r="BK948" s="38"/>
      <c r="BL948" s="38"/>
      <c r="BM948" s="38"/>
      <c r="BN948" s="38"/>
      <c r="BO948" s="38"/>
      <c r="BP948" s="38"/>
    </row>
    <row r="949">
      <c r="A949" s="40"/>
      <c r="B949" s="40"/>
      <c r="AF949" s="38"/>
      <c r="AG949" s="38"/>
      <c r="AH949" s="38"/>
      <c r="AI949" s="38"/>
      <c r="AJ949" s="38"/>
      <c r="AK949" s="38"/>
      <c r="AL949" s="38"/>
      <c r="AM949" s="38"/>
      <c r="AN949" s="38"/>
      <c r="AO949" s="38"/>
      <c r="AP949" s="38"/>
      <c r="AQ949" s="38"/>
      <c r="AR949" s="38"/>
      <c r="AS949" s="38"/>
      <c r="AT949" s="38"/>
      <c r="AU949" s="38"/>
      <c r="AV949" s="38"/>
      <c r="AW949" s="38"/>
      <c r="AX949" s="38"/>
      <c r="AY949" s="38"/>
      <c r="AZ949" s="38"/>
      <c r="BA949" s="38"/>
      <c r="BB949" s="38"/>
      <c r="BC949" s="38"/>
      <c r="BD949" s="38"/>
      <c r="BE949" s="38"/>
      <c r="BF949" s="38"/>
      <c r="BG949" s="38"/>
      <c r="BH949" s="38"/>
      <c r="BI949" s="38"/>
      <c r="BJ949" s="38"/>
      <c r="BK949" s="38"/>
      <c r="BL949" s="38"/>
      <c r="BM949" s="38"/>
      <c r="BN949" s="38"/>
      <c r="BO949" s="38"/>
      <c r="BP949" s="38"/>
    </row>
    <row r="950">
      <c r="A950" s="40"/>
      <c r="B950" s="40"/>
      <c r="AF950" s="38"/>
      <c r="AG950" s="38"/>
      <c r="AH950" s="38"/>
      <c r="AI950" s="38"/>
      <c r="AJ950" s="38"/>
      <c r="AK950" s="38"/>
      <c r="AL950" s="38"/>
      <c r="AM950" s="38"/>
      <c r="AN950" s="38"/>
      <c r="AO950" s="38"/>
      <c r="AP950" s="38"/>
      <c r="AQ950" s="38"/>
      <c r="AR950" s="38"/>
      <c r="AS950" s="38"/>
      <c r="AT950" s="38"/>
      <c r="AU950" s="38"/>
      <c r="AV950" s="38"/>
      <c r="AW950" s="38"/>
      <c r="AX950" s="38"/>
      <c r="AY950" s="38"/>
      <c r="AZ950" s="38"/>
      <c r="BA950" s="38"/>
      <c r="BB950" s="38"/>
      <c r="BC950" s="38"/>
      <c r="BD950" s="38"/>
      <c r="BE950" s="38"/>
      <c r="BF950" s="38"/>
      <c r="BG950" s="38"/>
      <c r="BH950" s="38"/>
      <c r="BI950" s="38"/>
      <c r="BJ950" s="38"/>
      <c r="BK950" s="38"/>
      <c r="BL950" s="38"/>
      <c r="BM950" s="38"/>
      <c r="BN950" s="38"/>
      <c r="BO950" s="38"/>
      <c r="BP950" s="38"/>
    </row>
    <row r="951">
      <c r="A951" s="40"/>
      <c r="B951" s="40"/>
      <c r="AF951" s="38"/>
      <c r="AG951" s="38"/>
      <c r="AH951" s="38"/>
      <c r="AI951" s="38"/>
      <c r="AJ951" s="38"/>
      <c r="AK951" s="38"/>
      <c r="AL951" s="38"/>
      <c r="AM951" s="38"/>
      <c r="AN951" s="38"/>
      <c r="AO951" s="38"/>
      <c r="AP951" s="38"/>
      <c r="AQ951" s="38"/>
      <c r="AR951" s="38"/>
      <c r="AS951" s="38"/>
      <c r="AT951" s="38"/>
      <c r="AU951" s="38"/>
      <c r="AV951" s="38"/>
      <c r="AW951" s="38"/>
      <c r="AX951" s="38"/>
      <c r="AY951" s="38"/>
      <c r="AZ951" s="38"/>
      <c r="BA951" s="38"/>
      <c r="BB951" s="38"/>
      <c r="BC951" s="38"/>
      <c r="BD951" s="38"/>
      <c r="BE951" s="38"/>
      <c r="BF951" s="38"/>
      <c r="BG951" s="38"/>
      <c r="BH951" s="38"/>
      <c r="BI951" s="38"/>
      <c r="BJ951" s="38"/>
      <c r="BK951" s="38"/>
      <c r="BL951" s="38"/>
      <c r="BM951" s="38"/>
      <c r="BN951" s="38"/>
      <c r="BO951" s="38"/>
      <c r="BP951" s="38"/>
    </row>
    <row r="952">
      <c r="A952" s="40"/>
      <c r="B952" s="40"/>
      <c r="AF952" s="38"/>
      <c r="AG952" s="38"/>
      <c r="AH952" s="38"/>
      <c r="AI952" s="38"/>
      <c r="AJ952" s="38"/>
      <c r="AK952" s="38"/>
      <c r="AL952" s="38"/>
      <c r="AM952" s="38"/>
      <c r="AN952" s="38"/>
      <c r="AO952" s="38"/>
      <c r="AP952" s="38"/>
      <c r="AQ952" s="38"/>
      <c r="AR952" s="38"/>
      <c r="AS952" s="38"/>
      <c r="AT952" s="38"/>
      <c r="AU952" s="38"/>
      <c r="AV952" s="38"/>
      <c r="AW952" s="38"/>
      <c r="AX952" s="38"/>
      <c r="AY952" s="38"/>
      <c r="AZ952" s="38"/>
      <c r="BA952" s="38"/>
      <c r="BB952" s="38"/>
      <c r="BC952" s="38"/>
      <c r="BD952" s="38"/>
      <c r="BE952" s="38"/>
      <c r="BF952" s="38"/>
      <c r="BG952" s="38"/>
      <c r="BH952" s="38"/>
      <c r="BI952" s="38"/>
      <c r="BJ952" s="38"/>
      <c r="BK952" s="38"/>
      <c r="BL952" s="38"/>
      <c r="BM952" s="38"/>
      <c r="BN952" s="38"/>
      <c r="BO952" s="38"/>
      <c r="BP952" s="38"/>
    </row>
    <row r="953">
      <c r="A953" s="40"/>
      <c r="B953" s="40"/>
      <c r="AF953" s="38"/>
      <c r="AG953" s="38"/>
      <c r="AH953" s="38"/>
      <c r="AI953" s="38"/>
      <c r="AJ953" s="38"/>
      <c r="AK953" s="38"/>
      <c r="AL953" s="38"/>
      <c r="AM953" s="38"/>
      <c r="AN953" s="38"/>
      <c r="AO953" s="38"/>
      <c r="AP953" s="38"/>
      <c r="AQ953" s="38"/>
      <c r="AR953" s="38"/>
      <c r="AS953" s="38"/>
      <c r="AT953" s="38"/>
      <c r="AU953" s="38"/>
      <c r="AV953" s="38"/>
      <c r="AW953" s="38"/>
      <c r="AX953" s="38"/>
      <c r="AY953" s="38"/>
      <c r="AZ953" s="38"/>
      <c r="BA953" s="38"/>
      <c r="BB953" s="38"/>
      <c r="BC953" s="38"/>
      <c r="BD953" s="38"/>
      <c r="BE953" s="38"/>
      <c r="BF953" s="38"/>
      <c r="BG953" s="38"/>
      <c r="BH953" s="38"/>
      <c r="BI953" s="38"/>
      <c r="BJ953" s="38"/>
      <c r="BK953" s="38"/>
      <c r="BL953" s="38"/>
      <c r="BM953" s="38"/>
      <c r="BN953" s="38"/>
      <c r="BO953" s="38"/>
      <c r="BP953" s="38"/>
    </row>
    <row r="954">
      <c r="A954" s="40"/>
      <c r="B954" s="40"/>
      <c r="AF954" s="38"/>
      <c r="AG954" s="38"/>
      <c r="AH954" s="38"/>
      <c r="AI954" s="38"/>
      <c r="AJ954" s="38"/>
      <c r="AK954" s="38"/>
      <c r="AL954" s="38"/>
      <c r="AM954" s="38"/>
      <c r="AN954" s="38"/>
      <c r="AO954" s="38"/>
      <c r="AP954" s="38"/>
      <c r="AQ954" s="38"/>
      <c r="AR954" s="38"/>
      <c r="AS954" s="38"/>
      <c r="AT954" s="38"/>
      <c r="AU954" s="38"/>
      <c r="AV954" s="38"/>
      <c r="AW954" s="38"/>
      <c r="AX954" s="38"/>
      <c r="AY954" s="38"/>
      <c r="AZ954" s="38"/>
      <c r="BA954" s="38"/>
      <c r="BB954" s="38"/>
      <c r="BC954" s="38"/>
      <c r="BD954" s="38"/>
      <c r="BE954" s="38"/>
      <c r="BF954" s="38"/>
      <c r="BG954" s="38"/>
      <c r="BH954" s="38"/>
      <c r="BI954" s="38"/>
      <c r="BJ954" s="38"/>
      <c r="BK954" s="38"/>
      <c r="BL954" s="38"/>
      <c r="BM954" s="38"/>
      <c r="BN954" s="38"/>
      <c r="BO954" s="38"/>
      <c r="BP954" s="38"/>
    </row>
    <row r="955">
      <c r="A955" s="40"/>
      <c r="B955" s="40"/>
      <c r="AF955" s="38"/>
      <c r="AG955" s="38"/>
      <c r="AH955" s="38"/>
      <c r="AI955" s="38"/>
      <c r="AJ955" s="38"/>
      <c r="AK955" s="38"/>
      <c r="AL955" s="38"/>
      <c r="AM955" s="38"/>
      <c r="AN955" s="38"/>
      <c r="AO955" s="38"/>
      <c r="AP955" s="38"/>
      <c r="AQ955" s="38"/>
      <c r="AR955" s="38"/>
      <c r="AS955" s="38"/>
      <c r="AT955" s="38"/>
      <c r="AU955" s="38"/>
      <c r="AV955" s="38"/>
      <c r="AW955" s="38"/>
      <c r="AX955" s="38"/>
      <c r="AY955" s="38"/>
      <c r="AZ955" s="38"/>
      <c r="BA955" s="38"/>
      <c r="BB955" s="38"/>
      <c r="BC955" s="38"/>
      <c r="BD955" s="38"/>
      <c r="BE955" s="38"/>
      <c r="BF955" s="38"/>
      <c r="BG955" s="38"/>
      <c r="BH955" s="38"/>
      <c r="BI955" s="38"/>
      <c r="BJ955" s="38"/>
      <c r="BK955" s="38"/>
      <c r="BL955" s="38"/>
      <c r="BM955" s="38"/>
      <c r="BN955" s="38"/>
      <c r="BO955" s="38"/>
      <c r="BP955" s="38"/>
    </row>
    <row r="956">
      <c r="A956" s="40"/>
      <c r="B956" s="40"/>
      <c r="AF956" s="38"/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38"/>
      <c r="AT956" s="38"/>
      <c r="AU956" s="38"/>
      <c r="AV956" s="38"/>
      <c r="AW956" s="38"/>
      <c r="AX956" s="38"/>
      <c r="AY956" s="38"/>
      <c r="AZ956" s="38"/>
      <c r="BA956" s="38"/>
      <c r="BB956" s="38"/>
      <c r="BC956" s="38"/>
      <c r="BD956" s="38"/>
      <c r="BE956" s="38"/>
      <c r="BF956" s="38"/>
      <c r="BG956" s="38"/>
      <c r="BH956" s="38"/>
      <c r="BI956" s="38"/>
      <c r="BJ956" s="38"/>
      <c r="BK956" s="38"/>
      <c r="BL956" s="38"/>
      <c r="BM956" s="38"/>
      <c r="BN956" s="38"/>
      <c r="BO956" s="38"/>
      <c r="BP956" s="38"/>
    </row>
    <row r="957">
      <c r="A957" s="40"/>
      <c r="B957" s="40"/>
      <c r="AF957" s="38"/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38"/>
      <c r="AT957" s="38"/>
      <c r="AU957" s="38"/>
      <c r="AV957" s="38"/>
      <c r="AW957" s="38"/>
      <c r="AX957" s="38"/>
      <c r="AY957" s="38"/>
      <c r="AZ957" s="38"/>
      <c r="BA957" s="38"/>
      <c r="BB957" s="38"/>
      <c r="BC957" s="38"/>
      <c r="BD957" s="38"/>
      <c r="BE957" s="38"/>
      <c r="BF957" s="38"/>
      <c r="BG957" s="38"/>
      <c r="BH957" s="38"/>
      <c r="BI957" s="38"/>
      <c r="BJ957" s="38"/>
      <c r="BK957" s="38"/>
      <c r="BL957" s="38"/>
      <c r="BM957" s="38"/>
      <c r="BN957" s="38"/>
      <c r="BO957" s="38"/>
      <c r="BP957" s="38"/>
    </row>
    <row r="958">
      <c r="A958" s="40"/>
      <c r="B958" s="40"/>
      <c r="AF958" s="38"/>
      <c r="AG958" s="38"/>
      <c r="AH958" s="38"/>
      <c r="AI958" s="38"/>
      <c r="AJ958" s="38"/>
      <c r="AK958" s="38"/>
      <c r="AL958" s="38"/>
      <c r="AM958" s="38"/>
      <c r="AN958" s="38"/>
      <c r="AO958" s="38"/>
      <c r="AP958" s="38"/>
      <c r="AQ958" s="38"/>
      <c r="AR958" s="38"/>
      <c r="AS958" s="38"/>
      <c r="AT958" s="38"/>
      <c r="AU958" s="38"/>
      <c r="AV958" s="38"/>
      <c r="AW958" s="38"/>
      <c r="AX958" s="38"/>
      <c r="AY958" s="38"/>
      <c r="AZ958" s="38"/>
      <c r="BA958" s="38"/>
      <c r="BB958" s="38"/>
      <c r="BC958" s="38"/>
      <c r="BD958" s="38"/>
      <c r="BE958" s="38"/>
      <c r="BF958" s="38"/>
      <c r="BG958" s="38"/>
      <c r="BH958" s="38"/>
      <c r="BI958" s="38"/>
      <c r="BJ958" s="38"/>
      <c r="BK958" s="38"/>
      <c r="BL958" s="38"/>
      <c r="BM958" s="38"/>
      <c r="BN958" s="38"/>
      <c r="BO958" s="38"/>
      <c r="BP958" s="38"/>
    </row>
    <row r="959">
      <c r="A959" s="40"/>
      <c r="B959" s="40"/>
      <c r="AF959" s="38"/>
      <c r="AG959" s="38"/>
      <c r="AH959" s="38"/>
      <c r="AI959" s="38"/>
      <c r="AJ959" s="38"/>
      <c r="AK959" s="38"/>
      <c r="AL959" s="38"/>
      <c r="AM959" s="38"/>
      <c r="AN959" s="38"/>
      <c r="AO959" s="38"/>
      <c r="AP959" s="38"/>
      <c r="AQ959" s="38"/>
      <c r="AR959" s="38"/>
      <c r="AS959" s="38"/>
      <c r="AT959" s="38"/>
      <c r="AU959" s="38"/>
      <c r="AV959" s="38"/>
      <c r="AW959" s="38"/>
      <c r="AX959" s="38"/>
      <c r="AY959" s="38"/>
      <c r="AZ959" s="38"/>
      <c r="BA959" s="38"/>
      <c r="BB959" s="38"/>
      <c r="BC959" s="38"/>
      <c r="BD959" s="38"/>
      <c r="BE959" s="38"/>
      <c r="BF959" s="38"/>
      <c r="BG959" s="38"/>
      <c r="BH959" s="38"/>
      <c r="BI959" s="38"/>
      <c r="BJ959" s="38"/>
      <c r="BK959" s="38"/>
      <c r="BL959" s="38"/>
      <c r="BM959" s="38"/>
      <c r="BN959" s="38"/>
      <c r="BO959" s="38"/>
      <c r="BP959" s="38"/>
    </row>
    <row r="960">
      <c r="A960" s="40"/>
      <c r="B960" s="40"/>
      <c r="AF960" s="38"/>
      <c r="AG960" s="38"/>
      <c r="AH960" s="38"/>
      <c r="AI960" s="38"/>
      <c r="AJ960" s="38"/>
      <c r="AK960" s="38"/>
      <c r="AL960" s="38"/>
      <c r="AM960" s="38"/>
      <c r="AN960" s="38"/>
      <c r="AO960" s="38"/>
      <c r="AP960" s="38"/>
      <c r="AQ960" s="38"/>
      <c r="AR960" s="38"/>
      <c r="AS960" s="38"/>
      <c r="AT960" s="38"/>
      <c r="AU960" s="38"/>
      <c r="AV960" s="38"/>
      <c r="AW960" s="38"/>
      <c r="AX960" s="38"/>
      <c r="AY960" s="38"/>
      <c r="AZ960" s="38"/>
      <c r="BA960" s="38"/>
      <c r="BB960" s="38"/>
      <c r="BC960" s="38"/>
      <c r="BD960" s="38"/>
      <c r="BE960" s="38"/>
      <c r="BF960" s="38"/>
      <c r="BG960" s="38"/>
      <c r="BH960" s="38"/>
      <c r="BI960" s="38"/>
      <c r="BJ960" s="38"/>
      <c r="BK960" s="38"/>
      <c r="BL960" s="38"/>
      <c r="BM960" s="38"/>
      <c r="BN960" s="38"/>
      <c r="BO960" s="38"/>
      <c r="BP960" s="38"/>
    </row>
    <row r="961">
      <c r="A961" s="40"/>
      <c r="B961" s="40"/>
      <c r="AF961" s="38"/>
      <c r="AG961" s="38"/>
      <c r="AH961" s="38"/>
      <c r="AI961" s="38"/>
      <c r="AJ961" s="38"/>
      <c r="AK961" s="38"/>
      <c r="AL961" s="38"/>
      <c r="AM961" s="38"/>
      <c r="AN961" s="38"/>
      <c r="AO961" s="38"/>
      <c r="AP961" s="38"/>
      <c r="AQ961" s="38"/>
      <c r="AR961" s="38"/>
      <c r="AS961" s="38"/>
      <c r="AT961" s="38"/>
      <c r="AU961" s="38"/>
      <c r="AV961" s="38"/>
      <c r="AW961" s="38"/>
      <c r="AX961" s="38"/>
      <c r="AY961" s="38"/>
      <c r="AZ961" s="38"/>
      <c r="BA961" s="38"/>
      <c r="BB961" s="38"/>
      <c r="BC961" s="38"/>
      <c r="BD961" s="38"/>
      <c r="BE961" s="38"/>
      <c r="BF961" s="38"/>
      <c r="BG961" s="38"/>
      <c r="BH961" s="38"/>
      <c r="BI961" s="38"/>
      <c r="BJ961" s="38"/>
      <c r="BK961" s="38"/>
      <c r="BL961" s="38"/>
      <c r="BM961" s="38"/>
      <c r="BN961" s="38"/>
      <c r="BO961" s="38"/>
      <c r="BP961" s="38"/>
    </row>
    <row r="962">
      <c r="A962" s="40"/>
      <c r="B962" s="40"/>
      <c r="AF962" s="38"/>
      <c r="AG962" s="38"/>
      <c r="AH962" s="38"/>
      <c r="AI962" s="38"/>
      <c r="AJ962" s="38"/>
      <c r="AK962" s="38"/>
      <c r="AL962" s="38"/>
      <c r="AM962" s="38"/>
      <c r="AN962" s="38"/>
      <c r="AO962" s="38"/>
      <c r="AP962" s="38"/>
      <c r="AQ962" s="38"/>
      <c r="AR962" s="38"/>
      <c r="AS962" s="38"/>
      <c r="AT962" s="38"/>
      <c r="AU962" s="38"/>
      <c r="AV962" s="38"/>
      <c r="AW962" s="38"/>
      <c r="AX962" s="38"/>
      <c r="AY962" s="38"/>
      <c r="AZ962" s="38"/>
      <c r="BA962" s="38"/>
      <c r="BB962" s="38"/>
      <c r="BC962" s="38"/>
      <c r="BD962" s="38"/>
      <c r="BE962" s="38"/>
      <c r="BF962" s="38"/>
      <c r="BG962" s="38"/>
      <c r="BH962" s="38"/>
      <c r="BI962" s="38"/>
      <c r="BJ962" s="38"/>
      <c r="BK962" s="38"/>
      <c r="BL962" s="38"/>
      <c r="BM962" s="38"/>
      <c r="BN962" s="38"/>
      <c r="BO962" s="38"/>
      <c r="BP962" s="38"/>
    </row>
    <row r="963">
      <c r="A963" s="40"/>
      <c r="B963" s="40"/>
      <c r="AF963" s="38"/>
      <c r="AG963" s="38"/>
      <c r="AH963" s="38"/>
      <c r="AI963" s="38"/>
      <c r="AJ963" s="38"/>
      <c r="AK963" s="38"/>
      <c r="AL963" s="38"/>
      <c r="AM963" s="38"/>
      <c r="AN963" s="38"/>
      <c r="AO963" s="38"/>
      <c r="AP963" s="38"/>
      <c r="AQ963" s="38"/>
      <c r="AR963" s="38"/>
      <c r="AS963" s="38"/>
      <c r="AT963" s="38"/>
      <c r="AU963" s="38"/>
      <c r="AV963" s="38"/>
      <c r="AW963" s="38"/>
      <c r="AX963" s="38"/>
      <c r="AY963" s="38"/>
      <c r="AZ963" s="38"/>
      <c r="BA963" s="38"/>
      <c r="BB963" s="38"/>
      <c r="BC963" s="38"/>
      <c r="BD963" s="38"/>
      <c r="BE963" s="38"/>
      <c r="BF963" s="38"/>
      <c r="BG963" s="38"/>
      <c r="BH963" s="38"/>
      <c r="BI963" s="38"/>
      <c r="BJ963" s="38"/>
      <c r="BK963" s="38"/>
      <c r="BL963" s="38"/>
      <c r="BM963" s="38"/>
      <c r="BN963" s="38"/>
      <c r="BO963" s="38"/>
      <c r="BP963" s="38"/>
    </row>
    <row r="964">
      <c r="A964" s="40"/>
      <c r="B964" s="40"/>
      <c r="AF964" s="38"/>
      <c r="AG964" s="38"/>
      <c r="AH964" s="38"/>
      <c r="AI964" s="38"/>
      <c r="AJ964" s="38"/>
      <c r="AK964" s="38"/>
      <c r="AL964" s="38"/>
      <c r="AM964" s="38"/>
      <c r="AN964" s="38"/>
      <c r="AO964" s="38"/>
      <c r="AP964" s="38"/>
      <c r="AQ964" s="38"/>
      <c r="AR964" s="38"/>
      <c r="AS964" s="38"/>
      <c r="AT964" s="38"/>
      <c r="AU964" s="38"/>
      <c r="AV964" s="38"/>
      <c r="AW964" s="38"/>
      <c r="AX964" s="38"/>
      <c r="AY964" s="38"/>
      <c r="AZ964" s="38"/>
      <c r="BA964" s="38"/>
      <c r="BB964" s="38"/>
      <c r="BC964" s="38"/>
      <c r="BD964" s="38"/>
      <c r="BE964" s="38"/>
      <c r="BF964" s="38"/>
      <c r="BG964" s="38"/>
      <c r="BH964" s="38"/>
      <c r="BI964" s="38"/>
      <c r="BJ964" s="38"/>
      <c r="BK964" s="38"/>
      <c r="BL964" s="38"/>
      <c r="BM964" s="38"/>
      <c r="BN964" s="38"/>
      <c r="BO964" s="38"/>
      <c r="BP964" s="38"/>
    </row>
    <row r="965">
      <c r="A965" s="40"/>
      <c r="B965" s="40"/>
      <c r="AF965" s="38"/>
      <c r="AG965" s="38"/>
      <c r="AH965" s="38"/>
      <c r="AI965" s="38"/>
      <c r="AJ965" s="38"/>
      <c r="AK965" s="38"/>
      <c r="AL965" s="38"/>
      <c r="AM965" s="38"/>
      <c r="AN965" s="38"/>
      <c r="AO965" s="38"/>
      <c r="AP965" s="38"/>
      <c r="AQ965" s="38"/>
      <c r="AR965" s="38"/>
      <c r="AS965" s="38"/>
      <c r="AT965" s="38"/>
      <c r="AU965" s="38"/>
      <c r="AV965" s="38"/>
      <c r="AW965" s="38"/>
      <c r="AX965" s="38"/>
      <c r="AY965" s="38"/>
      <c r="AZ965" s="38"/>
      <c r="BA965" s="38"/>
      <c r="BB965" s="38"/>
      <c r="BC965" s="38"/>
      <c r="BD965" s="38"/>
      <c r="BE965" s="38"/>
      <c r="BF965" s="38"/>
      <c r="BG965" s="38"/>
      <c r="BH965" s="38"/>
      <c r="BI965" s="38"/>
      <c r="BJ965" s="38"/>
      <c r="BK965" s="38"/>
      <c r="BL965" s="38"/>
      <c r="BM965" s="38"/>
      <c r="BN965" s="38"/>
      <c r="BO965" s="38"/>
      <c r="BP965" s="38"/>
    </row>
    <row r="966">
      <c r="A966" s="40"/>
      <c r="B966" s="40"/>
      <c r="AF966" s="38"/>
      <c r="AG966" s="38"/>
      <c r="AH966" s="38"/>
      <c r="AI966" s="38"/>
      <c r="AJ966" s="38"/>
      <c r="AK966" s="38"/>
      <c r="AL966" s="38"/>
      <c r="AM966" s="38"/>
      <c r="AN966" s="38"/>
      <c r="AO966" s="38"/>
      <c r="AP966" s="38"/>
      <c r="AQ966" s="38"/>
      <c r="AR966" s="38"/>
      <c r="AS966" s="38"/>
      <c r="AT966" s="38"/>
      <c r="AU966" s="38"/>
      <c r="AV966" s="38"/>
      <c r="AW966" s="38"/>
      <c r="AX966" s="38"/>
      <c r="AY966" s="38"/>
      <c r="AZ966" s="38"/>
      <c r="BA966" s="38"/>
      <c r="BB966" s="38"/>
      <c r="BC966" s="38"/>
      <c r="BD966" s="38"/>
      <c r="BE966" s="38"/>
      <c r="BF966" s="38"/>
      <c r="BG966" s="38"/>
      <c r="BH966" s="38"/>
      <c r="BI966" s="38"/>
      <c r="BJ966" s="38"/>
      <c r="BK966" s="38"/>
      <c r="BL966" s="38"/>
      <c r="BM966" s="38"/>
      <c r="BN966" s="38"/>
      <c r="BO966" s="38"/>
      <c r="BP966" s="38"/>
    </row>
    <row r="967">
      <c r="A967" s="40"/>
      <c r="B967" s="40"/>
      <c r="AF967" s="38"/>
      <c r="AG967" s="38"/>
      <c r="AH967" s="38"/>
      <c r="AI967" s="38"/>
      <c r="AJ967" s="38"/>
      <c r="AK967" s="38"/>
      <c r="AL967" s="38"/>
      <c r="AM967" s="38"/>
      <c r="AN967" s="38"/>
      <c r="AO967" s="38"/>
      <c r="AP967" s="38"/>
      <c r="AQ967" s="38"/>
      <c r="AR967" s="38"/>
      <c r="AS967" s="38"/>
      <c r="AT967" s="38"/>
      <c r="AU967" s="38"/>
      <c r="AV967" s="38"/>
      <c r="AW967" s="38"/>
      <c r="AX967" s="38"/>
      <c r="AY967" s="38"/>
      <c r="AZ967" s="38"/>
      <c r="BA967" s="38"/>
      <c r="BB967" s="38"/>
      <c r="BC967" s="38"/>
      <c r="BD967" s="38"/>
      <c r="BE967" s="38"/>
      <c r="BF967" s="38"/>
      <c r="BG967" s="38"/>
      <c r="BH967" s="38"/>
      <c r="BI967" s="38"/>
      <c r="BJ967" s="38"/>
      <c r="BK967" s="38"/>
      <c r="BL967" s="38"/>
      <c r="BM967" s="38"/>
      <c r="BN967" s="38"/>
      <c r="BO967" s="38"/>
      <c r="BP967" s="38"/>
    </row>
    <row r="968">
      <c r="A968" s="40"/>
      <c r="B968" s="40"/>
      <c r="AF968" s="38"/>
      <c r="AG968" s="38"/>
      <c r="AH968" s="38"/>
      <c r="AI968" s="38"/>
      <c r="AJ968" s="38"/>
      <c r="AK968" s="38"/>
      <c r="AL968" s="38"/>
      <c r="AM968" s="38"/>
      <c r="AN968" s="38"/>
      <c r="AO968" s="38"/>
      <c r="AP968" s="38"/>
      <c r="AQ968" s="38"/>
      <c r="AR968" s="38"/>
      <c r="AS968" s="38"/>
      <c r="AT968" s="38"/>
      <c r="AU968" s="38"/>
      <c r="AV968" s="38"/>
      <c r="AW968" s="38"/>
      <c r="AX968" s="38"/>
      <c r="AY968" s="38"/>
      <c r="AZ968" s="38"/>
      <c r="BA968" s="38"/>
      <c r="BB968" s="38"/>
      <c r="BC968" s="38"/>
      <c r="BD968" s="38"/>
      <c r="BE968" s="38"/>
      <c r="BF968" s="38"/>
      <c r="BG968" s="38"/>
      <c r="BH968" s="38"/>
      <c r="BI968" s="38"/>
      <c r="BJ968" s="38"/>
      <c r="BK968" s="38"/>
      <c r="BL968" s="38"/>
      <c r="BM968" s="38"/>
      <c r="BN968" s="38"/>
      <c r="BO968" s="38"/>
      <c r="BP968" s="38"/>
    </row>
    <row r="969">
      <c r="A969" s="40"/>
      <c r="B969" s="40"/>
      <c r="AF969" s="38"/>
      <c r="AG969" s="38"/>
      <c r="AH969" s="38"/>
      <c r="AI969" s="38"/>
      <c r="AJ969" s="38"/>
      <c r="AK969" s="38"/>
      <c r="AL969" s="38"/>
      <c r="AM969" s="38"/>
      <c r="AN969" s="38"/>
      <c r="AO969" s="38"/>
      <c r="AP969" s="38"/>
      <c r="AQ969" s="38"/>
      <c r="AR969" s="38"/>
      <c r="AS969" s="38"/>
      <c r="AT969" s="38"/>
      <c r="AU969" s="38"/>
      <c r="AV969" s="38"/>
      <c r="AW969" s="38"/>
      <c r="AX969" s="38"/>
      <c r="AY969" s="38"/>
      <c r="AZ969" s="38"/>
      <c r="BA969" s="38"/>
      <c r="BB969" s="38"/>
      <c r="BC969" s="38"/>
      <c r="BD969" s="38"/>
      <c r="BE969" s="38"/>
      <c r="BF969" s="38"/>
      <c r="BG969" s="38"/>
      <c r="BH969" s="38"/>
      <c r="BI969" s="38"/>
      <c r="BJ969" s="38"/>
      <c r="BK969" s="38"/>
      <c r="BL969" s="38"/>
      <c r="BM969" s="38"/>
      <c r="BN969" s="38"/>
      <c r="BO969" s="38"/>
      <c r="BP969" s="38"/>
    </row>
    <row r="970">
      <c r="A970" s="40"/>
      <c r="B970" s="40"/>
      <c r="AF970" s="38"/>
      <c r="AG970" s="38"/>
      <c r="AH970" s="38"/>
      <c r="AI970" s="38"/>
      <c r="AJ970" s="38"/>
      <c r="AK970" s="38"/>
      <c r="AL970" s="38"/>
      <c r="AM970" s="38"/>
      <c r="AN970" s="38"/>
      <c r="AO970" s="38"/>
      <c r="AP970" s="38"/>
      <c r="AQ970" s="38"/>
      <c r="AR970" s="38"/>
      <c r="AS970" s="38"/>
      <c r="AT970" s="38"/>
      <c r="AU970" s="38"/>
      <c r="AV970" s="38"/>
      <c r="AW970" s="38"/>
      <c r="AX970" s="38"/>
      <c r="AY970" s="38"/>
      <c r="AZ970" s="38"/>
      <c r="BA970" s="38"/>
      <c r="BB970" s="38"/>
      <c r="BC970" s="38"/>
      <c r="BD970" s="38"/>
      <c r="BE970" s="38"/>
      <c r="BF970" s="38"/>
      <c r="BG970" s="38"/>
      <c r="BH970" s="38"/>
      <c r="BI970" s="38"/>
      <c r="BJ970" s="38"/>
      <c r="BK970" s="38"/>
      <c r="BL970" s="38"/>
      <c r="BM970" s="38"/>
      <c r="BN970" s="38"/>
      <c r="BO970" s="38"/>
      <c r="BP970" s="38"/>
    </row>
    <row r="971">
      <c r="A971" s="40"/>
      <c r="B971" s="40"/>
      <c r="AF971" s="38"/>
      <c r="AG971" s="38"/>
      <c r="AH971" s="38"/>
      <c r="AI971" s="38"/>
      <c r="AJ971" s="38"/>
      <c r="AK971" s="38"/>
      <c r="AL971" s="38"/>
      <c r="AM971" s="38"/>
      <c r="AN971" s="38"/>
      <c r="AO971" s="38"/>
      <c r="AP971" s="38"/>
      <c r="AQ971" s="38"/>
      <c r="AR971" s="38"/>
      <c r="AS971" s="38"/>
      <c r="AT971" s="38"/>
      <c r="AU971" s="38"/>
      <c r="AV971" s="38"/>
      <c r="AW971" s="38"/>
      <c r="AX971" s="38"/>
      <c r="AY971" s="38"/>
      <c r="AZ971" s="38"/>
      <c r="BA971" s="38"/>
      <c r="BB971" s="38"/>
      <c r="BC971" s="38"/>
      <c r="BD971" s="38"/>
      <c r="BE971" s="38"/>
      <c r="BF971" s="38"/>
      <c r="BG971" s="38"/>
      <c r="BH971" s="38"/>
      <c r="BI971" s="38"/>
      <c r="BJ971" s="38"/>
      <c r="BK971" s="38"/>
      <c r="BL971" s="38"/>
      <c r="BM971" s="38"/>
      <c r="BN971" s="38"/>
      <c r="BO971" s="38"/>
      <c r="BP971" s="38"/>
    </row>
    <row r="972">
      <c r="A972" s="40"/>
      <c r="B972" s="40"/>
      <c r="AF972" s="38"/>
      <c r="AG972" s="38"/>
      <c r="AH972" s="38"/>
      <c r="AI972" s="38"/>
      <c r="AJ972" s="38"/>
      <c r="AK972" s="38"/>
      <c r="AL972" s="38"/>
      <c r="AM972" s="38"/>
      <c r="AN972" s="38"/>
      <c r="AO972" s="38"/>
      <c r="AP972" s="38"/>
      <c r="AQ972" s="38"/>
      <c r="AR972" s="38"/>
      <c r="AS972" s="38"/>
      <c r="AT972" s="38"/>
      <c r="AU972" s="38"/>
      <c r="AV972" s="38"/>
      <c r="AW972" s="38"/>
      <c r="AX972" s="38"/>
      <c r="AY972" s="38"/>
      <c r="AZ972" s="38"/>
      <c r="BA972" s="38"/>
      <c r="BB972" s="38"/>
      <c r="BC972" s="38"/>
      <c r="BD972" s="38"/>
      <c r="BE972" s="38"/>
      <c r="BF972" s="38"/>
      <c r="BG972" s="38"/>
      <c r="BH972" s="38"/>
      <c r="BI972" s="38"/>
      <c r="BJ972" s="38"/>
      <c r="BK972" s="38"/>
      <c r="BL972" s="38"/>
      <c r="BM972" s="38"/>
      <c r="BN972" s="38"/>
      <c r="BO972" s="38"/>
      <c r="BP972" s="38"/>
    </row>
    <row r="973">
      <c r="A973" s="40"/>
      <c r="B973" s="40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</row>
    <row r="974">
      <c r="A974" s="40"/>
      <c r="B974" s="40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</row>
    <row r="975">
      <c r="A975" s="40"/>
      <c r="B975" s="40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</row>
    <row r="976">
      <c r="A976" s="40"/>
      <c r="B976" s="40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</row>
    <row r="977">
      <c r="A977" s="40"/>
      <c r="B977" s="40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</row>
    <row r="978">
      <c r="A978" s="40"/>
      <c r="B978" s="40"/>
      <c r="AF978" s="38"/>
      <c r="AG978" s="38"/>
      <c r="AH978" s="38"/>
      <c r="AI978" s="38"/>
      <c r="AJ978" s="38"/>
      <c r="AK978" s="38"/>
      <c r="AL978" s="38"/>
      <c r="AM978" s="38"/>
      <c r="AN978" s="38"/>
      <c r="AO978" s="38"/>
      <c r="AP978" s="38"/>
      <c r="AQ978" s="38"/>
      <c r="AR978" s="38"/>
      <c r="AS978" s="38"/>
      <c r="AT978" s="38"/>
      <c r="AU978" s="38"/>
      <c r="AV978" s="38"/>
      <c r="AW978" s="38"/>
      <c r="AX978" s="38"/>
      <c r="AY978" s="38"/>
      <c r="AZ978" s="38"/>
      <c r="BA978" s="38"/>
      <c r="BB978" s="38"/>
      <c r="BC978" s="38"/>
      <c r="BD978" s="38"/>
      <c r="BE978" s="38"/>
      <c r="BF978" s="38"/>
      <c r="BG978" s="38"/>
      <c r="BH978" s="38"/>
      <c r="BI978" s="38"/>
      <c r="BJ978" s="38"/>
      <c r="BK978" s="38"/>
      <c r="BL978" s="38"/>
      <c r="BM978" s="38"/>
      <c r="BN978" s="38"/>
      <c r="BO978" s="38"/>
      <c r="BP978" s="38"/>
    </row>
    <row r="979">
      <c r="A979" s="40"/>
      <c r="B979" s="40"/>
      <c r="AF979" s="38"/>
      <c r="AG979" s="38"/>
      <c r="AH979" s="38"/>
      <c r="AI979" s="38"/>
      <c r="AJ979" s="38"/>
      <c r="AK979" s="38"/>
      <c r="AL979" s="38"/>
      <c r="AM979" s="38"/>
      <c r="AN979" s="38"/>
      <c r="AO979" s="38"/>
      <c r="AP979" s="38"/>
      <c r="AQ979" s="38"/>
      <c r="AR979" s="38"/>
      <c r="AS979" s="38"/>
      <c r="AT979" s="38"/>
      <c r="AU979" s="38"/>
      <c r="AV979" s="38"/>
      <c r="AW979" s="38"/>
      <c r="AX979" s="38"/>
      <c r="AY979" s="38"/>
      <c r="AZ979" s="38"/>
      <c r="BA979" s="38"/>
      <c r="BB979" s="38"/>
      <c r="BC979" s="38"/>
      <c r="BD979" s="38"/>
      <c r="BE979" s="38"/>
      <c r="BF979" s="38"/>
      <c r="BG979" s="38"/>
      <c r="BH979" s="38"/>
      <c r="BI979" s="38"/>
      <c r="BJ979" s="38"/>
      <c r="BK979" s="38"/>
      <c r="BL979" s="38"/>
      <c r="BM979" s="38"/>
      <c r="BN979" s="38"/>
      <c r="BO979" s="38"/>
      <c r="BP979" s="38"/>
    </row>
    <row r="980">
      <c r="A980" s="40"/>
      <c r="B980" s="40"/>
      <c r="AF980" s="38"/>
      <c r="AG980" s="38"/>
      <c r="AH980" s="38"/>
      <c r="AI980" s="38"/>
      <c r="AJ980" s="38"/>
      <c r="AK980" s="38"/>
      <c r="AL980" s="38"/>
      <c r="AM980" s="38"/>
      <c r="AN980" s="38"/>
      <c r="AO980" s="38"/>
      <c r="AP980" s="38"/>
      <c r="AQ980" s="38"/>
      <c r="AR980" s="38"/>
      <c r="AS980" s="38"/>
      <c r="AT980" s="38"/>
      <c r="AU980" s="38"/>
      <c r="AV980" s="38"/>
      <c r="AW980" s="38"/>
      <c r="AX980" s="38"/>
      <c r="AY980" s="38"/>
      <c r="AZ980" s="38"/>
      <c r="BA980" s="38"/>
      <c r="BB980" s="38"/>
      <c r="BC980" s="38"/>
      <c r="BD980" s="38"/>
      <c r="BE980" s="38"/>
      <c r="BF980" s="38"/>
      <c r="BG980" s="38"/>
      <c r="BH980" s="38"/>
      <c r="BI980" s="38"/>
      <c r="BJ980" s="38"/>
      <c r="BK980" s="38"/>
      <c r="BL980" s="38"/>
      <c r="BM980" s="38"/>
      <c r="BN980" s="38"/>
      <c r="BO980" s="38"/>
      <c r="BP980" s="38"/>
    </row>
    <row r="981">
      <c r="A981" s="40"/>
      <c r="B981" s="40"/>
      <c r="AF981" s="38"/>
      <c r="AG981" s="38"/>
      <c r="AH981" s="38"/>
      <c r="AI981" s="38"/>
      <c r="AJ981" s="38"/>
      <c r="AK981" s="38"/>
      <c r="AL981" s="38"/>
      <c r="AM981" s="38"/>
      <c r="AN981" s="38"/>
      <c r="AO981" s="38"/>
      <c r="AP981" s="38"/>
      <c r="AQ981" s="38"/>
      <c r="AR981" s="38"/>
      <c r="AS981" s="38"/>
      <c r="AT981" s="38"/>
      <c r="AU981" s="38"/>
      <c r="AV981" s="38"/>
      <c r="AW981" s="38"/>
      <c r="AX981" s="38"/>
      <c r="AY981" s="38"/>
      <c r="AZ981" s="38"/>
      <c r="BA981" s="38"/>
      <c r="BB981" s="38"/>
      <c r="BC981" s="38"/>
      <c r="BD981" s="38"/>
      <c r="BE981" s="38"/>
      <c r="BF981" s="38"/>
      <c r="BG981" s="38"/>
      <c r="BH981" s="38"/>
      <c r="BI981" s="38"/>
      <c r="BJ981" s="38"/>
      <c r="BK981" s="38"/>
      <c r="BL981" s="38"/>
      <c r="BM981" s="38"/>
      <c r="BN981" s="38"/>
      <c r="BO981" s="38"/>
      <c r="BP981" s="38"/>
    </row>
    <row r="982">
      <c r="A982" s="40"/>
      <c r="B982" s="40"/>
      <c r="AF982" s="38"/>
      <c r="AG982" s="38"/>
      <c r="AH982" s="38"/>
      <c r="AI982" s="38"/>
      <c r="AJ982" s="38"/>
      <c r="AK982" s="38"/>
      <c r="AL982" s="38"/>
      <c r="AM982" s="38"/>
      <c r="AN982" s="38"/>
      <c r="AO982" s="38"/>
      <c r="AP982" s="38"/>
      <c r="AQ982" s="38"/>
      <c r="AR982" s="38"/>
      <c r="AS982" s="38"/>
      <c r="AT982" s="38"/>
      <c r="AU982" s="38"/>
      <c r="AV982" s="38"/>
      <c r="AW982" s="38"/>
      <c r="AX982" s="38"/>
      <c r="AY982" s="38"/>
      <c r="AZ982" s="38"/>
      <c r="BA982" s="38"/>
      <c r="BB982" s="38"/>
      <c r="BC982" s="38"/>
      <c r="BD982" s="38"/>
      <c r="BE982" s="38"/>
      <c r="BF982" s="38"/>
      <c r="BG982" s="38"/>
      <c r="BH982" s="38"/>
      <c r="BI982" s="38"/>
      <c r="BJ982" s="38"/>
      <c r="BK982" s="38"/>
      <c r="BL982" s="38"/>
      <c r="BM982" s="38"/>
      <c r="BN982" s="38"/>
      <c r="BO982" s="38"/>
      <c r="BP982" s="38"/>
    </row>
    <row r="983">
      <c r="A983" s="40"/>
      <c r="B983" s="40"/>
      <c r="AF983" s="38"/>
      <c r="AG983" s="38"/>
      <c r="AH983" s="38"/>
      <c r="AI983" s="38"/>
      <c r="AJ983" s="38"/>
      <c r="AK983" s="38"/>
      <c r="AL983" s="38"/>
      <c r="AM983" s="38"/>
      <c r="AN983" s="38"/>
      <c r="AO983" s="38"/>
      <c r="AP983" s="38"/>
      <c r="AQ983" s="38"/>
      <c r="AR983" s="38"/>
      <c r="AS983" s="38"/>
      <c r="AT983" s="38"/>
      <c r="AU983" s="38"/>
      <c r="AV983" s="38"/>
      <c r="AW983" s="38"/>
      <c r="AX983" s="38"/>
      <c r="AY983" s="38"/>
      <c r="AZ983" s="38"/>
      <c r="BA983" s="38"/>
      <c r="BB983" s="38"/>
      <c r="BC983" s="38"/>
      <c r="BD983" s="38"/>
      <c r="BE983" s="38"/>
      <c r="BF983" s="38"/>
      <c r="BG983" s="38"/>
      <c r="BH983" s="38"/>
      <c r="BI983" s="38"/>
      <c r="BJ983" s="38"/>
      <c r="BK983" s="38"/>
      <c r="BL983" s="38"/>
      <c r="BM983" s="38"/>
      <c r="BN983" s="38"/>
      <c r="BO983" s="38"/>
      <c r="BP983" s="38"/>
    </row>
    <row r="984">
      <c r="A984" s="40"/>
      <c r="B984" s="40"/>
      <c r="AF984" s="38"/>
      <c r="AG984" s="38"/>
      <c r="AH984" s="38"/>
      <c r="AI984" s="38"/>
      <c r="AJ984" s="38"/>
      <c r="AK984" s="38"/>
      <c r="AL984" s="38"/>
      <c r="AM984" s="38"/>
      <c r="AN984" s="38"/>
      <c r="AO984" s="38"/>
      <c r="AP984" s="38"/>
      <c r="AQ984" s="38"/>
      <c r="AR984" s="38"/>
      <c r="AS984" s="38"/>
      <c r="AT984" s="38"/>
      <c r="AU984" s="38"/>
      <c r="AV984" s="38"/>
      <c r="AW984" s="38"/>
      <c r="AX984" s="38"/>
      <c r="AY984" s="38"/>
      <c r="AZ984" s="38"/>
      <c r="BA984" s="38"/>
      <c r="BB984" s="38"/>
      <c r="BC984" s="38"/>
      <c r="BD984" s="38"/>
      <c r="BE984" s="38"/>
      <c r="BF984" s="38"/>
      <c r="BG984" s="38"/>
      <c r="BH984" s="38"/>
      <c r="BI984" s="38"/>
      <c r="BJ984" s="38"/>
      <c r="BK984" s="38"/>
      <c r="BL984" s="38"/>
      <c r="BM984" s="38"/>
      <c r="BN984" s="38"/>
      <c r="BO984" s="38"/>
      <c r="BP984" s="38"/>
    </row>
    <row r="985">
      <c r="A985" s="40"/>
      <c r="B985" s="40"/>
      <c r="AF985" s="38"/>
      <c r="AG985" s="38"/>
      <c r="AH985" s="38"/>
      <c r="AI985" s="38"/>
      <c r="AJ985" s="38"/>
      <c r="AK985" s="38"/>
      <c r="AL985" s="38"/>
      <c r="AM985" s="38"/>
      <c r="AN985" s="38"/>
      <c r="AO985" s="38"/>
      <c r="AP985" s="38"/>
      <c r="AQ985" s="38"/>
      <c r="AR985" s="38"/>
      <c r="AS985" s="38"/>
      <c r="AT985" s="38"/>
      <c r="AU985" s="38"/>
      <c r="AV985" s="38"/>
      <c r="AW985" s="38"/>
      <c r="AX985" s="38"/>
      <c r="AY985" s="38"/>
      <c r="AZ985" s="38"/>
      <c r="BA985" s="38"/>
      <c r="BB985" s="38"/>
      <c r="BC985" s="38"/>
      <c r="BD985" s="38"/>
      <c r="BE985" s="38"/>
      <c r="BF985" s="38"/>
      <c r="BG985" s="38"/>
      <c r="BH985" s="38"/>
      <c r="BI985" s="38"/>
      <c r="BJ985" s="38"/>
      <c r="BK985" s="38"/>
      <c r="BL985" s="38"/>
      <c r="BM985" s="38"/>
      <c r="BN985" s="38"/>
      <c r="BO985" s="38"/>
      <c r="BP985" s="38"/>
    </row>
    <row r="986">
      <c r="A986" s="40"/>
      <c r="B986" s="40"/>
      <c r="AF986" s="38"/>
      <c r="AG986" s="38"/>
      <c r="AH986" s="38"/>
      <c r="AI986" s="38"/>
      <c r="AJ986" s="38"/>
      <c r="AK986" s="38"/>
      <c r="AL986" s="38"/>
      <c r="AM986" s="38"/>
      <c r="AN986" s="38"/>
      <c r="AO986" s="38"/>
      <c r="AP986" s="38"/>
      <c r="AQ986" s="38"/>
      <c r="AR986" s="38"/>
      <c r="AS986" s="38"/>
      <c r="AT986" s="38"/>
      <c r="AU986" s="38"/>
      <c r="AV986" s="38"/>
      <c r="AW986" s="38"/>
      <c r="AX986" s="38"/>
      <c r="AY986" s="38"/>
      <c r="AZ986" s="38"/>
      <c r="BA986" s="38"/>
      <c r="BB986" s="38"/>
      <c r="BC986" s="38"/>
      <c r="BD986" s="38"/>
      <c r="BE986" s="38"/>
      <c r="BF986" s="38"/>
      <c r="BG986" s="38"/>
      <c r="BH986" s="38"/>
      <c r="BI986" s="38"/>
      <c r="BJ986" s="38"/>
      <c r="BK986" s="38"/>
      <c r="BL986" s="38"/>
      <c r="BM986" s="38"/>
      <c r="BN986" s="38"/>
      <c r="BO986" s="38"/>
      <c r="BP986" s="38"/>
    </row>
    <row r="987">
      <c r="A987" s="40"/>
      <c r="B987" s="40"/>
      <c r="AF987" s="38"/>
      <c r="AG987" s="38"/>
      <c r="AH987" s="38"/>
      <c r="AI987" s="38"/>
      <c r="AJ987" s="38"/>
      <c r="AK987" s="38"/>
      <c r="AL987" s="38"/>
      <c r="AM987" s="38"/>
      <c r="AN987" s="38"/>
      <c r="AO987" s="38"/>
      <c r="AP987" s="38"/>
      <c r="AQ987" s="38"/>
      <c r="AR987" s="38"/>
      <c r="AS987" s="38"/>
      <c r="AT987" s="38"/>
      <c r="AU987" s="38"/>
      <c r="AV987" s="38"/>
      <c r="AW987" s="38"/>
      <c r="AX987" s="38"/>
      <c r="AY987" s="38"/>
      <c r="AZ987" s="38"/>
      <c r="BA987" s="38"/>
      <c r="BB987" s="38"/>
      <c r="BC987" s="38"/>
      <c r="BD987" s="38"/>
      <c r="BE987" s="38"/>
      <c r="BF987" s="38"/>
      <c r="BG987" s="38"/>
      <c r="BH987" s="38"/>
      <c r="BI987" s="38"/>
      <c r="BJ987" s="38"/>
      <c r="BK987" s="38"/>
      <c r="BL987" s="38"/>
      <c r="BM987" s="38"/>
      <c r="BN987" s="38"/>
      <c r="BO987" s="38"/>
      <c r="BP987" s="38"/>
    </row>
    <row r="988">
      <c r="A988" s="40"/>
      <c r="B988" s="40"/>
      <c r="AF988" s="38"/>
      <c r="AG988" s="38"/>
      <c r="AH988" s="38"/>
      <c r="AI988" s="38"/>
      <c r="AJ988" s="38"/>
      <c r="AK988" s="38"/>
      <c r="AL988" s="38"/>
      <c r="AM988" s="38"/>
      <c r="AN988" s="38"/>
      <c r="AO988" s="38"/>
      <c r="AP988" s="38"/>
      <c r="AQ988" s="38"/>
      <c r="AR988" s="38"/>
      <c r="AS988" s="38"/>
      <c r="AT988" s="38"/>
      <c r="AU988" s="38"/>
      <c r="AV988" s="38"/>
      <c r="AW988" s="38"/>
      <c r="AX988" s="38"/>
      <c r="AY988" s="38"/>
      <c r="AZ988" s="38"/>
      <c r="BA988" s="38"/>
      <c r="BB988" s="38"/>
      <c r="BC988" s="38"/>
      <c r="BD988" s="38"/>
      <c r="BE988" s="38"/>
      <c r="BF988" s="38"/>
      <c r="BG988" s="38"/>
      <c r="BH988" s="38"/>
      <c r="BI988" s="38"/>
      <c r="BJ988" s="38"/>
      <c r="BK988" s="38"/>
      <c r="BL988" s="38"/>
      <c r="BM988" s="38"/>
      <c r="BN988" s="38"/>
      <c r="BO988" s="38"/>
      <c r="BP988" s="38"/>
    </row>
  </sheetData>
  <dataValidations>
    <dataValidation type="list" allowBlank="1" showErrorMessage="1" sqref="B5:B18">
      <formula1>"Cafeteria,Aseo"</formula1>
    </dataValidation>
    <dataValidation type="list" allowBlank="1" showErrorMessage="1" sqref="B4">
      <formula1>"Dimerc,Coporate Coffe"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2" width="18.0"/>
    <col customWidth="1" min="3" max="3" width="21.88"/>
    <col customWidth="1" hidden="1" min="4" max="4" width="21.88"/>
    <col customWidth="1" hidden="1" min="5" max="5" width="17.63"/>
    <col hidden="1" min="6" max="28" width="12.63"/>
    <col customWidth="1" hidden="1" min="29" max="29" width="14.88"/>
    <col customWidth="1" hidden="1" min="30" max="30" width="13.75"/>
    <col hidden="1" min="31" max="31" width="12.63"/>
    <col customWidth="1" hidden="1" min="32" max="32" width="13.38"/>
    <col hidden="1" min="33" max="33" width="12.63"/>
    <col customWidth="1" hidden="1" min="34" max="38" width="19.0"/>
    <col customWidth="1" hidden="1" min="39" max="39" width="11.5"/>
    <col customWidth="1" hidden="1" min="40" max="40" width="19.0"/>
    <col customWidth="1" hidden="1" min="41" max="41" width="16.88"/>
    <col customWidth="1" hidden="1" min="42" max="42" width="15.88"/>
    <col customWidth="1" hidden="1" min="43" max="43" width="15.38"/>
    <col customWidth="1" hidden="1" min="44" max="44" width="14.38"/>
    <col customWidth="1" hidden="1" min="45" max="45" width="16.0"/>
    <col customWidth="1" hidden="1" min="46" max="46" width="12.25"/>
    <col customWidth="1" hidden="1" min="47" max="47" width="11.88"/>
    <col customWidth="1" hidden="1" min="48" max="48" width="12.38"/>
    <col customWidth="1" hidden="1" min="49" max="49" width="10.75"/>
    <col customWidth="1" hidden="1" min="50" max="50" width="12.38"/>
    <col customWidth="1" hidden="1" min="51" max="51" width="14.63"/>
    <col customWidth="1" hidden="1" min="52" max="52" width="12.88"/>
    <col customWidth="1" hidden="1" min="53" max="53" width="16.13"/>
    <col customWidth="1" hidden="1" min="54" max="54" width="14.13"/>
    <col customWidth="1" hidden="1" min="55" max="55" width="19.0"/>
    <col customWidth="1" hidden="1" min="56" max="56" width="12.13"/>
    <col customWidth="1" hidden="1" min="57" max="57" width="19.0"/>
    <col customWidth="1" hidden="1" min="58" max="58" width="13.5"/>
    <col customWidth="1" hidden="1" min="59" max="59" width="14.88"/>
    <col customWidth="1" hidden="1" min="60" max="60" width="19.0"/>
    <col customWidth="1" hidden="1" min="61" max="61" width="13.75"/>
    <col customWidth="1" hidden="1" min="62" max="63" width="19.0"/>
    <col customWidth="1" min="64" max="66" width="19.0"/>
    <col customWidth="1" min="67" max="67" width="15.0"/>
    <col customWidth="1" min="68" max="68" width="15.75"/>
    <col customWidth="1" min="69" max="73" width="19.0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7"/>
      <c r="J1" s="16"/>
      <c r="K1" s="27"/>
      <c r="L1" s="27"/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H2" si="1">E2+7</f>
        <v>45824</v>
      </c>
      <c r="G2" s="18">
        <f t="shared" si="1"/>
        <v>45831</v>
      </c>
      <c r="H2" s="17">
        <f t="shared" si="1"/>
        <v>45838</v>
      </c>
      <c r="I2" s="17">
        <v>45845.0</v>
      </c>
      <c r="J2" s="17">
        <f t="shared" ref="J2:L2" si="2">I2+7</f>
        <v>45852</v>
      </c>
      <c r="K2" s="18">
        <f t="shared" si="2"/>
        <v>45859</v>
      </c>
      <c r="L2" s="18">
        <f t="shared" si="2"/>
        <v>45866</v>
      </c>
      <c r="M2" s="17">
        <v>45873.0</v>
      </c>
      <c r="N2" s="17">
        <v>45880.0</v>
      </c>
      <c r="O2" s="18">
        <v>45887.0</v>
      </c>
      <c r="P2" s="18">
        <v>45894.0</v>
      </c>
      <c r="Q2" s="18">
        <v>45901.0</v>
      </c>
      <c r="R2" s="17">
        <v>45908.0</v>
      </c>
      <c r="S2" s="41">
        <v>45915.0</v>
      </c>
      <c r="T2" s="41">
        <v>45922.0</v>
      </c>
      <c r="U2" s="41">
        <v>45929.0</v>
      </c>
      <c r="V2" s="41">
        <f t="shared" ref="V2:AB2" si="3">U2+7</f>
        <v>45936</v>
      </c>
      <c r="W2" s="41">
        <f t="shared" si="3"/>
        <v>45943</v>
      </c>
      <c r="X2" s="41">
        <f t="shared" si="3"/>
        <v>45950</v>
      </c>
      <c r="Y2" s="41">
        <f t="shared" si="3"/>
        <v>45957</v>
      </c>
      <c r="Z2" s="41">
        <f t="shared" si="3"/>
        <v>45964</v>
      </c>
      <c r="AA2" s="18">
        <f t="shared" si="3"/>
        <v>45971</v>
      </c>
      <c r="AB2" s="18">
        <f t="shared" si="3"/>
        <v>45978</v>
      </c>
      <c r="AC2" s="17">
        <v>45979.0</v>
      </c>
      <c r="AD2" s="17">
        <v>45981.0</v>
      </c>
      <c r="AE2" s="17">
        <v>45985.0</v>
      </c>
      <c r="AF2" s="17">
        <v>45988.0</v>
      </c>
      <c r="AG2" s="17">
        <v>45992.0</v>
      </c>
      <c r="AH2" s="17">
        <v>45993.0</v>
      </c>
      <c r="AI2" s="17">
        <v>45995.0</v>
      </c>
      <c r="AJ2" s="17">
        <v>46000.0</v>
      </c>
      <c r="AK2" s="17">
        <v>46002.0</v>
      </c>
      <c r="AL2" s="17">
        <v>46006.0</v>
      </c>
      <c r="AM2" s="17">
        <v>46007.0</v>
      </c>
      <c r="AN2" s="17">
        <v>46008.0</v>
      </c>
      <c r="AO2" s="17">
        <v>46010.0</v>
      </c>
      <c r="AP2" s="17">
        <v>46013.0</v>
      </c>
      <c r="AQ2" s="17">
        <v>46014.0</v>
      </c>
      <c r="AR2" s="17">
        <v>46020.0</v>
      </c>
      <c r="AS2" s="17">
        <v>46027.0</v>
      </c>
      <c r="AT2" s="17">
        <v>46030.0</v>
      </c>
      <c r="AU2" s="17">
        <v>46034.0</v>
      </c>
      <c r="AV2" s="17">
        <v>46035.0</v>
      </c>
      <c r="AW2" s="17">
        <v>46037.0</v>
      </c>
      <c r="AX2" s="17">
        <v>46041.0</v>
      </c>
      <c r="AY2" s="17">
        <v>46044.0</v>
      </c>
      <c r="AZ2" s="17">
        <v>46045.0</v>
      </c>
      <c r="BA2" s="17">
        <v>46048.0</v>
      </c>
      <c r="BB2" s="17">
        <v>46051.0</v>
      </c>
      <c r="BC2" s="17">
        <v>46055.0</v>
      </c>
      <c r="BD2" s="17">
        <v>46058.0</v>
      </c>
      <c r="BE2" s="17">
        <v>46059.0</v>
      </c>
      <c r="BF2" s="17">
        <v>46062.0</v>
      </c>
      <c r="BG2" s="17">
        <v>46065.0</v>
      </c>
      <c r="BH2" s="17">
        <v>46069.0</v>
      </c>
      <c r="BI2" s="17">
        <v>46072.0</v>
      </c>
      <c r="BJ2" s="17">
        <v>46076.0</v>
      </c>
      <c r="BK2" s="17">
        <v>46079.0</v>
      </c>
      <c r="BL2" s="17">
        <v>46083.0</v>
      </c>
      <c r="BM2" s="17">
        <v>46086.0</v>
      </c>
      <c r="BN2" s="17">
        <v>46090.0</v>
      </c>
      <c r="BO2" s="17">
        <v>46093.0</v>
      </c>
      <c r="BP2" s="17">
        <v>46097.0</v>
      </c>
      <c r="BQ2" s="17">
        <v>46100.0</v>
      </c>
      <c r="BR2" s="17">
        <v>46104.0</v>
      </c>
      <c r="BS2" s="17"/>
      <c r="BT2" s="17"/>
      <c r="BU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37" t="s">
        <v>3</v>
      </c>
      <c r="AD3" s="37" t="s">
        <v>3</v>
      </c>
      <c r="AE3" s="37" t="s">
        <v>3</v>
      </c>
      <c r="AF3" s="37" t="s">
        <v>3</v>
      </c>
      <c r="AG3" s="37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 t="s">
        <v>3</v>
      </c>
      <c r="BE3" s="16" t="s">
        <v>3</v>
      </c>
      <c r="BF3" s="16" t="s">
        <v>3</v>
      </c>
      <c r="BG3" s="16" t="s">
        <v>3</v>
      </c>
      <c r="BH3" s="16" t="s">
        <v>3</v>
      </c>
      <c r="BI3" s="16" t="s">
        <v>3</v>
      </c>
      <c r="BJ3" s="16" t="s">
        <v>3</v>
      </c>
      <c r="BK3" s="16" t="s">
        <v>3</v>
      </c>
      <c r="BL3" s="16" t="s">
        <v>3</v>
      </c>
      <c r="BM3" s="16" t="s">
        <v>3</v>
      </c>
      <c r="BN3" s="16" t="s">
        <v>3</v>
      </c>
      <c r="BO3" s="16" t="s">
        <v>3</v>
      </c>
      <c r="BP3" s="16" t="s">
        <v>3</v>
      </c>
      <c r="BQ3" s="16" t="s">
        <v>3</v>
      </c>
      <c r="BR3" s="16" t="s">
        <v>3</v>
      </c>
      <c r="BS3" s="16"/>
      <c r="BT3" s="16"/>
      <c r="BU3" s="16"/>
    </row>
    <row r="4" ht="19.5" customHeight="1">
      <c r="A4" s="19" t="s">
        <v>274</v>
      </c>
      <c r="B4" s="19" t="s">
        <v>45</v>
      </c>
      <c r="C4" s="19" t="s">
        <v>6</v>
      </c>
      <c r="D4" s="28">
        <v>0.0</v>
      </c>
      <c r="E4" s="28">
        <v>0.0</v>
      </c>
      <c r="F4" s="19" t="s">
        <v>275</v>
      </c>
      <c r="G4" s="19" t="s">
        <v>276</v>
      </c>
      <c r="H4" s="29" t="s">
        <v>277</v>
      </c>
      <c r="I4" s="22">
        <v>0.0</v>
      </c>
      <c r="J4" s="22">
        <v>5.0</v>
      </c>
      <c r="K4" s="32">
        <v>2.0</v>
      </c>
      <c r="M4" s="42" t="s">
        <v>278</v>
      </c>
      <c r="N4" s="42" t="s">
        <v>279</v>
      </c>
      <c r="O4" s="42" t="s">
        <v>280</v>
      </c>
      <c r="P4" s="42" t="s">
        <v>281</v>
      </c>
      <c r="Q4" s="43" t="s">
        <v>282</v>
      </c>
      <c r="R4" s="43" t="s">
        <v>283</v>
      </c>
      <c r="S4" s="42" t="s">
        <v>284</v>
      </c>
      <c r="T4" s="42" t="s">
        <v>285</v>
      </c>
      <c r="U4" s="42" t="s">
        <v>286</v>
      </c>
      <c r="V4" s="42" t="s">
        <v>287</v>
      </c>
      <c r="W4" s="42" t="s">
        <v>288</v>
      </c>
      <c r="X4" s="42" t="s">
        <v>289</v>
      </c>
      <c r="Y4" s="42" t="s">
        <v>290</v>
      </c>
      <c r="Z4" s="42" t="s">
        <v>291</v>
      </c>
      <c r="AA4" s="42" t="s">
        <v>292</v>
      </c>
      <c r="AB4" s="42" t="s">
        <v>293</v>
      </c>
      <c r="AC4" s="42" t="s">
        <v>294</v>
      </c>
      <c r="AD4" s="42" t="s">
        <v>294</v>
      </c>
      <c r="AE4" s="42" t="s">
        <v>290</v>
      </c>
      <c r="AF4" s="42" t="s">
        <v>293</v>
      </c>
      <c r="AG4" s="43" t="s">
        <v>295</v>
      </c>
      <c r="AH4" s="42" t="s">
        <v>296</v>
      </c>
      <c r="AI4" s="42" t="s">
        <v>297</v>
      </c>
      <c r="AJ4" s="42" t="s">
        <v>290</v>
      </c>
      <c r="AK4" s="42" t="s">
        <v>298</v>
      </c>
      <c r="AL4" s="43" t="s">
        <v>293</v>
      </c>
      <c r="AM4" s="42" t="s">
        <v>299</v>
      </c>
      <c r="AN4" s="43" t="s">
        <v>300</v>
      </c>
      <c r="AO4" s="42" t="s">
        <v>301</v>
      </c>
      <c r="AP4" s="42" t="s">
        <v>302</v>
      </c>
      <c r="AQ4" s="42" t="s">
        <v>48</v>
      </c>
      <c r="AR4" s="42" t="s">
        <v>303</v>
      </c>
      <c r="AS4" s="42" t="s">
        <v>304</v>
      </c>
      <c r="AT4" s="42" t="s">
        <v>303</v>
      </c>
      <c r="AU4" s="42" t="s">
        <v>177</v>
      </c>
      <c r="AV4" s="42" t="s">
        <v>278</v>
      </c>
      <c r="AW4" s="42" t="s">
        <v>49</v>
      </c>
      <c r="AX4" s="42" t="s">
        <v>305</v>
      </c>
      <c r="AY4" s="42" t="s">
        <v>306</v>
      </c>
      <c r="AZ4" s="42" t="s">
        <v>307</v>
      </c>
      <c r="BA4" s="43" t="s">
        <v>308</v>
      </c>
      <c r="BB4" s="42" t="s">
        <v>280</v>
      </c>
      <c r="BC4" s="42" t="s">
        <v>303</v>
      </c>
      <c r="BD4" s="42" t="s">
        <v>309</v>
      </c>
      <c r="BE4" s="42" t="s">
        <v>310</v>
      </c>
      <c r="BF4" s="42" t="s">
        <v>310</v>
      </c>
      <c r="BG4" s="42" t="s">
        <v>307</v>
      </c>
      <c r="BH4" s="42" t="s">
        <v>311</v>
      </c>
      <c r="BI4" s="42" t="s">
        <v>312</v>
      </c>
      <c r="BJ4" s="42" t="s">
        <v>313</v>
      </c>
      <c r="BK4" s="42" t="s">
        <v>314</v>
      </c>
      <c r="BL4" s="42" t="s">
        <v>315</v>
      </c>
      <c r="BM4" s="42" t="s">
        <v>316</v>
      </c>
      <c r="BN4" s="42" t="s">
        <v>317</v>
      </c>
      <c r="BO4" s="42" t="s">
        <v>56</v>
      </c>
      <c r="BP4" s="42" t="s">
        <v>303</v>
      </c>
      <c r="BQ4" s="42" t="s">
        <v>47</v>
      </c>
      <c r="BR4" s="42" t="s">
        <v>318</v>
      </c>
      <c r="BS4" s="42"/>
      <c r="BT4" s="42"/>
      <c r="BU4" s="42"/>
    </row>
    <row r="5">
      <c r="A5" s="19" t="s">
        <v>274</v>
      </c>
      <c r="B5" s="19" t="s">
        <v>7</v>
      </c>
      <c r="C5" s="19" t="s">
        <v>8</v>
      </c>
      <c r="D5" s="28" t="s">
        <v>319</v>
      </c>
      <c r="E5" s="28">
        <v>11.0</v>
      </c>
      <c r="F5" s="19" t="s">
        <v>320</v>
      </c>
      <c r="G5" s="19" t="s">
        <v>321</v>
      </c>
      <c r="H5" s="20"/>
      <c r="I5" s="32" t="s">
        <v>130</v>
      </c>
      <c r="J5" s="22" t="s">
        <v>118</v>
      </c>
      <c r="K5" s="32" t="s">
        <v>132</v>
      </c>
      <c r="M5" s="31" t="s">
        <v>95</v>
      </c>
      <c r="N5" s="31" t="s">
        <v>82</v>
      </c>
      <c r="O5" s="44" t="s">
        <v>283</v>
      </c>
      <c r="P5" s="31" t="s">
        <v>322</v>
      </c>
      <c r="Q5" s="31" t="s">
        <v>323</v>
      </c>
      <c r="R5" s="31" t="s">
        <v>324</v>
      </c>
      <c r="S5" s="31" t="s">
        <v>325</v>
      </c>
      <c r="T5" s="31" t="s">
        <v>84</v>
      </c>
      <c r="U5" s="45" t="s">
        <v>283</v>
      </c>
      <c r="V5" s="45" t="s">
        <v>283</v>
      </c>
      <c r="W5" s="45" t="s">
        <v>283</v>
      </c>
      <c r="X5" s="31" t="s">
        <v>283</v>
      </c>
      <c r="Y5" s="31" t="s">
        <v>322</v>
      </c>
      <c r="Z5" s="45" t="s">
        <v>283</v>
      </c>
      <c r="AA5" s="31" t="s">
        <v>95</v>
      </c>
      <c r="AB5" s="45" t="s">
        <v>283</v>
      </c>
      <c r="AC5" s="31" t="s">
        <v>326</v>
      </c>
      <c r="AD5" s="31" t="s">
        <v>326</v>
      </c>
      <c r="AE5" s="31" t="s">
        <v>84</v>
      </c>
      <c r="AF5" s="45" t="s">
        <v>283</v>
      </c>
      <c r="AG5" s="45" t="s">
        <v>283</v>
      </c>
      <c r="AH5" s="31" t="s">
        <v>327</v>
      </c>
      <c r="AI5" s="31" t="s">
        <v>84</v>
      </c>
      <c r="AJ5" s="31" t="s">
        <v>95</v>
      </c>
      <c r="AK5" s="31" t="s">
        <v>87</v>
      </c>
      <c r="AL5" s="45" t="s">
        <v>283</v>
      </c>
      <c r="AM5" s="31"/>
      <c r="AN5" s="45" t="s">
        <v>283</v>
      </c>
      <c r="AO5" s="45" t="s">
        <v>283</v>
      </c>
      <c r="AP5" s="45" t="s">
        <v>283</v>
      </c>
      <c r="AQ5" s="31" t="s">
        <v>83</v>
      </c>
      <c r="AR5" s="31" t="s">
        <v>326</v>
      </c>
      <c r="AS5" s="31" t="s">
        <v>94</v>
      </c>
      <c r="AT5" s="31" t="s">
        <v>323</v>
      </c>
      <c r="AU5" s="31" t="s">
        <v>87</v>
      </c>
      <c r="AV5" s="31" t="s">
        <v>114</v>
      </c>
      <c r="AW5" s="31">
        <v>18.0</v>
      </c>
      <c r="AX5" s="31" t="s">
        <v>83</v>
      </c>
      <c r="AY5" s="31" t="s">
        <v>94</v>
      </c>
      <c r="AZ5" s="31" t="s">
        <v>105</v>
      </c>
      <c r="BA5" s="31" t="s">
        <v>328</v>
      </c>
      <c r="BB5" s="31" t="s">
        <v>94</v>
      </c>
      <c r="BC5" s="31" t="s">
        <v>94</v>
      </c>
      <c r="BD5" s="31" t="s">
        <v>87</v>
      </c>
      <c r="BE5" s="46" t="s">
        <v>106</v>
      </c>
      <c r="BF5" s="46" t="s">
        <v>105</v>
      </c>
      <c r="BG5" s="31" t="s">
        <v>102</v>
      </c>
      <c r="BH5" s="31" t="s">
        <v>83</v>
      </c>
      <c r="BI5" s="31">
        <v>12.0</v>
      </c>
      <c r="BJ5" s="31">
        <v>10.0</v>
      </c>
      <c r="BK5" s="31" t="s">
        <v>95</v>
      </c>
      <c r="BL5" s="31" t="s">
        <v>87</v>
      </c>
      <c r="BM5" s="31" t="s">
        <v>82</v>
      </c>
      <c r="BN5" s="31" t="s">
        <v>82</v>
      </c>
      <c r="BO5" s="31" t="s">
        <v>83</v>
      </c>
      <c r="BP5" s="31" t="s">
        <v>94</v>
      </c>
      <c r="BQ5" s="31" t="s">
        <v>87</v>
      </c>
      <c r="BR5" s="31" t="s">
        <v>87</v>
      </c>
      <c r="BS5" s="31"/>
      <c r="BT5" s="31"/>
      <c r="BU5" s="31"/>
    </row>
    <row r="6">
      <c r="A6" s="19" t="s">
        <v>274</v>
      </c>
      <c r="B6" s="19" t="s">
        <v>7</v>
      </c>
      <c r="C6" s="19" t="s">
        <v>9</v>
      </c>
      <c r="D6" s="28" t="s">
        <v>329</v>
      </c>
      <c r="E6" s="28" t="s">
        <v>130</v>
      </c>
      <c r="F6" s="26"/>
      <c r="G6" s="19" t="s">
        <v>118</v>
      </c>
      <c r="H6" s="29" t="s">
        <v>121</v>
      </c>
      <c r="I6" s="22" t="s">
        <v>330</v>
      </c>
      <c r="J6" s="22" t="s">
        <v>199</v>
      </c>
      <c r="K6" s="32" t="s">
        <v>201</v>
      </c>
      <c r="M6" s="31" t="s">
        <v>83</v>
      </c>
      <c r="N6" s="31" t="s">
        <v>94</v>
      </c>
      <c r="O6" s="31" t="s">
        <v>112</v>
      </c>
      <c r="P6" s="31" t="s">
        <v>327</v>
      </c>
      <c r="Q6" s="31" t="s">
        <v>327</v>
      </c>
      <c r="R6" s="31" t="s">
        <v>328</v>
      </c>
      <c r="S6" s="31" t="s">
        <v>102</v>
      </c>
      <c r="T6" s="31" t="s">
        <v>331</v>
      </c>
      <c r="U6" s="31" t="s">
        <v>327</v>
      </c>
      <c r="V6" s="31" t="s">
        <v>83</v>
      </c>
      <c r="W6" s="31" t="s">
        <v>112</v>
      </c>
      <c r="X6" s="31" t="s">
        <v>114</v>
      </c>
      <c r="Y6" s="31" t="s">
        <v>105</v>
      </c>
      <c r="Z6" s="31" t="s">
        <v>105</v>
      </c>
      <c r="AA6" s="31" t="s">
        <v>115</v>
      </c>
      <c r="AB6" s="31" t="s">
        <v>112</v>
      </c>
      <c r="AC6" s="31" t="s">
        <v>332</v>
      </c>
      <c r="AD6" s="31" t="s">
        <v>333</v>
      </c>
      <c r="AE6" s="31" t="s">
        <v>334</v>
      </c>
      <c r="AF6" s="31" t="s">
        <v>334</v>
      </c>
      <c r="AG6" s="31" t="s">
        <v>115</v>
      </c>
      <c r="AH6" s="31" t="s">
        <v>335</v>
      </c>
      <c r="AI6" s="31" t="s">
        <v>336</v>
      </c>
      <c r="AJ6" s="31" t="s">
        <v>336</v>
      </c>
      <c r="AK6" s="31" t="s">
        <v>337</v>
      </c>
      <c r="AL6" s="31" t="s">
        <v>334</v>
      </c>
      <c r="AM6" s="31"/>
      <c r="AN6" s="31" t="s">
        <v>338</v>
      </c>
      <c r="AO6" s="31"/>
      <c r="AP6" s="31" t="s">
        <v>338</v>
      </c>
      <c r="AQ6" s="31" t="s">
        <v>339</v>
      </c>
      <c r="AR6" s="31" t="s">
        <v>339</v>
      </c>
      <c r="AS6" s="31" t="s">
        <v>334</v>
      </c>
      <c r="AT6" s="31" t="s">
        <v>340</v>
      </c>
      <c r="AU6" s="31" t="s">
        <v>104</v>
      </c>
      <c r="AV6" s="31" t="s">
        <v>104</v>
      </c>
      <c r="AW6" s="31">
        <v>30.0</v>
      </c>
      <c r="AX6" s="31" t="s">
        <v>341</v>
      </c>
      <c r="AY6" s="31" t="s">
        <v>342</v>
      </c>
      <c r="AZ6" s="31" t="s">
        <v>343</v>
      </c>
      <c r="BA6" s="31" t="s">
        <v>343</v>
      </c>
      <c r="BB6" s="31" t="s">
        <v>336</v>
      </c>
      <c r="BC6" s="31" t="s">
        <v>336</v>
      </c>
      <c r="BD6" s="31" t="s">
        <v>337</v>
      </c>
      <c r="BE6" s="46" t="s">
        <v>337</v>
      </c>
      <c r="BF6" s="46" t="s">
        <v>337</v>
      </c>
      <c r="BG6" s="31" t="s">
        <v>334</v>
      </c>
      <c r="BH6" s="31" t="s">
        <v>338</v>
      </c>
      <c r="BI6" s="31" t="s">
        <v>337</v>
      </c>
      <c r="BJ6" s="31">
        <v>40.0</v>
      </c>
      <c r="BK6" s="31" t="s">
        <v>334</v>
      </c>
      <c r="BL6" s="31" t="s">
        <v>334</v>
      </c>
      <c r="BM6" s="31" t="s">
        <v>115</v>
      </c>
      <c r="BN6" s="31" t="s">
        <v>115</v>
      </c>
      <c r="BO6" s="31" t="s">
        <v>339</v>
      </c>
      <c r="BP6" s="31" t="s">
        <v>339</v>
      </c>
      <c r="BQ6" s="31" t="s">
        <v>337</v>
      </c>
      <c r="BR6" s="31" t="s">
        <v>334</v>
      </c>
      <c r="BS6" s="31"/>
      <c r="BT6" s="31"/>
      <c r="BU6" s="31"/>
    </row>
    <row r="7">
      <c r="A7" s="19" t="s">
        <v>274</v>
      </c>
      <c r="B7" s="19" t="s">
        <v>7</v>
      </c>
      <c r="C7" s="19" t="s">
        <v>10</v>
      </c>
      <c r="D7" s="19" t="s">
        <v>344</v>
      </c>
      <c r="E7" s="28" t="s">
        <v>344</v>
      </c>
      <c r="F7" s="19" t="s">
        <v>344</v>
      </c>
      <c r="G7" s="19" t="s">
        <v>344</v>
      </c>
      <c r="H7" s="29" t="s">
        <v>344</v>
      </c>
      <c r="I7" s="22" t="s">
        <v>344</v>
      </c>
      <c r="J7" s="22" t="s">
        <v>344</v>
      </c>
      <c r="K7" s="32" t="s">
        <v>344</v>
      </c>
      <c r="M7" s="31" t="s">
        <v>82</v>
      </c>
      <c r="N7" s="31" t="s">
        <v>345</v>
      </c>
      <c r="O7" s="31" t="s">
        <v>108</v>
      </c>
      <c r="P7" s="31" t="s">
        <v>346</v>
      </c>
      <c r="Q7" s="31" t="s">
        <v>86</v>
      </c>
      <c r="R7" s="31" t="s">
        <v>347</v>
      </c>
      <c r="S7" s="31" t="s">
        <v>348</v>
      </c>
      <c r="T7" s="31" t="s">
        <v>85</v>
      </c>
      <c r="U7" s="31" t="s">
        <v>348</v>
      </c>
      <c r="V7" s="31" t="s">
        <v>322</v>
      </c>
      <c r="W7" s="31" t="s">
        <v>349</v>
      </c>
      <c r="X7" s="31" t="s">
        <v>84</v>
      </c>
      <c r="Y7" s="31" t="s">
        <v>324</v>
      </c>
      <c r="Z7" s="31" t="s">
        <v>324</v>
      </c>
      <c r="AA7" s="31" t="s">
        <v>95</v>
      </c>
      <c r="AB7" s="31" t="s">
        <v>95</v>
      </c>
      <c r="AC7" s="31" t="s">
        <v>85</v>
      </c>
      <c r="AD7" s="31" t="s">
        <v>85</v>
      </c>
      <c r="AE7" s="31" t="s">
        <v>85</v>
      </c>
      <c r="AF7" s="31" t="s">
        <v>87</v>
      </c>
      <c r="AG7" s="31" t="s">
        <v>87</v>
      </c>
      <c r="AH7" s="31" t="s">
        <v>87</v>
      </c>
      <c r="AI7" s="31" t="s">
        <v>85</v>
      </c>
      <c r="AJ7" s="31" t="s">
        <v>87</v>
      </c>
      <c r="AK7" s="31" t="s">
        <v>86</v>
      </c>
      <c r="AL7" s="31" t="s">
        <v>86</v>
      </c>
      <c r="AM7" s="31"/>
      <c r="AN7" s="31" t="s">
        <v>86</v>
      </c>
      <c r="AO7" s="31"/>
      <c r="AP7" s="31">
        <v>3.0</v>
      </c>
      <c r="AQ7" s="31" t="s">
        <v>346</v>
      </c>
      <c r="AR7" s="31" t="s">
        <v>82</v>
      </c>
      <c r="AS7" s="31" t="s">
        <v>82</v>
      </c>
      <c r="AT7" s="31" t="s">
        <v>350</v>
      </c>
      <c r="AU7" s="31" t="s">
        <v>108</v>
      </c>
      <c r="AV7" s="31" t="s">
        <v>108</v>
      </c>
      <c r="AW7" s="31" t="s">
        <v>108</v>
      </c>
      <c r="AX7" s="31" t="s">
        <v>108</v>
      </c>
      <c r="AY7" s="31" t="s">
        <v>283</v>
      </c>
      <c r="AZ7" s="31" t="s">
        <v>108</v>
      </c>
      <c r="BA7" s="31" t="s">
        <v>108</v>
      </c>
      <c r="BB7" s="31" t="s">
        <v>108</v>
      </c>
      <c r="BC7" s="31" t="s">
        <v>108</v>
      </c>
      <c r="BD7" s="31" t="s">
        <v>108</v>
      </c>
      <c r="BE7" s="46" t="s">
        <v>283</v>
      </c>
      <c r="BF7" s="46" t="s">
        <v>283</v>
      </c>
      <c r="BG7" s="31" t="s">
        <v>283</v>
      </c>
      <c r="BH7" s="31" t="s">
        <v>283</v>
      </c>
      <c r="BI7" s="31" t="s">
        <v>283</v>
      </c>
      <c r="BJ7" s="31" t="s">
        <v>82</v>
      </c>
      <c r="BK7" s="31" t="s">
        <v>82</v>
      </c>
      <c r="BL7" s="31" t="s">
        <v>108</v>
      </c>
      <c r="BM7" s="31" t="s">
        <v>108</v>
      </c>
      <c r="BN7" s="31" t="s">
        <v>108</v>
      </c>
      <c r="BO7" s="31" t="s">
        <v>324</v>
      </c>
      <c r="BP7" s="31" t="s">
        <v>324</v>
      </c>
      <c r="BQ7" s="31">
        <v>7.0</v>
      </c>
      <c r="BR7" s="31" t="s">
        <v>95</v>
      </c>
      <c r="BS7" s="31"/>
      <c r="BT7" s="31"/>
      <c r="BU7" s="31"/>
    </row>
    <row r="8">
      <c r="A8" s="19" t="s">
        <v>274</v>
      </c>
      <c r="B8" s="19" t="s">
        <v>7</v>
      </c>
      <c r="C8" s="19" t="s">
        <v>15</v>
      </c>
      <c r="E8" s="38"/>
      <c r="Q8" s="32" t="s">
        <v>21</v>
      </c>
      <c r="R8" s="32" t="s">
        <v>21</v>
      </c>
      <c r="S8" s="32" t="s">
        <v>21</v>
      </c>
      <c r="T8" s="32" t="s">
        <v>21</v>
      </c>
      <c r="U8" s="32" t="s">
        <v>21</v>
      </c>
      <c r="V8" s="32" t="s">
        <v>21</v>
      </c>
      <c r="W8" s="32" t="s">
        <v>21</v>
      </c>
      <c r="X8" s="32" t="s">
        <v>21</v>
      </c>
      <c r="Y8" s="32" t="s">
        <v>21</v>
      </c>
      <c r="Z8" s="36" t="s">
        <v>351</v>
      </c>
      <c r="AA8" s="31" t="s">
        <v>352</v>
      </c>
      <c r="AB8" s="45" t="s">
        <v>353</v>
      </c>
      <c r="AC8" s="45" t="s">
        <v>354</v>
      </c>
      <c r="AD8" s="31" t="s">
        <v>355</v>
      </c>
      <c r="AE8" s="31" t="s">
        <v>356</v>
      </c>
      <c r="AF8" s="45" t="s">
        <v>354</v>
      </c>
      <c r="AG8" s="45" t="s">
        <v>354</v>
      </c>
      <c r="AH8" s="31" t="s">
        <v>357</v>
      </c>
      <c r="AI8" s="31" t="s">
        <v>358</v>
      </c>
      <c r="AJ8" s="31" t="s">
        <v>359</v>
      </c>
      <c r="AK8" s="45" t="s">
        <v>354</v>
      </c>
      <c r="AL8" s="45" t="s">
        <v>354</v>
      </c>
      <c r="AM8" s="31"/>
      <c r="AN8" s="45" t="s">
        <v>354</v>
      </c>
      <c r="AO8" s="31"/>
      <c r="AP8" s="45" t="s">
        <v>354</v>
      </c>
      <c r="AQ8" s="31" t="s">
        <v>360</v>
      </c>
      <c r="AR8" s="31" t="s">
        <v>361</v>
      </c>
      <c r="AS8" s="31" t="s">
        <v>362</v>
      </c>
      <c r="AT8" s="45" t="s">
        <v>353</v>
      </c>
      <c r="AU8" s="45" t="s">
        <v>354</v>
      </c>
      <c r="AV8" s="31" t="s">
        <v>360</v>
      </c>
      <c r="AW8" s="31" t="s">
        <v>363</v>
      </c>
      <c r="AX8" s="31" t="s">
        <v>364</v>
      </c>
      <c r="AY8" s="31" t="s">
        <v>125</v>
      </c>
      <c r="AZ8" s="31" t="s">
        <v>355</v>
      </c>
      <c r="BA8" s="31" t="s">
        <v>365</v>
      </c>
      <c r="BB8" s="31" t="s">
        <v>366</v>
      </c>
      <c r="BC8" s="31" t="s">
        <v>367</v>
      </c>
      <c r="BD8" s="31" t="s">
        <v>368</v>
      </c>
      <c r="BE8" s="46" t="s">
        <v>356</v>
      </c>
      <c r="BF8" s="46" t="s">
        <v>369</v>
      </c>
      <c r="BG8" s="31" t="s">
        <v>370</v>
      </c>
      <c r="BH8" s="36" t="s">
        <v>371</v>
      </c>
      <c r="BI8" s="31" t="s">
        <v>372</v>
      </c>
      <c r="BJ8" s="31" t="s">
        <v>373</v>
      </c>
      <c r="BK8" s="31" t="s">
        <v>359</v>
      </c>
      <c r="BL8" s="31" t="s">
        <v>374</v>
      </c>
      <c r="BM8" s="45" t="s">
        <v>354</v>
      </c>
      <c r="BN8" s="45" t="s">
        <v>375</v>
      </c>
      <c r="BO8" s="31" t="s">
        <v>376</v>
      </c>
      <c r="BP8" s="31" t="s">
        <v>357</v>
      </c>
      <c r="BQ8" s="31" t="s">
        <v>377</v>
      </c>
      <c r="BR8" s="31" t="s">
        <v>378</v>
      </c>
      <c r="BS8" s="31"/>
      <c r="BT8" s="31"/>
      <c r="BU8" s="31"/>
    </row>
    <row r="9">
      <c r="A9" s="19" t="s">
        <v>274</v>
      </c>
      <c r="B9" s="19" t="s">
        <v>7</v>
      </c>
      <c r="C9" s="19" t="s">
        <v>12</v>
      </c>
      <c r="E9" s="38"/>
      <c r="G9" s="38"/>
      <c r="Q9" s="32"/>
      <c r="R9" s="32"/>
      <c r="S9" s="32"/>
      <c r="T9" s="32"/>
      <c r="U9" s="32"/>
      <c r="V9" s="32"/>
      <c r="W9" s="32"/>
      <c r="X9" s="32"/>
      <c r="Y9" s="32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46"/>
      <c r="BF9" s="46"/>
      <c r="BG9" s="31"/>
      <c r="BH9" s="31"/>
      <c r="BI9" s="31"/>
      <c r="BJ9" s="31"/>
      <c r="BK9" s="31"/>
      <c r="BL9" s="31"/>
      <c r="BM9" s="31"/>
      <c r="BN9" s="31"/>
      <c r="BO9" s="31"/>
      <c r="BP9" s="31" t="s">
        <v>86</v>
      </c>
      <c r="BQ9" s="31" t="s">
        <v>86</v>
      </c>
      <c r="BR9" s="31" t="s">
        <v>86</v>
      </c>
      <c r="BS9" s="31"/>
      <c r="BT9" s="31"/>
      <c r="BU9" s="31"/>
    </row>
    <row r="10">
      <c r="A10" s="19" t="s">
        <v>274</v>
      </c>
      <c r="B10" s="19" t="s">
        <v>7</v>
      </c>
      <c r="C10" s="19" t="s">
        <v>379</v>
      </c>
      <c r="E10" s="38"/>
      <c r="G10" s="38"/>
      <c r="Q10" s="32"/>
      <c r="R10" s="32"/>
      <c r="S10" s="32"/>
      <c r="T10" s="32"/>
      <c r="U10" s="32"/>
      <c r="V10" s="32"/>
      <c r="W10" s="32"/>
      <c r="X10" s="32"/>
      <c r="Y10" s="32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46"/>
      <c r="BF10" s="46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 t="s">
        <v>380</v>
      </c>
      <c r="BR10" s="31" t="s">
        <v>380</v>
      </c>
      <c r="BS10" s="31"/>
      <c r="BT10" s="31"/>
      <c r="BU10" s="31"/>
    </row>
    <row r="11">
      <c r="A11" s="19" t="s">
        <v>274</v>
      </c>
      <c r="B11" s="19" t="s">
        <v>7</v>
      </c>
      <c r="C11" s="19" t="s">
        <v>381</v>
      </c>
      <c r="E11" s="38"/>
      <c r="G11" s="38"/>
      <c r="Q11" s="32"/>
      <c r="R11" s="32"/>
      <c r="S11" s="32"/>
      <c r="T11" s="32"/>
      <c r="U11" s="32"/>
      <c r="V11" s="32"/>
      <c r="W11" s="32"/>
      <c r="X11" s="32"/>
      <c r="Y11" s="32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46"/>
      <c r="BF11" s="46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 t="s">
        <v>382</v>
      </c>
      <c r="BR11" s="31" t="s">
        <v>382</v>
      </c>
      <c r="BS11" s="31"/>
      <c r="BT11" s="31"/>
      <c r="BU11" s="31"/>
    </row>
    <row r="12">
      <c r="A12" s="19" t="s">
        <v>274</v>
      </c>
      <c r="B12" s="19" t="s">
        <v>7</v>
      </c>
      <c r="C12" s="19" t="s">
        <v>383</v>
      </c>
      <c r="E12" s="38"/>
      <c r="G12" s="38"/>
      <c r="Q12" s="32"/>
      <c r="R12" s="32"/>
      <c r="S12" s="32"/>
      <c r="T12" s="32"/>
      <c r="U12" s="32"/>
      <c r="V12" s="32"/>
      <c r="W12" s="32"/>
      <c r="X12" s="32"/>
      <c r="Y12" s="32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46"/>
      <c r="BF12" s="46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 t="s">
        <v>384</v>
      </c>
      <c r="BR12" s="31" t="s">
        <v>384</v>
      </c>
      <c r="BS12" s="31"/>
      <c r="BT12" s="31"/>
      <c r="BU12" s="31"/>
    </row>
    <row r="13">
      <c r="A13" s="19" t="s">
        <v>274</v>
      </c>
      <c r="B13" s="19" t="s">
        <v>7</v>
      </c>
      <c r="C13" s="19" t="s">
        <v>385</v>
      </c>
      <c r="E13" s="38"/>
      <c r="G13" s="38"/>
      <c r="Q13" s="32"/>
      <c r="R13" s="32"/>
      <c r="S13" s="32"/>
      <c r="T13" s="32"/>
      <c r="U13" s="32"/>
      <c r="V13" s="32"/>
      <c r="W13" s="32"/>
      <c r="X13" s="32"/>
      <c r="Y13" s="32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46"/>
      <c r="BF13" s="46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 t="s">
        <v>386</v>
      </c>
      <c r="BR13" s="31" t="s">
        <v>386</v>
      </c>
      <c r="BS13" s="31"/>
      <c r="BT13" s="31"/>
      <c r="BU13" s="31"/>
    </row>
    <row r="14">
      <c r="A14" s="19" t="s">
        <v>274</v>
      </c>
      <c r="B14" s="19" t="s">
        <v>7</v>
      </c>
      <c r="C14" s="19" t="s">
        <v>387</v>
      </c>
      <c r="E14" s="38"/>
      <c r="G14" s="38"/>
      <c r="Q14" s="32"/>
      <c r="R14" s="32"/>
      <c r="S14" s="32"/>
      <c r="T14" s="32"/>
      <c r="U14" s="32"/>
      <c r="V14" s="32"/>
      <c r="W14" s="32"/>
      <c r="X14" s="32"/>
      <c r="Y14" s="32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46"/>
      <c r="BF14" s="46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 t="s">
        <v>388</v>
      </c>
      <c r="BR14" s="31" t="s">
        <v>388</v>
      </c>
      <c r="BS14" s="31"/>
      <c r="BT14" s="31"/>
      <c r="BU14" s="31"/>
    </row>
    <row r="15">
      <c r="A15" s="19" t="s">
        <v>274</v>
      </c>
      <c r="B15" s="19" t="s">
        <v>7</v>
      </c>
      <c r="C15" s="19" t="s">
        <v>389</v>
      </c>
      <c r="E15" s="38"/>
      <c r="G15" s="38"/>
      <c r="Q15" s="32"/>
      <c r="R15" s="32"/>
      <c r="S15" s="32"/>
      <c r="T15" s="32"/>
      <c r="U15" s="32"/>
      <c r="V15" s="32"/>
      <c r="W15" s="32"/>
      <c r="X15" s="32"/>
      <c r="Y15" s="32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46"/>
      <c r="BF15" s="46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 t="s">
        <v>351</v>
      </c>
      <c r="BR15" s="31" t="s">
        <v>351</v>
      </c>
      <c r="BS15" s="31"/>
      <c r="BT15" s="31"/>
      <c r="BU15" s="31"/>
    </row>
    <row r="16">
      <c r="A16" s="19" t="s">
        <v>274</v>
      </c>
      <c r="B16" s="19" t="s">
        <v>7</v>
      </c>
      <c r="C16" s="19" t="s">
        <v>390</v>
      </c>
      <c r="E16" s="38"/>
      <c r="G16" s="38"/>
      <c r="Q16" s="32"/>
      <c r="R16" s="32"/>
      <c r="S16" s="32"/>
      <c r="T16" s="32"/>
      <c r="U16" s="32"/>
      <c r="V16" s="32"/>
      <c r="W16" s="32"/>
      <c r="X16" s="32"/>
      <c r="Y16" s="32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46"/>
      <c r="BF16" s="46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 t="s">
        <v>351</v>
      </c>
      <c r="BR16" s="31" t="s">
        <v>391</v>
      </c>
      <c r="BS16" s="31"/>
      <c r="BT16" s="31"/>
      <c r="BU16" s="31"/>
    </row>
    <row r="17">
      <c r="A17" s="19" t="s">
        <v>274</v>
      </c>
      <c r="B17" s="19" t="s">
        <v>7</v>
      </c>
      <c r="C17" s="26" t="s">
        <v>392</v>
      </c>
      <c r="E17" s="38"/>
      <c r="G17" s="38"/>
      <c r="Q17" s="32"/>
      <c r="R17" s="32"/>
      <c r="S17" s="32"/>
      <c r="T17" s="32"/>
      <c r="U17" s="32"/>
      <c r="V17" s="32"/>
      <c r="W17" s="32"/>
      <c r="X17" s="32"/>
      <c r="Y17" s="32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46"/>
      <c r="BF17" s="46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 t="s">
        <v>178</v>
      </c>
      <c r="BR17" s="31" t="s">
        <v>178</v>
      </c>
      <c r="BS17" s="31"/>
      <c r="BT17" s="31"/>
      <c r="BU17" s="31"/>
    </row>
    <row r="18">
      <c r="A18" s="19" t="s">
        <v>274</v>
      </c>
      <c r="B18" s="19" t="s">
        <v>7</v>
      </c>
      <c r="C18" s="19" t="s">
        <v>18</v>
      </c>
      <c r="E18" s="38"/>
      <c r="G18" s="38"/>
      <c r="Q18" s="32" t="s">
        <v>21</v>
      </c>
      <c r="R18" s="32" t="s">
        <v>21</v>
      </c>
      <c r="S18" s="32" t="s">
        <v>21</v>
      </c>
      <c r="T18" s="32" t="s">
        <v>21</v>
      </c>
      <c r="U18" s="32" t="s">
        <v>21</v>
      </c>
      <c r="V18" s="32" t="s">
        <v>21</v>
      </c>
      <c r="W18" s="32" t="s">
        <v>21</v>
      </c>
      <c r="X18" s="32" t="s">
        <v>21</v>
      </c>
      <c r="Y18" s="32" t="s">
        <v>21</v>
      </c>
      <c r="Z18" s="31" t="s">
        <v>322</v>
      </c>
      <c r="AA18" s="31" t="s">
        <v>346</v>
      </c>
      <c r="AB18" s="31" t="s">
        <v>86</v>
      </c>
      <c r="AC18" s="31" t="s">
        <v>82</v>
      </c>
      <c r="AD18" s="31" t="s">
        <v>345</v>
      </c>
      <c r="AE18" s="31" t="s">
        <v>82</v>
      </c>
      <c r="AF18" s="31" t="s">
        <v>82</v>
      </c>
      <c r="AG18" s="31" t="s">
        <v>82</v>
      </c>
      <c r="AH18" s="31" t="s">
        <v>87</v>
      </c>
      <c r="AI18" s="31" t="s">
        <v>86</v>
      </c>
      <c r="AJ18" s="31" t="s">
        <v>86</v>
      </c>
      <c r="AK18" s="31" t="s">
        <v>86</v>
      </c>
      <c r="AL18" s="31" t="s">
        <v>82</v>
      </c>
      <c r="AM18" s="31"/>
      <c r="AN18" s="31" t="s">
        <v>82</v>
      </c>
      <c r="AO18" s="31"/>
      <c r="AP18" s="31" t="s">
        <v>82</v>
      </c>
      <c r="AQ18" s="31" t="s">
        <v>82</v>
      </c>
      <c r="AR18" s="31" t="s">
        <v>345</v>
      </c>
      <c r="AS18" s="31" t="s">
        <v>345</v>
      </c>
      <c r="AT18" s="31" t="s">
        <v>82</v>
      </c>
      <c r="AU18" s="31" t="s">
        <v>82</v>
      </c>
      <c r="AV18" s="31" t="s">
        <v>87</v>
      </c>
      <c r="AW18" s="31" t="s">
        <v>87</v>
      </c>
      <c r="AX18" s="31" t="s">
        <v>87</v>
      </c>
      <c r="AY18" s="31" t="s">
        <v>87</v>
      </c>
      <c r="AZ18" s="31" t="s">
        <v>87</v>
      </c>
      <c r="BA18" s="31" t="s">
        <v>86</v>
      </c>
      <c r="BB18" s="31" t="s">
        <v>86</v>
      </c>
      <c r="BC18" s="31" t="s">
        <v>86</v>
      </c>
      <c r="BD18" s="31" t="s">
        <v>86</v>
      </c>
      <c r="BE18" s="46" t="s">
        <v>86</v>
      </c>
      <c r="BF18" s="46" t="s">
        <v>86</v>
      </c>
      <c r="BG18" s="31" t="s">
        <v>86</v>
      </c>
      <c r="BH18" s="31" t="s">
        <v>82</v>
      </c>
      <c r="BI18" s="31" t="s">
        <v>86</v>
      </c>
      <c r="BJ18" s="31" t="s">
        <v>86</v>
      </c>
      <c r="BK18" s="31" t="s">
        <v>82</v>
      </c>
      <c r="BL18" s="31" t="s">
        <v>86</v>
      </c>
      <c r="BM18" s="31" t="s">
        <v>86</v>
      </c>
      <c r="BN18" s="31" t="s">
        <v>82</v>
      </c>
      <c r="BO18" s="31" t="s">
        <v>87</v>
      </c>
      <c r="BP18" s="31" t="s">
        <v>86</v>
      </c>
      <c r="BQ18" s="31" t="s">
        <v>86</v>
      </c>
      <c r="BR18" s="31" t="s">
        <v>86</v>
      </c>
      <c r="BS18" s="31"/>
      <c r="BT18" s="31"/>
      <c r="BU18" s="31"/>
    </row>
    <row r="19">
      <c r="A19" s="19" t="s">
        <v>274</v>
      </c>
      <c r="B19" s="19" t="s">
        <v>7</v>
      </c>
      <c r="C19" s="19" t="s">
        <v>19</v>
      </c>
      <c r="E19" s="38"/>
      <c r="G19" s="38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45"/>
      <c r="AO19" s="31"/>
      <c r="AP19" s="45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>
        <v>0.0</v>
      </c>
      <c r="BE19" s="31">
        <v>0.0</v>
      </c>
      <c r="BF19" s="31">
        <v>0.0</v>
      </c>
      <c r="BG19" s="31">
        <v>0.0</v>
      </c>
      <c r="BH19" s="31">
        <v>0.0</v>
      </c>
      <c r="BI19" s="31">
        <v>10.0</v>
      </c>
      <c r="BJ19" s="31" t="s">
        <v>393</v>
      </c>
      <c r="BK19" s="31" t="s">
        <v>135</v>
      </c>
      <c r="BL19" s="31" t="s">
        <v>394</v>
      </c>
      <c r="BM19" s="31" t="s">
        <v>395</v>
      </c>
      <c r="BN19" s="31" t="s">
        <v>396</v>
      </c>
      <c r="BO19" s="31" t="s">
        <v>141</v>
      </c>
      <c r="BP19" s="31" t="s">
        <v>135</v>
      </c>
      <c r="BQ19" s="31" t="s">
        <v>135</v>
      </c>
      <c r="BR19" s="31" t="s">
        <v>394</v>
      </c>
      <c r="BS19" s="31"/>
      <c r="BT19" s="31"/>
      <c r="BU19" s="31"/>
    </row>
    <row r="20">
      <c r="A20" s="19" t="s">
        <v>274</v>
      </c>
      <c r="B20" s="26" t="s">
        <v>13</v>
      </c>
      <c r="C20" s="19" t="s">
        <v>20</v>
      </c>
      <c r="E20" s="38"/>
      <c r="G20" s="38"/>
      <c r="Q20" s="22" t="s">
        <v>21</v>
      </c>
      <c r="R20" s="22" t="s">
        <v>21</v>
      </c>
      <c r="S20" s="22" t="s">
        <v>21</v>
      </c>
      <c r="T20" s="22" t="s">
        <v>21</v>
      </c>
      <c r="U20" s="22" t="s">
        <v>21</v>
      </c>
      <c r="V20" s="22" t="s">
        <v>21</v>
      </c>
      <c r="W20" s="22" t="s">
        <v>21</v>
      </c>
      <c r="X20" s="22" t="s">
        <v>21</v>
      </c>
      <c r="Y20" s="22" t="s">
        <v>21</v>
      </c>
      <c r="Z20" s="22" t="s">
        <v>21</v>
      </c>
      <c r="AA20" s="22" t="s">
        <v>21</v>
      </c>
      <c r="AB20" s="31" t="s">
        <v>371</v>
      </c>
      <c r="AC20" s="31" t="s">
        <v>371</v>
      </c>
      <c r="AD20" s="31" t="s">
        <v>126</v>
      </c>
      <c r="AE20" s="31" t="s">
        <v>126</v>
      </c>
      <c r="AF20" s="31" t="s">
        <v>126</v>
      </c>
      <c r="AG20" s="31" t="s">
        <v>126</v>
      </c>
      <c r="AH20" s="31" t="s">
        <v>358</v>
      </c>
      <c r="AI20" s="31" t="s">
        <v>358</v>
      </c>
      <c r="AJ20" s="31" t="s">
        <v>126</v>
      </c>
      <c r="AK20" s="31" t="s">
        <v>126</v>
      </c>
      <c r="AL20" s="31" t="s">
        <v>126</v>
      </c>
      <c r="AM20" s="31"/>
      <c r="AN20" s="45" t="s">
        <v>354</v>
      </c>
      <c r="AO20" s="31"/>
      <c r="AP20" s="45" t="s">
        <v>354</v>
      </c>
      <c r="AQ20" s="31" t="s">
        <v>371</v>
      </c>
      <c r="AR20" s="31" t="s">
        <v>371</v>
      </c>
      <c r="AS20" s="31" t="s">
        <v>371</v>
      </c>
      <c r="AT20" s="31" t="s">
        <v>371</v>
      </c>
      <c r="AU20" s="31" t="s">
        <v>126</v>
      </c>
      <c r="AV20" s="31" t="s">
        <v>371</v>
      </c>
      <c r="AW20" s="31" t="s">
        <v>371</v>
      </c>
      <c r="AX20" s="31" t="s">
        <v>371</v>
      </c>
      <c r="AY20" s="31" t="s">
        <v>353</v>
      </c>
      <c r="AZ20" s="31" t="s">
        <v>371</v>
      </c>
      <c r="BA20" s="31" t="s">
        <v>371</v>
      </c>
      <c r="BB20" s="31" t="s">
        <v>371</v>
      </c>
      <c r="BC20" s="31" t="s">
        <v>371</v>
      </c>
      <c r="BD20" s="31" t="s">
        <v>353</v>
      </c>
      <c r="BE20" s="46" t="s">
        <v>358</v>
      </c>
      <c r="BF20" s="46" t="s">
        <v>358</v>
      </c>
      <c r="BG20" s="31" t="s">
        <v>397</v>
      </c>
      <c r="BH20" s="31" t="s">
        <v>371</v>
      </c>
      <c r="BI20" s="31" t="s">
        <v>126</v>
      </c>
      <c r="BJ20" s="31" t="s">
        <v>126</v>
      </c>
      <c r="BK20" s="31" t="s">
        <v>126</v>
      </c>
      <c r="BL20" s="31" t="s">
        <v>354</v>
      </c>
      <c r="BM20" s="31" t="s">
        <v>354</v>
      </c>
      <c r="BN20" s="31" t="s">
        <v>354</v>
      </c>
      <c r="BO20" s="31" t="s">
        <v>371</v>
      </c>
      <c r="BP20" s="31" t="s">
        <v>126</v>
      </c>
      <c r="BQ20" s="31" t="s">
        <v>126</v>
      </c>
      <c r="BR20" s="31" t="s">
        <v>126</v>
      </c>
      <c r="BS20" s="31"/>
      <c r="BT20" s="31"/>
      <c r="BU20" s="31"/>
    </row>
    <row r="21">
      <c r="A21" s="19" t="s">
        <v>274</v>
      </c>
      <c r="B21" s="26" t="s">
        <v>13</v>
      </c>
      <c r="C21" s="19" t="s">
        <v>22</v>
      </c>
      <c r="E21" s="38"/>
      <c r="Q21" s="22" t="s">
        <v>21</v>
      </c>
      <c r="R21" s="22" t="s">
        <v>21</v>
      </c>
      <c r="S21" s="22" t="s">
        <v>21</v>
      </c>
      <c r="T21" s="22" t="s">
        <v>21</v>
      </c>
      <c r="U21" s="22" t="s">
        <v>21</v>
      </c>
      <c r="V21" s="22" t="s">
        <v>21</v>
      </c>
      <c r="W21" s="22" t="s">
        <v>21</v>
      </c>
      <c r="X21" s="22" t="s">
        <v>21</v>
      </c>
      <c r="Y21" s="22" t="s">
        <v>21</v>
      </c>
      <c r="Z21" s="22" t="s">
        <v>21</v>
      </c>
      <c r="AA21" s="22" t="s">
        <v>21</v>
      </c>
      <c r="AB21" s="31" t="s">
        <v>397</v>
      </c>
      <c r="AC21" s="31" t="s">
        <v>353</v>
      </c>
      <c r="AD21" s="31" t="s">
        <v>353</v>
      </c>
      <c r="AE21" s="31" t="s">
        <v>354</v>
      </c>
      <c r="AF21" s="31" t="s">
        <v>354</v>
      </c>
      <c r="AG21" s="31" t="s">
        <v>354</v>
      </c>
      <c r="AH21" s="31" t="s">
        <v>354</v>
      </c>
      <c r="AI21" s="31" t="s">
        <v>354</v>
      </c>
      <c r="AJ21" s="31" t="s">
        <v>354</v>
      </c>
      <c r="AK21" s="31" t="s">
        <v>354</v>
      </c>
      <c r="AL21" s="31" t="s">
        <v>354</v>
      </c>
      <c r="AM21" s="31"/>
      <c r="AN21" s="31" t="s">
        <v>354</v>
      </c>
      <c r="AO21" s="31"/>
      <c r="AP21" s="31" t="s">
        <v>354</v>
      </c>
      <c r="AQ21" s="31" t="s">
        <v>353</v>
      </c>
      <c r="AR21" s="31" t="s">
        <v>353</v>
      </c>
      <c r="AS21" s="31" t="s">
        <v>353</v>
      </c>
      <c r="AT21" s="31" t="s">
        <v>353</v>
      </c>
      <c r="AU21" s="31" t="s">
        <v>354</v>
      </c>
      <c r="AV21" s="31" t="s">
        <v>397</v>
      </c>
      <c r="AW21" s="31" t="s">
        <v>371</v>
      </c>
      <c r="AX21" s="31" t="s">
        <v>371</v>
      </c>
      <c r="AY21" s="31" t="s">
        <v>371</v>
      </c>
      <c r="AZ21" s="31" t="s">
        <v>398</v>
      </c>
      <c r="BA21" s="31" t="s">
        <v>397</v>
      </c>
      <c r="BB21" s="31" t="s">
        <v>358</v>
      </c>
      <c r="BC21" s="31" t="s">
        <v>397</v>
      </c>
      <c r="BD21" s="31" t="s">
        <v>397</v>
      </c>
      <c r="BE21" s="46" t="s">
        <v>397</v>
      </c>
      <c r="BF21" s="46" t="s">
        <v>358</v>
      </c>
      <c r="BG21" s="31" t="s">
        <v>397</v>
      </c>
      <c r="BH21" s="31" t="s">
        <v>371</v>
      </c>
      <c r="BI21" s="31" t="s">
        <v>371</v>
      </c>
      <c r="BJ21" s="31" t="s">
        <v>126</v>
      </c>
      <c r="BK21" s="31" t="s">
        <v>126</v>
      </c>
      <c r="BL21" s="31" t="s">
        <v>126</v>
      </c>
      <c r="BM21" s="31" t="s">
        <v>126</v>
      </c>
      <c r="BN21" s="31" t="s">
        <v>126</v>
      </c>
      <c r="BO21" s="31" t="s">
        <v>398</v>
      </c>
      <c r="BP21" s="31" t="s">
        <v>358</v>
      </c>
      <c r="BQ21" s="31" t="s">
        <v>359</v>
      </c>
      <c r="BR21" s="31" t="s">
        <v>359</v>
      </c>
      <c r="BS21" s="31"/>
      <c r="BT21" s="31"/>
      <c r="BU21" s="31"/>
    </row>
    <row r="22">
      <c r="A22" s="19" t="s">
        <v>274</v>
      </c>
      <c r="B22" s="26" t="s">
        <v>13</v>
      </c>
      <c r="C22" s="19" t="s">
        <v>134</v>
      </c>
      <c r="E22" s="38"/>
      <c r="G22" s="38"/>
      <c r="Q22" s="22" t="s">
        <v>21</v>
      </c>
      <c r="R22" s="22" t="s">
        <v>21</v>
      </c>
      <c r="S22" s="22" t="s">
        <v>21</v>
      </c>
      <c r="T22" s="22" t="s">
        <v>21</v>
      </c>
      <c r="U22" s="22" t="s">
        <v>21</v>
      </c>
      <c r="V22" s="22" t="s">
        <v>21</v>
      </c>
      <c r="W22" s="22" t="s">
        <v>21</v>
      </c>
      <c r="X22" s="22" t="s">
        <v>21</v>
      </c>
      <c r="Y22" s="22" t="s">
        <v>21</v>
      </c>
      <c r="Z22" s="22" t="s">
        <v>21</v>
      </c>
      <c r="AA22" s="22" t="s">
        <v>21</v>
      </c>
      <c r="AB22" s="31" t="s">
        <v>399</v>
      </c>
      <c r="AC22" s="31" t="s">
        <v>400</v>
      </c>
      <c r="AD22" s="31" t="s">
        <v>400</v>
      </c>
      <c r="AE22" s="31" t="s">
        <v>401</v>
      </c>
      <c r="AF22" s="31" t="s">
        <v>402</v>
      </c>
      <c r="AG22" s="31" t="s">
        <v>403</v>
      </c>
      <c r="AH22" s="31" t="s">
        <v>404</v>
      </c>
      <c r="AI22" s="31" t="s">
        <v>405</v>
      </c>
      <c r="AJ22" s="31" t="s">
        <v>406</v>
      </c>
      <c r="AK22" s="31" t="s">
        <v>407</v>
      </c>
      <c r="AL22" s="31" t="s">
        <v>407</v>
      </c>
      <c r="AM22" s="31"/>
      <c r="AN22" s="45" t="s">
        <v>408</v>
      </c>
      <c r="AO22" s="31"/>
      <c r="AP22" s="45" t="s">
        <v>409</v>
      </c>
      <c r="AQ22" s="31" t="s">
        <v>410</v>
      </c>
      <c r="AR22" s="31" t="s">
        <v>411</v>
      </c>
      <c r="AS22" s="31">
        <v>19.0</v>
      </c>
      <c r="AT22" s="31">
        <v>19.0</v>
      </c>
      <c r="AU22" s="31">
        <v>15.0</v>
      </c>
      <c r="AV22" s="31">
        <v>15.0</v>
      </c>
      <c r="AW22" s="31">
        <v>15.0</v>
      </c>
      <c r="AX22" s="31">
        <v>15.0</v>
      </c>
      <c r="AY22" s="31">
        <v>12.0</v>
      </c>
      <c r="AZ22" s="31" t="s">
        <v>145</v>
      </c>
      <c r="BA22" s="31" t="s">
        <v>396</v>
      </c>
      <c r="BB22" s="31" t="s">
        <v>396</v>
      </c>
      <c r="BC22" s="31" t="s">
        <v>396</v>
      </c>
      <c r="BD22" s="31" t="s">
        <v>412</v>
      </c>
      <c r="BE22" s="31" t="s">
        <v>412</v>
      </c>
      <c r="BF22" s="46" t="s">
        <v>412</v>
      </c>
      <c r="BG22" s="31" t="s">
        <v>413</v>
      </c>
      <c r="BH22" s="31" t="s">
        <v>413</v>
      </c>
      <c r="BI22" s="31" t="s">
        <v>414</v>
      </c>
      <c r="BJ22" s="31" t="s">
        <v>145</v>
      </c>
      <c r="BK22" s="31" t="s">
        <v>145</v>
      </c>
      <c r="BL22" s="31" t="s">
        <v>145</v>
      </c>
      <c r="BM22" s="31" t="s">
        <v>415</v>
      </c>
      <c r="BN22" s="31" t="s">
        <v>415</v>
      </c>
      <c r="BO22" s="31" t="s">
        <v>416</v>
      </c>
      <c r="BP22" s="31" t="s">
        <v>394</v>
      </c>
      <c r="BQ22" s="31" t="s">
        <v>414</v>
      </c>
      <c r="BR22" s="31" t="s">
        <v>146</v>
      </c>
      <c r="BS22" s="31"/>
      <c r="BT22" s="31"/>
      <c r="BU22" s="31"/>
    </row>
    <row r="23">
      <c r="A23" s="19" t="s">
        <v>274</v>
      </c>
      <c r="B23" s="26" t="s">
        <v>13</v>
      </c>
      <c r="C23" s="19" t="s">
        <v>148</v>
      </c>
      <c r="E23" s="38"/>
      <c r="G23" s="38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45"/>
      <c r="AO23" s="31"/>
      <c r="AP23" s="45"/>
      <c r="AQ23" s="31"/>
      <c r="AR23" s="31"/>
      <c r="AS23" s="31">
        <v>8.0</v>
      </c>
      <c r="AT23" s="31">
        <v>7.0</v>
      </c>
      <c r="AU23" s="31">
        <v>1.0</v>
      </c>
      <c r="AV23" s="31">
        <v>11.0</v>
      </c>
      <c r="AW23" s="31">
        <v>11.0</v>
      </c>
      <c r="AX23" s="31">
        <v>10.0</v>
      </c>
      <c r="AY23" s="31">
        <v>7.0</v>
      </c>
      <c r="AZ23" s="31" t="s">
        <v>412</v>
      </c>
      <c r="BA23" s="31" t="s">
        <v>417</v>
      </c>
      <c r="BB23" s="31" t="s">
        <v>417</v>
      </c>
      <c r="BC23" s="31" t="s">
        <v>417</v>
      </c>
      <c r="BD23" s="31" t="s">
        <v>88</v>
      </c>
      <c r="BE23" s="31" t="s">
        <v>88</v>
      </c>
      <c r="BF23" s="46" t="s">
        <v>88</v>
      </c>
      <c r="BG23" s="31" t="s">
        <v>86</v>
      </c>
      <c r="BH23" s="31" t="s">
        <v>86</v>
      </c>
      <c r="BI23" s="31" t="s">
        <v>417</v>
      </c>
      <c r="BJ23" s="31" t="s">
        <v>417</v>
      </c>
      <c r="BK23" s="31" t="s">
        <v>88</v>
      </c>
      <c r="BL23" s="31" t="s">
        <v>88</v>
      </c>
      <c r="BM23" s="31" t="s">
        <v>418</v>
      </c>
      <c r="BN23" s="31" t="s">
        <v>418</v>
      </c>
      <c r="BO23" s="31" t="s">
        <v>146</v>
      </c>
      <c r="BP23" s="31" t="s">
        <v>417</v>
      </c>
      <c r="BQ23" s="31" t="s">
        <v>88</v>
      </c>
      <c r="BR23" s="31" t="s">
        <v>88</v>
      </c>
      <c r="BS23" s="31"/>
      <c r="BT23" s="31"/>
      <c r="BU23" s="31"/>
    </row>
    <row r="24">
      <c r="A24" s="19" t="s">
        <v>274</v>
      </c>
      <c r="B24" s="26" t="s">
        <v>13</v>
      </c>
      <c r="C24" s="19" t="s">
        <v>149</v>
      </c>
      <c r="E24" s="38"/>
      <c r="G24" s="38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45"/>
      <c r="AO24" s="31"/>
      <c r="AP24" s="45"/>
      <c r="AQ24" s="31"/>
      <c r="AR24" s="31"/>
      <c r="AS24" s="31">
        <v>41.0</v>
      </c>
      <c r="AT24" s="31">
        <v>40.0</v>
      </c>
      <c r="AU24" s="31">
        <v>40.0</v>
      </c>
      <c r="AV24" s="31">
        <v>40.0</v>
      </c>
      <c r="AW24" s="31">
        <v>40.0</v>
      </c>
      <c r="AX24" s="31">
        <v>40.0</v>
      </c>
      <c r="AY24" s="31">
        <v>40.0</v>
      </c>
      <c r="AZ24" s="31" t="s">
        <v>419</v>
      </c>
      <c r="BA24" s="31" t="s">
        <v>419</v>
      </c>
      <c r="BB24" s="31" t="s">
        <v>420</v>
      </c>
      <c r="BC24" s="31" t="s">
        <v>420</v>
      </c>
      <c r="BD24" s="31" t="s">
        <v>420</v>
      </c>
      <c r="BE24" s="31" t="s">
        <v>420</v>
      </c>
      <c r="BF24" s="46" t="s">
        <v>420</v>
      </c>
      <c r="BG24" s="31" t="s">
        <v>420</v>
      </c>
      <c r="BH24" s="31" t="s">
        <v>420</v>
      </c>
      <c r="BI24" s="31" t="s">
        <v>420</v>
      </c>
      <c r="BJ24" s="31" t="s">
        <v>420</v>
      </c>
      <c r="BK24" s="31" t="s">
        <v>420</v>
      </c>
      <c r="BL24" s="31" t="s">
        <v>421</v>
      </c>
      <c r="BM24" s="31" t="s">
        <v>421</v>
      </c>
      <c r="BN24" s="31" t="s">
        <v>422</v>
      </c>
      <c r="BO24" s="31" t="s">
        <v>423</v>
      </c>
      <c r="BP24" s="31" t="s">
        <v>423</v>
      </c>
      <c r="BQ24" s="31" t="s">
        <v>424</v>
      </c>
      <c r="BR24" s="31" t="s">
        <v>425</v>
      </c>
      <c r="BS24" s="31"/>
      <c r="BT24" s="31"/>
      <c r="BU24" s="31"/>
    </row>
    <row r="25">
      <c r="A25" s="19" t="s">
        <v>274</v>
      </c>
      <c r="B25" s="26" t="s">
        <v>13</v>
      </c>
      <c r="C25" s="19" t="s">
        <v>23</v>
      </c>
      <c r="E25" s="38"/>
      <c r="G25" s="38"/>
      <c r="Q25" s="22" t="s">
        <v>21</v>
      </c>
      <c r="R25" s="22" t="s">
        <v>21</v>
      </c>
      <c r="S25" s="22" t="s">
        <v>21</v>
      </c>
      <c r="T25" s="22" t="s">
        <v>21</v>
      </c>
      <c r="U25" s="22" t="s">
        <v>21</v>
      </c>
      <c r="V25" s="22" t="s">
        <v>21</v>
      </c>
      <c r="W25" s="22" t="s">
        <v>21</v>
      </c>
      <c r="X25" s="22" t="s">
        <v>21</v>
      </c>
      <c r="Y25" s="22" t="s">
        <v>21</v>
      </c>
      <c r="Z25" s="22" t="s">
        <v>21</v>
      </c>
      <c r="AA25" s="22" t="s">
        <v>21</v>
      </c>
      <c r="AB25" s="31" t="s">
        <v>105</v>
      </c>
      <c r="AC25" s="31" t="s">
        <v>105</v>
      </c>
      <c r="AD25" s="31" t="s">
        <v>426</v>
      </c>
      <c r="AE25" s="31" t="s">
        <v>90</v>
      </c>
      <c r="AF25" s="31" t="s">
        <v>427</v>
      </c>
      <c r="AG25" s="31" t="s">
        <v>83</v>
      </c>
      <c r="AH25" s="31" t="s">
        <v>93</v>
      </c>
      <c r="AI25" s="31" t="s">
        <v>94</v>
      </c>
      <c r="AJ25" s="31" t="s">
        <v>84</v>
      </c>
      <c r="AK25" s="31" t="s">
        <v>84</v>
      </c>
      <c r="AL25" s="31" t="s">
        <v>84</v>
      </c>
      <c r="AM25" s="31"/>
      <c r="AN25" s="45" t="s">
        <v>95</v>
      </c>
      <c r="AO25" s="31"/>
      <c r="AP25" s="45" t="s">
        <v>95</v>
      </c>
      <c r="AQ25" s="31" t="s">
        <v>428</v>
      </c>
      <c r="AR25" s="31" t="s">
        <v>428</v>
      </c>
      <c r="AS25" s="31" t="s">
        <v>105</v>
      </c>
      <c r="AT25" s="31" t="s">
        <v>325</v>
      </c>
      <c r="AU25" s="31" t="s">
        <v>83</v>
      </c>
      <c r="AV25" s="31" t="s">
        <v>83</v>
      </c>
      <c r="AW25" s="31" t="s">
        <v>83</v>
      </c>
      <c r="AX25" s="31" t="s">
        <v>323</v>
      </c>
      <c r="AY25" s="31" t="s">
        <v>84</v>
      </c>
      <c r="AZ25" s="31" t="s">
        <v>105</v>
      </c>
      <c r="BA25" s="31" t="s">
        <v>83</v>
      </c>
      <c r="BB25" s="31" t="s">
        <v>83</v>
      </c>
      <c r="BC25" s="31" t="s">
        <v>83</v>
      </c>
      <c r="BD25" s="31" t="s">
        <v>84</v>
      </c>
      <c r="BE25" s="31" t="s">
        <v>84</v>
      </c>
      <c r="BF25" s="46" t="s">
        <v>84</v>
      </c>
      <c r="BG25" s="31" t="s">
        <v>84</v>
      </c>
      <c r="BH25" s="31" t="s">
        <v>87</v>
      </c>
      <c r="BI25" s="31" t="s">
        <v>87</v>
      </c>
      <c r="BJ25" s="31" t="s">
        <v>87</v>
      </c>
      <c r="BK25" s="31" t="s">
        <v>87</v>
      </c>
      <c r="BL25" s="31" t="s">
        <v>87</v>
      </c>
      <c r="BM25" s="31" t="s">
        <v>283</v>
      </c>
      <c r="BN25" s="31" t="s">
        <v>283</v>
      </c>
      <c r="BO25" s="31" t="s">
        <v>84</v>
      </c>
      <c r="BP25" s="31" t="s">
        <v>84</v>
      </c>
      <c r="BQ25" s="31" t="s">
        <v>84</v>
      </c>
      <c r="BR25" s="31" t="s">
        <v>84</v>
      </c>
      <c r="BS25" s="31"/>
      <c r="BT25" s="31"/>
      <c r="BU25" s="31"/>
    </row>
    <row r="26">
      <c r="A26" s="19" t="s">
        <v>274</v>
      </c>
      <c r="B26" s="26" t="s">
        <v>13</v>
      </c>
      <c r="C26" s="19" t="s">
        <v>24</v>
      </c>
      <c r="E26" s="38"/>
      <c r="Q26" s="22" t="s">
        <v>21</v>
      </c>
      <c r="R26" s="22" t="s">
        <v>21</v>
      </c>
      <c r="S26" s="22" t="s">
        <v>21</v>
      </c>
      <c r="T26" s="22" t="s">
        <v>21</v>
      </c>
      <c r="U26" s="22" t="s">
        <v>21</v>
      </c>
      <c r="V26" s="22" t="s">
        <v>21</v>
      </c>
      <c r="W26" s="22" t="s">
        <v>21</v>
      </c>
      <c r="X26" s="22" t="s">
        <v>21</v>
      </c>
      <c r="Y26" s="22" t="s">
        <v>21</v>
      </c>
      <c r="Z26" s="22" t="s">
        <v>21</v>
      </c>
      <c r="AA26" s="22" t="s">
        <v>21</v>
      </c>
      <c r="AB26" s="31" t="s">
        <v>82</v>
      </c>
      <c r="AC26" s="31" t="s">
        <v>82</v>
      </c>
      <c r="AD26" s="31" t="s">
        <v>82</v>
      </c>
      <c r="AE26" s="31" t="s">
        <v>82</v>
      </c>
      <c r="AF26" s="31" t="s">
        <v>82</v>
      </c>
      <c r="AG26" s="31" t="s">
        <v>82</v>
      </c>
      <c r="AH26" s="31" t="s">
        <v>87</v>
      </c>
      <c r="AI26" s="31" t="s">
        <v>87</v>
      </c>
      <c r="AJ26" s="31" t="s">
        <v>86</v>
      </c>
      <c r="AK26" s="31" t="s">
        <v>86</v>
      </c>
      <c r="AL26" s="31" t="s">
        <v>82</v>
      </c>
      <c r="AM26" s="31"/>
      <c r="AN26" s="31" t="s">
        <v>108</v>
      </c>
      <c r="AO26" s="31"/>
      <c r="AP26" s="31" t="s">
        <v>350</v>
      </c>
      <c r="AQ26" s="31" t="s">
        <v>322</v>
      </c>
      <c r="AR26" s="31" t="s">
        <v>87</v>
      </c>
      <c r="AS26" s="31" t="s">
        <v>87</v>
      </c>
      <c r="AT26" s="31" t="s">
        <v>87</v>
      </c>
      <c r="AU26" s="31" t="s">
        <v>82</v>
      </c>
      <c r="AV26" s="31" t="s">
        <v>82</v>
      </c>
      <c r="AW26" s="31" t="s">
        <v>82</v>
      </c>
      <c r="AX26" s="31" t="s">
        <v>345</v>
      </c>
      <c r="AY26" s="31" t="s">
        <v>82</v>
      </c>
      <c r="AZ26" s="31" t="s">
        <v>85</v>
      </c>
      <c r="BA26" s="31" t="s">
        <v>87</v>
      </c>
      <c r="BB26" s="31" t="s">
        <v>87</v>
      </c>
      <c r="BC26" s="31" t="s">
        <v>87</v>
      </c>
      <c r="BD26" s="31" t="s">
        <v>86</v>
      </c>
      <c r="BE26" s="31" t="s">
        <v>86</v>
      </c>
      <c r="BF26" s="46" t="s">
        <v>82</v>
      </c>
      <c r="BG26" s="31" t="s">
        <v>82</v>
      </c>
      <c r="BH26" s="31" t="s">
        <v>82</v>
      </c>
      <c r="BI26" s="31" t="s">
        <v>82</v>
      </c>
      <c r="BJ26" s="31" t="s">
        <v>82</v>
      </c>
      <c r="BK26" s="31" t="s">
        <v>108</v>
      </c>
      <c r="BL26" s="31" t="s">
        <v>108</v>
      </c>
      <c r="BM26" s="31" t="s">
        <v>108</v>
      </c>
      <c r="BN26" s="31" t="s">
        <v>108</v>
      </c>
      <c r="BO26" s="31" t="s">
        <v>85</v>
      </c>
      <c r="BP26" s="31" t="s">
        <v>87</v>
      </c>
      <c r="BQ26" s="31" t="s">
        <v>87</v>
      </c>
      <c r="BR26" s="31" t="s">
        <v>87</v>
      </c>
      <c r="BS26" s="31"/>
      <c r="BT26" s="31"/>
      <c r="BU26" s="31"/>
    </row>
    <row r="27">
      <c r="A27" s="19" t="s">
        <v>274</v>
      </c>
      <c r="B27" s="26" t="s">
        <v>13</v>
      </c>
      <c r="C27" s="19" t="s">
        <v>31</v>
      </c>
      <c r="E27" s="38"/>
      <c r="AD27" s="38"/>
      <c r="AE27" s="38"/>
      <c r="BQ27" s="31" t="s">
        <v>108</v>
      </c>
      <c r="BR27" s="31" t="s">
        <v>283</v>
      </c>
      <c r="BS27" s="38"/>
    </row>
    <row r="28">
      <c r="A28" s="22" t="s">
        <v>274</v>
      </c>
      <c r="B28" s="26" t="s">
        <v>13</v>
      </c>
      <c r="C28" s="22" t="s">
        <v>429</v>
      </c>
      <c r="E28" s="38"/>
      <c r="AD28" s="38"/>
      <c r="AE28" s="38"/>
      <c r="BQ28" s="31" t="s">
        <v>82</v>
      </c>
      <c r="BR28" s="31" t="s">
        <v>82</v>
      </c>
      <c r="BS28" s="38"/>
    </row>
    <row r="29">
      <c r="E29" s="38"/>
      <c r="BQ29" s="38"/>
      <c r="BR29" s="38"/>
      <c r="BS29" s="38"/>
    </row>
    <row r="30">
      <c r="E30" s="38"/>
      <c r="BQ30" s="38"/>
      <c r="BR30" s="38"/>
      <c r="BS30" s="38"/>
    </row>
    <row r="31">
      <c r="E31" s="38"/>
      <c r="BR31" s="38"/>
      <c r="BS31" s="38"/>
    </row>
    <row r="32">
      <c r="E32" s="38"/>
    </row>
    <row r="33">
      <c r="E33" s="38"/>
    </row>
    <row r="34">
      <c r="E34" s="38"/>
    </row>
    <row r="35">
      <c r="E35" s="38"/>
    </row>
    <row r="36">
      <c r="E36" s="38"/>
    </row>
    <row r="37">
      <c r="E37" s="38"/>
    </row>
    <row r="38">
      <c r="E38" s="38"/>
    </row>
    <row r="39">
      <c r="E39" s="38"/>
    </row>
    <row r="40">
      <c r="E40" s="38"/>
    </row>
    <row r="41">
      <c r="E41" s="38"/>
    </row>
    <row r="42">
      <c r="E42" s="38"/>
    </row>
    <row r="43">
      <c r="E43" s="38"/>
    </row>
    <row r="44">
      <c r="E44" s="38"/>
    </row>
    <row r="45">
      <c r="E45" s="38"/>
    </row>
    <row r="46">
      <c r="E46" s="38"/>
    </row>
    <row r="47">
      <c r="E47" s="38"/>
    </row>
    <row r="48">
      <c r="E48" s="38"/>
    </row>
    <row r="49">
      <c r="E49" s="38"/>
    </row>
    <row r="50">
      <c r="E50" s="38"/>
    </row>
    <row r="51">
      <c r="E51" s="38"/>
    </row>
    <row r="52">
      <c r="E52" s="38"/>
    </row>
    <row r="53">
      <c r="E53" s="38"/>
    </row>
    <row r="54">
      <c r="E54" s="38"/>
    </row>
    <row r="55">
      <c r="E55" s="38"/>
    </row>
    <row r="56">
      <c r="E56" s="38"/>
    </row>
    <row r="57">
      <c r="E57" s="38"/>
    </row>
    <row r="58">
      <c r="E58" s="38"/>
    </row>
    <row r="59">
      <c r="E59" s="38"/>
    </row>
    <row r="60">
      <c r="E60" s="38"/>
    </row>
    <row r="61">
      <c r="E61" s="38"/>
    </row>
    <row r="62">
      <c r="E62" s="38"/>
    </row>
    <row r="63">
      <c r="E63" s="38"/>
    </row>
    <row r="64">
      <c r="E64" s="38"/>
    </row>
    <row r="65">
      <c r="E65" s="38"/>
    </row>
    <row r="66">
      <c r="E66" s="38"/>
    </row>
    <row r="67">
      <c r="E67" s="38"/>
    </row>
    <row r="68">
      <c r="E68" s="38"/>
    </row>
    <row r="69">
      <c r="E69" s="38"/>
    </row>
    <row r="70">
      <c r="E70" s="38"/>
    </row>
    <row r="71">
      <c r="E71" s="38"/>
    </row>
    <row r="72">
      <c r="E72" s="38"/>
    </row>
    <row r="73">
      <c r="E73" s="38"/>
    </row>
    <row r="74">
      <c r="E74" s="38"/>
    </row>
    <row r="75">
      <c r="E75" s="38"/>
    </row>
    <row r="76">
      <c r="E76" s="38"/>
    </row>
    <row r="77">
      <c r="E77" s="38"/>
    </row>
    <row r="78">
      <c r="E78" s="38"/>
    </row>
    <row r="79">
      <c r="E79" s="38"/>
    </row>
    <row r="80">
      <c r="E80" s="38"/>
    </row>
    <row r="81">
      <c r="E81" s="38"/>
    </row>
    <row r="82">
      <c r="E82" s="38"/>
    </row>
    <row r="83">
      <c r="E83" s="38"/>
    </row>
    <row r="84">
      <c r="E84" s="38"/>
    </row>
    <row r="85">
      <c r="E85" s="38"/>
    </row>
    <row r="86">
      <c r="E86" s="38"/>
    </row>
    <row r="87">
      <c r="E87" s="38"/>
    </row>
    <row r="88">
      <c r="E88" s="38"/>
    </row>
    <row r="89">
      <c r="E89" s="38"/>
    </row>
    <row r="90">
      <c r="E90" s="38"/>
    </row>
    <row r="91">
      <c r="E91" s="38"/>
    </row>
    <row r="92">
      <c r="E92" s="38"/>
    </row>
    <row r="93">
      <c r="E93" s="38"/>
    </row>
    <row r="94">
      <c r="E94" s="38"/>
    </row>
    <row r="95">
      <c r="E95" s="38"/>
    </row>
    <row r="96">
      <c r="E96" s="38"/>
    </row>
    <row r="97">
      <c r="E97" s="38"/>
    </row>
    <row r="98">
      <c r="E98" s="38"/>
    </row>
    <row r="99">
      <c r="E99" s="38"/>
    </row>
    <row r="100">
      <c r="E100" s="38"/>
    </row>
    <row r="101">
      <c r="E101" s="38"/>
    </row>
    <row r="102">
      <c r="E102" s="38"/>
    </row>
    <row r="103">
      <c r="E103" s="38"/>
    </row>
    <row r="104">
      <c r="E104" s="38"/>
    </row>
    <row r="105">
      <c r="E105" s="38"/>
    </row>
    <row r="106">
      <c r="E106" s="38"/>
    </row>
    <row r="107">
      <c r="E107" s="38"/>
    </row>
    <row r="108">
      <c r="E108" s="38"/>
    </row>
    <row r="109">
      <c r="E109" s="38"/>
    </row>
    <row r="110">
      <c r="E110" s="38"/>
    </row>
    <row r="111">
      <c r="E111" s="38"/>
    </row>
    <row r="112">
      <c r="E112" s="38"/>
    </row>
    <row r="113">
      <c r="E113" s="38"/>
    </row>
    <row r="114">
      <c r="E114" s="38"/>
    </row>
    <row r="115">
      <c r="E115" s="38"/>
    </row>
    <row r="116">
      <c r="E116" s="38"/>
    </row>
    <row r="117">
      <c r="E117" s="38"/>
    </row>
    <row r="118">
      <c r="E118" s="38"/>
    </row>
    <row r="119">
      <c r="E119" s="38"/>
    </row>
    <row r="120">
      <c r="E120" s="38"/>
    </row>
    <row r="121">
      <c r="E121" s="38"/>
    </row>
    <row r="122">
      <c r="E122" s="38"/>
    </row>
    <row r="123">
      <c r="E123" s="38"/>
    </row>
    <row r="124">
      <c r="E124" s="38"/>
    </row>
    <row r="125">
      <c r="E125" s="38"/>
    </row>
    <row r="126">
      <c r="E126" s="38"/>
    </row>
    <row r="127">
      <c r="E127" s="38"/>
    </row>
    <row r="128">
      <c r="E128" s="38"/>
    </row>
    <row r="129">
      <c r="E129" s="38"/>
    </row>
    <row r="130">
      <c r="E130" s="38"/>
    </row>
    <row r="131">
      <c r="E131" s="38"/>
    </row>
    <row r="132">
      <c r="E132" s="38"/>
    </row>
    <row r="133">
      <c r="E133" s="38"/>
    </row>
    <row r="134">
      <c r="E134" s="38"/>
    </row>
    <row r="135">
      <c r="E135" s="38"/>
    </row>
    <row r="136">
      <c r="E136" s="38"/>
    </row>
    <row r="137">
      <c r="E137" s="38"/>
    </row>
    <row r="138">
      <c r="E138" s="38"/>
    </row>
    <row r="139">
      <c r="E139" s="38"/>
    </row>
    <row r="140">
      <c r="E140" s="38"/>
    </row>
    <row r="141">
      <c r="E141" s="38"/>
    </row>
    <row r="142">
      <c r="E142" s="38"/>
    </row>
    <row r="143">
      <c r="E143" s="38"/>
    </row>
    <row r="144">
      <c r="E144" s="38"/>
    </row>
    <row r="145">
      <c r="E145" s="38"/>
    </row>
    <row r="146">
      <c r="E146" s="38"/>
    </row>
    <row r="147">
      <c r="E147" s="38"/>
    </row>
    <row r="148">
      <c r="E148" s="38"/>
    </row>
    <row r="149">
      <c r="E149" s="38"/>
    </row>
    <row r="150">
      <c r="E150" s="38"/>
    </row>
    <row r="151">
      <c r="E151" s="38"/>
    </row>
    <row r="152">
      <c r="E152" s="38"/>
    </row>
    <row r="153">
      <c r="E153" s="38"/>
    </row>
    <row r="154">
      <c r="E154" s="38"/>
    </row>
    <row r="155">
      <c r="E155" s="38"/>
    </row>
    <row r="156">
      <c r="E156" s="38"/>
    </row>
    <row r="157">
      <c r="E157" s="38"/>
    </row>
    <row r="158">
      <c r="E158" s="38"/>
    </row>
    <row r="159">
      <c r="E159" s="38"/>
    </row>
    <row r="160">
      <c r="E160" s="38"/>
    </row>
    <row r="161">
      <c r="E161" s="38"/>
    </row>
    <row r="162">
      <c r="E162" s="38"/>
    </row>
    <row r="163">
      <c r="E163" s="38"/>
    </row>
    <row r="164">
      <c r="E164" s="38"/>
    </row>
    <row r="165">
      <c r="E165" s="38"/>
    </row>
    <row r="166">
      <c r="E166" s="38"/>
    </row>
    <row r="167">
      <c r="E167" s="38"/>
    </row>
    <row r="168">
      <c r="E168" s="38"/>
    </row>
    <row r="169">
      <c r="E169" s="38"/>
    </row>
    <row r="170">
      <c r="E170" s="38"/>
    </row>
    <row r="171">
      <c r="E171" s="38"/>
    </row>
    <row r="172">
      <c r="E172" s="38"/>
    </row>
    <row r="173">
      <c r="E173" s="38"/>
    </row>
    <row r="174">
      <c r="E174" s="38"/>
    </row>
    <row r="175">
      <c r="E175" s="38"/>
    </row>
    <row r="176">
      <c r="E176" s="38"/>
    </row>
    <row r="177">
      <c r="E177" s="38"/>
    </row>
    <row r="178">
      <c r="E178" s="38"/>
    </row>
    <row r="179">
      <c r="E179" s="38"/>
    </row>
    <row r="180">
      <c r="E180" s="38"/>
    </row>
    <row r="181">
      <c r="E181" s="38"/>
    </row>
    <row r="182">
      <c r="E182" s="38"/>
    </row>
    <row r="183">
      <c r="E183" s="38"/>
    </row>
    <row r="184">
      <c r="E184" s="38"/>
    </row>
    <row r="185">
      <c r="E185" s="38"/>
    </row>
    <row r="186">
      <c r="E186" s="38"/>
    </row>
    <row r="187">
      <c r="E187" s="38"/>
    </row>
    <row r="188">
      <c r="E188" s="38"/>
    </row>
    <row r="189">
      <c r="E189" s="38"/>
    </row>
    <row r="190">
      <c r="E190" s="38"/>
    </row>
    <row r="191">
      <c r="E191" s="38"/>
    </row>
    <row r="192">
      <c r="E192" s="38"/>
    </row>
    <row r="193">
      <c r="E193" s="38"/>
    </row>
    <row r="194">
      <c r="E194" s="38"/>
    </row>
    <row r="195">
      <c r="E195" s="38"/>
    </row>
    <row r="196">
      <c r="E196" s="38"/>
    </row>
    <row r="197">
      <c r="E197" s="38"/>
    </row>
    <row r="198">
      <c r="E198" s="38"/>
    </row>
    <row r="199">
      <c r="E199" s="38"/>
    </row>
    <row r="200">
      <c r="E200" s="38"/>
    </row>
    <row r="201">
      <c r="E201" s="38"/>
    </row>
    <row r="202">
      <c r="E202" s="38"/>
    </row>
    <row r="203">
      <c r="E203" s="38"/>
    </row>
    <row r="204">
      <c r="E204" s="38"/>
    </row>
    <row r="205">
      <c r="E205" s="38"/>
    </row>
    <row r="206">
      <c r="E206" s="38"/>
    </row>
    <row r="207">
      <c r="E207" s="38"/>
    </row>
    <row r="208">
      <c r="E208" s="38"/>
    </row>
    <row r="209">
      <c r="E209" s="38"/>
    </row>
    <row r="210">
      <c r="E210" s="38"/>
    </row>
    <row r="211">
      <c r="E211" s="38"/>
    </row>
    <row r="212">
      <c r="E212" s="38"/>
    </row>
    <row r="213">
      <c r="E213" s="38"/>
    </row>
    <row r="214">
      <c r="E214" s="38"/>
    </row>
    <row r="215">
      <c r="E215" s="38"/>
    </row>
    <row r="216">
      <c r="E216" s="38"/>
    </row>
    <row r="217">
      <c r="E217" s="38"/>
    </row>
    <row r="218">
      <c r="E218" s="38"/>
    </row>
    <row r="219">
      <c r="E219" s="38"/>
    </row>
    <row r="220">
      <c r="E220" s="38"/>
    </row>
    <row r="221">
      <c r="E221" s="38"/>
    </row>
    <row r="222">
      <c r="E222" s="38"/>
    </row>
    <row r="223">
      <c r="E223" s="38"/>
    </row>
    <row r="224">
      <c r="E224" s="38"/>
    </row>
    <row r="225">
      <c r="E225" s="38"/>
    </row>
    <row r="226">
      <c r="E226" s="38"/>
    </row>
    <row r="227">
      <c r="E227" s="38"/>
    </row>
    <row r="228">
      <c r="E228" s="38"/>
    </row>
    <row r="229">
      <c r="E229" s="38"/>
    </row>
    <row r="230">
      <c r="E230" s="38"/>
    </row>
    <row r="231">
      <c r="E231" s="38"/>
    </row>
    <row r="232">
      <c r="E232" s="38"/>
    </row>
    <row r="233">
      <c r="E233" s="38"/>
    </row>
    <row r="234">
      <c r="E234" s="38"/>
    </row>
    <row r="235">
      <c r="E235" s="38"/>
    </row>
    <row r="236">
      <c r="E236" s="38"/>
    </row>
    <row r="237">
      <c r="E237" s="38"/>
    </row>
    <row r="238">
      <c r="E238" s="38"/>
    </row>
    <row r="239">
      <c r="E239" s="38"/>
    </row>
    <row r="240">
      <c r="E240" s="38"/>
    </row>
    <row r="241">
      <c r="E241" s="38"/>
    </row>
    <row r="242">
      <c r="E242" s="38"/>
    </row>
    <row r="243">
      <c r="E243" s="38"/>
    </row>
    <row r="244">
      <c r="E244" s="38"/>
    </row>
    <row r="245">
      <c r="E245" s="38"/>
    </row>
    <row r="246">
      <c r="E246" s="38"/>
    </row>
    <row r="247">
      <c r="E247" s="38"/>
    </row>
    <row r="248">
      <c r="E248" s="38"/>
    </row>
    <row r="249">
      <c r="E249" s="38"/>
    </row>
    <row r="250">
      <c r="E250" s="38"/>
    </row>
    <row r="251">
      <c r="E251" s="38"/>
    </row>
    <row r="252">
      <c r="E252" s="38"/>
    </row>
    <row r="253">
      <c r="E253" s="38"/>
    </row>
    <row r="254">
      <c r="E254" s="38"/>
    </row>
    <row r="255">
      <c r="E255" s="38"/>
    </row>
    <row r="256">
      <c r="E256" s="38"/>
    </row>
    <row r="257">
      <c r="E257" s="38"/>
    </row>
    <row r="258">
      <c r="E258" s="38"/>
    </row>
    <row r="259">
      <c r="E259" s="38"/>
    </row>
    <row r="260">
      <c r="E260" s="38"/>
    </row>
    <row r="261">
      <c r="E261" s="38"/>
    </row>
    <row r="262">
      <c r="E262" s="38"/>
    </row>
    <row r="263">
      <c r="E263" s="38"/>
    </row>
    <row r="264">
      <c r="E264" s="38"/>
    </row>
    <row r="265">
      <c r="E265" s="38"/>
    </row>
    <row r="266">
      <c r="E266" s="38"/>
    </row>
    <row r="267">
      <c r="E267" s="38"/>
    </row>
    <row r="268">
      <c r="E268" s="38"/>
    </row>
    <row r="269">
      <c r="E269" s="38"/>
    </row>
    <row r="270">
      <c r="E270" s="38"/>
    </row>
    <row r="271">
      <c r="E271" s="38"/>
    </row>
    <row r="272">
      <c r="E272" s="38"/>
    </row>
    <row r="273">
      <c r="E273" s="38"/>
    </row>
    <row r="274">
      <c r="E274" s="38"/>
    </row>
    <row r="275">
      <c r="E275" s="38"/>
    </row>
    <row r="276">
      <c r="E276" s="38"/>
    </row>
    <row r="277">
      <c r="E277" s="38"/>
    </row>
    <row r="278">
      <c r="E278" s="38"/>
    </row>
    <row r="279">
      <c r="E279" s="38"/>
    </row>
    <row r="280">
      <c r="E280" s="38"/>
    </row>
    <row r="281">
      <c r="E281" s="38"/>
    </row>
    <row r="282">
      <c r="E282" s="38"/>
    </row>
    <row r="283">
      <c r="E283" s="38"/>
    </row>
    <row r="284">
      <c r="E284" s="38"/>
    </row>
    <row r="285">
      <c r="E285" s="38"/>
    </row>
    <row r="286">
      <c r="E286" s="38"/>
    </row>
    <row r="287">
      <c r="E287" s="38"/>
    </row>
    <row r="288">
      <c r="E288" s="38"/>
    </row>
    <row r="289">
      <c r="E289" s="38"/>
    </row>
    <row r="290">
      <c r="E290" s="38"/>
    </row>
    <row r="291">
      <c r="E291" s="38"/>
    </row>
    <row r="292">
      <c r="E292" s="38"/>
    </row>
    <row r="293">
      <c r="E293" s="38"/>
    </row>
    <row r="294">
      <c r="E294" s="38"/>
    </row>
    <row r="295">
      <c r="E295" s="38"/>
    </row>
    <row r="296">
      <c r="E296" s="38"/>
    </row>
    <row r="297">
      <c r="E297" s="38"/>
    </row>
    <row r="298">
      <c r="E298" s="38"/>
    </row>
    <row r="299">
      <c r="E299" s="38"/>
    </row>
    <row r="300">
      <c r="E300" s="38"/>
    </row>
    <row r="301">
      <c r="E301" s="38"/>
    </row>
    <row r="302">
      <c r="E302" s="38"/>
    </row>
    <row r="303">
      <c r="E303" s="38"/>
    </row>
    <row r="304">
      <c r="E304" s="38"/>
    </row>
    <row r="305">
      <c r="E305" s="38"/>
    </row>
    <row r="306">
      <c r="E306" s="38"/>
    </row>
    <row r="307">
      <c r="E307" s="38"/>
    </row>
    <row r="308">
      <c r="E308" s="38"/>
    </row>
    <row r="309">
      <c r="E309" s="38"/>
    </row>
    <row r="310">
      <c r="E310" s="38"/>
    </row>
    <row r="311">
      <c r="E311" s="38"/>
    </row>
    <row r="312">
      <c r="E312" s="38"/>
    </row>
    <row r="313">
      <c r="E313" s="38"/>
    </row>
    <row r="314">
      <c r="E314" s="38"/>
    </row>
    <row r="315">
      <c r="E315" s="38"/>
    </row>
    <row r="316">
      <c r="E316" s="38"/>
    </row>
    <row r="317">
      <c r="E317" s="38"/>
    </row>
    <row r="318">
      <c r="E318" s="38"/>
    </row>
    <row r="319">
      <c r="E319" s="38"/>
    </row>
    <row r="320">
      <c r="E320" s="38"/>
    </row>
    <row r="321">
      <c r="E321" s="38"/>
    </row>
    <row r="322">
      <c r="E322" s="38"/>
    </row>
    <row r="323">
      <c r="E323" s="38"/>
    </row>
    <row r="324">
      <c r="E324" s="38"/>
    </row>
    <row r="325">
      <c r="E325" s="38"/>
    </row>
    <row r="326">
      <c r="E326" s="38"/>
    </row>
    <row r="327">
      <c r="E327" s="38"/>
    </row>
    <row r="328">
      <c r="E328" s="38"/>
    </row>
    <row r="329">
      <c r="E329" s="38"/>
    </row>
    <row r="330">
      <c r="E330" s="38"/>
    </row>
    <row r="331">
      <c r="E331" s="38"/>
    </row>
    <row r="332">
      <c r="E332" s="38"/>
    </row>
    <row r="333">
      <c r="E333" s="38"/>
    </row>
    <row r="334">
      <c r="E334" s="38"/>
    </row>
    <row r="335">
      <c r="E335" s="38"/>
    </row>
    <row r="336">
      <c r="E336" s="38"/>
    </row>
    <row r="337">
      <c r="E337" s="38"/>
    </row>
    <row r="338">
      <c r="E338" s="38"/>
    </row>
    <row r="339">
      <c r="E339" s="38"/>
    </row>
    <row r="340">
      <c r="E340" s="38"/>
    </row>
    <row r="341">
      <c r="E341" s="38"/>
    </row>
    <row r="342">
      <c r="E342" s="38"/>
    </row>
    <row r="343">
      <c r="E343" s="38"/>
    </row>
    <row r="344">
      <c r="E344" s="38"/>
    </row>
    <row r="345">
      <c r="E345" s="38"/>
    </row>
    <row r="346">
      <c r="E346" s="38"/>
    </row>
    <row r="347">
      <c r="E347" s="38"/>
    </row>
    <row r="348">
      <c r="E348" s="38"/>
    </row>
    <row r="349">
      <c r="E349" s="38"/>
    </row>
    <row r="350">
      <c r="E350" s="38"/>
    </row>
    <row r="351">
      <c r="E351" s="38"/>
    </row>
    <row r="352">
      <c r="E352" s="38"/>
    </row>
    <row r="353">
      <c r="E353" s="38"/>
    </row>
    <row r="354">
      <c r="E354" s="38"/>
    </row>
    <row r="355">
      <c r="E355" s="38"/>
    </row>
    <row r="356">
      <c r="E356" s="38"/>
    </row>
    <row r="357">
      <c r="E357" s="38"/>
    </row>
    <row r="358">
      <c r="E358" s="38"/>
    </row>
    <row r="359">
      <c r="E359" s="38"/>
    </row>
    <row r="360">
      <c r="E360" s="38"/>
    </row>
    <row r="361">
      <c r="E361" s="38"/>
    </row>
    <row r="362">
      <c r="E362" s="38"/>
    </row>
    <row r="363">
      <c r="E363" s="38"/>
    </row>
    <row r="364">
      <c r="E364" s="38"/>
    </row>
    <row r="365">
      <c r="E365" s="38"/>
    </row>
    <row r="366">
      <c r="E366" s="38"/>
    </row>
    <row r="367">
      <c r="E367" s="38"/>
    </row>
    <row r="368">
      <c r="E368" s="38"/>
    </row>
    <row r="369">
      <c r="E369" s="38"/>
    </row>
    <row r="370">
      <c r="E370" s="38"/>
    </row>
    <row r="371">
      <c r="E371" s="38"/>
    </row>
    <row r="372">
      <c r="E372" s="38"/>
    </row>
    <row r="373">
      <c r="E373" s="38"/>
    </row>
    <row r="374">
      <c r="E374" s="38"/>
    </row>
    <row r="375">
      <c r="E375" s="38"/>
    </row>
    <row r="376">
      <c r="E376" s="38"/>
    </row>
    <row r="377">
      <c r="E377" s="38"/>
    </row>
    <row r="378">
      <c r="E378" s="38"/>
    </row>
    <row r="379">
      <c r="E379" s="38"/>
    </row>
    <row r="380">
      <c r="E380" s="38"/>
    </row>
    <row r="381">
      <c r="E381" s="38"/>
    </row>
    <row r="382">
      <c r="E382" s="38"/>
    </row>
    <row r="383">
      <c r="E383" s="38"/>
    </row>
    <row r="384">
      <c r="E384" s="38"/>
    </row>
    <row r="385">
      <c r="E385" s="38"/>
    </row>
    <row r="386">
      <c r="E386" s="38"/>
    </row>
    <row r="387">
      <c r="E387" s="38"/>
    </row>
    <row r="388">
      <c r="E388" s="38"/>
    </row>
    <row r="389">
      <c r="E389" s="38"/>
    </row>
    <row r="390">
      <c r="E390" s="38"/>
    </row>
    <row r="391">
      <c r="E391" s="38"/>
    </row>
    <row r="392">
      <c r="E392" s="38"/>
    </row>
    <row r="393">
      <c r="E393" s="38"/>
    </row>
    <row r="394">
      <c r="E394" s="38"/>
    </row>
    <row r="395">
      <c r="E395" s="38"/>
    </row>
    <row r="396">
      <c r="E396" s="38"/>
    </row>
    <row r="397">
      <c r="E397" s="38"/>
    </row>
    <row r="398">
      <c r="E398" s="38"/>
    </row>
    <row r="399">
      <c r="E399" s="38"/>
    </row>
    <row r="400">
      <c r="E400" s="38"/>
    </row>
    <row r="401">
      <c r="E401" s="38"/>
    </row>
    <row r="402">
      <c r="E402" s="38"/>
    </row>
    <row r="403">
      <c r="E403" s="38"/>
    </row>
    <row r="404">
      <c r="E404" s="38"/>
    </row>
    <row r="405">
      <c r="E405" s="38"/>
    </row>
    <row r="406">
      <c r="E406" s="38"/>
    </row>
    <row r="407">
      <c r="E407" s="38"/>
    </row>
    <row r="408">
      <c r="E408" s="38"/>
    </row>
    <row r="409">
      <c r="E409" s="38"/>
    </row>
    <row r="410">
      <c r="E410" s="38"/>
    </row>
    <row r="411">
      <c r="E411" s="38"/>
    </row>
    <row r="412">
      <c r="E412" s="38"/>
    </row>
    <row r="413">
      <c r="E413" s="38"/>
    </row>
    <row r="414">
      <c r="E414" s="38"/>
    </row>
    <row r="415">
      <c r="E415" s="38"/>
    </row>
    <row r="416">
      <c r="E416" s="38"/>
    </row>
    <row r="417">
      <c r="E417" s="38"/>
    </row>
    <row r="418">
      <c r="E418" s="38"/>
    </row>
    <row r="419">
      <c r="E419" s="38"/>
    </row>
    <row r="420">
      <c r="E420" s="38"/>
    </row>
    <row r="421">
      <c r="E421" s="38"/>
    </row>
    <row r="422">
      <c r="E422" s="38"/>
    </row>
    <row r="423">
      <c r="E423" s="38"/>
    </row>
    <row r="424">
      <c r="E424" s="38"/>
    </row>
    <row r="425">
      <c r="E425" s="38"/>
    </row>
    <row r="426">
      <c r="E426" s="38"/>
    </row>
    <row r="427">
      <c r="E427" s="38"/>
    </row>
    <row r="428">
      <c r="E428" s="38"/>
    </row>
    <row r="429">
      <c r="E429" s="38"/>
    </row>
    <row r="430">
      <c r="E430" s="38"/>
    </row>
    <row r="431">
      <c r="E431" s="38"/>
    </row>
    <row r="432">
      <c r="E432" s="38"/>
    </row>
    <row r="433">
      <c r="E433" s="38"/>
    </row>
    <row r="434">
      <c r="E434" s="38"/>
    </row>
    <row r="435">
      <c r="E435" s="38"/>
    </row>
    <row r="436">
      <c r="E436" s="38"/>
    </row>
    <row r="437">
      <c r="E437" s="38"/>
    </row>
    <row r="438">
      <c r="E438" s="38"/>
    </row>
    <row r="439">
      <c r="E439" s="38"/>
    </row>
    <row r="440">
      <c r="E440" s="38"/>
    </row>
    <row r="441">
      <c r="E441" s="38"/>
    </row>
    <row r="442">
      <c r="E442" s="38"/>
    </row>
    <row r="443">
      <c r="E443" s="38"/>
    </row>
    <row r="444">
      <c r="E444" s="38"/>
    </row>
    <row r="445">
      <c r="E445" s="38"/>
    </row>
    <row r="446">
      <c r="E446" s="38"/>
    </row>
    <row r="447">
      <c r="E447" s="38"/>
    </row>
    <row r="448">
      <c r="E448" s="38"/>
    </row>
    <row r="449">
      <c r="E449" s="38"/>
    </row>
    <row r="450">
      <c r="E450" s="38"/>
    </row>
    <row r="451">
      <c r="E451" s="38"/>
    </row>
    <row r="452">
      <c r="E452" s="38"/>
    </row>
    <row r="453">
      <c r="E453" s="38"/>
    </row>
    <row r="454">
      <c r="E454" s="38"/>
    </row>
    <row r="455">
      <c r="E455" s="38"/>
    </row>
    <row r="456">
      <c r="E456" s="38"/>
    </row>
    <row r="457">
      <c r="E457" s="38"/>
    </row>
    <row r="458">
      <c r="E458" s="38"/>
    </row>
    <row r="459">
      <c r="E459" s="38"/>
    </row>
    <row r="460">
      <c r="E460" s="38"/>
    </row>
    <row r="461">
      <c r="E461" s="38"/>
    </row>
    <row r="462">
      <c r="E462" s="38"/>
    </row>
    <row r="463">
      <c r="E463" s="38"/>
    </row>
    <row r="464">
      <c r="E464" s="38"/>
    </row>
    <row r="465">
      <c r="E465" s="38"/>
    </row>
    <row r="466">
      <c r="E466" s="38"/>
    </row>
    <row r="467">
      <c r="E467" s="38"/>
    </row>
    <row r="468">
      <c r="E468" s="38"/>
    </row>
    <row r="469">
      <c r="E469" s="38"/>
    </row>
    <row r="470">
      <c r="E470" s="38"/>
    </row>
    <row r="471">
      <c r="E471" s="38"/>
    </row>
    <row r="472">
      <c r="E472" s="38"/>
    </row>
    <row r="473">
      <c r="E473" s="38"/>
    </row>
    <row r="474">
      <c r="E474" s="38"/>
    </row>
    <row r="475">
      <c r="E475" s="38"/>
    </row>
    <row r="476">
      <c r="E476" s="38"/>
    </row>
    <row r="477">
      <c r="E477" s="38"/>
    </row>
    <row r="478">
      <c r="E478" s="38"/>
    </row>
    <row r="479">
      <c r="E479" s="38"/>
    </row>
    <row r="480">
      <c r="E480" s="38"/>
    </row>
    <row r="481">
      <c r="E481" s="38"/>
    </row>
    <row r="482">
      <c r="E482" s="38"/>
    </row>
    <row r="483">
      <c r="E483" s="38"/>
    </row>
    <row r="484">
      <c r="E484" s="38"/>
    </row>
    <row r="485">
      <c r="E485" s="38"/>
    </row>
    <row r="486">
      <c r="E486" s="38"/>
    </row>
    <row r="487">
      <c r="E487" s="38"/>
    </row>
    <row r="488">
      <c r="E488" s="38"/>
    </row>
    <row r="489">
      <c r="E489" s="38"/>
    </row>
    <row r="490">
      <c r="E490" s="38"/>
    </row>
    <row r="491">
      <c r="E491" s="38"/>
    </row>
    <row r="492">
      <c r="E492" s="38"/>
    </row>
    <row r="493">
      <c r="E493" s="38"/>
    </row>
    <row r="494">
      <c r="E494" s="38"/>
    </row>
    <row r="495">
      <c r="E495" s="38"/>
    </row>
    <row r="496">
      <c r="E496" s="38"/>
    </row>
    <row r="497">
      <c r="E497" s="38"/>
    </row>
    <row r="498">
      <c r="E498" s="38"/>
    </row>
    <row r="499">
      <c r="E499" s="38"/>
    </row>
    <row r="500">
      <c r="E500" s="38"/>
    </row>
    <row r="501">
      <c r="E501" s="38"/>
    </row>
    <row r="502">
      <c r="E502" s="38"/>
    </row>
    <row r="503">
      <c r="E503" s="38"/>
    </row>
    <row r="504">
      <c r="E504" s="38"/>
    </row>
    <row r="505">
      <c r="E505" s="38"/>
    </row>
    <row r="506">
      <c r="E506" s="38"/>
    </row>
    <row r="507">
      <c r="E507" s="38"/>
    </row>
    <row r="508">
      <c r="E508" s="38"/>
    </row>
    <row r="509">
      <c r="E509" s="38"/>
    </row>
    <row r="510">
      <c r="E510" s="38"/>
    </row>
    <row r="511">
      <c r="E511" s="38"/>
    </row>
    <row r="512">
      <c r="E512" s="38"/>
    </row>
    <row r="513">
      <c r="E513" s="38"/>
    </row>
    <row r="514">
      <c r="E514" s="38"/>
    </row>
    <row r="515">
      <c r="E515" s="38"/>
    </row>
    <row r="516">
      <c r="E516" s="38"/>
    </row>
    <row r="517">
      <c r="E517" s="38"/>
    </row>
    <row r="518">
      <c r="E518" s="38"/>
    </row>
    <row r="519">
      <c r="E519" s="38"/>
    </row>
    <row r="520">
      <c r="E520" s="38"/>
    </row>
    <row r="521">
      <c r="E521" s="38"/>
    </row>
    <row r="522">
      <c r="E522" s="38"/>
    </row>
    <row r="523">
      <c r="E523" s="38"/>
    </row>
    <row r="524">
      <c r="E524" s="38"/>
    </row>
    <row r="525">
      <c r="E525" s="38"/>
    </row>
    <row r="526">
      <c r="E526" s="38"/>
    </row>
    <row r="527">
      <c r="E527" s="38"/>
    </row>
    <row r="528">
      <c r="E528" s="38"/>
    </row>
    <row r="529">
      <c r="E529" s="38"/>
    </row>
    <row r="530">
      <c r="E530" s="38"/>
    </row>
    <row r="531">
      <c r="E531" s="38"/>
    </row>
    <row r="532">
      <c r="E532" s="38"/>
    </row>
    <row r="533">
      <c r="E533" s="38"/>
    </row>
    <row r="534">
      <c r="E534" s="38"/>
    </row>
    <row r="535">
      <c r="E535" s="38"/>
    </row>
    <row r="536">
      <c r="E536" s="38"/>
    </row>
    <row r="537">
      <c r="E537" s="38"/>
    </row>
    <row r="538">
      <c r="E538" s="38"/>
    </row>
    <row r="539">
      <c r="E539" s="38"/>
    </row>
    <row r="540">
      <c r="E540" s="38"/>
    </row>
    <row r="541">
      <c r="E541" s="38"/>
    </row>
    <row r="542">
      <c r="E542" s="38"/>
    </row>
    <row r="543">
      <c r="E543" s="38"/>
    </row>
    <row r="544">
      <c r="E544" s="38"/>
    </row>
    <row r="545">
      <c r="E545" s="38"/>
    </row>
    <row r="546">
      <c r="E546" s="38"/>
    </row>
    <row r="547">
      <c r="E547" s="38"/>
    </row>
    <row r="548">
      <c r="E548" s="38"/>
    </row>
    <row r="549">
      <c r="E549" s="38"/>
    </row>
    <row r="550">
      <c r="E550" s="38"/>
    </row>
    <row r="551">
      <c r="E551" s="38"/>
    </row>
    <row r="552">
      <c r="E552" s="38"/>
    </row>
    <row r="553">
      <c r="E553" s="38"/>
    </row>
    <row r="554">
      <c r="E554" s="38"/>
    </row>
    <row r="555">
      <c r="E555" s="38"/>
    </row>
    <row r="556">
      <c r="E556" s="38"/>
    </row>
    <row r="557">
      <c r="E557" s="38"/>
    </row>
    <row r="558">
      <c r="E558" s="38"/>
    </row>
    <row r="559">
      <c r="E559" s="38"/>
    </row>
    <row r="560">
      <c r="E560" s="38"/>
    </row>
    <row r="561">
      <c r="E561" s="38"/>
    </row>
    <row r="562">
      <c r="E562" s="38"/>
    </row>
    <row r="563">
      <c r="E563" s="38"/>
    </row>
    <row r="564">
      <c r="E564" s="38"/>
    </row>
    <row r="565">
      <c r="E565" s="38"/>
    </row>
    <row r="566">
      <c r="E566" s="38"/>
    </row>
    <row r="567">
      <c r="E567" s="38"/>
    </row>
    <row r="568">
      <c r="E568" s="38"/>
    </row>
    <row r="569">
      <c r="E569" s="38"/>
    </row>
    <row r="570">
      <c r="E570" s="38"/>
    </row>
    <row r="571">
      <c r="E571" s="38"/>
    </row>
    <row r="572">
      <c r="E572" s="38"/>
    </row>
    <row r="573">
      <c r="E573" s="38"/>
    </row>
    <row r="574">
      <c r="E574" s="38"/>
    </row>
    <row r="575">
      <c r="E575" s="38"/>
    </row>
    <row r="576">
      <c r="E576" s="38"/>
    </row>
    <row r="577">
      <c r="E577" s="38"/>
    </row>
    <row r="578">
      <c r="E578" s="38"/>
    </row>
    <row r="579">
      <c r="E579" s="38"/>
    </row>
    <row r="580">
      <c r="E580" s="38"/>
    </row>
    <row r="581">
      <c r="E581" s="38"/>
    </row>
    <row r="582">
      <c r="E582" s="38"/>
    </row>
    <row r="583">
      <c r="E583" s="38"/>
    </row>
    <row r="584">
      <c r="E584" s="38"/>
    </row>
    <row r="585">
      <c r="E585" s="38"/>
    </row>
    <row r="586">
      <c r="E586" s="38"/>
    </row>
    <row r="587">
      <c r="E587" s="38"/>
    </row>
    <row r="588">
      <c r="E588" s="38"/>
    </row>
    <row r="589">
      <c r="E589" s="38"/>
    </row>
    <row r="590">
      <c r="E590" s="38"/>
    </row>
    <row r="591">
      <c r="E591" s="38"/>
    </row>
    <row r="592">
      <c r="E592" s="38"/>
    </row>
    <row r="593">
      <c r="E593" s="38"/>
    </row>
    <row r="594">
      <c r="E594" s="38"/>
    </row>
    <row r="595">
      <c r="E595" s="38"/>
    </row>
    <row r="596">
      <c r="E596" s="38"/>
    </row>
    <row r="597">
      <c r="E597" s="38"/>
    </row>
    <row r="598">
      <c r="E598" s="38"/>
    </row>
    <row r="599">
      <c r="E599" s="38"/>
    </row>
    <row r="600">
      <c r="E600" s="38"/>
    </row>
    <row r="601">
      <c r="E601" s="38"/>
    </row>
    <row r="602">
      <c r="E602" s="38"/>
    </row>
    <row r="603">
      <c r="E603" s="38"/>
    </row>
    <row r="604">
      <c r="E604" s="38"/>
    </row>
    <row r="605">
      <c r="E605" s="38"/>
    </row>
    <row r="606">
      <c r="E606" s="38"/>
    </row>
    <row r="607">
      <c r="E607" s="38"/>
    </row>
    <row r="608">
      <c r="E608" s="38"/>
    </row>
    <row r="609">
      <c r="E609" s="38"/>
    </row>
    <row r="610">
      <c r="E610" s="38"/>
    </row>
    <row r="611">
      <c r="E611" s="38"/>
    </row>
    <row r="612">
      <c r="E612" s="38"/>
    </row>
    <row r="613">
      <c r="E613" s="38"/>
    </row>
    <row r="614">
      <c r="E614" s="38"/>
    </row>
    <row r="615">
      <c r="E615" s="38"/>
    </row>
    <row r="616">
      <c r="E616" s="38"/>
    </row>
    <row r="617">
      <c r="E617" s="38"/>
    </row>
    <row r="618">
      <c r="E618" s="38"/>
    </row>
    <row r="619">
      <c r="E619" s="38"/>
    </row>
    <row r="620">
      <c r="E620" s="38"/>
    </row>
    <row r="621">
      <c r="E621" s="38"/>
    </row>
    <row r="622">
      <c r="E622" s="38"/>
    </row>
    <row r="623">
      <c r="E623" s="38"/>
    </row>
    <row r="624">
      <c r="E624" s="38"/>
    </row>
    <row r="625">
      <c r="E625" s="38"/>
    </row>
    <row r="626">
      <c r="E626" s="38"/>
    </row>
    <row r="627">
      <c r="E627" s="38"/>
    </row>
    <row r="628">
      <c r="E628" s="38"/>
    </row>
    <row r="629">
      <c r="E629" s="38"/>
    </row>
    <row r="630">
      <c r="E630" s="38"/>
    </row>
    <row r="631">
      <c r="E631" s="38"/>
    </row>
    <row r="632">
      <c r="E632" s="38"/>
    </row>
    <row r="633">
      <c r="E633" s="38"/>
    </row>
    <row r="634">
      <c r="E634" s="38"/>
    </row>
    <row r="635">
      <c r="E635" s="38"/>
    </row>
    <row r="636">
      <c r="E636" s="38"/>
    </row>
    <row r="637">
      <c r="E637" s="38"/>
    </row>
    <row r="638">
      <c r="E638" s="38"/>
    </row>
    <row r="639">
      <c r="E639" s="38"/>
    </row>
    <row r="640">
      <c r="E640" s="38"/>
    </row>
    <row r="641">
      <c r="E641" s="38"/>
    </row>
    <row r="642">
      <c r="E642" s="38"/>
    </row>
    <row r="643">
      <c r="E643" s="38"/>
    </row>
    <row r="644">
      <c r="E644" s="38"/>
    </row>
    <row r="645">
      <c r="E645" s="38"/>
    </row>
    <row r="646">
      <c r="E646" s="38"/>
    </row>
    <row r="647">
      <c r="E647" s="38"/>
    </row>
    <row r="648">
      <c r="E648" s="38"/>
    </row>
    <row r="649">
      <c r="E649" s="38"/>
    </row>
    <row r="650">
      <c r="E650" s="38"/>
    </row>
    <row r="651">
      <c r="E651" s="38"/>
    </row>
    <row r="652">
      <c r="E652" s="38"/>
    </row>
    <row r="653">
      <c r="E653" s="38"/>
    </row>
    <row r="654">
      <c r="E654" s="38"/>
    </row>
    <row r="655">
      <c r="E655" s="38"/>
    </row>
    <row r="656">
      <c r="E656" s="38"/>
    </row>
    <row r="657">
      <c r="E657" s="38"/>
    </row>
    <row r="658">
      <c r="E658" s="38"/>
    </row>
    <row r="659">
      <c r="E659" s="38"/>
    </row>
    <row r="660">
      <c r="E660" s="38"/>
    </row>
    <row r="661">
      <c r="E661" s="38"/>
    </row>
    <row r="662">
      <c r="E662" s="38"/>
    </row>
    <row r="663">
      <c r="E663" s="38"/>
    </row>
    <row r="664">
      <c r="E664" s="38"/>
    </row>
    <row r="665">
      <c r="E665" s="38"/>
    </row>
    <row r="666">
      <c r="E666" s="38"/>
    </row>
    <row r="667">
      <c r="E667" s="38"/>
    </row>
    <row r="668">
      <c r="E668" s="38"/>
    </row>
    <row r="669">
      <c r="E669" s="38"/>
    </row>
    <row r="670">
      <c r="E670" s="38"/>
    </row>
    <row r="671">
      <c r="E671" s="38"/>
    </row>
    <row r="672">
      <c r="E672" s="38"/>
    </row>
    <row r="673">
      <c r="E673" s="38"/>
    </row>
    <row r="674">
      <c r="E674" s="38"/>
    </row>
    <row r="675">
      <c r="E675" s="38"/>
    </row>
    <row r="676">
      <c r="E676" s="38"/>
    </row>
    <row r="677">
      <c r="E677" s="38"/>
    </row>
    <row r="678">
      <c r="E678" s="38"/>
    </row>
    <row r="679">
      <c r="E679" s="38"/>
    </row>
    <row r="680">
      <c r="E680" s="38"/>
    </row>
    <row r="681">
      <c r="E681" s="38"/>
    </row>
    <row r="682">
      <c r="E682" s="38"/>
    </row>
    <row r="683">
      <c r="E683" s="38"/>
    </row>
    <row r="684">
      <c r="E684" s="38"/>
    </row>
    <row r="685">
      <c r="E685" s="38"/>
    </row>
    <row r="686">
      <c r="E686" s="38"/>
    </row>
    <row r="687">
      <c r="E687" s="38"/>
    </row>
    <row r="688">
      <c r="E688" s="38"/>
    </row>
    <row r="689">
      <c r="E689" s="38"/>
    </row>
    <row r="690">
      <c r="E690" s="38"/>
    </row>
    <row r="691">
      <c r="E691" s="38"/>
    </row>
    <row r="692">
      <c r="E692" s="38"/>
    </row>
    <row r="693">
      <c r="E693" s="38"/>
    </row>
    <row r="694">
      <c r="E694" s="38"/>
    </row>
    <row r="695">
      <c r="E695" s="38"/>
    </row>
    <row r="696">
      <c r="E696" s="38"/>
    </row>
    <row r="697">
      <c r="E697" s="38"/>
    </row>
    <row r="698">
      <c r="E698" s="38"/>
    </row>
    <row r="699">
      <c r="E699" s="38"/>
    </row>
    <row r="700">
      <c r="E700" s="38"/>
    </row>
    <row r="701">
      <c r="E701" s="38"/>
    </row>
    <row r="702">
      <c r="E702" s="38"/>
    </row>
    <row r="703">
      <c r="E703" s="38"/>
    </row>
    <row r="704">
      <c r="E704" s="38"/>
    </row>
    <row r="705">
      <c r="E705" s="38"/>
    </row>
    <row r="706">
      <c r="E706" s="38"/>
    </row>
    <row r="707">
      <c r="E707" s="38"/>
    </row>
    <row r="708">
      <c r="E708" s="38"/>
    </row>
    <row r="709">
      <c r="E709" s="38"/>
    </row>
    <row r="710">
      <c r="E710" s="38"/>
    </row>
    <row r="711">
      <c r="E711" s="38"/>
    </row>
    <row r="712">
      <c r="E712" s="38"/>
    </row>
    <row r="713">
      <c r="E713" s="38"/>
    </row>
    <row r="714">
      <c r="E714" s="38"/>
    </row>
    <row r="715">
      <c r="E715" s="38"/>
    </row>
    <row r="716">
      <c r="E716" s="38"/>
    </row>
    <row r="717">
      <c r="E717" s="38"/>
    </row>
    <row r="718">
      <c r="E718" s="38"/>
    </row>
    <row r="719">
      <c r="E719" s="38"/>
    </row>
    <row r="720">
      <c r="E720" s="38"/>
    </row>
    <row r="721">
      <c r="E721" s="38"/>
    </row>
    <row r="722">
      <c r="E722" s="38"/>
    </row>
    <row r="723">
      <c r="E723" s="38"/>
    </row>
    <row r="724">
      <c r="E724" s="38"/>
    </row>
    <row r="725">
      <c r="E725" s="38"/>
    </row>
    <row r="726">
      <c r="E726" s="38"/>
    </row>
    <row r="727">
      <c r="E727" s="38"/>
    </row>
    <row r="728">
      <c r="E728" s="38"/>
    </row>
    <row r="729">
      <c r="E729" s="38"/>
    </row>
    <row r="730">
      <c r="E730" s="38"/>
    </row>
    <row r="731">
      <c r="E731" s="38"/>
    </row>
    <row r="732">
      <c r="E732" s="38"/>
    </row>
    <row r="733">
      <c r="E733" s="38"/>
    </row>
    <row r="734">
      <c r="E734" s="38"/>
    </row>
    <row r="735">
      <c r="E735" s="38"/>
    </row>
    <row r="736">
      <c r="E736" s="38"/>
    </row>
    <row r="737">
      <c r="E737" s="38"/>
    </row>
    <row r="738">
      <c r="E738" s="38"/>
    </row>
    <row r="739">
      <c r="E739" s="38"/>
    </row>
    <row r="740">
      <c r="E740" s="38"/>
    </row>
    <row r="741">
      <c r="E741" s="38"/>
    </row>
    <row r="742">
      <c r="E742" s="38"/>
    </row>
    <row r="743">
      <c r="E743" s="38"/>
    </row>
    <row r="744">
      <c r="E744" s="38"/>
    </row>
    <row r="745">
      <c r="E745" s="38"/>
    </row>
    <row r="746">
      <c r="E746" s="38"/>
    </row>
    <row r="747">
      <c r="E747" s="38"/>
    </row>
    <row r="748">
      <c r="E748" s="38"/>
    </row>
    <row r="749">
      <c r="E749" s="38"/>
    </row>
    <row r="750">
      <c r="E750" s="38"/>
    </row>
    <row r="751">
      <c r="E751" s="38"/>
    </row>
    <row r="752">
      <c r="E752" s="38"/>
    </row>
    <row r="753">
      <c r="E753" s="38"/>
    </row>
    <row r="754">
      <c r="E754" s="38"/>
    </row>
    <row r="755">
      <c r="E755" s="38"/>
    </row>
    <row r="756">
      <c r="E756" s="38"/>
    </row>
    <row r="757">
      <c r="E757" s="38"/>
    </row>
    <row r="758">
      <c r="E758" s="38"/>
    </row>
    <row r="759">
      <c r="E759" s="38"/>
    </row>
    <row r="760">
      <c r="E760" s="38"/>
    </row>
    <row r="761">
      <c r="E761" s="38"/>
    </row>
    <row r="762">
      <c r="E762" s="38"/>
    </row>
    <row r="763">
      <c r="E763" s="38"/>
    </row>
    <row r="764">
      <c r="E764" s="38"/>
    </row>
    <row r="765">
      <c r="E765" s="38"/>
    </row>
    <row r="766">
      <c r="E766" s="38"/>
    </row>
    <row r="767">
      <c r="E767" s="38"/>
    </row>
    <row r="768">
      <c r="E768" s="38"/>
    </row>
    <row r="769">
      <c r="E769" s="38"/>
    </row>
    <row r="770">
      <c r="E770" s="38"/>
    </row>
    <row r="771">
      <c r="E771" s="38"/>
    </row>
    <row r="772">
      <c r="E772" s="38"/>
    </row>
    <row r="773">
      <c r="E773" s="38"/>
    </row>
    <row r="774">
      <c r="E774" s="38"/>
    </row>
    <row r="775">
      <c r="E775" s="38"/>
    </row>
    <row r="776">
      <c r="E776" s="38"/>
    </row>
    <row r="777">
      <c r="E777" s="38"/>
    </row>
    <row r="778">
      <c r="E778" s="38"/>
    </row>
    <row r="779">
      <c r="E779" s="38"/>
    </row>
    <row r="780">
      <c r="E780" s="38"/>
    </row>
    <row r="781">
      <c r="E781" s="38"/>
    </row>
    <row r="782">
      <c r="E782" s="38"/>
    </row>
    <row r="783">
      <c r="E783" s="38"/>
    </row>
    <row r="784">
      <c r="E784" s="38"/>
    </row>
    <row r="785">
      <c r="E785" s="38"/>
    </row>
    <row r="786">
      <c r="E786" s="38"/>
    </row>
    <row r="787">
      <c r="E787" s="38"/>
    </row>
    <row r="788">
      <c r="E788" s="38"/>
    </row>
    <row r="789">
      <c r="E789" s="38"/>
    </row>
    <row r="790">
      <c r="E790" s="38"/>
    </row>
    <row r="791">
      <c r="E791" s="38"/>
    </row>
    <row r="792">
      <c r="E792" s="38"/>
    </row>
    <row r="793">
      <c r="E793" s="38"/>
    </row>
    <row r="794">
      <c r="E794" s="38"/>
    </row>
    <row r="795">
      <c r="E795" s="38"/>
    </row>
    <row r="796">
      <c r="E796" s="38"/>
    </row>
    <row r="797">
      <c r="E797" s="38"/>
    </row>
    <row r="798">
      <c r="E798" s="38"/>
    </row>
    <row r="799">
      <c r="E799" s="38"/>
    </row>
    <row r="800">
      <c r="E800" s="38"/>
    </row>
    <row r="801">
      <c r="E801" s="38"/>
    </row>
    <row r="802">
      <c r="E802" s="38"/>
    </row>
    <row r="803">
      <c r="E803" s="38"/>
    </row>
    <row r="804">
      <c r="E804" s="38"/>
    </row>
    <row r="805">
      <c r="E805" s="38"/>
    </row>
    <row r="806">
      <c r="E806" s="38"/>
    </row>
    <row r="807">
      <c r="E807" s="38"/>
    </row>
    <row r="808">
      <c r="E808" s="38"/>
    </row>
    <row r="809">
      <c r="E809" s="38"/>
    </row>
    <row r="810">
      <c r="E810" s="38"/>
    </row>
    <row r="811">
      <c r="E811" s="38"/>
    </row>
    <row r="812">
      <c r="E812" s="38"/>
    </row>
    <row r="813">
      <c r="E813" s="38"/>
    </row>
    <row r="814">
      <c r="E814" s="38"/>
    </row>
    <row r="815">
      <c r="E815" s="38"/>
    </row>
    <row r="816">
      <c r="E816" s="38"/>
    </row>
    <row r="817">
      <c r="E817" s="38"/>
    </row>
    <row r="818">
      <c r="E818" s="38"/>
    </row>
    <row r="819">
      <c r="E819" s="38"/>
    </row>
    <row r="820">
      <c r="E820" s="38"/>
    </row>
    <row r="821">
      <c r="E821" s="38"/>
    </row>
    <row r="822">
      <c r="E822" s="38"/>
    </row>
    <row r="823">
      <c r="E823" s="38"/>
    </row>
    <row r="824">
      <c r="E824" s="38"/>
    </row>
    <row r="825">
      <c r="E825" s="38"/>
    </row>
    <row r="826">
      <c r="E826" s="38"/>
    </row>
    <row r="827">
      <c r="E827" s="38"/>
    </row>
    <row r="828">
      <c r="E828" s="38"/>
    </row>
    <row r="829">
      <c r="E829" s="38"/>
    </row>
    <row r="830">
      <c r="E830" s="38"/>
    </row>
    <row r="831">
      <c r="E831" s="38"/>
    </row>
    <row r="832">
      <c r="E832" s="38"/>
    </row>
    <row r="833">
      <c r="E833" s="38"/>
    </row>
    <row r="834">
      <c r="E834" s="38"/>
    </row>
    <row r="835">
      <c r="E835" s="38"/>
    </row>
    <row r="836">
      <c r="E836" s="38"/>
    </row>
    <row r="837">
      <c r="E837" s="38"/>
    </row>
    <row r="838">
      <c r="E838" s="38"/>
    </row>
    <row r="839">
      <c r="E839" s="38"/>
    </row>
    <row r="840">
      <c r="E840" s="38"/>
    </row>
    <row r="841">
      <c r="E841" s="38"/>
    </row>
    <row r="842">
      <c r="E842" s="38"/>
    </row>
    <row r="843">
      <c r="E843" s="38"/>
    </row>
    <row r="844">
      <c r="E844" s="38"/>
    </row>
    <row r="845">
      <c r="E845" s="38"/>
    </row>
    <row r="846">
      <c r="E846" s="38"/>
    </row>
    <row r="847">
      <c r="E847" s="38"/>
    </row>
    <row r="848">
      <c r="E848" s="38"/>
    </row>
    <row r="849">
      <c r="E849" s="38"/>
    </row>
    <row r="850">
      <c r="E850" s="38"/>
    </row>
    <row r="851">
      <c r="E851" s="38"/>
    </row>
    <row r="852">
      <c r="E852" s="38"/>
    </row>
    <row r="853">
      <c r="E853" s="38"/>
    </row>
    <row r="854">
      <c r="E854" s="38"/>
    </row>
    <row r="855">
      <c r="E855" s="38"/>
    </row>
    <row r="856">
      <c r="E856" s="38"/>
    </row>
    <row r="857">
      <c r="E857" s="38"/>
    </row>
    <row r="858">
      <c r="E858" s="38"/>
    </row>
    <row r="859">
      <c r="E859" s="38"/>
    </row>
    <row r="860">
      <c r="E860" s="38"/>
    </row>
    <row r="861">
      <c r="E861" s="38"/>
    </row>
    <row r="862">
      <c r="E862" s="38"/>
    </row>
    <row r="863">
      <c r="E863" s="38"/>
    </row>
    <row r="864">
      <c r="E864" s="38"/>
    </row>
    <row r="865">
      <c r="E865" s="38"/>
    </row>
    <row r="866">
      <c r="E866" s="38"/>
    </row>
    <row r="867">
      <c r="E867" s="38"/>
    </row>
    <row r="868">
      <c r="E868" s="38"/>
    </row>
    <row r="869">
      <c r="E869" s="38"/>
    </row>
    <row r="870">
      <c r="E870" s="38"/>
    </row>
    <row r="871">
      <c r="E871" s="38"/>
    </row>
    <row r="872">
      <c r="E872" s="38"/>
    </row>
    <row r="873">
      <c r="E873" s="38"/>
    </row>
    <row r="874">
      <c r="E874" s="38"/>
    </row>
    <row r="875">
      <c r="E875" s="38"/>
    </row>
    <row r="876">
      <c r="E876" s="38"/>
    </row>
    <row r="877">
      <c r="E877" s="38"/>
    </row>
    <row r="878">
      <c r="E878" s="38"/>
    </row>
    <row r="879">
      <c r="E879" s="38"/>
    </row>
    <row r="880">
      <c r="E880" s="38"/>
    </row>
    <row r="881">
      <c r="E881" s="38"/>
    </row>
    <row r="882">
      <c r="E882" s="38"/>
    </row>
    <row r="883">
      <c r="E883" s="38"/>
    </row>
    <row r="884">
      <c r="E884" s="38"/>
    </row>
    <row r="885">
      <c r="E885" s="38"/>
    </row>
    <row r="886">
      <c r="E886" s="38"/>
    </row>
    <row r="887">
      <c r="E887" s="38"/>
    </row>
    <row r="888">
      <c r="E888" s="38"/>
    </row>
    <row r="889">
      <c r="E889" s="38"/>
    </row>
    <row r="890">
      <c r="E890" s="38"/>
    </row>
    <row r="891">
      <c r="E891" s="38"/>
    </row>
    <row r="892">
      <c r="E892" s="38"/>
    </row>
    <row r="893">
      <c r="E893" s="38"/>
    </row>
    <row r="894">
      <c r="E894" s="38"/>
    </row>
    <row r="895">
      <c r="E895" s="38"/>
    </row>
    <row r="896">
      <c r="E896" s="38"/>
    </row>
    <row r="897">
      <c r="E897" s="38"/>
    </row>
    <row r="898">
      <c r="E898" s="38"/>
    </row>
    <row r="899">
      <c r="E899" s="38"/>
    </row>
    <row r="900">
      <c r="E900" s="38"/>
    </row>
    <row r="901">
      <c r="E901" s="38"/>
    </row>
    <row r="902">
      <c r="E902" s="38"/>
    </row>
    <row r="903">
      <c r="E903" s="38"/>
    </row>
    <row r="904">
      <c r="E904" s="38"/>
    </row>
    <row r="905">
      <c r="E905" s="38"/>
    </row>
    <row r="906">
      <c r="E906" s="38"/>
    </row>
    <row r="907">
      <c r="E907" s="38"/>
    </row>
    <row r="908">
      <c r="E908" s="38"/>
    </row>
    <row r="909">
      <c r="E909" s="38"/>
    </row>
    <row r="910">
      <c r="E910" s="38"/>
    </row>
    <row r="911">
      <c r="E911" s="38"/>
    </row>
    <row r="912">
      <c r="E912" s="38"/>
    </row>
    <row r="913">
      <c r="E913" s="38"/>
    </row>
    <row r="914">
      <c r="E914" s="38"/>
    </row>
    <row r="915">
      <c r="E915" s="38"/>
    </row>
    <row r="916">
      <c r="E916" s="38"/>
    </row>
    <row r="917">
      <c r="E917" s="38"/>
    </row>
    <row r="918">
      <c r="E918" s="38"/>
    </row>
    <row r="919">
      <c r="E919" s="38"/>
    </row>
    <row r="920">
      <c r="E920" s="38"/>
    </row>
    <row r="921">
      <c r="E921" s="38"/>
    </row>
    <row r="922">
      <c r="E922" s="38"/>
    </row>
    <row r="923">
      <c r="E923" s="38"/>
    </row>
    <row r="924">
      <c r="E924" s="38"/>
    </row>
    <row r="925">
      <c r="E925" s="38"/>
    </row>
    <row r="926">
      <c r="E926" s="38"/>
    </row>
    <row r="927">
      <c r="E927" s="38"/>
    </row>
    <row r="928">
      <c r="E928" s="38"/>
    </row>
    <row r="929">
      <c r="E929" s="38"/>
    </row>
    <row r="930">
      <c r="E930" s="38"/>
    </row>
    <row r="931">
      <c r="E931" s="38"/>
    </row>
    <row r="932">
      <c r="E932" s="38"/>
    </row>
    <row r="933">
      <c r="E933" s="38"/>
    </row>
    <row r="934">
      <c r="E934" s="38"/>
    </row>
    <row r="935">
      <c r="E935" s="38"/>
    </row>
    <row r="936">
      <c r="E936" s="38"/>
    </row>
    <row r="937">
      <c r="E937" s="38"/>
    </row>
    <row r="938">
      <c r="E938" s="38"/>
    </row>
    <row r="939">
      <c r="E939" s="38"/>
    </row>
    <row r="940">
      <c r="E940" s="38"/>
    </row>
    <row r="941">
      <c r="E941" s="38"/>
    </row>
    <row r="942">
      <c r="E942" s="38"/>
    </row>
    <row r="943">
      <c r="E943" s="38"/>
    </row>
    <row r="944">
      <c r="E944" s="38"/>
    </row>
    <row r="945">
      <c r="E945" s="38"/>
    </row>
    <row r="946">
      <c r="E946" s="38"/>
    </row>
    <row r="947">
      <c r="E947" s="38"/>
    </row>
    <row r="948">
      <c r="E948" s="38"/>
    </row>
    <row r="949">
      <c r="E949" s="38"/>
    </row>
    <row r="950">
      <c r="E950" s="38"/>
    </row>
    <row r="951">
      <c r="E951" s="38"/>
    </row>
    <row r="952">
      <c r="E952" s="38"/>
    </row>
    <row r="953">
      <c r="E953" s="38"/>
    </row>
    <row r="954">
      <c r="E954" s="38"/>
    </row>
    <row r="955">
      <c r="E955" s="38"/>
    </row>
    <row r="956">
      <c r="E956" s="38"/>
    </row>
    <row r="957">
      <c r="E957" s="38"/>
    </row>
    <row r="958">
      <c r="E958" s="38"/>
    </row>
    <row r="959">
      <c r="E959" s="38"/>
    </row>
    <row r="960">
      <c r="E960" s="38"/>
    </row>
    <row r="961">
      <c r="E961" s="38"/>
    </row>
    <row r="962">
      <c r="E962" s="38"/>
    </row>
    <row r="963">
      <c r="E963" s="38"/>
    </row>
    <row r="964">
      <c r="E964" s="38"/>
    </row>
    <row r="965">
      <c r="E965" s="38"/>
    </row>
    <row r="966">
      <c r="E966" s="38"/>
    </row>
    <row r="967">
      <c r="E967" s="38"/>
    </row>
    <row r="968">
      <c r="E968" s="38"/>
    </row>
    <row r="969">
      <c r="E969" s="38"/>
    </row>
    <row r="970">
      <c r="E970" s="38"/>
    </row>
    <row r="971">
      <c r="E971" s="38"/>
    </row>
    <row r="972">
      <c r="E972" s="38"/>
    </row>
    <row r="973">
      <c r="E973" s="38"/>
    </row>
    <row r="974">
      <c r="E974" s="38"/>
    </row>
    <row r="975">
      <c r="E975" s="38"/>
    </row>
    <row r="976">
      <c r="E976" s="38"/>
    </row>
    <row r="977">
      <c r="E977" s="38"/>
    </row>
    <row r="978">
      <c r="E978" s="38"/>
    </row>
    <row r="979">
      <c r="E979" s="38"/>
    </row>
    <row r="980">
      <c r="E980" s="38"/>
    </row>
    <row r="981">
      <c r="E981" s="38"/>
    </row>
    <row r="982">
      <c r="E982" s="38"/>
    </row>
    <row r="983">
      <c r="E983" s="38"/>
    </row>
    <row r="984">
      <c r="E984" s="38"/>
    </row>
    <row r="985">
      <c r="E985" s="38"/>
    </row>
    <row r="986">
      <c r="E986" s="38"/>
    </row>
    <row r="987">
      <c r="E987" s="38"/>
    </row>
    <row r="988">
      <c r="E988" s="38"/>
    </row>
    <row r="989">
      <c r="E989" s="38"/>
    </row>
    <row r="990">
      <c r="E990" s="38"/>
    </row>
    <row r="991">
      <c r="E991" s="38"/>
    </row>
    <row r="992">
      <c r="E992" s="38"/>
    </row>
    <row r="993">
      <c r="E993" s="38"/>
    </row>
  </sheetData>
  <dataValidations>
    <dataValidation type="list" allowBlank="1" showErrorMessage="1" sqref="B5:B28">
      <formula1>"Cafeteria,Aseo"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6.75"/>
    <col customWidth="1" min="3" max="3" width="23.25"/>
    <col customWidth="1" hidden="1" min="4" max="5" width="18.5"/>
    <col hidden="1" min="6" max="30" width="12.63"/>
    <col customWidth="1" hidden="1" min="31" max="31" width="18.0"/>
    <col customWidth="1" hidden="1" min="32" max="32" width="18.63"/>
    <col customWidth="1" hidden="1" min="33" max="33" width="13.38"/>
    <col customWidth="1" hidden="1" min="34" max="34" width="15.38"/>
    <col hidden="1" min="35" max="35" width="12.63"/>
    <col customWidth="1" hidden="1" min="36" max="36" width="13.75"/>
    <col customWidth="1" hidden="1" min="37" max="37" width="17.25"/>
    <col customWidth="1" hidden="1" min="38" max="38" width="15.0"/>
    <col customWidth="1" hidden="1" min="39" max="39" width="17.5"/>
    <col customWidth="1" hidden="1" min="40" max="40" width="12.13"/>
    <col customWidth="1" hidden="1" min="41" max="41" width="15.5"/>
    <col customWidth="1" hidden="1" min="42" max="42" width="14.5"/>
    <col customWidth="1" hidden="1" min="43" max="43" width="13.38"/>
    <col customWidth="1" hidden="1" min="44" max="44" width="12.63"/>
    <col customWidth="1" hidden="1" min="45" max="45" width="13.13"/>
    <col customWidth="1" hidden="1" min="46" max="47" width="12.13"/>
    <col customWidth="1" hidden="1" min="48" max="50" width="13.13"/>
    <col customWidth="1" min="51" max="52" width="13.13"/>
    <col customWidth="1" min="53" max="63" width="13.0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7"/>
      <c r="J1" s="16"/>
      <c r="K1" s="27"/>
      <c r="L1" s="2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H2" si="1">E2+7</f>
        <v>45824</v>
      </c>
      <c r="G2" s="18">
        <f t="shared" si="1"/>
        <v>45831</v>
      </c>
      <c r="H2" s="17">
        <f t="shared" si="1"/>
        <v>45838</v>
      </c>
      <c r="I2" s="17">
        <v>45845.0</v>
      </c>
      <c r="J2" s="17">
        <f t="shared" ref="J2:L2" si="2">I2+7</f>
        <v>45852</v>
      </c>
      <c r="K2" s="18">
        <f t="shared" si="2"/>
        <v>45859</v>
      </c>
      <c r="L2" s="18">
        <f t="shared" si="2"/>
        <v>45866</v>
      </c>
      <c r="M2" s="17">
        <v>45873.0</v>
      </c>
      <c r="N2" s="17">
        <f t="shared" ref="N2:P2" si="3">M2+7</f>
        <v>45880</v>
      </c>
      <c r="O2" s="18">
        <f t="shared" si="3"/>
        <v>45887</v>
      </c>
      <c r="P2" s="18">
        <f t="shared" si="3"/>
        <v>45894</v>
      </c>
      <c r="Q2" s="18">
        <v>45901.0</v>
      </c>
      <c r="R2" s="17">
        <v>45908.0</v>
      </c>
      <c r="S2" s="17">
        <v>45915.0</v>
      </c>
      <c r="T2" s="17">
        <v>45922.0</v>
      </c>
      <c r="U2" s="17">
        <v>45929.0</v>
      </c>
      <c r="V2" s="17">
        <f t="shared" ref="V2:W2" si="4">U2+7</f>
        <v>45936</v>
      </c>
      <c r="W2" s="17">
        <f t="shared" si="4"/>
        <v>45943</v>
      </c>
      <c r="X2" s="48">
        <f t="shared" ref="X2:Y2" si="5">V2+7</f>
        <v>45943</v>
      </c>
      <c r="Y2" s="48">
        <f t="shared" si="5"/>
        <v>45950</v>
      </c>
      <c r="Z2" s="48">
        <f t="shared" ref="Z2:AA2" si="6">Y2+7</f>
        <v>45957</v>
      </c>
      <c r="AA2" s="48">
        <f t="shared" si="6"/>
        <v>45964</v>
      </c>
      <c r="AB2" s="48">
        <v>45967.0</v>
      </c>
      <c r="AC2" s="18">
        <f>AB2+4</f>
        <v>45971</v>
      </c>
      <c r="AD2" s="48">
        <f>AC2+7</f>
        <v>45978</v>
      </c>
      <c r="AE2" s="48">
        <f>AD2+3</f>
        <v>45981</v>
      </c>
      <c r="AF2" s="48">
        <f>AE2+4</f>
        <v>45985</v>
      </c>
      <c r="AG2" s="48">
        <f>AF2+7</f>
        <v>45992</v>
      </c>
      <c r="AH2" s="48">
        <f>AG2+8</f>
        <v>46000</v>
      </c>
      <c r="AI2" s="48">
        <f>AH2+6</f>
        <v>46006</v>
      </c>
      <c r="AJ2" s="48">
        <f>AI2+7</f>
        <v>46013</v>
      </c>
      <c r="AK2" s="17">
        <v>46020.0</v>
      </c>
      <c r="AL2" s="17">
        <v>46027.0</v>
      </c>
      <c r="AM2" s="49">
        <v>46030.0</v>
      </c>
      <c r="AN2" s="49">
        <v>46034.0</v>
      </c>
      <c r="AO2" s="17">
        <v>46037.0</v>
      </c>
      <c r="AP2" s="17">
        <v>46041.0</v>
      </c>
      <c r="AQ2" s="17">
        <v>46045.0</v>
      </c>
      <c r="AR2" s="17">
        <v>46051.0</v>
      </c>
      <c r="AS2" s="17">
        <v>46055.0</v>
      </c>
      <c r="AT2" s="17">
        <v>46062.0</v>
      </c>
      <c r="AU2" s="17">
        <v>46065.0</v>
      </c>
      <c r="AV2" s="17">
        <v>46069.0</v>
      </c>
      <c r="AW2" s="17">
        <v>46072.0</v>
      </c>
      <c r="AX2" s="17">
        <v>46076.0</v>
      </c>
      <c r="AY2" s="17">
        <v>46083.0</v>
      </c>
      <c r="AZ2" s="17">
        <v>46090.0</v>
      </c>
      <c r="BA2" s="49">
        <v>46093.0</v>
      </c>
      <c r="BB2" s="49">
        <v>46097.0</v>
      </c>
      <c r="BC2" s="17">
        <v>46100.0</v>
      </c>
      <c r="BD2" s="49">
        <v>46104.0</v>
      </c>
      <c r="BE2" s="49"/>
      <c r="BF2" s="49"/>
      <c r="BG2" s="49"/>
      <c r="BH2" s="49"/>
      <c r="BI2" s="49"/>
      <c r="BJ2" s="49"/>
      <c r="BK2" s="49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50" t="s">
        <v>430</v>
      </c>
      <c r="BB3" s="50" t="s">
        <v>431</v>
      </c>
      <c r="BC3" s="50" t="s">
        <v>432</v>
      </c>
      <c r="BD3" s="50" t="s">
        <v>432</v>
      </c>
      <c r="BE3" s="50"/>
      <c r="BF3" s="50"/>
      <c r="BG3" s="50"/>
      <c r="BH3" s="50"/>
      <c r="BI3" s="50"/>
      <c r="BJ3" s="50"/>
      <c r="BK3" s="50"/>
    </row>
    <row r="4">
      <c r="A4" s="19" t="s">
        <v>433</v>
      </c>
      <c r="B4" s="19" t="s">
        <v>45</v>
      </c>
      <c r="C4" s="19" t="s">
        <v>6</v>
      </c>
      <c r="D4" s="28">
        <v>9.0</v>
      </c>
      <c r="E4" s="28">
        <v>6.0</v>
      </c>
      <c r="F4" s="28">
        <v>6.0</v>
      </c>
      <c r="G4" s="28">
        <v>4.0</v>
      </c>
      <c r="H4" s="28">
        <v>3.0</v>
      </c>
      <c r="I4" s="31">
        <v>3.0</v>
      </c>
      <c r="J4" s="31">
        <v>3.0</v>
      </c>
      <c r="K4" s="31">
        <v>8.5</v>
      </c>
      <c r="L4" s="31">
        <v>7.5</v>
      </c>
      <c r="M4" s="31">
        <v>4.5</v>
      </c>
      <c r="N4" s="31">
        <v>4.0</v>
      </c>
      <c r="O4" s="31">
        <v>4.0</v>
      </c>
      <c r="P4" s="31">
        <v>4.0</v>
      </c>
      <c r="Q4" s="31">
        <v>4.0</v>
      </c>
      <c r="T4" s="31">
        <v>5.0</v>
      </c>
      <c r="U4" s="31">
        <v>4.0</v>
      </c>
      <c r="V4" s="31">
        <v>3.0</v>
      </c>
      <c r="W4" s="31">
        <v>2.0</v>
      </c>
      <c r="X4" s="46">
        <v>2.0</v>
      </c>
      <c r="Y4" s="46" t="s">
        <v>434</v>
      </c>
      <c r="Z4" s="46">
        <v>2.0</v>
      </c>
      <c r="AA4" s="46">
        <v>1.5</v>
      </c>
      <c r="AB4" s="46">
        <v>1.0</v>
      </c>
      <c r="AC4" s="46">
        <v>8.0</v>
      </c>
      <c r="AD4" s="46">
        <v>6.0</v>
      </c>
      <c r="AE4" s="46">
        <v>6.0</v>
      </c>
      <c r="AF4" s="46">
        <v>4.0</v>
      </c>
      <c r="AG4" s="46" t="s">
        <v>435</v>
      </c>
      <c r="AH4" s="46" t="s">
        <v>436</v>
      </c>
      <c r="AI4" s="51" t="s">
        <v>437</v>
      </c>
      <c r="AJ4" s="52" t="s">
        <v>434</v>
      </c>
      <c r="AK4" s="53">
        <v>0.0</v>
      </c>
      <c r="AL4" s="53">
        <v>0.0</v>
      </c>
      <c r="AM4" s="54" t="s">
        <v>438</v>
      </c>
      <c r="AN4" s="54" t="s">
        <v>439</v>
      </c>
      <c r="AO4" s="54" t="s">
        <v>439</v>
      </c>
      <c r="AP4" s="54" t="s">
        <v>440</v>
      </c>
      <c r="AQ4" s="54" t="s">
        <v>441</v>
      </c>
      <c r="AR4" s="54" t="s">
        <v>442</v>
      </c>
      <c r="AS4" s="54" t="s">
        <v>443</v>
      </c>
      <c r="AT4" s="54" t="s">
        <v>444</v>
      </c>
      <c r="AU4" s="54" t="s">
        <v>445</v>
      </c>
      <c r="AV4" s="54" t="s">
        <v>446</v>
      </c>
      <c r="AW4" s="54" t="s">
        <v>441</v>
      </c>
      <c r="AX4" s="54" t="s">
        <v>447</v>
      </c>
      <c r="AY4" s="54" t="s">
        <v>448</v>
      </c>
      <c r="AZ4" s="31" t="s">
        <v>449</v>
      </c>
      <c r="BA4" s="54" t="s">
        <v>450</v>
      </c>
      <c r="BB4" s="54" t="s">
        <v>317</v>
      </c>
      <c r="BC4" s="54" t="s">
        <v>451</v>
      </c>
      <c r="BD4" s="54" t="s">
        <v>302</v>
      </c>
      <c r="BE4" s="54"/>
      <c r="BF4" s="54"/>
      <c r="BG4" s="54"/>
      <c r="BH4" s="54"/>
      <c r="BI4" s="54"/>
      <c r="BJ4" s="54"/>
      <c r="BK4" s="54"/>
    </row>
    <row r="5">
      <c r="A5" s="19" t="s">
        <v>433</v>
      </c>
      <c r="B5" s="19" t="s">
        <v>7</v>
      </c>
      <c r="C5" s="19" t="s">
        <v>8</v>
      </c>
      <c r="D5" s="28">
        <v>10.0</v>
      </c>
      <c r="E5" s="28">
        <v>8.0</v>
      </c>
      <c r="F5" s="28">
        <v>5.0</v>
      </c>
      <c r="G5" s="28">
        <v>4.0</v>
      </c>
      <c r="H5" s="28">
        <v>4.0</v>
      </c>
      <c r="I5" s="31">
        <v>4.0</v>
      </c>
      <c r="J5" s="31">
        <v>4.0</v>
      </c>
      <c r="K5" s="31">
        <v>4.0</v>
      </c>
      <c r="L5" s="31">
        <v>3.0</v>
      </c>
      <c r="M5" s="31">
        <v>3.0</v>
      </c>
      <c r="N5" s="31">
        <v>3.0</v>
      </c>
      <c r="O5" s="31">
        <v>3.0</v>
      </c>
      <c r="P5" s="31">
        <v>6.0</v>
      </c>
      <c r="Q5" s="31">
        <v>6.0</v>
      </c>
      <c r="T5" s="31">
        <v>5.0</v>
      </c>
      <c r="U5" s="31">
        <v>4.0</v>
      </c>
      <c r="V5" s="31">
        <v>3.0</v>
      </c>
      <c r="W5" s="31">
        <v>2.0</v>
      </c>
      <c r="X5" s="46">
        <v>1.0</v>
      </c>
      <c r="Y5" s="46">
        <v>5.0</v>
      </c>
      <c r="Z5" s="46">
        <v>5.0</v>
      </c>
      <c r="AA5" s="46">
        <v>4.0</v>
      </c>
      <c r="AB5" s="46">
        <v>3.0</v>
      </c>
      <c r="AC5" s="46">
        <v>1.0</v>
      </c>
      <c r="AD5" s="53">
        <v>0.0</v>
      </c>
      <c r="AE5" s="46">
        <v>7.0</v>
      </c>
      <c r="AF5" s="46">
        <v>5.0</v>
      </c>
      <c r="AG5" s="46">
        <v>3.0</v>
      </c>
      <c r="AH5" s="46">
        <v>2.0</v>
      </c>
      <c r="AI5" s="51">
        <v>1.0</v>
      </c>
      <c r="AJ5" s="31">
        <v>8.0</v>
      </c>
      <c r="AK5" s="54">
        <v>7.0</v>
      </c>
      <c r="AL5" s="54">
        <v>6.0</v>
      </c>
      <c r="AM5" s="54">
        <v>4.0</v>
      </c>
      <c r="AN5" s="54">
        <v>4.0</v>
      </c>
      <c r="AO5" s="55">
        <v>3.0</v>
      </c>
      <c r="AP5" s="52">
        <v>2.0</v>
      </c>
      <c r="AQ5" s="31">
        <v>4.0</v>
      </c>
      <c r="AR5" s="54">
        <v>4.0</v>
      </c>
      <c r="AS5" s="54">
        <v>4.0</v>
      </c>
      <c r="AT5" s="54">
        <v>9.0</v>
      </c>
      <c r="AU5" s="54">
        <v>9.0</v>
      </c>
      <c r="AV5" s="54">
        <v>8.0</v>
      </c>
      <c r="AW5" s="54">
        <v>7.0</v>
      </c>
      <c r="AX5" s="54">
        <v>6.0</v>
      </c>
      <c r="AY5" s="54">
        <v>5.0</v>
      </c>
      <c r="AZ5" s="54">
        <v>4.0</v>
      </c>
      <c r="BA5" s="54">
        <v>10.0</v>
      </c>
      <c r="BB5" s="54">
        <v>9.0</v>
      </c>
      <c r="BC5" s="54">
        <v>8.0</v>
      </c>
      <c r="BD5" s="54">
        <v>7.0</v>
      </c>
      <c r="BE5" s="54"/>
      <c r="BF5" s="54"/>
      <c r="BG5" s="54"/>
      <c r="BH5" s="54"/>
      <c r="BI5" s="54"/>
      <c r="BJ5" s="54"/>
      <c r="BK5" s="54"/>
    </row>
    <row r="6">
      <c r="A6" s="19" t="s">
        <v>433</v>
      </c>
      <c r="B6" s="19" t="s">
        <v>7</v>
      </c>
      <c r="C6" s="19" t="s">
        <v>9</v>
      </c>
      <c r="D6" s="28">
        <v>10.0</v>
      </c>
      <c r="E6" s="28">
        <v>8.0</v>
      </c>
      <c r="F6" s="28">
        <v>6.0</v>
      </c>
      <c r="G6" s="28">
        <v>5.0</v>
      </c>
      <c r="H6" s="28">
        <v>5.0</v>
      </c>
      <c r="I6" s="31">
        <v>5.0</v>
      </c>
      <c r="J6" s="31">
        <v>5.0</v>
      </c>
      <c r="K6" s="31">
        <v>5.0</v>
      </c>
      <c r="L6" s="31">
        <v>4.0</v>
      </c>
      <c r="M6" s="31">
        <v>3.0</v>
      </c>
      <c r="N6" s="31">
        <v>3.0</v>
      </c>
      <c r="O6" s="31">
        <v>3.0</v>
      </c>
      <c r="P6" s="31">
        <v>9.0</v>
      </c>
      <c r="Q6" s="31">
        <v>9.0</v>
      </c>
      <c r="T6" s="31">
        <v>5.0</v>
      </c>
      <c r="U6" s="31">
        <v>5.0</v>
      </c>
      <c r="V6" s="31">
        <v>4.0</v>
      </c>
      <c r="W6" s="31">
        <v>3.0</v>
      </c>
      <c r="X6" s="46">
        <v>2.0</v>
      </c>
      <c r="Y6" s="46">
        <v>6.0</v>
      </c>
      <c r="Z6" s="46">
        <v>6.0</v>
      </c>
      <c r="AA6" s="46">
        <v>4.0</v>
      </c>
      <c r="AB6" s="46">
        <v>3.0</v>
      </c>
      <c r="AC6" s="46">
        <v>3.0</v>
      </c>
      <c r="AD6" s="46">
        <v>3.0</v>
      </c>
      <c r="AE6" s="46">
        <v>7.0</v>
      </c>
      <c r="AF6" s="46">
        <v>7.0</v>
      </c>
      <c r="AG6" s="46">
        <v>5.0</v>
      </c>
      <c r="AH6" s="46">
        <v>3.0</v>
      </c>
      <c r="AI6" s="51">
        <v>2.0</v>
      </c>
      <c r="AJ6" s="31">
        <v>8.0</v>
      </c>
      <c r="AK6" s="54">
        <v>6.0</v>
      </c>
      <c r="AL6" s="54">
        <v>9.0</v>
      </c>
      <c r="AM6" s="54">
        <v>9.0</v>
      </c>
      <c r="AN6" s="54">
        <v>9.0</v>
      </c>
      <c r="AO6" s="54">
        <v>9.0</v>
      </c>
      <c r="AP6" s="54">
        <v>9.0</v>
      </c>
      <c r="AQ6" s="54">
        <v>8.0</v>
      </c>
      <c r="AR6" s="54">
        <v>8.0</v>
      </c>
      <c r="AS6" s="54">
        <v>7.0</v>
      </c>
      <c r="AT6" s="54">
        <v>12.0</v>
      </c>
      <c r="AU6" s="54">
        <v>12.0</v>
      </c>
      <c r="AV6" s="54">
        <v>12.0</v>
      </c>
      <c r="AW6" s="54">
        <v>12.0</v>
      </c>
      <c r="AX6" s="54">
        <v>12.0</v>
      </c>
      <c r="AY6" s="54">
        <v>11.0</v>
      </c>
      <c r="AZ6" s="54">
        <v>11.0</v>
      </c>
      <c r="BA6" s="54">
        <v>11.0</v>
      </c>
      <c r="BB6" s="54">
        <v>10.0</v>
      </c>
      <c r="BC6" s="54">
        <v>10.0</v>
      </c>
      <c r="BD6" s="54">
        <v>9.0</v>
      </c>
      <c r="BE6" s="54"/>
      <c r="BF6" s="54"/>
      <c r="BG6" s="54"/>
      <c r="BH6" s="54"/>
      <c r="BI6" s="54"/>
      <c r="BJ6" s="54"/>
      <c r="BK6" s="54"/>
    </row>
    <row r="7">
      <c r="A7" s="19" t="s">
        <v>433</v>
      </c>
      <c r="B7" s="19" t="s">
        <v>7</v>
      </c>
      <c r="C7" s="19" t="s">
        <v>10</v>
      </c>
      <c r="D7" s="28">
        <v>2.0</v>
      </c>
      <c r="E7" s="28">
        <v>2.0</v>
      </c>
      <c r="F7" s="28">
        <v>2.0</v>
      </c>
      <c r="G7" s="28">
        <v>2.0</v>
      </c>
      <c r="H7" s="28">
        <v>2.0</v>
      </c>
      <c r="I7" s="31">
        <v>2.0</v>
      </c>
      <c r="J7" s="31">
        <v>2.0</v>
      </c>
      <c r="K7" s="31">
        <v>2.0</v>
      </c>
      <c r="L7" s="31">
        <v>2.0</v>
      </c>
      <c r="M7" s="31">
        <v>2.0</v>
      </c>
      <c r="N7" s="31">
        <v>2.0</v>
      </c>
      <c r="O7" s="31">
        <v>2.0</v>
      </c>
      <c r="P7" s="31">
        <v>2.0</v>
      </c>
      <c r="Q7" s="31">
        <v>2.0</v>
      </c>
      <c r="T7" s="31">
        <v>2.0</v>
      </c>
      <c r="U7" s="31">
        <v>2.0</v>
      </c>
      <c r="V7" s="31">
        <v>2.0</v>
      </c>
      <c r="W7" s="31">
        <v>2.0</v>
      </c>
      <c r="X7" s="46">
        <v>2.0</v>
      </c>
      <c r="Y7" s="46">
        <v>2.0</v>
      </c>
      <c r="Z7" s="46">
        <v>2.0</v>
      </c>
      <c r="AA7" s="46">
        <v>1.0</v>
      </c>
      <c r="AB7" s="46">
        <v>1.0</v>
      </c>
      <c r="AC7" s="46">
        <v>1.0</v>
      </c>
      <c r="AD7" s="46">
        <v>1.0</v>
      </c>
      <c r="AE7" s="46">
        <v>1.0</v>
      </c>
      <c r="AF7" s="46">
        <v>1.0</v>
      </c>
      <c r="AG7" s="46">
        <v>1.0</v>
      </c>
      <c r="AH7" s="46">
        <v>1.0</v>
      </c>
      <c r="AI7" s="51">
        <v>1.0</v>
      </c>
      <c r="AJ7" s="31">
        <v>6.0</v>
      </c>
      <c r="AK7" s="54">
        <v>6.0</v>
      </c>
      <c r="AL7" s="54">
        <v>6.0</v>
      </c>
      <c r="AM7" s="54">
        <v>6.0</v>
      </c>
      <c r="AN7" s="54">
        <v>6.0</v>
      </c>
      <c r="AO7" s="54">
        <v>6.0</v>
      </c>
      <c r="AP7" s="54">
        <v>6.0</v>
      </c>
      <c r="AQ7" s="54">
        <v>6.0</v>
      </c>
      <c r="AR7" s="54">
        <v>6.0</v>
      </c>
      <c r="AS7" s="54">
        <v>6.0</v>
      </c>
      <c r="AT7" s="54">
        <v>6.0</v>
      </c>
      <c r="AU7" s="54">
        <v>6.0</v>
      </c>
      <c r="AV7" s="54">
        <v>6.0</v>
      </c>
      <c r="AW7" s="54">
        <v>8.0</v>
      </c>
      <c r="AX7" s="54">
        <v>8.0</v>
      </c>
      <c r="AY7" s="54">
        <v>8.0</v>
      </c>
      <c r="AZ7" s="54">
        <v>7.0</v>
      </c>
      <c r="BA7" s="54">
        <v>14.0</v>
      </c>
      <c r="BB7" s="54">
        <v>14.0</v>
      </c>
      <c r="BC7" s="54">
        <v>14.0</v>
      </c>
      <c r="BD7" s="54">
        <v>14.0</v>
      </c>
      <c r="BE7" s="54"/>
      <c r="BF7" s="54"/>
      <c r="BG7" s="54"/>
      <c r="BH7" s="54"/>
      <c r="BI7" s="54"/>
      <c r="BJ7" s="54"/>
      <c r="BK7" s="54"/>
    </row>
    <row r="8">
      <c r="A8" s="19" t="s">
        <v>433</v>
      </c>
      <c r="B8" s="19" t="s">
        <v>7</v>
      </c>
      <c r="C8" s="19" t="s">
        <v>15</v>
      </c>
      <c r="V8" s="32" t="s">
        <v>21</v>
      </c>
      <c r="W8" s="32" t="s">
        <v>21</v>
      </c>
      <c r="X8" s="32" t="s">
        <v>21</v>
      </c>
      <c r="Y8" s="32" t="s">
        <v>21</v>
      </c>
      <c r="Z8" s="32" t="s">
        <v>21</v>
      </c>
      <c r="AA8" s="31" t="s">
        <v>452</v>
      </c>
      <c r="AB8" s="31" t="s">
        <v>453</v>
      </c>
      <c r="AC8" s="31" t="s">
        <v>454</v>
      </c>
      <c r="AD8" s="31" t="s">
        <v>455</v>
      </c>
      <c r="AE8" s="31" t="s">
        <v>456</v>
      </c>
      <c r="AF8" s="31" t="s">
        <v>457</v>
      </c>
      <c r="AG8" s="31" t="s">
        <v>458</v>
      </c>
      <c r="AH8" s="31" t="s">
        <v>459</v>
      </c>
      <c r="AI8" s="46" t="s">
        <v>452</v>
      </c>
      <c r="AJ8" s="31" t="s">
        <v>460</v>
      </c>
      <c r="AK8" s="54" t="s">
        <v>461</v>
      </c>
      <c r="AL8" s="54" t="s">
        <v>462</v>
      </c>
      <c r="AM8" s="54" t="s">
        <v>463</v>
      </c>
      <c r="AN8" s="54" t="s">
        <v>463</v>
      </c>
      <c r="AO8" s="54" t="s">
        <v>464</v>
      </c>
      <c r="AP8" s="54" t="s">
        <v>458</v>
      </c>
      <c r="AQ8" s="54" t="s">
        <v>465</v>
      </c>
      <c r="AR8" s="54" t="s">
        <v>465</v>
      </c>
      <c r="AS8" s="54" t="s">
        <v>466</v>
      </c>
      <c r="AT8" s="54" t="s">
        <v>452</v>
      </c>
      <c r="AU8" s="54" t="s">
        <v>467</v>
      </c>
      <c r="AV8" s="54" t="s">
        <v>467</v>
      </c>
      <c r="AW8" s="54" t="s">
        <v>454</v>
      </c>
      <c r="AX8" s="54" t="s">
        <v>468</v>
      </c>
      <c r="AY8" s="54" t="s">
        <v>469</v>
      </c>
      <c r="AZ8" s="54">
        <v>8.0</v>
      </c>
      <c r="BA8" s="54" t="s">
        <v>470</v>
      </c>
      <c r="BB8" s="54" t="s">
        <v>465</v>
      </c>
      <c r="BC8" s="54" t="s">
        <v>466</v>
      </c>
      <c r="BD8" s="54" t="s">
        <v>471</v>
      </c>
      <c r="BE8" s="54"/>
      <c r="BF8" s="54"/>
      <c r="BG8" s="54"/>
      <c r="BH8" s="54"/>
      <c r="BI8" s="54"/>
      <c r="BJ8" s="54"/>
      <c r="BK8" s="54"/>
    </row>
    <row r="9">
      <c r="A9" s="19" t="s">
        <v>433</v>
      </c>
      <c r="B9" s="19" t="s">
        <v>472</v>
      </c>
      <c r="C9" s="19" t="s">
        <v>12</v>
      </c>
      <c r="V9" s="32"/>
      <c r="W9" s="32"/>
      <c r="X9" s="32"/>
      <c r="Y9" s="32"/>
      <c r="Z9" s="32"/>
      <c r="AA9" s="31"/>
      <c r="AB9" s="31"/>
      <c r="AC9" s="31"/>
      <c r="AD9" s="31"/>
      <c r="AE9" s="31"/>
      <c r="AF9" s="31"/>
      <c r="AG9" s="31"/>
      <c r="AH9" s="31"/>
      <c r="AI9" s="46"/>
      <c r="AJ9" s="31"/>
      <c r="AK9" s="31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</row>
    <row r="10">
      <c r="A10" s="19" t="s">
        <v>433</v>
      </c>
      <c r="B10" s="19" t="s">
        <v>7</v>
      </c>
      <c r="C10" s="19" t="s">
        <v>18</v>
      </c>
      <c r="V10" s="32" t="s">
        <v>21</v>
      </c>
      <c r="W10" s="32" t="s">
        <v>21</v>
      </c>
      <c r="X10" s="32" t="s">
        <v>21</v>
      </c>
      <c r="Y10" s="32" t="s">
        <v>21</v>
      </c>
      <c r="Z10" s="32" t="s">
        <v>21</v>
      </c>
      <c r="AA10" s="31" t="s">
        <v>473</v>
      </c>
      <c r="AB10" s="31" t="s">
        <v>473</v>
      </c>
      <c r="AC10" s="31" t="s">
        <v>473</v>
      </c>
      <c r="AD10" s="31" t="s">
        <v>473</v>
      </c>
      <c r="AE10" s="31" t="s">
        <v>474</v>
      </c>
      <c r="AF10" s="31" t="s">
        <v>474</v>
      </c>
      <c r="AG10" s="31" t="s">
        <v>474</v>
      </c>
      <c r="AH10" s="31" t="s">
        <v>474</v>
      </c>
      <c r="AI10" s="46" t="s">
        <v>474</v>
      </c>
      <c r="AJ10" s="31" t="s">
        <v>475</v>
      </c>
      <c r="AK10" s="31" t="s">
        <v>475</v>
      </c>
      <c r="AL10" s="54" t="s">
        <v>476</v>
      </c>
      <c r="AM10" s="54" t="s">
        <v>476</v>
      </c>
      <c r="AN10" s="54" t="s">
        <v>476</v>
      </c>
      <c r="AO10" s="54" t="s">
        <v>476</v>
      </c>
      <c r="AP10" s="54" t="s">
        <v>476</v>
      </c>
      <c r="AQ10" s="54" t="s">
        <v>476</v>
      </c>
      <c r="AR10" s="54" t="s">
        <v>476</v>
      </c>
      <c r="AS10" s="54" t="s">
        <v>476</v>
      </c>
      <c r="AT10" s="54" t="s">
        <v>476</v>
      </c>
      <c r="AU10" s="54" t="s">
        <v>476</v>
      </c>
      <c r="AV10" s="54" t="s">
        <v>476</v>
      </c>
      <c r="AW10" s="54" t="s">
        <v>476</v>
      </c>
      <c r="AX10" s="54" t="s">
        <v>476</v>
      </c>
      <c r="AY10" s="54" t="s">
        <v>476</v>
      </c>
      <c r="AZ10" s="54">
        <v>1.0</v>
      </c>
      <c r="BA10" s="54" t="s">
        <v>477</v>
      </c>
      <c r="BB10" s="54" t="s">
        <v>478</v>
      </c>
      <c r="BC10" s="54" t="s">
        <v>478</v>
      </c>
      <c r="BD10" s="54" t="s">
        <v>478</v>
      </c>
      <c r="BE10" s="54"/>
      <c r="BF10" s="54"/>
      <c r="BG10" s="54"/>
      <c r="BH10" s="54"/>
      <c r="BI10" s="54"/>
      <c r="BJ10" s="54"/>
      <c r="BK10" s="54"/>
    </row>
    <row r="11">
      <c r="A11" s="19" t="s">
        <v>433</v>
      </c>
      <c r="B11" s="19" t="s">
        <v>7</v>
      </c>
      <c r="C11" s="19" t="s">
        <v>19</v>
      </c>
      <c r="V11" s="22"/>
      <c r="W11" s="22"/>
      <c r="X11" s="22"/>
      <c r="Y11" s="22"/>
      <c r="Z11" s="22"/>
      <c r="AA11" s="22"/>
      <c r="AB11" s="22"/>
      <c r="AC11" s="22"/>
      <c r="AD11" s="56"/>
      <c r="AE11" s="31"/>
      <c r="AF11" s="31"/>
      <c r="AG11" s="31"/>
      <c r="AH11" s="31"/>
      <c r="AI11" s="51"/>
      <c r="AJ11" s="31"/>
      <c r="AK11" s="31"/>
      <c r="AL11" s="31"/>
      <c r="AM11" s="31"/>
      <c r="AN11" s="31"/>
      <c r="AO11" s="54"/>
      <c r="AP11" s="52"/>
      <c r="AQ11" s="31"/>
      <c r="AR11" s="31">
        <v>6.0</v>
      </c>
      <c r="AS11" s="31">
        <v>5.0</v>
      </c>
      <c r="AT11" s="54">
        <v>4.0</v>
      </c>
      <c r="AU11" s="54">
        <v>3.0</v>
      </c>
      <c r="AV11" s="54">
        <v>2.0</v>
      </c>
      <c r="AW11" s="54">
        <v>2.0</v>
      </c>
      <c r="AX11" s="54">
        <v>9.0</v>
      </c>
      <c r="AY11" s="54">
        <v>9.0</v>
      </c>
      <c r="AZ11" s="54">
        <v>8.0</v>
      </c>
      <c r="BA11" s="54">
        <v>6.0</v>
      </c>
      <c r="BB11" s="54">
        <v>5.0</v>
      </c>
      <c r="BC11" s="54">
        <v>4.0</v>
      </c>
      <c r="BD11" s="54">
        <v>3.0</v>
      </c>
      <c r="BE11" s="54"/>
      <c r="BF11" s="54"/>
      <c r="BG11" s="54"/>
      <c r="BH11" s="54"/>
      <c r="BI11" s="54"/>
      <c r="BJ11" s="54"/>
      <c r="BK11" s="54"/>
    </row>
    <row r="12">
      <c r="A12" s="19" t="s">
        <v>433</v>
      </c>
      <c r="B12" s="26" t="s">
        <v>13</v>
      </c>
      <c r="C12" s="19" t="s">
        <v>20</v>
      </c>
      <c r="V12" s="22" t="s">
        <v>21</v>
      </c>
      <c r="W12" s="22" t="s">
        <v>21</v>
      </c>
      <c r="X12" s="22" t="s">
        <v>21</v>
      </c>
      <c r="Y12" s="22" t="s">
        <v>21</v>
      </c>
      <c r="Z12" s="22" t="s">
        <v>21</v>
      </c>
      <c r="AA12" s="22" t="s">
        <v>21</v>
      </c>
      <c r="AB12" s="22" t="s">
        <v>21</v>
      </c>
      <c r="AC12" s="22" t="s">
        <v>21</v>
      </c>
      <c r="AD12" s="56">
        <v>0.0</v>
      </c>
      <c r="AE12" s="31" t="s">
        <v>479</v>
      </c>
      <c r="AF12" s="31" t="s">
        <v>480</v>
      </c>
      <c r="AG12" s="31" t="s">
        <v>480</v>
      </c>
      <c r="AH12" s="31" t="s">
        <v>481</v>
      </c>
      <c r="AI12" s="51" t="s">
        <v>481</v>
      </c>
      <c r="AJ12" s="31" t="s">
        <v>479</v>
      </c>
      <c r="AK12" s="31" t="s">
        <v>479</v>
      </c>
      <c r="AL12" s="31" t="s">
        <v>479</v>
      </c>
      <c r="AM12" s="31" t="s">
        <v>479</v>
      </c>
      <c r="AN12" s="31" t="s">
        <v>479</v>
      </c>
      <c r="AO12" s="54" t="s">
        <v>482</v>
      </c>
      <c r="AP12" s="52" t="s">
        <v>483</v>
      </c>
      <c r="AQ12" s="31" t="s">
        <v>484</v>
      </c>
      <c r="AR12" s="31" t="s">
        <v>484</v>
      </c>
      <c r="AS12" s="31" t="s">
        <v>484</v>
      </c>
      <c r="AT12" s="54" t="s">
        <v>479</v>
      </c>
      <c r="AU12" s="54" t="s">
        <v>479</v>
      </c>
      <c r="AV12" s="54" t="s">
        <v>479</v>
      </c>
      <c r="AW12" s="54" t="s">
        <v>479</v>
      </c>
      <c r="AX12" s="54" t="s">
        <v>479</v>
      </c>
      <c r="AY12" s="54" t="s">
        <v>479</v>
      </c>
      <c r="AZ12" s="54">
        <v>1.0</v>
      </c>
      <c r="BA12" s="54">
        <v>1.0</v>
      </c>
      <c r="BB12" s="54">
        <v>1.0</v>
      </c>
      <c r="BC12" s="54">
        <v>1.0</v>
      </c>
      <c r="BD12" s="54">
        <v>1.0</v>
      </c>
      <c r="BE12" s="54"/>
      <c r="BF12" s="54"/>
      <c r="BG12" s="54"/>
      <c r="BH12" s="54"/>
      <c r="BI12" s="54"/>
      <c r="BJ12" s="54"/>
      <c r="BK12" s="54"/>
    </row>
    <row r="13">
      <c r="A13" s="19" t="s">
        <v>433</v>
      </c>
      <c r="B13" s="26" t="s">
        <v>13</v>
      </c>
      <c r="C13" s="19" t="s">
        <v>22</v>
      </c>
      <c r="V13" s="22" t="s">
        <v>21</v>
      </c>
      <c r="W13" s="22" t="s">
        <v>21</v>
      </c>
      <c r="X13" s="22" t="s">
        <v>21</v>
      </c>
      <c r="Y13" s="22" t="s">
        <v>21</v>
      </c>
      <c r="Z13" s="22" t="s">
        <v>21</v>
      </c>
      <c r="AA13" s="22" t="s">
        <v>21</v>
      </c>
      <c r="AB13" s="22" t="s">
        <v>21</v>
      </c>
      <c r="AC13" s="22" t="s">
        <v>21</v>
      </c>
      <c r="AD13" s="56">
        <v>0.0</v>
      </c>
      <c r="AE13" s="56">
        <v>0.0</v>
      </c>
      <c r="AF13" s="56">
        <v>0.0</v>
      </c>
      <c r="AG13" s="56">
        <v>0.0</v>
      </c>
      <c r="AH13" s="56">
        <v>0.0</v>
      </c>
      <c r="AI13" s="53">
        <v>0.0</v>
      </c>
      <c r="AJ13" s="31" t="s">
        <v>485</v>
      </c>
      <c r="AK13" s="54" t="s">
        <v>486</v>
      </c>
      <c r="AL13" s="54" t="s">
        <v>487</v>
      </c>
      <c r="AM13" s="54" t="s">
        <v>487</v>
      </c>
      <c r="AN13" s="54" t="s">
        <v>487</v>
      </c>
      <c r="AO13" s="54" t="s">
        <v>487</v>
      </c>
      <c r="AP13" s="54" t="s">
        <v>487</v>
      </c>
      <c r="AQ13" s="54" t="s">
        <v>487</v>
      </c>
      <c r="AR13" s="54" t="s">
        <v>487</v>
      </c>
      <c r="AS13" s="55" t="s">
        <v>488</v>
      </c>
      <c r="AT13" s="54" t="s">
        <v>487</v>
      </c>
      <c r="AU13" s="54" t="s">
        <v>487</v>
      </c>
      <c r="AV13" s="54" t="s">
        <v>487</v>
      </c>
      <c r="AW13" s="54" t="s">
        <v>487</v>
      </c>
      <c r="AX13" s="54" t="s">
        <v>487</v>
      </c>
      <c r="AY13" s="54" t="s">
        <v>487</v>
      </c>
      <c r="AZ13" s="54">
        <v>1.0</v>
      </c>
      <c r="BA13" s="54">
        <v>1.0</v>
      </c>
      <c r="BB13" s="54">
        <v>1.0</v>
      </c>
      <c r="BC13" s="54">
        <v>1.0</v>
      </c>
      <c r="BD13" s="54" t="s">
        <v>489</v>
      </c>
      <c r="BE13" s="54"/>
      <c r="BF13" s="54"/>
      <c r="BG13" s="54"/>
      <c r="BH13" s="54"/>
      <c r="BI13" s="54"/>
      <c r="BJ13" s="54"/>
      <c r="BK13" s="54"/>
    </row>
    <row r="14">
      <c r="A14" s="19" t="s">
        <v>433</v>
      </c>
      <c r="B14" s="26" t="s">
        <v>13</v>
      </c>
      <c r="C14" s="19" t="s">
        <v>134</v>
      </c>
      <c r="V14" s="22" t="s">
        <v>21</v>
      </c>
      <c r="W14" s="22" t="s">
        <v>21</v>
      </c>
      <c r="X14" s="22" t="s">
        <v>21</v>
      </c>
      <c r="Y14" s="22" t="s">
        <v>21</v>
      </c>
      <c r="Z14" s="22" t="s">
        <v>21</v>
      </c>
      <c r="AA14" s="22" t="s">
        <v>21</v>
      </c>
      <c r="AB14" s="22" t="s">
        <v>21</v>
      </c>
      <c r="AC14" s="22" t="s">
        <v>21</v>
      </c>
      <c r="AD14" s="31" t="s">
        <v>490</v>
      </c>
      <c r="AE14" s="31" t="s">
        <v>491</v>
      </c>
      <c r="AF14" s="31" t="s">
        <v>492</v>
      </c>
      <c r="AG14" s="31" t="s">
        <v>493</v>
      </c>
      <c r="AH14" s="31" t="s">
        <v>494</v>
      </c>
      <c r="AI14" s="46">
        <v>3.0</v>
      </c>
      <c r="AJ14" s="31">
        <v>12.0</v>
      </c>
      <c r="AK14" s="54">
        <v>8.0</v>
      </c>
      <c r="AL14" s="54">
        <v>9.0</v>
      </c>
      <c r="AM14" s="54">
        <v>7.0</v>
      </c>
      <c r="AN14" s="54">
        <v>7.0</v>
      </c>
      <c r="AO14" s="54">
        <v>7.0</v>
      </c>
      <c r="AP14" s="54">
        <v>6.0</v>
      </c>
      <c r="AQ14" s="54">
        <v>5.0</v>
      </c>
      <c r="AR14" s="54">
        <v>5.0</v>
      </c>
      <c r="AS14" s="55">
        <v>3.0</v>
      </c>
      <c r="AT14" s="52">
        <v>1.0</v>
      </c>
      <c r="AU14" s="56">
        <v>0.0</v>
      </c>
      <c r="AV14" s="56">
        <v>0.0</v>
      </c>
      <c r="AW14" s="54">
        <v>13.0</v>
      </c>
      <c r="AX14" s="54">
        <v>13.0</v>
      </c>
      <c r="AY14" s="54">
        <v>12.0</v>
      </c>
      <c r="AZ14" s="54">
        <v>11.0</v>
      </c>
      <c r="BA14" s="54">
        <v>27.0</v>
      </c>
      <c r="BB14" s="54">
        <v>26.0</v>
      </c>
      <c r="BC14" s="54">
        <v>25.0</v>
      </c>
      <c r="BD14" s="54">
        <v>23.0</v>
      </c>
      <c r="BE14" s="54"/>
      <c r="BF14" s="54"/>
      <c r="BG14" s="54"/>
      <c r="BH14" s="54"/>
      <c r="BI14" s="54"/>
      <c r="BJ14" s="54"/>
      <c r="BK14" s="54"/>
    </row>
    <row r="15">
      <c r="A15" s="19" t="s">
        <v>433</v>
      </c>
      <c r="B15" s="26" t="s">
        <v>13</v>
      </c>
      <c r="C15" s="19" t="s">
        <v>148</v>
      </c>
      <c r="V15" s="22"/>
      <c r="W15" s="22"/>
      <c r="X15" s="22"/>
      <c r="Y15" s="22"/>
      <c r="Z15" s="22"/>
      <c r="AA15" s="22"/>
      <c r="AB15" s="22"/>
      <c r="AC15" s="22"/>
      <c r="AD15" s="31"/>
      <c r="AE15" s="31"/>
      <c r="AF15" s="31"/>
      <c r="AG15" s="31"/>
      <c r="AH15" s="31"/>
      <c r="AI15" s="46">
        <v>9.0</v>
      </c>
      <c r="AJ15" s="31">
        <v>15.0</v>
      </c>
      <c r="AK15" s="54">
        <v>12.0</v>
      </c>
      <c r="AL15" s="54">
        <v>23.0</v>
      </c>
      <c r="AM15" s="54">
        <v>23.0</v>
      </c>
      <c r="AN15" s="54">
        <v>23.0</v>
      </c>
      <c r="AO15" s="54">
        <v>23.0</v>
      </c>
      <c r="AP15" s="54">
        <v>22.0</v>
      </c>
      <c r="AQ15" s="54">
        <v>22.0</v>
      </c>
      <c r="AR15" s="54">
        <v>22.0</v>
      </c>
      <c r="AS15" s="54">
        <v>20.0</v>
      </c>
      <c r="AT15" s="54">
        <v>19.0</v>
      </c>
      <c r="AU15" s="54">
        <v>18.0</v>
      </c>
      <c r="AV15" s="54">
        <v>18.0</v>
      </c>
      <c r="AW15" s="54">
        <v>26.0</v>
      </c>
      <c r="AX15" s="54">
        <v>25.0</v>
      </c>
      <c r="AY15" s="54">
        <v>25.0</v>
      </c>
      <c r="AZ15" s="54">
        <v>23.0</v>
      </c>
      <c r="BA15" s="54">
        <v>22.0</v>
      </c>
      <c r="BB15" s="54">
        <v>22.0</v>
      </c>
      <c r="BC15" s="54">
        <v>21.0</v>
      </c>
      <c r="BD15" s="54">
        <v>19.0</v>
      </c>
      <c r="BE15" s="54"/>
      <c r="BF15" s="54"/>
      <c r="BG15" s="54"/>
      <c r="BH15" s="54"/>
      <c r="BI15" s="54"/>
      <c r="BJ15" s="54"/>
      <c r="BK15" s="54"/>
    </row>
    <row r="16">
      <c r="A16" s="19" t="s">
        <v>433</v>
      </c>
      <c r="B16" s="26" t="s">
        <v>13</v>
      </c>
      <c r="C16" s="19" t="s">
        <v>149</v>
      </c>
      <c r="V16" s="22"/>
      <c r="W16" s="22"/>
      <c r="X16" s="22"/>
      <c r="Y16" s="22"/>
      <c r="Z16" s="22"/>
      <c r="AA16" s="22"/>
      <c r="AB16" s="22"/>
      <c r="AC16" s="22"/>
      <c r="AD16" s="31"/>
      <c r="AE16" s="31"/>
      <c r="AF16" s="31"/>
      <c r="AG16" s="31"/>
      <c r="AH16" s="31"/>
      <c r="AI16" s="46">
        <v>9.0</v>
      </c>
      <c r="AJ16" s="31">
        <v>14.0</v>
      </c>
      <c r="AK16" s="54">
        <v>12.0</v>
      </c>
      <c r="AL16" s="54">
        <v>15.0</v>
      </c>
      <c r="AM16" s="54">
        <v>17.0</v>
      </c>
      <c r="AN16" s="54">
        <v>19.0</v>
      </c>
      <c r="AO16" s="54">
        <v>18.0</v>
      </c>
      <c r="AP16" s="54">
        <v>17.0</v>
      </c>
      <c r="AQ16" s="54">
        <v>16.0</v>
      </c>
      <c r="AR16" s="54">
        <v>16.0</v>
      </c>
      <c r="AS16" s="54">
        <v>15.0</v>
      </c>
      <c r="AT16" s="54">
        <v>13.0</v>
      </c>
      <c r="AU16" s="54">
        <v>13.0</v>
      </c>
      <c r="AV16" s="54">
        <v>13.0</v>
      </c>
      <c r="AW16" s="54">
        <v>12.0</v>
      </c>
      <c r="AX16" s="54">
        <v>11.0</v>
      </c>
      <c r="AY16" s="54">
        <v>10.0</v>
      </c>
      <c r="AZ16" s="54">
        <v>9.0</v>
      </c>
      <c r="BA16" s="54">
        <v>16.0</v>
      </c>
      <c r="BB16" s="54">
        <v>16.0</v>
      </c>
      <c r="BC16" s="54">
        <v>15.0</v>
      </c>
      <c r="BD16" s="54">
        <v>13.0</v>
      </c>
      <c r="BE16" s="54"/>
      <c r="BF16" s="54"/>
      <c r="BG16" s="54"/>
      <c r="BH16" s="54"/>
      <c r="BI16" s="54"/>
      <c r="BJ16" s="54"/>
      <c r="BK16" s="54"/>
    </row>
    <row r="17">
      <c r="A17" s="19" t="s">
        <v>433</v>
      </c>
      <c r="B17" s="26" t="s">
        <v>13</v>
      </c>
      <c r="C17" s="19" t="s">
        <v>23</v>
      </c>
      <c r="V17" s="22" t="s">
        <v>21</v>
      </c>
      <c r="W17" s="22" t="s">
        <v>21</v>
      </c>
      <c r="X17" s="22" t="s">
        <v>21</v>
      </c>
      <c r="Y17" s="22" t="s">
        <v>21</v>
      </c>
      <c r="Z17" s="22" t="s">
        <v>21</v>
      </c>
      <c r="AA17" s="22" t="s">
        <v>21</v>
      </c>
      <c r="AB17" s="22" t="s">
        <v>21</v>
      </c>
      <c r="AC17" s="22" t="s">
        <v>21</v>
      </c>
      <c r="AD17" s="56">
        <v>0.0</v>
      </c>
      <c r="AE17" s="31">
        <v>2.0</v>
      </c>
      <c r="AF17" s="31">
        <v>1.0</v>
      </c>
      <c r="AG17" s="31" t="s">
        <v>495</v>
      </c>
      <c r="AH17" s="31" t="s">
        <v>495</v>
      </c>
      <c r="AI17" s="53" t="s">
        <v>495</v>
      </c>
      <c r="AJ17" s="31">
        <v>3.0</v>
      </c>
      <c r="AK17" s="54">
        <v>2.0</v>
      </c>
      <c r="AL17" s="54">
        <v>2.0</v>
      </c>
      <c r="AM17" s="54">
        <v>4.0</v>
      </c>
      <c r="AN17" s="54">
        <v>6.0</v>
      </c>
      <c r="AO17" s="54">
        <v>5.0</v>
      </c>
      <c r="AP17" s="54">
        <v>5.0</v>
      </c>
      <c r="AQ17" s="54">
        <v>4.0</v>
      </c>
      <c r="AR17" s="54">
        <v>4.0</v>
      </c>
      <c r="AS17" s="56">
        <v>0.0</v>
      </c>
      <c r="AT17" s="54">
        <v>4.0</v>
      </c>
      <c r="AU17" s="54">
        <v>4.0</v>
      </c>
      <c r="AV17" s="54">
        <v>4.0</v>
      </c>
      <c r="AW17" s="54">
        <v>11.0</v>
      </c>
      <c r="AX17" s="54">
        <v>11.0</v>
      </c>
      <c r="AY17" s="54">
        <v>10.0</v>
      </c>
      <c r="AZ17" s="54">
        <v>8.0</v>
      </c>
      <c r="BA17" s="54">
        <v>7.0</v>
      </c>
      <c r="BB17" s="54">
        <v>5.0</v>
      </c>
      <c r="BC17" s="54">
        <v>4.0</v>
      </c>
      <c r="BD17" s="54">
        <v>4.0</v>
      </c>
      <c r="BE17" s="54"/>
      <c r="BF17" s="54"/>
      <c r="BG17" s="54"/>
      <c r="BH17" s="54"/>
      <c r="BI17" s="54"/>
      <c r="BJ17" s="54"/>
      <c r="BK17" s="54"/>
    </row>
    <row r="18">
      <c r="A18" s="19" t="s">
        <v>433</v>
      </c>
      <c r="B18" s="26" t="s">
        <v>13</v>
      </c>
      <c r="C18" s="19" t="s">
        <v>24</v>
      </c>
      <c r="V18" s="22" t="s">
        <v>21</v>
      </c>
      <c r="W18" s="22" t="s">
        <v>21</v>
      </c>
      <c r="X18" s="22" t="s">
        <v>21</v>
      </c>
      <c r="Y18" s="22" t="s">
        <v>21</v>
      </c>
      <c r="Z18" s="22" t="s">
        <v>21</v>
      </c>
      <c r="AA18" s="22" t="s">
        <v>21</v>
      </c>
      <c r="AB18" s="22" t="s">
        <v>21</v>
      </c>
      <c r="AC18" s="22" t="s">
        <v>21</v>
      </c>
      <c r="AD18" s="56">
        <v>0.0</v>
      </c>
      <c r="AE18" s="31">
        <v>3.0</v>
      </c>
      <c r="AF18" s="31">
        <v>2.0</v>
      </c>
      <c r="AG18" s="31">
        <v>2.0</v>
      </c>
      <c r="AH18" s="31">
        <v>2.0</v>
      </c>
      <c r="AI18" s="51">
        <v>1.0</v>
      </c>
      <c r="AJ18" s="31">
        <v>4.0</v>
      </c>
      <c r="AK18" s="54">
        <v>4.0</v>
      </c>
      <c r="AL18" s="54">
        <v>4.0</v>
      </c>
      <c r="AM18" s="54">
        <v>3.0</v>
      </c>
      <c r="AN18" s="54">
        <v>3.0</v>
      </c>
      <c r="AO18" s="54">
        <v>3.0</v>
      </c>
      <c r="AP18" s="54">
        <v>3.0</v>
      </c>
      <c r="AQ18" s="54">
        <v>3.0</v>
      </c>
      <c r="AR18" s="54">
        <v>3.0</v>
      </c>
      <c r="AS18" s="55">
        <v>2.0</v>
      </c>
      <c r="AT18" s="55">
        <v>2.0</v>
      </c>
      <c r="AU18" s="55">
        <v>2.0</v>
      </c>
      <c r="AV18" s="52">
        <v>1.0</v>
      </c>
      <c r="AW18" s="54">
        <v>5.0</v>
      </c>
      <c r="AX18" s="54">
        <v>5.0</v>
      </c>
      <c r="AY18" s="54">
        <v>5.0</v>
      </c>
      <c r="AZ18" s="54">
        <v>4.0</v>
      </c>
      <c r="BA18" s="54">
        <v>7.0</v>
      </c>
      <c r="BB18" s="54">
        <v>6.0</v>
      </c>
      <c r="BC18" s="54">
        <v>5.0</v>
      </c>
      <c r="BD18" s="54">
        <v>4.0</v>
      </c>
      <c r="BE18" s="54"/>
      <c r="BF18" s="54"/>
      <c r="BG18" s="54"/>
      <c r="BH18" s="54"/>
      <c r="BI18" s="54"/>
      <c r="BJ18" s="54"/>
      <c r="BK18" s="54"/>
    </row>
    <row r="19">
      <c r="A19" s="19" t="s">
        <v>433</v>
      </c>
      <c r="B19" s="19" t="s">
        <v>472</v>
      </c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</row>
    <row r="20"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</row>
    <row r="21"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</row>
    <row r="22"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</row>
    <row r="23"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</row>
    <row r="24"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</row>
    <row r="25"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</row>
    <row r="26"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</row>
    <row r="27"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</row>
    <row r="28"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</row>
    <row r="29"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</row>
    <row r="30"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</row>
    <row r="31"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</row>
    <row r="32"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</row>
    <row r="33"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</row>
    <row r="34"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</row>
    <row r="35"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</row>
    <row r="36"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</row>
    <row r="37"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</row>
    <row r="38"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</row>
    <row r="39"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</row>
    <row r="40"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</row>
    <row r="41"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</row>
    <row r="42"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</row>
    <row r="43"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</row>
    <row r="44"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</row>
    <row r="45"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</row>
    <row r="46"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</row>
    <row r="47"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</row>
    <row r="48"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</row>
    <row r="49"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</row>
    <row r="50"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</row>
    <row r="51"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</row>
    <row r="52"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</row>
    <row r="53"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</row>
    <row r="54"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</row>
    <row r="55"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</row>
    <row r="56"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</row>
    <row r="57"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</row>
    <row r="58"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</row>
    <row r="59"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</row>
    <row r="60"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</row>
    <row r="61"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</row>
    <row r="62"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</row>
    <row r="63"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</row>
    <row r="64"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</row>
    <row r="65"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</row>
    <row r="66"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</row>
    <row r="67"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</row>
    <row r="68"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</row>
    <row r="69"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</row>
    <row r="70"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</row>
    <row r="71"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</row>
    <row r="72"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</row>
    <row r="73"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</row>
    <row r="74"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</row>
    <row r="75"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</row>
    <row r="76"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</row>
    <row r="77"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</row>
    <row r="78"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</row>
    <row r="79"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</row>
    <row r="80"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</row>
    <row r="81"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</row>
    <row r="82"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</row>
    <row r="83"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</row>
    <row r="84"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</row>
    <row r="85"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</row>
    <row r="86"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</row>
    <row r="87"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</row>
    <row r="88"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</row>
    <row r="89"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</row>
    <row r="90"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</row>
    <row r="91"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</row>
    <row r="92"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</row>
    <row r="93"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</row>
    <row r="94"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</row>
    <row r="95"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</row>
    <row r="96"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</row>
    <row r="97"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</row>
    <row r="98"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</row>
    <row r="99"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</row>
    <row r="100"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</row>
    <row r="101"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</row>
    <row r="102"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</row>
    <row r="103"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</row>
    <row r="104"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</row>
    <row r="105"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</row>
    <row r="106"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</row>
    <row r="107"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</row>
    <row r="108"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</row>
    <row r="109"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</row>
    <row r="110"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</row>
    <row r="111"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</row>
    <row r="112"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</row>
    <row r="113"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</row>
    <row r="114"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</row>
    <row r="115"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</row>
    <row r="116"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</row>
    <row r="117"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</row>
    <row r="118"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</row>
    <row r="119"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</row>
    <row r="120"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</row>
    <row r="121"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</row>
    <row r="122"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</row>
    <row r="123"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</row>
    <row r="124"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</row>
    <row r="125"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</row>
    <row r="126"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</row>
    <row r="127"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</row>
    <row r="128"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</row>
    <row r="129"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</row>
    <row r="130"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</row>
    <row r="131"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</row>
    <row r="132"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</row>
    <row r="133"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</row>
    <row r="134"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</row>
    <row r="135"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</row>
    <row r="136"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</row>
    <row r="137"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</row>
    <row r="138"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</row>
    <row r="139"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</row>
    <row r="140"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</row>
    <row r="141"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</row>
    <row r="142"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</row>
    <row r="143"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</row>
    <row r="144"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</row>
    <row r="145"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</row>
    <row r="146"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</row>
    <row r="147"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</row>
    <row r="148"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</row>
    <row r="149"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</row>
    <row r="150"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</row>
    <row r="151"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</row>
    <row r="152"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</row>
    <row r="153"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</row>
    <row r="154"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</row>
    <row r="155"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</row>
    <row r="156"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</row>
    <row r="157"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</row>
    <row r="158"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</row>
    <row r="159"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</row>
    <row r="160"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</row>
    <row r="161"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</row>
    <row r="162"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</row>
    <row r="163"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</row>
    <row r="164"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</row>
    <row r="165"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</row>
    <row r="166"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</row>
    <row r="167"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</row>
    <row r="168"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</row>
    <row r="169"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</row>
    <row r="170"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</row>
    <row r="171"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</row>
    <row r="172"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</row>
    <row r="173"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</row>
    <row r="174"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</row>
    <row r="175"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</row>
    <row r="176"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</row>
    <row r="177"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</row>
    <row r="178"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</row>
    <row r="179"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</row>
    <row r="180"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</row>
    <row r="181"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</row>
    <row r="182"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</row>
    <row r="183"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</row>
    <row r="184"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</row>
    <row r="185"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</row>
    <row r="186"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</row>
    <row r="187"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</row>
    <row r="188"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</row>
    <row r="189"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</row>
    <row r="190"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</row>
    <row r="191"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</row>
    <row r="192"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</row>
    <row r="193"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</row>
    <row r="194"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</row>
    <row r="195"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</row>
    <row r="196"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</row>
    <row r="197"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</row>
    <row r="198"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</row>
    <row r="199"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</row>
    <row r="200"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</row>
    <row r="201"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47"/>
      <c r="AW201" s="47"/>
      <c r="AX201" s="47"/>
      <c r="AY201" s="47"/>
      <c r="AZ201" s="47"/>
      <c r="BA201" s="47"/>
      <c r="BB201" s="47"/>
      <c r="BC201" s="47"/>
      <c r="BD201" s="47"/>
      <c r="BE201" s="47"/>
      <c r="BF201" s="47"/>
      <c r="BG201" s="47"/>
      <c r="BH201" s="47"/>
      <c r="BI201" s="47"/>
      <c r="BJ201" s="47"/>
      <c r="BK201" s="47"/>
    </row>
    <row r="202"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  <c r="BE202" s="47"/>
      <c r="BF202" s="47"/>
      <c r="BG202" s="47"/>
      <c r="BH202" s="47"/>
      <c r="BI202" s="47"/>
      <c r="BJ202" s="47"/>
      <c r="BK202" s="47"/>
    </row>
    <row r="203"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47"/>
      <c r="AW203" s="47"/>
      <c r="AX203" s="47"/>
      <c r="AY203" s="47"/>
      <c r="AZ203" s="47"/>
      <c r="BA203" s="47"/>
      <c r="BB203" s="47"/>
      <c r="BC203" s="47"/>
      <c r="BD203" s="47"/>
      <c r="BE203" s="47"/>
      <c r="BF203" s="47"/>
      <c r="BG203" s="47"/>
      <c r="BH203" s="47"/>
      <c r="BI203" s="47"/>
      <c r="BJ203" s="47"/>
      <c r="BK203" s="47"/>
    </row>
    <row r="204"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  <c r="BE204" s="47"/>
      <c r="BF204" s="47"/>
      <c r="BG204" s="47"/>
      <c r="BH204" s="47"/>
      <c r="BI204" s="47"/>
      <c r="BJ204" s="47"/>
      <c r="BK204" s="47"/>
    </row>
    <row r="205"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47"/>
      <c r="AW205" s="47"/>
      <c r="AX205" s="47"/>
      <c r="AY205" s="47"/>
      <c r="AZ205" s="47"/>
      <c r="BA205" s="47"/>
      <c r="BB205" s="47"/>
      <c r="BC205" s="47"/>
      <c r="BD205" s="47"/>
      <c r="BE205" s="47"/>
      <c r="BF205" s="47"/>
      <c r="BG205" s="47"/>
      <c r="BH205" s="47"/>
      <c r="BI205" s="47"/>
      <c r="BJ205" s="47"/>
      <c r="BK205" s="47"/>
    </row>
    <row r="206"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</row>
    <row r="207"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47"/>
      <c r="AW207" s="47"/>
      <c r="AX207" s="47"/>
      <c r="AY207" s="47"/>
      <c r="AZ207" s="47"/>
      <c r="BA207" s="47"/>
      <c r="BB207" s="47"/>
      <c r="BC207" s="47"/>
      <c r="BD207" s="47"/>
      <c r="BE207" s="47"/>
      <c r="BF207" s="47"/>
      <c r="BG207" s="47"/>
      <c r="BH207" s="47"/>
      <c r="BI207" s="47"/>
      <c r="BJ207" s="47"/>
      <c r="BK207" s="47"/>
    </row>
    <row r="208"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  <c r="BE208" s="47"/>
      <c r="BF208" s="47"/>
      <c r="BG208" s="47"/>
      <c r="BH208" s="47"/>
      <c r="BI208" s="47"/>
      <c r="BJ208" s="47"/>
      <c r="BK208" s="47"/>
    </row>
    <row r="209"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47"/>
      <c r="AW209" s="47"/>
      <c r="AX209" s="47"/>
      <c r="AY209" s="47"/>
      <c r="AZ209" s="47"/>
      <c r="BA209" s="47"/>
      <c r="BB209" s="47"/>
      <c r="BC209" s="47"/>
      <c r="BD209" s="47"/>
      <c r="BE209" s="47"/>
      <c r="BF209" s="47"/>
      <c r="BG209" s="47"/>
      <c r="BH209" s="47"/>
      <c r="BI209" s="47"/>
      <c r="BJ209" s="47"/>
      <c r="BK209" s="47"/>
    </row>
    <row r="210"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  <c r="BE210" s="47"/>
      <c r="BF210" s="47"/>
      <c r="BG210" s="47"/>
      <c r="BH210" s="47"/>
      <c r="BI210" s="47"/>
      <c r="BJ210" s="47"/>
      <c r="BK210" s="47"/>
    </row>
    <row r="211"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47"/>
      <c r="AW211" s="47"/>
      <c r="AX211" s="47"/>
      <c r="AY211" s="47"/>
      <c r="AZ211" s="47"/>
      <c r="BA211" s="47"/>
      <c r="BB211" s="47"/>
      <c r="BC211" s="47"/>
      <c r="BD211" s="47"/>
      <c r="BE211" s="47"/>
      <c r="BF211" s="47"/>
      <c r="BG211" s="47"/>
      <c r="BH211" s="47"/>
      <c r="BI211" s="47"/>
      <c r="BJ211" s="47"/>
      <c r="BK211" s="47"/>
    </row>
    <row r="212"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</row>
    <row r="213"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47"/>
      <c r="AW213" s="47"/>
      <c r="AX213" s="47"/>
      <c r="AY213" s="47"/>
      <c r="AZ213" s="47"/>
      <c r="BA213" s="47"/>
      <c r="BB213" s="47"/>
      <c r="BC213" s="47"/>
      <c r="BD213" s="47"/>
      <c r="BE213" s="47"/>
      <c r="BF213" s="47"/>
      <c r="BG213" s="47"/>
      <c r="BH213" s="47"/>
      <c r="BI213" s="47"/>
      <c r="BJ213" s="47"/>
      <c r="BK213" s="47"/>
    </row>
    <row r="214"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  <c r="BE214" s="47"/>
      <c r="BF214" s="47"/>
      <c r="BG214" s="47"/>
      <c r="BH214" s="47"/>
      <c r="BI214" s="47"/>
      <c r="BJ214" s="47"/>
      <c r="BK214" s="47"/>
    </row>
    <row r="215"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47"/>
      <c r="AW215" s="47"/>
      <c r="AX215" s="47"/>
      <c r="AY215" s="47"/>
      <c r="AZ215" s="47"/>
      <c r="BA215" s="47"/>
      <c r="BB215" s="47"/>
      <c r="BC215" s="47"/>
      <c r="BD215" s="47"/>
      <c r="BE215" s="47"/>
      <c r="BF215" s="47"/>
      <c r="BG215" s="47"/>
      <c r="BH215" s="47"/>
      <c r="BI215" s="47"/>
      <c r="BJ215" s="47"/>
      <c r="BK215" s="47"/>
    </row>
    <row r="216"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  <c r="BE216" s="47"/>
      <c r="BF216" s="47"/>
      <c r="BG216" s="47"/>
      <c r="BH216" s="47"/>
      <c r="BI216" s="47"/>
      <c r="BJ216" s="47"/>
      <c r="BK216" s="47"/>
    </row>
    <row r="217"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47"/>
      <c r="AW217" s="47"/>
      <c r="AX217" s="47"/>
      <c r="AY217" s="47"/>
      <c r="AZ217" s="47"/>
      <c r="BA217" s="47"/>
      <c r="BB217" s="47"/>
      <c r="BC217" s="47"/>
      <c r="BD217" s="47"/>
      <c r="BE217" s="47"/>
      <c r="BF217" s="47"/>
      <c r="BG217" s="47"/>
      <c r="BH217" s="47"/>
      <c r="BI217" s="47"/>
      <c r="BJ217" s="47"/>
      <c r="BK217" s="47"/>
    </row>
    <row r="218"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  <c r="BE218" s="47"/>
      <c r="BF218" s="47"/>
      <c r="BG218" s="47"/>
      <c r="BH218" s="47"/>
      <c r="BI218" s="47"/>
      <c r="BJ218" s="47"/>
      <c r="BK218" s="47"/>
    </row>
    <row r="219"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</row>
    <row r="220"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</row>
    <row r="221"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47"/>
      <c r="AW221" s="47"/>
      <c r="AX221" s="47"/>
      <c r="AY221" s="47"/>
      <c r="AZ221" s="47"/>
      <c r="BA221" s="47"/>
      <c r="BB221" s="47"/>
      <c r="BC221" s="47"/>
      <c r="BD221" s="47"/>
      <c r="BE221" s="47"/>
      <c r="BF221" s="47"/>
      <c r="BG221" s="47"/>
      <c r="BH221" s="47"/>
      <c r="BI221" s="47"/>
      <c r="BJ221" s="47"/>
      <c r="BK221" s="47"/>
    </row>
    <row r="222"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</row>
    <row r="223"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</row>
    <row r="224"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</row>
    <row r="225"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4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47"/>
      <c r="BK225" s="47"/>
    </row>
    <row r="226"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  <c r="BE226" s="47"/>
      <c r="BF226" s="47"/>
      <c r="BG226" s="47"/>
      <c r="BH226" s="47"/>
      <c r="BI226" s="47"/>
      <c r="BJ226" s="47"/>
      <c r="BK226" s="47"/>
    </row>
    <row r="227"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</row>
    <row r="228"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</row>
    <row r="229"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47"/>
      <c r="AW229" s="47"/>
      <c r="AX229" s="47"/>
      <c r="AY229" s="47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</row>
    <row r="230"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</row>
    <row r="231"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47"/>
      <c r="AW231" s="47"/>
      <c r="AX231" s="47"/>
      <c r="AY231" s="47"/>
      <c r="AZ231" s="47"/>
      <c r="BA231" s="47"/>
      <c r="BB231" s="47"/>
      <c r="BC231" s="47"/>
      <c r="BD231" s="47"/>
      <c r="BE231" s="47"/>
      <c r="BF231" s="47"/>
      <c r="BG231" s="47"/>
      <c r="BH231" s="47"/>
      <c r="BI231" s="47"/>
      <c r="BJ231" s="47"/>
      <c r="BK231" s="47"/>
    </row>
    <row r="232"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</row>
    <row r="233"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</row>
    <row r="234"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</row>
    <row r="235"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</row>
    <row r="236"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</row>
    <row r="237"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</row>
    <row r="238"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</row>
    <row r="239"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47"/>
      <c r="AW239" s="47"/>
      <c r="AX239" s="47"/>
      <c r="AY239" s="47"/>
      <c r="AZ239" s="47"/>
      <c r="BA239" s="47"/>
      <c r="BB239" s="47"/>
      <c r="BC239" s="47"/>
      <c r="BD239" s="47"/>
      <c r="BE239" s="47"/>
      <c r="BF239" s="47"/>
      <c r="BG239" s="47"/>
      <c r="BH239" s="47"/>
      <c r="BI239" s="47"/>
      <c r="BJ239" s="47"/>
      <c r="BK239" s="47"/>
    </row>
    <row r="240"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  <c r="BE240" s="47"/>
      <c r="BF240" s="47"/>
      <c r="BG240" s="47"/>
      <c r="BH240" s="47"/>
      <c r="BI240" s="47"/>
      <c r="BJ240" s="47"/>
      <c r="BK240" s="47"/>
    </row>
    <row r="241"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47"/>
      <c r="AW241" s="47"/>
      <c r="AX241" s="47"/>
      <c r="AY241" s="47"/>
      <c r="AZ241" s="47"/>
      <c r="BA241" s="47"/>
      <c r="BB241" s="47"/>
      <c r="BC241" s="47"/>
      <c r="BD241" s="47"/>
      <c r="BE241" s="47"/>
      <c r="BF241" s="47"/>
      <c r="BG241" s="47"/>
      <c r="BH241" s="47"/>
      <c r="BI241" s="47"/>
      <c r="BJ241" s="47"/>
      <c r="BK241" s="47"/>
    </row>
    <row r="242"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</row>
    <row r="243"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47"/>
      <c r="AW243" s="47"/>
      <c r="AX243" s="47"/>
      <c r="AY243" s="47"/>
      <c r="AZ243" s="47"/>
      <c r="BA243" s="47"/>
      <c r="BB243" s="47"/>
      <c r="BC243" s="47"/>
      <c r="BD243" s="47"/>
      <c r="BE243" s="47"/>
      <c r="BF243" s="47"/>
      <c r="BG243" s="47"/>
      <c r="BH243" s="47"/>
      <c r="BI243" s="47"/>
      <c r="BJ243" s="47"/>
      <c r="BK243" s="47"/>
    </row>
    <row r="244"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  <c r="BE244" s="47"/>
      <c r="BF244" s="47"/>
      <c r="BG244" s="47"/>
      <c r="BH244" s="47"/>
      <c r="BI244" s="47"/>
      <c r="BJ244" s="47"/>
      <c r="BK244" s="47"/>
    </row>
    <row r="245"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</row>
    <row r="246"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  <c r="BE246" s="47"/>
      <c r="BF246" s="47"/>
      <c r="BG246" s="47"/>
      <c r="BH246" s="47"/>
      <c r="BI246" s="47"/>
      <c r="BJ246" s="47"/>
      <c r="BK246" s="47"/>
    </row>
    <row r="247"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47"/>
      <c r="AW247" s="47"/>
      <c r="AX247" s="47"/>
      <c r="AY247" s="47"/>
      <c r="AZ247" s="47"/>
      <c r="BA247" s="47"/>
      <c r="BB247" s="47"/>
      <c r="BC247" s="47"/>
      <c r="BD247" s="47"/>
      <c r="BE247" s="47"/>
      <c r="BF247" s="47"/>
      <c r="BG247" s="47"/>
      <c r="BH247" s="47"/>
      <c r="BI247" s="47"/>
      <c r="BJ247" s="47"/>
      <c r="BK247" s="47"/>
    </row>
    <row r="248"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  <c r="BE248" s="47"/>
      <c r="BF248" s="47"/>
      <c r="BG248" s="47"/>
      <c r="BH248" s="47"/>
      <c r="BI248" s="47"/>
      <c r="BJ248" s="47"/>
      <c r="BK248" s="47"/>
    </row>
    <row r="249"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47"/>
      <c r="AW249" s="47"/>
      <c r="AX249" s="47"/>
      <c r="AY249" s="47"/>
      <c r="AZ249" s="47"/>
      <c r="BA249" s="47"/>
      <c r="BB249" s="47"/>
      <c r="BC249" s="47"/>
      <c r="BD249" s="47"/>
      <c r="BE249" s="47"/>
      <c r="BF249" s="47"/>
      <c r="BG249" s="47"/>
      <c r="BH249" s="47"/>
      <c r="BI249" s="47"/>
      <c r="BJ249" s="47"/>
      <c r="BK249" s="47"/>
    </row>
    <row r="250"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</row>
    <row r="251"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47"/>
      <c r="AW251" s="47"/>
      <c r="AX251" s="47"/>
      <c r="AY251" s="47"/>
      <c r="AZ251" s="47"/>
      <c r="BA251" s="47"/>
      <c r="BB251" s="47"/>
      <c r="BC251" s="47"/>
      <c r="BD251" s="47"/>
      <c r="BE251" s="47"/>
      <c r="BF251" s="47"/>
      <c r="BG251" s="47"/>
      <c r="BH251" s="47"/>
      <c r="BI251" s="47"/>
      <c r="BJ251" s="47"/>
      <c r="BK251" s="47"/>
    </row>
    <row r="252"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  <c r="BE252" s="47"/>
      <c r="BF252" s="47"/>
      <c r="BG252" s="47"/>
      <c r="BH252" s="47"/>
      <c r="BI252" s="47"/>
      <c r="BJ252" s="47"/>
      <c r="BK252" s="47"/>
    </row>
    <row r="253"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47"/>
      <c r="AW253" s="47"/>
      <c r="AX253" s="47"/>
      <c r="AY253" s="47"/>
      <c r="AZ253" s="47"/>
      <c r="BA253" s="47"/>
      <c r="BB253" s="47"/>
      <c r="BC253" s="47"/>
      <c r="BD253" s="47"/>
      <c r="BE253" s="47"/>
      <c r="BF253" s="47"/>
      <c r="BG253" s="47"/>
      <c r="BH253" s="47"/>
      <c r="BI253" s="47"/>
      <c r="BJ253" s="47"/>
      <c r="BK253" s="47"/>
    </row>
    <row r="254"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  <c r="BE254" s="47"/>
      <c r="BF254" s="47"/>
      <c r="BG254" s="47"/>
      <c r="BH254" s="47"/>
      <c r="BI254" s="47"/>
      <c r="BJ254" s="47"/>
      <c r="BK254" s="47"/>
    </row>
    <row r="255"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</row>
    <row r="256"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</row>
    <row r="257"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</row>
    <row r="258"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</row>
    <row r="259"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</row>
    <row r="260"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  <c r="BE260" s="47"/>
      <c r="BF260" s="47"/>
      <c r="BG260" s="47"/>
      <c r="BH260" s="47"/>
      <c r="BI260" s="47"/>
      <c r="BJ260" s="47"/>
      <c r="BK260" s="47"/>
    </row>
    <row r="261"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</row>
    <row r="262"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</row>
    <row r="263"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</row>
    <row r="264"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  <c r="BE264" s="47"/>
      <c r="BF264" s="47"/>
      <c r="BG264" s="47"/>
      <c r="BH264" s="47"/>
      <c r="BI264" s="47"/>
      <c r="BJ264" s="47"/>
      <c r="BK264" s="47"/>
    </row>
    <row r="265"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47"/>
      <c r="AW265" s="47"/>
      <c r="AX265" s="47"/>
      <c r="AY265" s="47"/>
      <c r="AZ265" s="47"/>
      <c r="BA265" s="47"/>
      <c r="BB265" s="47"/>
      <c r="BC265" s="47"/>
      <c r="BD265" s="47"/>
      <c r="BE265" s="47"/>
      <c r="BF265" s="47"/>
      <c r="BG265" s="47"/>
      <c r="BH265" s="47"/>
      <c r="BI265" s="47"/>
      <c r="BJ265" s="47"/>
      <c r="BK265" s="47"/>
    </row>
    <row r="266"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  <c r="BE266" s="47"/>
      <c r="BF266" s="47"/>
      <c r="BG266" s="47"/>
      <c r="BH266" s="47"/>
      <c r="BI266" s="47"/>
      <c r="BJ266" s="47"/>
      <c r="BK266" s="47"/>
    </row>
    <row r="267"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4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47"/>
      <c r="BK267" s="47"/>
    </row>
    <row r="268"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  <c r="BE268" s="47"/>
      <c r="BF268" s="47"/>
      <c r="BG268" s="47"/>
      <c r="BH268" s="47"/>
      <c r="BI268" s="47"/>
      <c r="BJ268" s="47"/>
      <c r="BK268" s="47"/>
    </row>
    <row r="269"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</row>
    <row r="270"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47"/>
      <c r="BK270" s="47"/>
    </row>
    <row r="271"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47"/>
      <c r="BB271" s="47"/>
      <c r="BC271" s="47"/>
      <c r="BD271" s="47"/>
      <c r="BE271" s="47"/>
      <c r="BF271" s="47"/>
      <c r="BG271" s="47"/>
      <c r="BH271" s="47"/>
      <c r="BI271" s="47"/>
      <c r="BJ271" s="47"/>
      <c r="BK271" s="47"/>
    </row>
    <row r="272"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</row>
    <row r="273"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47"/>
      <c r="BB273" s="47"/>
      <c r="BC273" s="47"/>
      <c r="BD273" s="47"/>
      <c r="BE273" s="47"/>
      <c r="BF273" s="47"/>
      <c r="BG273" s="47"/>
      <c r="BH273" s="47"/>
      <c r="BI273" s="47"/>
      <c r="BJ273" s="47"/>
      <c r="BK273" s="47"/>
    </row>
    <row r="274"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</row>
    <row r="275"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47"/>
      <c r="BB275" s="47"/>
      <c r="BC275" s="47"/>
      <c r="BD275" s="47"/>
      <c r="BE275" s="47"/>
      <c r="BF275" s="47"/>
      <c r="BG275" s="47"/>
      <c r="BH275" s="47"/>
      <c r="BI275" s="47"/>
      <c r="BJ275" s="47"/>
      <c r="BK275" s="47"/>
    </row>
    <row r="276"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</row>
    <row r="277"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</row>
    <row r="278"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</row>
    <row r="279"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47"/>
      <c r="BB279" s="47"/>
      <c r="BC279" s="47"/>
      <c r="BD279" s="47"/>
      <c r="BE279" s="47"/>
      <c r="BF279" s="47"/>
      <c r="BG279" s="47"/>
      <c r="BH279" s="47"/>
      <c r="BI279" s="47"/>
      <c r="BJ279" s="47"/>
      <c r="BK279" s="47"/>
    </row>
    <row r="280"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  <c r="BE280" s="47"/>
      <c r="BF280" s="47"/>
      <c r="BG280" s="47"/>
      <c r="BH280" s="47"/>
      <c r="BI280" s="47"/>
      <c r="BJ280" s="47"/>
      <c r="BK280" s="47"/>
    </row>
    <row r="281"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47"/>
      <c r="BB281" s="47"/>
      <c r="BC281" s="47"/>
      <c r="BD281" s="47"/>
      <c r="BE281" s="47"/>
      <c r="BF281" s="47"/>
      <c r="BG281" s="47"/>
      <c r="BH281" s="47"/>
      <c r="BI281" s="47"/>
      <c r="BJ281" s="47"/>
      <c r="BK281" s="47"/>
    </row>
    <row r="282"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  <c r="BE282" s="47"/>
      <c r="BF282" s="47"/>
      <c r="BG282" s="47"/>
      <c r="BH282" s="47"/>
      <c r="BI282" s="47"/>
      <c r="BJ282" s="47"/>
      <c r="BK282" s="47"/>
    </row>
    <row r="283"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47"/>
      <c r="BB283" s="47"/>
      <c r="BC283" s="47"/>
      <c r="BD283" s="47"/>
      <c r="BE283" s="47"/>
      <c r="BF283" s="47"/>
      <c r="BG283" s="47"/>
      <c r="BH283" s="47"/>
      <c r="BI283" s="47"/>
      <c r="BJ283" s="47"/>
      <c r="BK283" s="47"/>
    </row>
    <row r="284"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  <c r="BE284" s="47"/>
      <c r="BF284" s="47"/>
      <c r="BG284" s="47"/>
      <c r="BH284" s="47"/>
      <c r="BI284" s="47"/>
      <c r="BJ284" s="47"/>
      <c r="BK284" s="47"/>
    </row>
    <row r="285"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</row>
    <row r="286"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</row>
    <row r="287"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47"/>
      <c r="BB287" s="47"/>
      <c r="BC287" s="47"/>
      <c r="BD287" s="47"/>
      <c r="BE287" s="47"/>
      <c r="BF287" s="47"/>
      <c r="BG287" s="47"/>
      <c r="BH287" s="47"/>
      <c r="BI287" s="47"/>
      <c r="BJ287" s="47"/>
      <c r="BK287" s="47"/>
    </row>
    <row r="288"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</row>
    <row r="289"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47"/>
      <c r="BB289" s="47"/>
      <c r="BC289" s="47"/>
      <c r="BD289" s="47"/>
      <c r="BE289" s="47"/>
      <c r="BF289" s="47"/>
      <c r="BG289" s="47"/>
      <c r="BH289" s="47"/>
      <c r="BI289" s="47"/>
      <c r="BJ289" s="47"/>
      <c r="BK289" s="47"/>
    </row>
    <row r="290"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  <c r="BE290" s="47"/>
      <c r="BF290" s="47"/>
      <c r="BG290" s="47"/>
      <c r="BH290" s="47"/>
      <c r="BI290" s="47"/>
      <c r="BJ290" s="47"/>
      <c r="BK290" s="47"/>
    </row>
    <row r="291"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47"/>
      <c r="BB291" s="47"/>
      <c r="BC291" s="47"/>
      <c r="BD291" s="47"/>
      <c r="BE291" s="47"/>
      <c r="BF291" s="47"/>
      <c r="BG291" s="47"/>
      <c r="BH291" s="47"/>
      <c r="BI291" s="47"/>
      <c r="BJ291" s="47"/>
      <c r="BK291" s="47"/>
    </row>
    <row r="292"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</row>
    <row r="293"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47"/>
      <c r="BB293" s="47"/>
      <c r="BC293" s="47"/>
      <c r="BD293" s="47"/>
      <c r="BE293" s="47"/>
      <c r="BF293" s="47"/>
      <c r="BG293" s="47"/>
      <c r="BH293" s="47"/>
      <c r="BI293" s="47"/>
      <c r="BJ293" s="47"/>
      <c r="BK293" s="47"/>
    </row>
    <row r="294"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</row>
    <row r="295"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47"/>
      <c r="BB295" s="47"/>
      <c r="BC295" s="47"/>
      <c r="BD295" s="47"/>
      <c r="BE295" s="47"/>
      <c r="BF295" s="47"/>
      <c r="BG295" s="47"/>
      <c r="BH295" s="47"/>
      <c r="BI295" s="47"/>
      <c r="BJ295" s="47"/>
      <c r="BK295" s="47"/>
    </row>
    <row r="296"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  <c r="BE296" s="47"/>
      <c r="BF296" s="47"/>
      <c r="BG296" s="47"/>
      <c r="BH296" s="47"/>
      <c r="BI296" s="47"/>
      <c r="BJ296" s="47"/>
      <c r="BK296" s="47"/>
    </row>
    <row r="297"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47"/>
      <c r="BB297" s="47"/>
      <c r="BC297" s="47"/>
      <c r="BD297" s="47"/>
      <c r="BE297" s="47"/>
      <c r="BF297" s="47"/>
      <c r="BG297" s="47"/>
      <c r="BH297" s="47"/>
      <c r="BI297" s="47"/>
      <c r="BJ297" s="47"/>
      <c r="BK297" s="47"/>
    </row>
    <row r="298"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  <c r="BE298" s="47"/>
      <c r="BF298" s="47"/>
      <c r="BG298" s="47"/>
      <c r="BH298" s="47"/>
      <c r="BI298" s="47"/>
      <c r="BJ298" s="47"/>
      <c r="BK298" s="47"/>
    </row>
    <row r="299"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  <c r="BG299" s="47"/>
      <c r="BH299" s="47"/>
      <c r="BI299" s="47"/>
      <c r="BJ299" s="47"/>
      <c r="BK299" s="47"/>
    </row>
    <row r="300"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  <c r="BG300" s="47"/>
      <c r="BH300" s="47"/>
      <c r="BI300" s="47"/>
      <c r="BJ300" s="47"/>
      <c r="BK300" s="47"/>
    </row>
    <row r="301">
      <c r="AK301" s="47"/>
      <c r="AL301" s="47"/>
      <c r="AM301" s="47"/>
      <c r="AN301" s="47"/>
      <c r="AO301" s="47"/>
      <c r="AP301" s="47"/>
      <c r="AQ301" s="47"/>
      <c r="AR301" s="47"/>
      <c r="AS301" s="47"/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  <c r="BG301" s="47"/>
      <c r="BH301" s="47"/>
      <c r="BI301" s="47"/>
      <c r="BJ301" s="47"/>
      <c r="BK301" s="47"/>
    </row>
    <row r="302"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</row>
    <row r="303">
      <c r="AK303" s="47"/>
      <c r="AL303" s="47"/>
      <c r="AM303" s="47"/>
      <c r="AN303" s="47"/>
      <c r="AO303" s="47"/>
      <c r="AP303" s="47"/>
      <c r="AQ303" s="47"/>
      <c r="AR303" s="47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  <c r="BG303" s="47"/>
      <c r="BH303" s="47"/>
      <c r="BI303" s="47"/>
      <c r="BJ303" s="47"/>
      <c r="BK303" s="47"/>
    </row>
    <row r="304"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  <c r="BG304" s="47"/>
      <c r="BH304" s="47"/>
      <c r="BI304" s="47"/>
      <c r="BJ304" s="47"/>
      <c r="BK304" s="47"/>
    </row>
    <row r="305">
      <c r="AK305" s="47"/>
      <c r="AL305" s="47"/>
      <c r="AM305" s="47"/>
      <c r="AN305" s="47"/>
      <c r="AO305" s="47"/>
      <c r="AP305" s="47"/>
      <c r="AQ305" s="47"/>
      <c r="AR305" s="47"/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  <c r="BG305" s="47"/>
      <c r="BH305" s="47"/>
      <c r="BI305" s="47"/>
      <c r="BJ305" s="47"/>
      <c r="BK305" s="47"/>
    </row>
    <row r="306"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  <c r="BG306" s="47"/>
      <c r="BH306" s="47"/>
      <c r="BI306" s="47"/>
      <c r="BJ306" s="47"/>
      <c r="BK306" s="47"/>
    </row>
    <row r="307">
      <c r="AK307" s="47"/>
      <c r="AL307" s="47"/>
      <c r="AM307" s="47"/>
      <c r="AN307" s="47"/>
      <c r="AO307" s="47"/>
      <c r="AP307" s="47"/>
      <c r="AQ307" s="47"/>
      <c r="AR307" s="47"/>
      <c r="AS307" s="47"/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  <c r="BG307" s="47"/>
      <c r="BH307" s="47"/>
      <c r="BI307" s="47"/>
      <c r="BJ307" s="47"/>
      <c r="BK307" s="47"/>
    </row>
    <row r="308"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  <c r="BG308" s="47"/>
      <c r="BH308" s="47"/>
      <c r="BI308" s="47"/>
      <c r="BJ308" s="47"/>
      <c r="BK308" s="47"/>
    </row>
    <row r="309">
      <c r="AK309" s="47"/>
      <c r="AL309" s="47"/>
      <c r="AM309" s="47"/>
      <c r="AN309" s="47"/>
      <c r="AO309" s="47"/>
      <c r="AP309" s="47"/>
      <c r="AQ309" s="47"/>
      <c r="AR309" s="47"/>
      <c r="AS309" s="47"/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  <c r="BG309" s="47"/>
      <c r="BH309" s="47"/>
      <c r="BI309" s="47"/>
      <c r="BJ309" s="47"/>
      <c r="BK309" s="47"/>
    </row>
    <row r="310"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  <c r="BG310" s="47"/>
      <c r="BH310" s="47"/>
      <c r="BI310" s="47"/>
      <c r="BJ310" s="47"/>
      <c r="BK310" s="47"/>
    </row>
    <row r="311">
      <c r="AK311" s="47"/>
      <c r="AL311" s="47"/>
      <c r="AM311" s="47"/>
      <c r="AN311" s="47"/>
      <c r="AO311" s="47"/>
      <c r="AP311" s="47"/>
      <c r="AQ311" s="47"/>
      <c r="AR311" s="47"/>
      <c r="AS311" s="47"/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  <c r="BG311" s="47"/>
      <c r="BH311" s="47"/>
      <c r="BI311" s="47"/>
      <c r="BJ311" s="47"/>
      <c r="BK311" s="47"/>
    </row>
    <row r="312"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</row>
    <row r="313">
      <c r="AK313" s="47"/>
      <c r="AL313" s="47"/>
      <c r="AM313" s="47"/>
      <c r="AN313" s="47"/>
      <c r="AO313" s="47"/>
      <c r="AP313" s="47"/>
      <c r="AQ313" s="47"/>
      <c r="AR313" s="47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  <c r="BG313" s="47"/>
      <c r="BH313" s="47"/>
      <c r="BI313" s="47"/>
      <c r="BJ313" s="47"/>
      <c r="BK313" s="47"/>
    </row>
    <row r="314"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  <c r="BG314" s="47"/>
      <c r="BH314" s="47"/>
      <c r="BI314" s="47"/>
      <c r="BJ314" s="47"/>
      <c r="BK314" s="47"/>
    </row>
    <row r="315">
      <c r="AK315" s="47"/>
      <c r="AL315" s="47"/>
      <c r="AM315" s="47"/>
      <c r="AN315" s="47"/>
      <c r="AO315" s="47"/>
      <c r="AP315" s="47"/>
      <c r="AQ315" s="47"/>
      <c r="AR315" s="47"/>
      <c r="AS315" s="47"/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  <c r="BG315" s="47"/>
      <c r="BH315" s="47"/>
      <c r="BI315" s="47"/>
      <c r="BJ315" s="47"/>
      <c r="BK315" s="47"/>
    </row>
    <row r="316"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  <c r="BG316" s="47"/>
      <c r="BH316" s="47"/>
      <c r="BI316" s="47"/>
      <c r="BJ316" s="47"/>
      <c r="BK316" s="47"/>
    </row>
    <row r="317">
      <c r="AK317" s="47"/>
      <c r="AL317" s="47"/>
      <c r="AM317" s="47"/>
      <c r="AN317" s="47"/>
      <c r="AO317" s="47"/>
      <c r="AP317" s="47"/>
      <c r="AQ317" s="47"/>
      <c r="AR317" s="47"/>
      <c r="AS317" s="47"/>
      <c r="AT317" s="47"/>
      <c r="AU317" s="47"/>
      <c r="AV317" s="47"/>
      <c r="AW317" s="47"/>
      <c r="AX317" s="47"/>
      <c r="AY317" s="47"/>
      <c r="AZ317" s="47"/>
      <c r="BA317" s="47"/>
      <c r="BB317" s="47"/>
      <c r="BC317" s="47"/>
      <c r="BD317" s="47"/>
      <c r="BE317" s="47"/>
      <c r="BF317" s="47"/>
      <c r="BG317" s="47"/>
      <c r="BH317" s="47"/>
      <c r="BI317" s="47"/>
      <c r="BJ317" s="47"/>
      <c r="BK317" s="47"/>
    </row>
    <row r="318"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  <c r="BG318" s="47"/>
      <c r="BH318" s="47"/>
      <c r="BI318" s="47"/>
      <c r="BJ318" s="47"/>
      <c r="BK318" s="47"/>
    </row>
    <row r="319">
      <c r="AK319" s="47"/>
      <c r="AL319" s="47"/>
      <c r="AM319" s="47"/>
      <c r="AN319" s="47"/>
      <c r="AO319" s="47"/>
      <c r="AP319" s="47"/>
      <c r="AQ319" s="47"/>
      <c r="AR319" s="47"/>
      <c r="AS319" s="47"/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  <c r="BG319" s="47"/>
      <c r="BH319" s="47"/>
      <c r="BI319" s="47"/>
      <c r="BJ319" s="47"/>
      <c r="BK319" s="47"/>
    </row>
    <row r="320"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  <c r="BG320" s="47"/>
      <c r="BH320" s="47"/>
      <c r="BI320" s="47"/>
      <c r="BJ320" s="47"/>
      <c r="BK320" s="47"/>
    </row>
    <row r="321">
      <c r="AK321" s="47"/>
      <c r="AL321" s="47"/>
      <c r="AM321" s="47"/>
      <c r="AN321" s="47"/>
      <c r="AO321" s="47"/>
      <c r="AP321" s="47"/>
      <c r="AQ321" s="47"/>
      <c r="AR321" s="47"/>
      <c r="AS321" s="47"/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  <c r="BG321" s="47"/>
      <c r="BH321" s="47"/>
      <c r="BI321" s="47"/>
      <c r="BJ321" s="47"/>
      <c r="BK321" s="47"/>
    </row>
    <row r="322"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  <c r="BG322" s="47"/>
      <c r="BH322" s="47"/>
      <c r="BI322" s="47"/>
      <c r="BJ322" s="47"/>
      <c r="BK322" s="47"/>
    </row>
    <row r="323">
      <c r="AK323" s="47"/>
      <c r="AL323" s="47"/>
      <c r="AM323" s="47"/>
      <c r="AN323" s="47"/>
      <c r="AO323" s="47"/>
      <c r="AP323" s="47"/>
      <c r="AQ323" s="47"/>
      <c r="AR323" s="47"/>
      <c r="AS323" s="47"/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</row>
    <row r="324"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  <c r="BG324" s="47"/>
      <c r="BH324" s="47"/>
      <c r="BI324" s="47"/>
      <c r="BJ324" s="47"/>
      <c r="BK324" s="47"/>
    </row>
    <row r="325">
      <c r="AK325" s="47"/>
      <c r="AL325" s="47"/>
      <c r="AM325" s="47"/>
      <c r="AN325" s="47"/>
      <c r="AO325" s="47"/>
      <c r="AP325" s="47"/>
      <c r="AQ325" s="47"/>
      <c r="AR325" s="47"/>
      <c r="AS325" s="47"/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  <c r="BG325" s="47"/>
      <c r="BH325" s="47"/>
      <c r="BI325" s="47"/>
      <c r="BJ325" s="47"/>
      <c r="BK325" s="47"/>
    </row>
    <row r="326"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</row>
    <row r="327">
      <c r="AK327" s="47"/>
      <c r="AL327" s="47"/>
      <c r="AM327" s="47"/>
      <c r="AN327" s="47"/>
      <c r="AO327" s="47"/>
      <c r="AP327" s="47"/>
      <c r="AQ327" s="47"/>
      <c r="AR327" s="47"/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  <c r="BG327" s="47"/>
      <c r="BH327" s="47"/>
      <c r="BI327" s="47"/>
      <c r="BJ327" s="47"/>
      <c r="BK327" s="47"/>
    </row>
    <row r="328"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  <c r="BG328" s="47"/>
      <c r="BH328" s="47"/>
      <c r="BI328" s="47"/>
      <c r="BJ328" s="47"/>
      <c r="BK328" s="47"/>
    </row>
    <row r="329">
      <c r="AK329" s="47"/>
      <c r="AL329" s="47"/>
      <c r="AM329" s="47"/>
      <c r="AN329" s="47"/>
      <c r="AO329" s="47"/>
      <c r="AP329" s="47"/>
      <c r="AQ329" s="47"/>
      <c r="AR329" s="47"/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  <c r="BG329" s="47"/>
      <c r="BH329" s="47"/>
      <c r="BI329" s="47"/>
      <c r="BJ329" s="47"/>
      <c r="BK329" s="47"/>
    </row>
    <row r="330"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  <c r="BG330" s="47"/>
      <c r="BH330" s="47"/>
      <c r="BI330" s="47"/>
      <c r="BJ330" s="47"/>
      <c r="BK330" s="47"/>
    </row>
    <row r="331">
      <c r="AK331" s="47"/>
      <c r="AL331" s="47"/>
      <c r="AM331" s="47"/>
      <c r="AN331" s="47"/>
      <c r="AO331" s="47"/>
      <c r="AP331" s="47"/>
      <c r="AQ331" s="47"/>
      <c r="AR331" s="47"/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  <c r="BG331" s="47"/>
      <c r="BH331" s="47"/>
      <c r="BI331" s="47"/>
      <c r="BJ331" s="47"/>
      <c r="BK331" s="47"/>
    </row>
    <row r="332"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  <c r="BG332" s="47"/>
      <c r="BH332" s="47"/>
      <c r="BI332" s="47"/>
      <c r="BJ332" s="47"/>
      <c r="BK332" s="47"/>
    </row>
    <row r="333">
      <c r="AK333" s="47"/>
      <c r="AL333" s="47"/>
      <c r="AM333" s="47"/>
      <c r="AN333" s="47"/>
      <c r="AO333" s="47"/>
      <c r="AP333" s="47"/>
      <c r="AQ333" s="47"/>
      <c r="AR333" s="47"/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  <c r="BG333" s="47"/>
      <c r="BH333" s="47"/>
      <c r="BI333" s="47"/>
      <c r="BJ333" s="47"/>
      <c r="BK333" s="47"/>
    </row>
    <row r="334"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  <c r="BG334" s="47"/>
      <c r="BH334" s="47"/>
      <c r="BI334" s="47"/>
      <c r="BJ334" s="47"/>
      <c r="BK334" s="47"/>
    </row>
    <row r="335">
      <c r="AK335" s="47"/>
      <c r="AL335" s="47"/>
      <c r="AM335" s="47"/>
      <c r="AN335" s="47"/>
      <c r="AO335" s="47"/>
      <c r="AP335" s="47"/>
      <c r="AQ335" s="47"/>
      <c r="AR335" s="47"/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  <c r="BG335" s="47"/>
      <c r="BH335" s="47"/>
      <c r="BI335" s="47"/>
      <c r="BJ335" s="47"/>
      <c r="BK335" s="47"/>
    </row>
    <row r="336"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  <c r="BG336" s="47"/>
      <c r="BH336" s="47"/>
      <c r="BI336" s="47"/>
      <c r="BJ336" s="47"/>
      <c r="BK336" s="47"/>
    </row>
    <row r="337">
      <c r="AK337" s="47"/>
      <c r="AL337" s="47"/>
      <c r="AM337" s="47"/>
      <c r="AN337" s="47"/>
      <c r="AO337" s="47"/>
      <c r="AP337" s="47"/>
      <c r="AQ337" s="47"/>
      <c r="AR337" s="47"/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  <c r="BG337" s="47"/>
      <c r="BH337" s="47"/>
      <c r="BI337" s="47"/>
      <c r="BJ337" s="47"/>
      <c r="BK337" s="47"/>
    </row>
    <row r="338"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  <c r="BG338" s="47"/>
      <c r="BH338" s="47"/>
      <c r="BI338" s="47"/>
      <c r="BJ338" s="47"/>
      <c r="BK338" s="47"/>
    </row>
    <row r="339">
      <c r="AK339" s="47"/>
      <c r="AL339" s="47"/>
      <c r="AM339" s="47"/>
      <c r="AN339" s="47"/>
      <c r="AO339" s="47"/>
      <c r="AP339" s="47"/>
      <c r="AQ339" s="47"/>
      <c r="AR339" s="47"/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  <c r="BG339" s="47"/>
      <c r="BH339" s="47"/>
      <c r="BI339" s="47"/>
      <c r="BJ339" s="47"/>
      <c r="BK339" s="47"/>
    </row>
    <row r="340"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  <c r="BG340" s="47"/>
      <c r="BH340" s="47"/>
      <c r="BI340" s="47"/>
      <c r="BJ340" s="47"/>
      <c r="BK340" s="47"/>
    </row>
    <row r="341">
      <c r="AK341" s="47"/>
      <c r="AL341" s="47"/>
      <c r="AM341" s="47"/>
      <c r="AN341" s="47"/>
      <c r="AO341" s="47"/>
      <c r="AP341" s="47"/>
      <c r="AQ341" s="47"/>
      <c r="AR341" s="47"/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  <c r="BG341" s="47"/>
      <c r="BH341" s="47"/>
      <c r="BI341" s="47"/>
      <c r="BJ341" s="47"/>
      <c r="BK341" s="47"/>
    </row>
    <row r="342"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</row>
    <row r="343">
      <c r="AK343" s="47"/>
      <c r="AL343" s="47"/>
      <c r="AM343" s="47"/>
      <c r="AN343" s="47"/>
      <c r="AO343" s="47"/>
      <c r="AP343" s="47"/>
      <c r="AQ343" s="47"/>
      <c r="AR343" s="47"/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  <c r="BG343" s="47"/>
      <c r="BH343" s="47"/>
      <c r="BI343" s="47"/>
      <c r="BJ343" s="47"/>
      <c r="BK343" s="47"/>
    </row>
    <row r="344"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  <c r="BG344" s="47"/>
      <c r="BH344" s="47"/>
      <c r="BI344" s="47"/>
      <c r="BJ344" s="47"/>
      <c r="BK344" s="47"/>
    </row>
    <row r="345">
      <c r="AK345" s="47"/>
      <c r="AL345" s="47"/>
      <c r="AM345" s="47"/>
      <c r="AN345" s="47"/>
      <c r="AO345" s="47"/>
      <c r="AP345" s="47"/>
      <c r="AQ345" s="47"/>
      <c r="AR345" s="47"/>
      <c r="AS345" s="47"/>
      <c r="AT345" s="47"/>
      <c r="AU345" s="47"/>
      <c r="AV345" s="47"/>
      <c r="AW345" s="47"/>
      <c r="AX345" s="47"/>
      <c r="AY345" s="47"/>
      <c r="AZ345" s="47"/>
      <c r="BA345" s="47"/>
      <c r="BB345" s="47"/>
      <c r="BC345" s="47"/>
      <c r="BD345" s="47"/>
      <c r="BE345" s="47"/>
      <c r="BF345" s="47"/>
      <c r="BG345" s="47"/>
      <c r="BH345" s="47"/>
      <c r="BI345" s="47"/>
      <c r="BJ345" s="47"/>
      <c r="BK345" s="47"/>
    </row>
    <row r="346"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  <c r="BE346" s="47"/>
      <c r="BF346" s="47"/>
      <c r="BG346" s="47"/>
      <c r="BH346" s="47"/>
      <c r="BI346" s="47"/>
      <c r="BJ346" s="47"/>
      <c r="BK346" s="47"/>
    </row>
    <row r="347">
      <c r="AK347" s="47"/>
      <c r="AL347" s="47"/>
      <c r="AM347" s="47"/>
      <c r="AN347" s="47"/>
      <c r="AO347" s="47"/>
      <c r="AP347" s="47"/>
      <c r="AQ347" s="47"/>
      <c r="AR347" s="47"/>
      <c r="AS347" s="47"/>
      <c r="AT347" s="47"/>
      <c r="AU347" s="47"/>
      <c r="AV347" s="47"/>
      <c r="AW347" s="47"/>
      <c r="AX347" s="47"/>
      <c r="AY347" s="47"/>
      <c r="AZ347" s="47"/>
      <c r="BA347" s="47"/>
      <c r="BB347" s="47"/>
      <c r="BC347" s="47"/>
      <c r="BD347" s="47"/>
      <c r="BE347" s="47"/>
      <c r="BF347" s="47"/>
      <c r="BG347" s="47"/>
      <c r="BH347" s="47"/>
      <c r="BI347" s="47"/>
      <c r="BJ347" s="47"/>
      <c r="BK347" s="47"/>
    </row>
    <row r="348"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  <c r="BE348" s="47"/>
      <c r="BF348" s="47"/>
      <c r="BG348" s="47"/>
      <c r="BH348" s="47"/>
      <c r="BI348" s="47"/>
      <c r="BJ348" s="47"/>
      <c r="BK348" s="47"/>
    </row>
    <row r="349">
      <c r="AK349" s="47"/>
      <c r="AL349" s="47"/>
      <c r="AM349" s="47"/>
      <c r="AN349" s="47"/>
      <c r="AO349" s="47"/>
      <c r="AP349" s="47"/>
      <c r="AQ349" s="47"/>
      <c r="AR349" s="47"/>
      <c r="AS349" s="47"/>
      <c r="AT349" s="47"/>
      <c r="AU349" s="47"/>
      <c r="AV349" s="47"/>
      <c r="AW349" s="47"/>
      <c r="AX349" s="47"/>
      <c r="AY349" s="47"/>
      <c r="AZ349" s="47"/>
      <c r="BA349" s="47"/>
      <c r="BB349" s="47"/>
      <c r="BC349" s="47"/>
      <c r="BD349" s="47"/>
      <c r="BE349" s="47"/>
      <c r="BF349" s="47"/>
      <c r="BG349" s="47"/>
      <c r="BH349" s="47"/>
      <c r="BI349" s="47"/>
      <c r="BJ349" s="47"/>
      <c r="BK349" s="47"/>
    </row>
    <row r="350"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  <c r="BE350" s="47"/>
      <c r="BF350" s="47"/>
      <c r="BG350" s="47"/>
      <c r="BH350" s="47"/>
      <c r="BI350" s="47"/>
      <c r="BJ350" s="47"/>
      <c r="BK350" s="47"/>
    </row>
    <row r="351">
      <c r="AK351" s="47"/>
      <c r="AL351" s="47"/>
      <c r="AM351" s="47"/>
      <c r="AN351" s="47"/>
      <c r="AO351" s="47"/>
      <c r="AP351" s="47"/>
      <c r="AQ351" s="47"/>
      <c r="AR351" s="47"/>
      <c r="AS351" s="47"/>
      <c r="AT351" s="47"/>
      <c r="AU351" s="47"/>
      <c r="AV351" s="47"/>
      <c r="AW351" s="47"/>
      <c r="AX351" s="47"/>
      <c r="AY351" s="47"/>
      <c r="AZ351" s="47"/>
      <c r="BA351" s="47"/>
      <c r="BB351" s="47"/>
      <c r="BC351" s="47"/>
      <c r="BD351" s="47"/>
      <c r="BE351" s="47"/>
      <c r="BF351" s="47"/>
      <c r="BG351" s="47"/>
      <c r="BH351" s="47"/>
      <c r="BI351" s="47"/>
      <c r="BJ351" s="47"/>
      <c r="BK351" s="47"/>
    </row>
    <row r="352"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</row>
    <row r="353">
      <c r="AK353" s="47"/>
      <c r="AL353" s="47"/>
      <c r="AM353" s="47"/>
      <c r="AN353" s="47"/>
      <c r="AO353" s="47"/>
      <c r="AP353" s="47"/>
      <c r="AQ353" s="47"/>
      <c r="AR353" s="47"/>
      <c r="AS353" s="47"/>
      <c r="AT353" s="47"/>
      <c r="AU353" s="47"/>
      <c r="AV353" s="47"/>
      <c r="AW353" s="47"/>
      <c r="AX353" s="47"/>
      <c r="AY353" s="47"/>
      <c r="AZ353" s="47"/>
      <c r="BA353" s="47"/>
      <c r="BB353" s="47"/>
      <c r="BC353" s="47"/>
      <c r="BD353" s="47"/>
      <c r="BE353" s="47"/>
      <c r="BF353" s="47"/>
      <c r="BG353" s="47"/>
      <c r="BH353" s="47"/>
      <c r="BI353" s="47"/>
      <c r="BJ353" s="47"/>
      <c r="BK353" s="47"/>
    </row>
    <row r="354"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  <c r="BE354" s="47"/>
      <c r="BF354" s="47"/>
      <c r="BG354" s="47"/>
      <c r="BH354" s="47"/>
      <c r="BI354" s="47"/>
      <c r="BJ354" s="47"/>
      <c r="BK354" s="47"/>
    </row>
    <row r="355">
      <c r="AK355" s="47"/>
      <c r="AL355" s="47"/>
      <c r="AM355" s="47"/>
      <c r="AN355" s="47"/>
      <c r="AO355" s="47"/>
      <c r="AP355" s="47"/>
      <c r="AQ355" s="47"/>
      <c r="AR355" s="47"/>
      <c r="AS355" s="47"/>
      <c r="AT355" s="47"/>
      <c r="AU355" s="47"/>
      <c r="AV355" s="47"/>
      <c r="AW355" s="47"/>
      <c r="AX355" s="47"/>
      <c r="AY355" s="47"/>
      <c r="AZ355" s="47"/>
      <c r="BA355" s="47"/>
      <c r="BB355" s="47"/>
      <c r="BC355" s="47"/>
      <c r="BD355" s="47"/>
      <c r="BE355" s="47"/>
      <c r="BF355" s="47"/>
      <c r="BG355" s="47"/>
      <c r="BH355" s="47"/>
      <c r="BI355" s="47"/>
      <c r="BJ355" s="47"/>
      <c r="BK355" s="47"/>
    </row>
    <row r="356"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  <c r="BE356" s="47"/>
      <c r="BF356" s="47"/>
      <c r="BG356" s="47"/>
      <c r="BH356" s="47"/>
      <c r="BI356" s="47"/>
      <c r="BJ356" s="47"/>
      <c r="BK356" s="47"/>
    </row>
    <row r="357">
      <c r="AK357" s="47"/>
      <c r="AL357" s="47"/>
      <c r="AM357" s="47"/>
      <c r="AN357" s="47"/>
      <c r="AO357" s="47"/>
      <c r="AP357" s="47"/>
      <c r="AQ357" s="47"/>
      <c r="AR357" s="47"/>
      <c r="AS357" s="47"/>
      <c r="AT357" s="47"/>
      <c r="AU357" s="47"/>
      <c r="AV357" s="47"/>
      <c r="AW357" s="47"/>
      <c r="AX357" s="47"/>
      <c r="AY357" s="47"/>
      <c r="AZ357" s="47"/>
      <c r="BA357" s="47"/>
      <c r="BB357" s="47"/>
      <c r="BC357" s="47"/>
      <c r="BD357" s="47"/>
      <c r="BE357" s="47"/>
      <c r="BF357" s="47"/>
      <c r="BG357" s="47"/>
      <c r="BH357" s="47"/>
      <c r="BI357" s="47"/>
      <c r="BJ357" s="47"/>
      <c r="BK357" s="47"/>
    </row>
    <row r="358"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  <c r="BE358" s="47"/>
      <c r="BF358" s="47"/>
      <c r="BG358" s="47"/>
      <c r="BH358" s="47"/>
      <c r="BI358" s="47"/>
      <c r="BJ358" s="47"/>
      <c r="BK358" s="47"/>
    </row>
    <row r="359">
      <c r="AK359" s="47"/>
      <c r="AL359" s="47"/>
      <c r="AM359" s="47"/>
      <c r="AN359" s="47"/>
      <c r="AO359" s="47"/>
      <c r="AP359" s="47"/>
      <c r="AQ359" s="47"/>
      <c r="AR359" s="47"/>
      <c r="AS359" s="47"/>
      <c r="AT359" s="47"/>
      <c r="AU359" s="47"/>
      <c r="AV359" s="47"/>
      <c r="AW359" s="47"/>
      <c r="AX359" s="47"/>
      <c r="AY359" s="47"/>
      <c r="AZ359" s="47"/>
      <c r="BA359" s="47"/>
      <c r="BB359" s="47"/>
      <c r="BC359" s="47"/>
      <c r="BD359" s="47"/>
      <c r="BE359" s="47"/>
      <c r="BF359" s="47"/>
      <c r="BG359" s="47"/>
      <c r="BH359" s="47"/>
      <c r="BI359" s="47"/>
      <c r="BJ359" s="47"/>
      <c r="BK359" s="47"/>
    </row>
    <row r="360"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  <c r="BE360" s="47"/>
      <c r="BF360" s="47"/>
      <c r="BG360" s="47"/>
      <c r="BH360" s="47"/>
      <c r="BI360" s="47"/>
      <c r="BJ360" s="47"/>
      <c r="BK360" s="47"/>
    </row>
    <row r="361">
      <c r="AK361" s="47"/>
      <c r="AL361" s="47"/>
      <c r="AM361" s="47"/>
      <c r="AN361" s="47"/>
      <c r="AO361" s="47"/>
      <c r="AP361" s="47"/>
      <c r="AQ361" s="47"/>
      <c r="AR361" s="47"/>
      <c r="AS361" s="47"/>
      <c r="AT361" s="47"/>
      <c r="AU361" s="47"/>
      <c r="AV361" s="47"/>
      <c r="AW361" s="47"/>
      <c r="AX361" s="47"/>
      <c r="AY361" s="47"/>
      <c r="AZ361" s="47"/>
      <c r="BA361" s="47"/>
      <c r="BB361" s="47"/>
      <c r="BC361" s="47"/>
      <c r="BD361" s="47"/>
      <c r="BE361" s="47"/>
      <c r="BF361" s="47"/>
      <c r="BG361" s="47"/>
      <c r="BH361" s="47"/>
      <c r="BI361" s="47"/>
      <c r="BJ361" s="47"/>
      <c r="BK361" s="47"/>
    </row>
    <row r="362"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  <c r="BE362" s="47"/>
      <c r="BF362" s="47"/>
      <c r="BG362" s="47"/>
      <c r="BH362" s="47"/>
      <c r="BI362" s="47"/>
      <c r="BJ362" s="47"/>
      <c r="BK362" s="47"/>
    </row>
    <row r="363">
      <c r="AK363" s="47"/>
      <c r="AL363" s="47"/>
      <c r="AM363" s="47"/>
      <c r="AN363" s="47"/>
      <c r="AO363" s="47"/>
      <c r="AP363" s="47"/>
      <c r="AQ363" s="47"/>
      <c r="AR363" s="47"/>
      <c r="AS363" s="47"/>
      <c r="AT363" s="47"/>
      <c r="AU363" s="47"/>
      <c r="AV363" s="47"/>
      <c r="AW363" s="47"/>
      <c r="AX363" s="47"/>
      <c r="AY363" s="47"/>
      <c r="AZ363" s="47"/>
      <c r="BA363" s="47"/>
      <c r="BB363" s="47"/>
      <c r="BC363" s="47"/>
      <c r="BD363" s="47"/>
      <c r="BE363" s="47"/>
      <c r="BF363" s="47"/>
      <c r="BG363" s="47"/>
      <c r="BH363" s="47"/>
      <c r="BI363" s="47"/>
      <c r="BJ363" s="47"/>
      <c r="BK363" s="47"/>
    </row>
    <row r="364"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</row>
    <row r="365">
      <c r="AK365" s="47"/>
      <c r="AL365" s="47"/>
      <c r="AM365" s="47"/>
      <c r="AN365" s="47"/>
      <c r="AO365" s="47"/>
      <c r="AP365" s="47"/>
      <c r="AQ365" s="47"/>
      <c r="AR365" s="47"/>
      <c r="AS365" s="47"/>
      <c r="AT365" s="47"/>
      <c r="AU365" s="47"/>
      <c r="AV365" s="47"/>
      <c r="AW365" s="47"/>
      <c r="AX365" s="47"/>
      <c r="AY365" s="47"/>
      <c r="AZ365" s="47"/>
      <c r="BA365" s="47"/>
      <c r="BB365" s="47"/>
      <c r="BC365" s="47"/>
      <c r="BD365" s="47"/>
      <c r="BE365" s="47"/>
      <c r="BF365" s="47"/>
      <c r="BG365" s="47"/>
      <c r="BH365" s="47"/>
      <c r="BI365" s="47"/>
      <c r="BJ365" s="47"/>
      <c r="BK365" s="47"/>
    </row>
    <row r="366"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  <c r="BE366" s="47"/>
      <c r="BF366" s="47"/>
      <c r="BG366" s="47"/>
      <c r="BH366" s="47"/>
      <c r="BI366" s="47"/>
      <c r="BJ366" s="47"/>
      <c r="BK366" s="47"/>
    </row>
    <row r="367">
      <c r="AK367" s="47"/>
      <c r="AL367" s="47"/>
      <c r="AM367" s="47"/>
      <c r="AN367" s="47"/>
      <c r="AO367" s="47"/>
      <c r="AP367" s="47"/>
      <c r="AQ367" s="47"/>
      <c r="AR367" s="47"/>
      <c r="AS367" s="47"/>
      <c r="AT367" s="47"/>
      <c r="AU367" s="47"/>
      <c r="AV367" s="47"/>
      <c r="AW367" s="47"/>
      <c r="AX367" s="47"/>
      <c r="AY367" s="47"/>
      <c r="AZ367" s="47"/>
      <c r="BA367" s="47"/>
      <c r="BB367" s="47"/>
      <c r="BC367" s="47"/>
      <c r="BD367" s="47"/>
      <c r="BE367" s="47"/>
      <c r="BF367" s="47"/>
      <c r="BG367" s="47"/>
      <c r="BH367" s="47"/>
      <c r="BI367" s="47"/>
      <c r="BJ367" s="47"/>
      <c r="BK367" s="47"/>
    </row>
    <row r="368"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  <c r="BE368" s="47"/>
      <c r="BF368" s="47"/>
      <c r="BG368" s="47"/>
      <c r="BH368" s="47"/>
      <c r="BI368" s="47"/>
      <c r="BJ368" s="47"/>
      <c r="BK368" s="47"/>
    </row>
    <row r="369">
      <c r="AK369" s="47"/>
      <c r="AL369" s="47"/>
      <c r="AM369" s="47"/>
      <c r="AN369" s="47"/>
      <c r="AO369" s="47"/>
      <c r="AP369" s="47"/>
      <c r="AQ369" s="47"/>
      <c r="AR369" s="47"/>
      <c r="AS369" s="47"/>
      <c r="AT369" s="47"/>
      <c r="AU369" s="47"/>
      <c r="AV369" s="47"/>
      <c r="AW369" s="47"/>
      <c r="AX369" s="47"/>
      <c r="AY369" s="47"/>
      <c r="AZ369" s="47"/>
      <c r="BA369" s="47"/>
      <c r="BB369" s="47"/>
      <c r="BC369" s="47"/>
      <c r="BD369" s="47"/>
      <c r="BE369" s="47"/>
      <c r="BF369" s="47"/>
      <c r="BG369" s="47"/>
      <c r="BH369" s="47"/>
      <c r="BI369" s="47"/>
      <c r="BJ369" s="47"/>
      <c r="BK369" s="47"/>
    </row>
    <row r="370"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  <c r="BE370" s="47"/>
      <c r="BF370" s="47"/>
      <c r="BG370" s="47"/>
      <c r="BH370" s="47"/>
      <c r="BI370" s="47"/>
      <c r="BJ370" s="47"/>
      <c r="BK370" s="47"/>
    </row>
    <row r="371">
      <c r="AK371" s="47"/>
      <c r="AL371" s="47"/>
      <c r="AM371" s="47"/>
      <c r="AN371" s="47"/>
      <c r="AO371" s="47"/>
      <c r="AP371" s="47"/>
      <c r="AQ371" s="47"/>
      <c r="AR371" s="47"/>
      <c r="AS371" s="47"/>
      <c r="AT371" s="47"/>
      <c r="AU371" s="47"/>
      <c r="AV371" s="47"/>
      <c r="AW371" s="47"/>
      <c r="AX371" s="47"/>
      <c r="AY371" s="47"/>
      <c r="AZ371" s="47"/>
      <c r="BA371" s="47"/>
      <c r="BB371" s="47"/>
      <c r="BC371" s="47"/>
      <c r="BD371" s="47"/>
      <c r="BE371" s="47"/>
      <c r="BF371" s="47"/>
      <c r="BG371" s="47"/>
      <c r="BH371" s="47"/>
      <c r="BI371" s="47"/>
      <c r="BJ371" s="47"/>
      <c r="BK371" s="47"/>
    </row>
    <row r="372"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  <c r="BE372" s="47"/>
      <c r="BF372" s="47"/>
      <c r="BG372" s="47"/>
      <c r="BH372" s="47"/>
      <c r="BI372" s="47"/>
      <c r="BJ372" s="47"/>
      <c r="BK372" s="47"/>
    </row>
    <row r="373">
      <c r="AK373" s="47"/>
      <c r="AL373" s="47"/>
      <c r="AM373" s="47"/>
      <c r="AN373" s="47"/>
      <c r="AO373" s="47"/>
      <c r="AP373" s="47"/>
      <c r="AQ373" s="47"/>
      <c r="AR373" s="47"/>
      <c r="AS373" s="47"/>
      <c r="AT373" s="47"/>
      <c r="AU373" s="47"/>
      <c r="AV373" s="47"/>
      <c r="AW373" s="47"/>
      <c r="AX373" s="47"/>
      <c r="AY373" s="47"/>
      <c r="AZ373" s="47"/>
      <c r="BA373" s="47"/>
      <c r="BB373" s="47"/>
      <c r="BC373" s="47"/>
      <c r="BD373" s="47"/>
      <c r="BE373" s="47"/>
      <c r="BF373" s="47"/>
      <c r="BG373" s="47"/>
      <c r="BH373" s="47"/>
      <c r="BI373" s="47"/>
      <c r="BJ373" s="47"/>
      <c r="BK373" s="47"/>
    </row>
    <row r="374"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  <c r="BE374" s="47"/>
      <c r="BF374" s="47"/>
      <c r="BG374" s="47"/>
      <c r="BH374" s="47"/>
      <c r="BI374" s="47"/>
      <c r="BJ374" s="47"/>
      <c r="BK374" s="47"/>
    </row>
    <row r="375">
      <c r="AK375" s="47"/>
      <c r="AL375" s="47"/>
      <c r="AM375" s="47"/>
      <c r="AN375" s="47"/>
      <c r="AO375" s="47"/>
      <c r="AP375" s="47"/>
      <c r="AQ375" s="47"/>
      <c r="AR375" s="47"/>
      <c r="AS375" s="47"/>
      <c r="AT375" s="47"/>
      <c r="AU375" s="47"/>
      <c r="AV375" s="47"/>
      <c r="AW375" s="47"/>
      <c r="AX375" s="47"/>
      <c r="AY375" s="47"/>
      <c r="AZ375" s="47"/>
      <c r="BA375" s="47"/>
      <c r="BB375" s="47"/>
      <c r="BC375" s="47"/>
      <c r="BD375" s="47"/>
      <c r="BE375" s="47"/>
      <c r="BF375" s="47"/>
      <c r="BG375" s="47"/>
      <c r="BH375" s="47"/>
      <c r="BI375" s="47"/>
      <c r="BJ375" s="47"/>
      <c r="BK375" s="47"/>
    </row>
    <row r="376"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  <c r="BE376" s="47"/>
      <c r="BF376" s="47"/>
      <c r="BG376" s="47"/>
      <c r="BH376" s="47"/>
      <c r="BI376" s="47"/>
      <c r="BJ376" s="47"/>
      <c r="BK376" s="47"/>
    </row>
    <row r="377">
      <c r="AK377" s="47"/>
      <c r="AL377" s="47"/>
      <c r="AM377" s="47"/>
      <c r="AN377" s="47"/>
      <c r="AO377" s="47"/>
      <c r="AP377" s="47"/>
      <c r="AQ377" s="47"/>
      <c r="AR377" s="47"/>
      <c r="AS377" s="47"/>
      <c r="AT377" s="47"/>
      <c r="AU377" s="47"/>
      <c r="AV377" s="47"/>
      <c r="AW377" s="47"/>
      <c r="AX377" s="47"/>
      <c r="AY377" s="47"/>
      <c r="AZ377" s="47"/>
      <c r="BA377" s="47"/>
      <c r="BB377" s="47"/>
      <c r="BC377" s="47"/>
      <c r="BD377" s="47"/>
      <c r="BE377" s="47"/>
      <c r="BF377" s="47"/>
      <c r="BG377" s="47"/>
      <c r="BH377" s="47"/>
      <c r="BI377" s="47"/>
      <c r="BJ377" s="47"/>
      <c r="BK377" s="47"/>
    </row>
    <row r="378"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  <c r="BE378" s="47"/>
      <c r="BF378" s="47"/>
      <c r="BG378" s="47"/>
      <c r="BH378" s="47"/>
      <c r="BI378" s="47"/>
      <c r="BJ378" s="47"/>
      <c r="BK378" s="47"/>
    </row>
    <row r="379">
      <c r="AK379" s="47"/>
      <c r="AL379" s="47"/>
      <c r="AM379" s="47"/>
      <c r="AN379" s="47"/>
      <c r="AO379" s="47"/>
      <c r="AP379" s="47"/>
      <c r="AQ379" s="47"/>
      <c r="AR379" s="47"/>
      <c r="AS379" s="47"/>
      <c r="AT379" s="47"/>
      <c r="AU379" s="47"/>
      <c r="AV379" s="47"/>
      <c r="AW379" s="47"/>
      <c r="AX379" s="47"/>
      <c r="AY379" s="47"/>
      <c r="AZ379" s="47"/>
      <c r="BA379" s="47"/>
      <c r="BB379" s="47"/>
      <c r="BC379" s="47"/>
      <c r="BD379" s="47"/>
      <c r="BE379" s="47"/>
      <c r="BF379" s="47"/>
      <c r="BG379" s="47"/>
      <c r="BH379" s="47"/>
      <c r="BI379" s="47"/>
      <c r="BJ379" s="47"/>
      <c r="BK379" s="47"/>
    </row>
    <row r="380"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  <c r="BE380" s="47"/>
      <c r="BF380" s="47"/>
      <c r="BG380" s="47"/>
      <c r="BH380" s="47"/>
      <c r="BI380" s="47"/>
      <c r="BJ380" s="47"/>
      <c r="BK380" s="47"/>
    </row>
    <row r="381">
      <c r="AK381" s="47"/>
      <c r="AL381" s="47"/>
      <c r="AM381" s="47"/>
      <c r="AN381" s="47"/>
      <c r="AO381" s="47"/>
      <c r="AP381" s="47"/>
      <c r="AQ381" s="47"/>
      <c r="AR381" s="47"/>
      <c r="AS381" s="47"/>
      <c r="AT381" s="47"/>
      <c r="AU381" s="47"/>
      <c r="AV381" s="47"/>
      <c r="AW381" s="47"/>
      <c r="AX381" s="47"/>
      <c r="AY381" s="47"/>
      <c r="AZ381" s="47"/>
      <c r="BA381" s="47"/>
      <c r="BB381" s="47"/>
      <c r="BC381" s="47"/>
      <c r="BD381" s="47"/>
      <c r="BE381" s="47"/>
      <c r="BF381" s="47"/>
      <c r="BG381" s="47"/>
      <c r="BH381" s="47"/>
      <c r="BI381" s="47"/>
      <c r="BJ381" s="47"/>
      <c r="BK381" s="47"/>
    </row>
    <row r="382"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</row>
    <row r="383">
      <c r="AK383" s="47"/>
      <c r="AL383" s="47"/>
      <c r="AM383" s="47"/>
      <c r="AN383" s="47"/>
      <c r="AO383" s="47"/>
      <c r="AP383" s="47"/>
      <c r="AQ383" s="47"/>
      <c r="AR383" s="47"/>
      <c r="AS383" s="47"/>
      <c r="AT383" s="47"/>
      <c r="AU383" s="47"/>
      <c r="AV383" s="47"/>
      <c r="AW383" s="47"/>
      <c r="AX383" s="47"/>
      <c r="AY383" s="47"/>
      <c r="AZ383" s="47"/>
      <c r="BA383" s="47"/>
      <c r="BB383" s="47"/>
      <c r="BC383" s="47"/>
      <c r="BD383" s="47"/>
      <c r="BE383" s="47"/>
      <c r="BF383" s="47"/>
      <c r="BG383" s="47"/>
      <c r="BH383" s="47"/>
      <c r="BI383" s="47"/>
      <c r="BJ383" s="47"/>
      <c r="BK383" s="47"/>
    </row>
    <row r="384"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  <c r="BE384" s="47"/>
      <c r="BF384" s="47"/>
      <c r="BG384" s="47"/>
      <c r="BH384" s="47"/>
      <c r="BI384" s="47"/>
      <c r="BJ384" s="47"/>
      <c r="BK384" s="47"/>
    </row>
    <row r="385">
      <c r="AK385" s="47"/>
      <c r="AL385" s="47"/>
      <c r="AM385" s="47"/>
      <c r="AN385" s="47"/>
      <c r="AO385" s="47"/>
      <c r="AP385" s="47"/>
      <c r="AQ385" s="47"/>
      <c r="AR385" s="47"/>
      <c r="AS385" s="47"/>
      <c r="AT385" s="47"/>
      <c r="AU385" s="47"/>
      <c r="AV385" s="47"/>
      <c r="AW385" s="47"/>
      <c r="AX385" s="47"/>
      <c r="AY385" s="47"/>
      <c r="AZ385" s="47"/>
      <c r="BA385" s="47"/>
      <c r="BB385" s="47"/>
      <c r="BC385" s="47"/>
      <c r="BD385" s="47"/>
      <c r="BE385" s="47"/>
      <c r="BF385" s="47"/>
      <c r="BG385" s="47"/>
      <c r="BH385" s="47"/>
      <c r="BI385" s="47"/>
      <c r="BJ385" s="47"/>
      <c r="BK385" s="47"/>
    </row>
    <row r="386"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  <c r="BE386" s="47"/>
      <c r="BF386" s="47"/>
      <c r="BG386" s="47"/>
      <c r="BH386" s="47"/>
      <c r="BI386" s="47"/>
      <c r="BJ386" s="47"/>
      <c r="BK386" s="47"/>
    </row>
    <row r="387">
      <c r="AK387" s="47"/>
      <c r="AL387" s="47"/>
      <c r="AM387" s="47"/>
      <c r="AN387" s="47"/>
      <c r="AO387" s="47"/>
      <c r="AP387" s="47"/>
      <c r="AQ387" s="47"/>
      <c r="AR387" s="47"/>
      <c r="AS387" s="47"/>
      <c r="AT387" s="47"/>
      <c r="AU387" s="47"/>
      <c r="AV387" s="47"/>
      <c r="AW387" s="47"/>
      <c r="AX387" s="47"/>
      <c r="AY387" s="47"/>
      <c r="AZ387" s="47"/>
      <c r="BA387" s="47"/>
      <c r="BB387" s="47"/>
      <c r="BC387" s="47"/>
      <c r="BD387" s="47"/>
      <c r="BE387" s="47"/>
      <c r="BF387" s="47"/>
      <c r="BG387" s="47"/>
      <c r="BH387" s="47"/>
      <c r="BI387" s="47"/>
      <c r="BJ387" s="47"/>
      <c r="BK387" s="47"/>
    </row>
    <row r="388"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  <c r="BE388" s="47"/>
      <c r="BF388" s="47"/>
      <c r="BG388" s="47"/>
      <c r="BH388" s="47"/>
      <c r="BI388" s="47"/>
      <c r="BJ388" s="47"/>
      <c r="BK388" s="47"/>
    </row>
    <row r="389">
      <c r="AK389" s="47"/>
      <c r="AL389" s="47"/>
      <c r="AM389" s="47"/>
      <c r="AN389" s="47"/>
      <c r="AO389" s="47"/>
      <c r="AP389" s="47"/>
      <c r="AQ389" s="47"/>
      <c r="AR389" s="47"/>
      <c r="AS389" s="47"/>
      <c r="AT389" s="47"/>
      <c r="AU389" s="47"/>
      <c r="AV389" s="47"/>
      <c r="AW389" s="47"/>
      <c r="AX389" s="47"/>
      <c r="AY389" s="47"/>
      <c r="AZ389" s="47"/>
      <c r="BA389" s="47"/>
      <c r="BB389" s="47"/>
      <c r="BC389" s="47"/>
      <c r="BD389" s="47"/>
      <c r="BE389" s="47"/>
      <c r="BF389" s="47"/>
      <c r="BG389" s="47"/>
      <c r="BH389" s="47"/>
      <c r="BI389" s="47"/>
      <c r="BJ389" s="47"/>
      <c r="BK389" s="47"/>
    </row>
    <row r="390"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  <c r="BE390" s="47"/>
      <c r="BF390" s="47"/>
      <c r="BG390" s="47"/>
      <c r="BH390" s="47"/>
      <c r="BI390" s="47"/>
      <c r="BJ390" s="47"/>
      <c r="BK390" s="47"/>
    </row>
    <row r="391">
      <c r="AK391" s="47"/>
      <c r="AL391" s="47"/>
      <c r="AM391" s="47"/>
      <c r="AN391" s="47"/>
      <c r="AO391" s="47"/>
      <c r="AP391" s="47"/>
      <c r="AQ391" s="47"/>
      <c r="AR391" s="47"/>
      <c r="AS391" s="47"/>
      <c r="AT391" s="47"/>
      <c r="AU391" s="47"/>
      <c r="AV391" s="47"/>
      <c r="AW391" s="47"/>
      <c r="AX391" s="47"/>
      <c r="AY391" s="47"/>
      <c r="AZ391" s="47"/>
      <c r="BA391" s="47"/>
      <c r="BB391" s="47"/>
      <c r="BC391" s="47"/>
      <c r="BD391" s="47"/>
      <c r="BE391" s="47"/>
      <c r="BF391" s="47"/>
      <c r="BG391" s="47"/>
      <c r="BH391" s="47"/>
      <c r="BI391" s="47"/>
      <c r="BJ391" s="47"/>
      <c r="BK391" s="47"/>
    </row>
    <row r="392"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</row>
    <row r="393">
      <c r="AK393" s="47"/>
      <c r="AL393" s="47"/>
      <c r="AM393" s="47"/>
      <c r="AN393" s="47"/>
      <c r="AO393" s="47"/>
      <c r="AP393" s="47"/>
      <c r="AQ393" s="47"/>
      <c r="AR393" s="47"/>
      <c r="AS393" s="47"/>
      <c r="AT393" s="47"/>
      <c r="AU393" s="47"/>
      <c r="AV393" s="47"/>
      <c r="AW393" s="47"/>
      <c r="AX393" s="47"/>
      <c r="AY393" s="47"/>
      <c r="AZ393" s="47"/>
      <c r="BA393" s="47"/>
      <c r="BB393" s="47"/>
      <c r="BC393" s="47"/>
      <c r="BD393" s="47"/>
      <c r="BE393" s="47"/>
      <c r="BF393" s="47"/>
      <c r="BG393" s="47"/>
      <c r="BH393" s="47"/>
      <c r="BI393" s="47"/>
      <c r="BJ393" s="47"/>
      <c r="BK393" s="47"/>
    </row>
    <row r="394"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  <c r="BE394" s="47"/>
      <c r="BF394" s="47"/>
      <c r="BG394" s="47"/>
      <c r="BH394" s="47"/>
      <c r="BI394" s="47"/>
      <c r="BJ394" s="47"/>
      <c r="BK394" s="47"/>
    </row>
    <row r="395">
      <c r="AK395" s="47"/>
      <c r="AL395" s="47"/>
      <c r="AM395" s="47"/>
      <c r="AN395" s="47"/>
      <c r="AO395" s="47"/>
      <c r="AP395" s="47"/>
      <c r="AQ395" s="47"/>
      <c r="AR395" s="47"/>
      <c r="AS395" s="47"/>
      <c r="AT395" s="47"/>
      <c r="AU395" s="47"/>
      <c r="AV395" s="47"/>
      <c r="AW395" s="47"/>
      <c r="AX395" s="47"/>
      <c r="AY395" s="47"/>
      <c r="AZ395" s="47"/>
      <c r="BA395" s="47"/>
      <c r="BB395" s="47"/>
      <c r="BC395" s="47"/>
      <c r="BD395" s="47"/>
      <c r="BE395" s="47"/>
      <c r="BF395" s="47"/>
      <c r="BG395" s="47"/>
      <c r="BH395" s="47"/>
      <c r="BI395" s="47"/>
      <c r="BJ395" s="47"/>
      <c r="BK395" s="47"/>
    </row>
    <row r="396"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  <c r="BE396" s="47"/>
      <c r="BF396" s="47"/>
      <c r="BG396" s="47"/>
      <c r="BH396" s="47"/>
      <c r="BI396" s="47"/>
      <c r="BJ396" s="47"/>
      <c r="BK396" s="47"/>
    </row>
    <row r="397">
      <c r="AK397" s="47"/>
      <c r="AL397" s="47"/>
      <c r="AM397" s="47"/>
      <c r="AN397" s="47"/>
      <c r="AO397" s="47"/>
      <c r="AP397" s="47"/>
      <c r="AQ397" s="47"/>
      <c r="AR397" s="47"/>
      <c r="AS397" s="47"/>
      <c r="AT397" s="47"/>
      <c r="AU397" s="47"/>
      <c r="AV397" s="47"/>
      <c r="AW397" s="47"/>
      <c r="AX397" s="47"/>
      <c r="AY397" s="47"/>
      <c r="AZ397" s="47"/>
      <c r="BA397" s="47"/>
      <c r="BB397" s="47"/>
      <c r="BC397" s="47"/>
      <c r="BD397" s="47"/>
      <c r="BE397" s="47"/>
      <c r="BF397" s="47"/>
      <c r="BG397" s="47"/>
      <c r="BH397" s="47"/>
      <c r="BI397" s="47"/>
      <c r="BJ397" s="47"/>
      <c r="BK397" s="47"/>
    </row>
    <row r="398"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  <c r="BE398" s="47"/>
      <c r="BF398" s="47"/>
      <c r="BG398" s="47"/>
      <c r="BH398" s="47"/>
      <c r="BI398" s="47"/>
      <c r="BJ398" s="47"/>
      <c r="BK398" s="47"/>
    </row>
    <row r="399">
      <c r="AK399" s="47"/>
      <c r="AL399" s="47"/>
      <c r="AM399" s="47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7"/>
      <c r="BB399" s="47"/>
      <c r="BC399" s="47"/>
      <c r="BD399" s="47"/>
      <c r="BE399" s="47"/>
      <c r="BF399" s="47"/>
      <c r="BG399" s="47"/>
      <c r="BH399" s="47"/>
      <c r="BI399" s="47"/>
      <c r="BJ399" s="47"/>
      <c r="BK399" s="47"/>
    </row>
    <row r="400"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  <c r="BE400" s="47"/>
      <c r="BF400" s="47"/>
      <c r="BG400" s="47"/>
      <c r="BH400" s="47"/>
      <c r="BI400" s="47"/>
      <c r="BJ400" s="47"/>
      <c r="BK400" s="47"/>
    </row>
    <row r="401">
      <c r="AK401" s="47"/>
      <c r="AL401" s="47"/>
      <c r="AM401" s="47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7"/>
      <c r="BB401" s="47"/>
      <c r="BC401" s="47"/>
      <c r="BD401" s="47"/>
      <c r="BE401" s="47"/>
      <c r="BF401" s="47"/>
      <c r="BG401" s="47"/>
      <c r="BH401" s="47"/>
      <c r="BI401" s="47"/>
      <c r="BJ401" s="47"/>
      <c r="BK401" s="47"/>
    </row>
    <row r="402"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</row>
    <row r="403">
      <c r="AK403" s="47"/>
      <c r="AL403" s="47"/>
      <c r="AM403" s="47"/>
      <c r="AN403" s="47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7"/>
      <c r="BB403" s="47"/>
      <c r="BC403" s="47"/>
      <c r="BD403" s="47"/>
      <c r="BE403" s="47"/>
      <c r="BF403" s="47"/>
      <c r="BG403" s="47"/>
      <c r="BH403" s="47"/>
      <c r="BI403" s="47"/>
      <c r="BJ403" s="47"/>
      <c r="BK403" s="47"/>
    </row>
    <row r="404"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  <c r="BE404" s="47"/>
      <c r="BF404" s="47"/>
      <c r="BG404" s="47"/>
      <c r="BH404" s="47"/>
      <c r="BI404" s="47"/>
      <c r="BJ404" s="47"/>
      <c r="BK404" s="47"/>
    </row>
    <row r="405">
      <c r="AK405" s="47"/>
      <c r="AL405" s="47"/>
      <c r="AM405" s="47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7"/>
      <c r="BB405" s="47"/>
      <c r="BC405" s="47"/>
      <c r="BD405" s="47"/>
      <c r="BE405" s="47"/>
      <c r="BF405" s="47"/>
      <c r="BG405" s="47"/>
      <c r="BH405" s="47"/>
      <c r="BI405" s="47"/>
      <c r="BJ405" s="47"/>
      <c r="BK405" s="47"/>
    </row>
    <row r="406"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  <c r="BE406" s="47"/>
      <c r="BF406" s="47"/>
      <c r="BG406" s="47"/>
      <c r="BH406" s="47"/>
      <c r="BI406" s="47"/>
      <c r="BJ406" s="47"/>
      <c r="BK406" s="47"/>
    </row>
    <row r="407">
      <c r="AK407" s="47"/>
      <c r="AL407" s="47"/>
      <c r="AM407" s="47"/>
      <c r="AN407" s="47"/>
      <c r="AO407" s="47"/>
      <c r="AP407" s="47"/>
      <c r="AQ407" s="47"/>
      <c r="AR407" s="47"/>
      <c r="AS407" s="47"/>
      <c r="AT407" s="47"/>
      <c r="AU407" s="47"/>
      <c r="AV407" s="47"/>
      <c r="AW407" s="47"/>
      <c r="AX407" s="47"/>
      <c r="AY407" s="47"/>
      <c r="AZ407" s="47"/>
      <c r="BA407" s="47"/>
      <c r="BB407" s="47"/>
      <c r="BC407" s="47"/>
      <c r="BD407" s="47"/>
      <c r="BE407" s="47"/>
      <c r="BF407" s="47"/>
      <c r="BG407" s="47"/>
      <c r="BH407" s="47"/>
      <c r="BI407" s="47"/>
      <c r="BJ407" s="47"/>
      <c r="BK407" s="47"/>
    </row>
    <row r="408"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  <c r="BE408" s="47"/>
      <c r="BF408" s="47"/>
      <c r="BG408" s="47"/>
      <c r="BH408" s="47"/>
      <c r="BI408" s="47"/>
      <c r="BJ408" s="47"/>
      <c r="BK408" s="47"/>
    </row>
    <row r="409">
      <c r="AK409" s="47"/>
      <c r="AL409" s="47"/>
      <c r="AM409" s="47"/>
      <c r="AN409" s="47"/>
      <c r="AO409" s="47"/>
      <c r="AP409" s="47"/>
      <c r="AQ409" s="47"/>
      <c r="AR409" s="47"/>
      <c r="AS409" s="47"/>
      <c r="AT409" s="47"/>
      <c r="AU409" s="47"/>
      <c r="AV409" s="47"/>
      <c r="AW409" s="47"/>
      <c r="AX409" s="47"/>
      <c r="AY409" s="47"/>
      <c r="AZ409" s="47"/>
      <c r="BA409" s="47"/>
      <c r="BB409" s="47"/>
      <c r="BC409" s="47"/>
      <c r="BD409" s="47"/>
      <c r="BE409" s="47"/>
      <c r="BF409" s="47"/>
      <c r="BG409" s="47"/>
      <c r="BH409" s="47"/>
      <c r="BI409" s="47"/>
      <c r="BJ409" s="47"/>
      <c r="BK409" s="47"/>
    </row>
    <row r="410"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  <c r="BE410" s="47"/>
      <c r="BF410" s="47"/>
      <c r="BG410" s="47"/>
      <c r="BH410" s="47"/>
      <c r="BI410" s="47"/>
      <c r="BJ410" s="47"/>
      <c r="BK410" s="47"/>
    </row>
    <row r="411">
      <c r="AK411" s="47"/>
      <c r="AL411" s="47"/>
      <c r="AM411" s="47"/>
      <c r="AN411" s="47"/>
      <c r="AO411" s="47"/>
      <c r="AP411" s="47"/>
      <c r="AQ411" s="47"/>
      <c r="AR411" s="47"/>
      <c r="AS411" s="47"/>
      <c r="AT411" s="47"/>
      <c r="AU411" s="47"/>
      <c r="AV411" s="47"/>
      <c r="AW411" s="47"/>
      <c r="AX411" s="47"/>
      <c r="AY411" s="47"/>
      <c r="AZ411" s="47"/>
      <c r="BA411" s="47"/>
      <c r="BB411" s="47"/>
      <c r="BC411" s="47"/>
      <c r="BD411" s="47"/>
      <c r="BE411" s="47"/>
      <c r="BF411" s="47"/>
      <c r="BG411" s="47"/>
      <c r="BH411" s="47"/>
      <c r="BI411" s="47"/>
      <c r="BJ411" s="47"/>
      <c r="BK411" s="47"/>
    </row>
    <row r="412"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  <c r="BE412" s="47"/>
      <c r="BF412" s="47"/>
      <c r="BG412" s="47"/>
      <c r="BH412" s="47"/>
      <c r="BI412" s="47"/>
      <c r="BJ412" s="47"/>
      <c r="BK412" s="47"/>
    </row>
    <row r="413">
      <c r="AK413" s="47"/>
      <c r="AL413" s="47"/>
      <c r="AM413" s="47"/>
      <c r="AN413" s="47"/>
      <c r="AO413" s="47"/>
      <c r="AP413" s="47"/>
      <c r="AQ413" s="47"/>
      <c r="AR413" s="47"/>
      <c r="AS413" s="47"/>
      <c r="AT413" s="47"/>
      <c r="AU413" s="47"/>
      <c r="AV413" s="47"/>
      <c r="AW413" s="47"/>
      <c r="AX413" s="47"/>
      <c r="AY413" s="47"/>
      <c r="AZ413" s="47"/>
      <c r="BA413" s="47"/>
      <c r="BB413" s="47"/>
      <c r="BC413" s="47"/>
      <c r="BD413" s="47"/>
      <c r="BE413" s="47"/>
      <c r="BF413" s="47"/>
      <c r="BG413" s="47"/>
      <c r="BH413" s="47"/>
      <c r="BI413" s="47"/>
      <c r="BJ413" s="47"/>
      <c r="BK413" s="47"/>
    </row>
    <row r="414"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  <c r="BE414" s="47"/>
      <c r="BF414" s="47"/>
      <c r="BG414" s="47"/>
      <c r="BH414" s="47"/>
      <c r="BI414" s="47"/>
      <c r="BJ414" s="47"/>
      <c r="BK414" s="47"/>
    </row>
    <row r="415">
      <c r="AK415" s="47"/>
      <c r="AL415" s="47"/>
      <c r="AM415" s="47"/>
      <c r="AN415" s="47"/>
      <c r="AO415" s="47"/>
      <c r="AP415" s="47"/>
      <c r="AQ415" s="47"/>
      <c r="AR415" s="47"/>
      <c r="AS415" s="47"/>
      <c r="AT415" s="47"/>
      <c r="AU415" s="47"/>
      <c r="AV415" s="47"/>
      <c r="AW415" s="47"/>
      <c r="AX415" s="47"/>
      <c r="AY415" s="47"/>
      <c r="AZ415" s="47"/>
      <c r="BA415" s="47"/>
      <c r="BB415" s="47"/>
      <c r="BC415" s="47"/>
      <c r="BD415" s="47"/>
      <c r="BE415" s="47"/>
      <c r="BF415" s="47"/>
      <c r="BG415" s="47"/>
      <c r="BH415" s="47"/>
      <c r="BI415" s="47"/>
      <c r="BJ415" s="47"/>
      <c r="BK415" s="47"/>
    </row>
    <row r="416"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  <c r="BE416" s="47"/>
      <c r="BF416" s="47"/>
      <c r="BG416" s="47"/>
      <c r="BH416" s="47"/>
      <c r="BI416" s="47"/>
      <c r="BJ416" s="47"/>
      <c r="BK416" s="47"/>
    </row>
    <row r="417">
      <c r="AK417" s="47"/>
      <c r="AL417" s="47"/>
      <c r="AM417" s="47"/>
      <c r="AN417" s="47"/>
      <c r="AO417" s="47"/>
      <c r="AP417" s="47"/>
      <c r="AQ417" s="47"/>
      <c r="AR417" s="47"/>
      <c r="AS417" s="47"/>
      <c r="AT417" s="47"/>
      <c r="AU417" s="47"/>
      <c r="AV417" s="47"/>
      <c r="AW417" s="47"/>
      <c r="AX417" s="47"/>
      <c r="AY417" s="47"/>
      <c r="AZ417" s="47"/>
      <c r="BA417" s="47"/>
      <c r="BB417" s="47"/>
      <c r="BC417" s="47"/>
      <c r="BD417" s="47"/>
      <c r="BE417" s="47"/>
      <c r="BF417" s="47"/>
      <c r="BG417" s="47"/>
      <c r="BH417" s="47"/>
      <c r="BI417" s="47"/>
      <c r="BJ417" s="47"/>
      <c r="BK417" s="47"/>
    </row>
    <row r="418"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  <c r="BE418" s="47"/>
      <c r="BF418" s="47"/>
      <c r="BG418" s="47"/>
      <c r="BH418" s="47"/>
      <c r="BI418" s="47"/>
      <c r="BJ418" s="47"/>
      <c r="BK418" s="47"/>
    </row>
    <row r="419">
      <c r="AK419" s="47"/>
      <c r="AL419" s="47"/>
      <c r="AM419" s="47"/>
      <c r="AN419" s="47"/>
      <c r="AO419" s="47"/>
      <c r="AP419" s="47"/>
      <c r="AQ419" s="47"/>
      <c r="AR419" s="47"/>
      <c r="AS419" s="47"/>
      <c r="AT419" s="47"/>
      <c r="AU419" s="47"/>
      <c r="AV419" s="47"/>
      <c r="AW419" s="47"/>
      <c r="AX419" s="47"/>
      <c r="AY419" s="47"/>
      <c r="AZ419" s="47"/>
      <c r="BA419" s="47"/>
      <c r="BB419" s="47"/>
      <c r="BC419" s="47"/>
      <c r="BD419" s="47"/>
      <c r="BE419" s="47"/>
      <c r="BF419" s="47"/>
      <c r="BG419" s="47"/>
      <c r="BH419" s="47"/>
      <c r="BI419" s="47"/>
      <c r="BJ419" s="47"/>
      <c r="BK419" s="47"/>
    </row>
    <row r="420"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  <c r="BE420" s="47"/>
      <c r="BF420" s="47"/>
      <c r="BG420" s="47"/>
      <c r="BH420" s="47"/>
      <c r="BI420" s="47"/>
      <c r="BJ420" s="47"/>
      <c r="BK420" s="47"/>
    </row>
    <row r="421">
      <c r="AK421" s="47"/>
      <c r="AL421" s="47"/>
      <c r="AM421" s="47"/>
      <c r="AN421" s="47"/>
      <c r="AO421" s="47"/>
      <c r="AP421" s="47"/>
      <c r="AQ421" s="47"/>
      <c r="AR421" s="47"/>
      <c r="AS421" s="47"/>
      <c r="AT421" s="47"/>
      <c r="AU421" s="47"/>
      <c r="AV421" s="47"/>
      <c r="AW421" s="47"/>
      <c r="AX421" s="47"/>
      <c r="AY421" s="47"/>
      <c r="AZ421" s="47"/>
      <c r="BA421" s="47"/>
      <c r="BB421" s="47"/>
      <c r="BC421" s="47"/>
      <c r="BD421" s="47"/>
      <c r="BE421" s="47"/>
      <c r="BF421" s="47"/>
      <c r="BG421" s="47"/>
      <c r="BH421" s="47"/>
      <c r="BI421" s="47"/>
      <c r="BJ421" s="47"/>
      <c r="BK421" s="47"/>
    </row>
    <row r="422"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</row>
    <row r="423">
      <c r="AK423" s="47"/>
      <c r="AL423" s="47"/>
      <c r="AM423" s="47"/>
      <c r="AN423" s="47"/>
      <c r="AO423" s="47"/>
      <c r="AP423" s="47"/>
      <c r="AQ423" s="47"/>
      <c r="AR423" s="47"/>
      <c r="AS423" s="47"/>
      <c r="AT423" s="47"/>
      <c r="AU423" s="47"/>
      <c r="AV423" s="47"/>
      <c r="AW423" s="47"/>
      <c r="AX423" s="47"/>
      <c r="AY423" s="47"/>
      <c r="AZ423" s="47"/>
      <c r="BA423" s="47"/>
      <c r="BB423" s="47"/>
      <c r="BC423" s="47"/>
      <c r="BD423" s="47"/>
      <c r="BE423" s="47"/>
      <c r="BF423" s="47"/>
      <c r="BG423" s="47"/>
      <c r="BH423" s="47"/>
      <c r="BI423" s="47"/>
      <c r="BJ423" s="47"/>
      <c r="BK423" s="47"/>
    </row>
    <row r="424"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  <c r="BE424" s="47"/>
      <c r="BF424" s="47"/>
      <c r="BG424" s="47"/>
      <c r="BH424" s="47"/>
      <c r="BI424" s="47"/>
      <c r="BJ424" s="47"/>
      <c r="BK424" s="47"/>
    </row>
    <row r="425">
      <c r="AK425" s="47"/>
      <c r="AL425" s="47"/>
      <c r="AM425" s="47"/>
      <c r="AN425" s="47"/>
      <c r="AO425" s="47"/>
      <c r="AP425" s="47"/>
      <c r="AQ425" s="47"/>
      <c r="AR425" s="47"/>
      <c r="AS425" s="47"/>
      <c r="AT425" s="47"/>
      <c r="AU425" s="47"/>
      <c r="AV425" s="47"/>
      <c r="AW425" s="47"/>
      <c r="AX425" s="47"/>
      <c r="AY425" s="47"/>
      <c r="AZ425" s="47"/>
      <c r="BA425" s="47"/>
      <c r="BB425" s="47"/>
      <c r="BC425" s="47"/>
      <c r="BD425" s="47"/>
      <c r="BE425" s="47"/>
      <c r="BF425" s="47"/>
      <c r="BG425" s="47"/>
      <c r="BH425" s="47"/>
      <c r="BI425" s="47"/>
      <c r="BJ425" s="47"/>
      <c r="BK425" s="47"/>
    </row>
    <row r="426"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  <c r="BE426" s="47"/>
      <c r="BF426" s="47"/>
      <c r="BG426" s="47"/>
      <c r="BH426" s="47"/>
      <c r="BI426" s="47"/>
      <c r="BJ426" s="47"/>
      <c r="BK426" s="47"/>
    </row>
    <row r="427">
      <c r="AK427" s="47"/>
      <c r="AL427" s="47"/>
      <c r="AM427" s="47"/>
      <c r="AN427" s="47"/>
      <c r="AO427" s="47"/>
      <c r="AP427" s="47"/>
      <c r="AQ427" s="47"/>
      <c r="AR427" s="47"/>
      <c r="AS427" s="47"/>
      <c r="AT427" s="47"/>
      <c r="AU427" s="47"/>
      <c r="AV427" s="47"/>
      <c r="AW427" s="47"/>
      <c r="AX427" s="47"/>
      <c r="AY427" s="47"/>
      <c r="AZ427" s="47"/>
      <c r="BA427" s="47"/>
      <c r="BB427" s="47"/>
      <c r="BC427" s="47"/>
      <c r="BD427" s="47"/>
      <c r="BE427" s="47"/>
      <c r="BF427" s="47"/>
      <c r="BG427" s="47"/>
      <c r="BH427" s="47"/>
      <c r="BI427" s="47"/>
      <c r="BJ427" s="47"/>
      <c r="BK427" s="47"/>
    </row>
    <row r="428"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  <c r="BE428" s="47"/>
      <c r="BF428" s="47"/>
      <c r="BG428" s="47"/>
      <c r="BH428" s="47"/>
      <c r="BI428" s="47"/>
      <c r="BJ428" s="47"/>
      <c r="BK428" s="47"/>
    </row>
    <row r="429">
      <c r="AK429" s="47"/>
      <c r="AL429" s="47"/>
      <c r="AM429" s="47"/>
      <c r="AN429" s="47"/>
      <c r="AO429" s="47"/>
      <c r="AP429" s="47"/>
      <c r="AQ429" s="47"/>
      <c r="AR429" s="47"/>
      <c r="AS429" s="47"/>
      <c r="AT429" s="47"/>
      <c r="AU429" s="47"/>
      <c r="AV429" s="47"/>
      <c r="AW429" s="47"/>
      <c r="AX429" s="47"/>
      <c r="AY429" s="47"/>
      <c r="AZ429" s="47"/>
      <c r="BA429" s="47"/>
      <c r="BB429" s="47"/>
      <c r="BC429" s="47"/>
      <c r="BD429" s="47"/>
      <c r="BE429" s="47"/>
      <c r="BF429" s="47"/>
      <c r="BG429" s="47"/>
      <c r="BH429" s="47"/>
      <c r="BI429" s="47"/>
      <c r="BJ429" s="47"/>
      <c r="BK429" s="47"/>
    </row>
    <row r="430"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  <c r="BE430" s="47"/>
      <c r="BF430" s="47"/>
      <c r="BG430" s="47"/>
      <c r="BH430" s="47"/>
      <c r="BI430" s="47"/>
      <c r="BJ430" s="47"/>
      <c r="BK430" s="47"/>
    </row>
    <row r="431">
      <c r="AK431" s="47"/>
      <c r="AL431" s="47"/>
      <c r="AM431" s="47"/>
      <c r="AN431" s="47"/>
      <c r="AO431" s="47"/>
      <c r="AP431" s="47"/>
      <c r="AQ431" s="47"/>
      <c r="AR431" s="47"/>
      <c r="AS431" s="47"/>
      <c r="AT431" s="47"/>
      <c r="AU431" s="47"/>
      <c r="AV431" s="47"/>
      <c r="AW431" s="47"/>
      <c r="AX431" s="47"/>
      <c r="AY431" s="47"/>
      <c r="AZ431" s="47"/>
      <c r="BA431" s="47"/>
      <c r="BB431" s="47"/>
      <c r="BC431" s="47"/>
      <c r="BD431" s="47"/>
      <c r="BE431" s="47"/>
      <c r="BF431" s="47"/>
      <c r="BG431" s="47"/>
      <c r="BH431" s="47"/>
      <c r="BI431" s="47"/>
      <c r="BJ431" s="47"/>
      <c r="BK431" s="47"/>
    </row>
    <row r="432"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</row>
    <row r="433">
      <c r="AK433" s="47"/>
      <c r="AL433" s="47"/>
      <c r="AM433" s="47"/>
      <c r="AN433" s="47"/>
      <c r="AO433" s="47"/>
      <c r="AP433" s="47"/>
      <c r="AQ433" s="47"/>
      <c r="AR433" s="47"/>
      <c r="AS433" s="47"/>
      <c r="AT433" s="47"/>
      <c r="AU433" s="47"/>
      <c r="AV433" s="47"/>
      <c r="AW433" s="47"/>
      <c r="AX433" s="47"/>
      <c r="AY433" s="47"/>
      <c r="AZ433" s="47"/>
      <c r="BA433" s="47"/>
      <c r="BB433" s="47"/>
      <c r="BC433" s="47"/>
      <c r="BD433" s="47"/>
      <c r="BE433" s="47"/>
      <c r="BF433" s="47"/>
      <c r="BG433" s="47"/>
      <c r="BH433" s="47"/>
      <c r="BI433" s="47"/>
      <c r="BJ433" s="47"/>
      <c r="BK433" s="47"/>
    </row>
    <row r="434"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  <c r="BE434" s="47"/>
      <c r="BF434" s="47"/>
      <c r="BG434" s="47"/>
      <c r="BH434" s="47"/>
      <c r="BI434" s="47"/>
      <c r="BJ434" s="47"/>
      <c r="BK434" s="47"/>
    </row>
    <row r="435">
      <c r="AK435" s="47"/>
      <c r="AL435" s="47"/>
      <c r="AM435" s="47"/>
      <c r="AN435" s="47"/>
      <c r="AO435" s="47"/>
      <c r="AP435" s="47"/>
      <c r="AQ435" s="47"/>
      <c r="AR435" s="47"/>
      <c r="AS435" s="47"/>
      <c r="AT435" s="47"/>
      <c r="AU435" s="47"/>
      <c r="AV435" s="47"/>
      <c r="AW435" s="47"/>
      <c r="AX435" s="47"/>
      <c r="AY435" s="47"/>
      <c r="AZ435" s="47"/>
      <c r="BA435" s="47"/>
      <c r="BB435" s="47"/>
      <c r="BC435" s="47"/>
      <c r="BD435" s="47"/>
      <c r="BE435" s="47"/>
      <c r="BF435" s="47"/>
      <c r="BG435" s="47"/>
      <c r="BH435" s="47"/>
      <c r="BI435" s="47"/>
      <c r="BJ435" s="47"/>
      <c r="BK435" s="47"/>
    </row>
    <row r="436"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  <c r="BE436" s="47"/>
      <c r="BF436" s="47"/>
      <c r="BG436" s="47"/>
      <c r="BH436" s="47"/>
      <c r="BI436" s="47"/>
      <c r="BJ436" s="47"/>
      <c r="BK436" s="47"/>
    </row>
    <row r="437">
      <c r="AK437" s="47"/>
      <c r="AL437" s="47"/>
      <c r="AM437" s="47"/>
      <c r="AN437" s="47"/>
      <c r="AO437" s="47"/>
      <c r="AP437" s="47"/>
      <c r="AQ437" s="47"/>
      <c r="AR437" s="47"/>
      <c r="AS437" s="47"/>
      <c r="AT437" s="47"/>
      <c r="AU437" s="47"/>
      <c r="AV437" s="47"/>
      <c r="AW437" s="47"/>
      <c r="AX437" s="47"/>
      <c r="AY437" s="47"/>
      <c r="AZ437" s="47"/>
      <c r="BA437" s="47"/>
      <c r="BB437" s="47"/>
      <c r="BC437" s="47"/>
      <c r="BD437" s="47"/>
      <c r="BE437" s="47"/>
      <c r="BF437" s="47"/>
      <c r="BG437" s="47"/>
      <c r="BH437" s="47"/>
      <c r="BI437" s="47"/>
      <c r="BJ437" s="47"/>
      <c r="BK437" s="47"/>
    </row>
    <row r="438"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  <c r="BE438" s="47"/>
      <c r="BF438" s="47"/>
      <c r="BG438" s="47"/>
      <c r="BH438" s="47"/>
      <c r="BI438" s="47"/>
      <c r="BJ438" s="47"/>
      <c r="BK438" s="47"/>
    </row>
    <row r="439">
      <c r="AK439" s="47"/>
      <c r="AL439" s="47"/>
      <c r="AM439" s="47"/>
      <c r="AN439" s="47"/>
      <c r="AO439" s="47"/>
      <c r="AP439" s="47"/>
      <c r="AQ439" s="47"/>
      <c r="AR439" s="47"/>
      <c r="AS439" s="47"/>
      <c r="AT439" s="47"/>
      <c r="AU439" s="47"/>
      <c r="AV439" s="47"/>
      <c r="AW439" s="47"/>
      <c r="AX439" s="47"/>
      <c r="AY439" s="47"/>
      <c r="AZ439" s="47"/>
      <c r="BA439" s="47"/>
      <c r="BB439" s="47"/>
      <c r="BC439" s="47"/>
      <c r="BD439" s="47"/>
      <c r="BE439" s="47"/>
      <c r="BF439" s="47"/>
      <c r="BG439" s="47"/>
      <c r="BH439" s="47"/>
      <c r="BI439" s="47"/>
      <c r="BJ439" s="47"/>
      <c r="BK439" s="47"/>
    </row>
    <row r="440"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</row>
    <row r="441">
      <c r="AK441" s="47"/>
      <c r="AL441" s="47"/>
      <c r="AM441" s="47"/>
      <c r="AN441" s="47"/>
      <c r="AO441" s="47"/>
      <c r="AP441" s="47"/>
      <c r="AQ441" s="47"/>
      <c r="AR441" s="47"/>
      <c r="AS441" s="47"/>
      <c r="AT441" s="47"/>
      <c r="AU441" s="47"/>
      <c r="AV441" s="47"/>
      <c r="AW441" s="47"/>
      <c r="AX441" s="47"/>
      <c r="AY441" s="47"/>
      <c r="AZ441" s="47"/>
      <c r="BA441" s="47"/>
      <c r="BB441" s="47"/>
      <c r="BC441" s="47"/>
      <c r="BD441" s="47"/>
      <c r="BE441" s="47"/>
      <c r="BF441" s="47"/>
      <c r="BG441" s="47"/>
      <c r="BH441" s="47"/>
      <c r="BI441" s="47"/>
      <c r="BJ441" s="47"/>
      <c r="BK441" s="47"/>
    </row>
    <row r="442"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  <c r="BE442" s="47"/>
      <c r="BF442" s="47"/>
      <c r="BG442" s="47"/>
      <c r="BH442" s="47"/>
      <c r="BI442" s="47"/>
      <c r="BJ442" s="47"/>
      <c r="BK442" s="47"/>
    </row>
    <row r="443">
      <c r="AK443" s="47"/>
      <c r="AL443" s="47"/>
      <c r="AM443" s="47"/>
      <c r="AN443" s="47"/>
      <c r="AO443" s="47"/>
      <c r="AP443" s="47"/>
      <c r="AQ443" s="47"/>
      <c r="AR443" s="47"/>
      <c r="AS443" s="47"/>
      <c r="AT443" s="47"/>
      <c r="AU443" s="47"/>
      <c r="AV443" s="47"/>
      <c r="AW443" s="47"/>
      <c r="AX443" s="47"/>
      <c r="AY443" s="47"/>
      <c r="AZ443" s="47"/>
      <c r="BA443" s="47"/>
      <c r="BB443" s="47"/>
      <c r="BC443" s="47"/>
      <c r="BD443" s="47"/>
      <c r="BE443" s="47"/>
      <c r="BF443" s="47"/>
      <c r="BG443" s="47"/>
      <c r="BH443" s="47"/>
      <c r="BI443" s="47"/>
      <c r="BJ443" s="47"/>
      <c r="BK443" s="47"/>
    </row>
    <row r="444"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  <c r="BE444" s="47"/>
      <c r="BF444" s="47"/>
      <c r="BG444" s="47"/>
      <c r="BH444" s="47"/>
      <c r="BI444" s="47"/>
      <c r="BJ444" s="47"/>
      <c r="BK444" s="47"/>
    </row>
    <row r="445">
      <c r="AK445" s="47"/>
      <c r="AL445" s="47"/>
      <c r="AM445" s="47"/>
      <c r="AN445" s="47"/>
      <c r="AO445" s="47"/>
      <c r="AP445" s="47"/>
      <c r="AQ445" s="47"/>
      <c r="AR445" s="47"/>
      <c r="AS445" s="47"/>
      <c r="AT445" s="47"/>
      <c r="AU445" s="47"/>
      <c r="AV445" s="47"/>
      <c r="AW445" s="47"/>
      <c r="AX445" s="47"/>
      <c r="AY445" s="47"/>
      <c r="AZ445" s="47"/>
      <c r="BA445" s="47"/>
      <c r="BB445" s="47"/>
      <c r="BC445" s="47"/>
      <c r="BD445" s="47"/>
      <c r="BE445" s="47"/>
      <c r="BF445" s="47"/>
      <c r="BG445" s="47"/>
      <c r="BH445" s="47"/>
      <c r="BI445" s="47"/>
      <c r="BJ445" s="47"/>
      <c r="BK445" s="47"/>
    </row>
    <row r="446"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  <c r="BE446" s="47"/>
      <c r="BF446" s="47"/>
      <c r="BG446" s="47"/>
      <c r="BH446" s="47"/>
      <c r="BI446" s="47"/>
      <c r="BJ446" s="47"/>
      <c r="BK446" s="47"/>
    </row>
    <row r="447">
      <c r="AK447" s="47"/>
      <c r="AL447" s="47"/>
      <c r="AM447" s="47"/>
      <c r="AN447" s="47"/>
      <c r="AO447" s="47"/>
      <c r="AP447" s="47"/>
      <c r="AQ447" s="47"/>
      <c r="AR447" s="47"/>
      <c r="AS447" s="47"/>
      <c r="AT447" s="47"/>
      <c r="AU447" s="47"/>
      <c r="AV447" s="47"/>
      <c r="AW447" s="47"/>
      <c r="AX447" s="47"/>
      <c r="AY447" s="47"/>
      <c r="AZ447" s="47"/>
      <c r="BA447" s="47"/>
      <c r="BB447" s="47"/>
      <c r="BC447" s="47"/>
      <c r="BD447" s="47"/>
      <c r="BE447" s="47"/>
      <c r="BF447" s="47"/>
      <c r="BG447" s="47"/>
      <c r="BH447" s="47"/>
      <c r="BI447" s="47"/>
      <c r="BJ447" s="47"/>
      <c r="BK447" s="47"/>
    </row>
    <row r="448"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  <c r="BE448" s="47"/>
      <c r="BF448" s="47"/>
      <c r="BG448" s="47"/>
      <c r="BH448" s="47"/>
      <c r="BI448" s="47"/>
      <c r="BJ448" s="47"/>
      <c r="BK448" s="47"/>
    </row>
    <row r="449">
      <c r="AK449" s="47"/>
      <c r="AL449" s="47"/>
      <c r="AM449" s="47"/>
      <c r="AN449" s="47"/>
      <c r="AO449" s="47"/>
      <c r="AP449" s="47"/>
      <c r="AQ449" s="47"/>
      <c r="AR449" s="47"/>
      <c r="AS449" s="47"/>
      <c r="AT449" s="47"/>
      <c r="AU449" s="47"/>
      <c r="AV449" s="47"/>
      <c r="AW449" s="47"/>
      <c r="AX449" s="47"/>
      <c r="AY449" s="47"/>
      <c r="AZ449" s="47"/>
      <c r="BA449" s="47"/>
      <c r="BB449" s="47"/>
      <c r="BC449" s="47"/>
      <c r="BD449" s="47"/>
      <c r="BE449" s="47"/>
      <c r="BF449" s="47"/>
      <c r="BG449" s="47"/>
      <c r="BH449" s="47"/>
      <c r="BI449" s="47"/>
      <c r="BJ449" s="47"/>
      <c r="BK449" s="47"/>
    </row>
    <row r="450"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  <c r="BE450" s="47"/>
      <c r="BF450" s="47"/>
      <c r="BG450" s="47"/>
      <c r="BH450" s="47"/>
      <c r="BI450" s="47"/>
      <c r="BJ450" s="47"/>
      <c r="BK450" s="47"/>
    </row>
    <row r="451">
      <c r="AK451" s="47"/>
      <c r="AL451" s="47"/>
      <c r="AM451" s="47"/>
      <c r="AN451" s="47"/>
      <c r="AO451" s="47"/>
      <c r="AP451" s="47"/>
      <c r="AQ451" s="47"/>
      <c r="AR451" s="47"/>
      <c r="AS451" s="47"/>
      <c r="AT451" s="47"/>
      <c r="AU451" s="47"/>
      <c r="AV451" s="47"/>
      <c r="AW451" s="47"/>
      <c r="AX451" s="47"/>
      <c r="AY451" s="47"/>
      <c r="AZ451" s="47"/>
      <c r="BA451" s="47"/>
      <c r="BB451" s="47"/>
      <c r="BC451" s="47"/>
      <c r="BD451" s="47"/>
      <c r="BE451" s="47"/>
      <c r="BF451" s="47"/>
      <c r="BG451" s="47"/>
      <c r="BH451" s="47"/>
      <c r="BI451" s="47"/>
      <c r="BJ451" s="47"/>
      <c r="BK451" s="47"/>
    </row>
    <row r="452"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  <c r="BE452" s="47"/>
      <c r="BF452" s="47"/>
      <c r="BG452" s="47"/>
      <c r="BH452" s="47"/>
      <c r="BI452" s="47"/>
      <c r="BJ452" s="47"/>
      <c r="BK452" s="47"/>
    </row>
    <row r="453">
      <c r="AK453" s="47"/>
      <c r="AL453" s="47"/>
      <c r="AM453" s="47"/>
      <c r="AN453" s="47"/>
      <c r="AO453" s="47"/>
      <c r="AP453" s="47"/>
      <c r="AQ453" s="47"/>
      <c r="AR453" s="47"/>
      <c r="AS453" s="47"/>
      <c r="AT453" s="47"/>
      <c r="AU453" s="47"/>
      <c r="AV453" s="47"/>
      <c r="AW453" s="47"/>
      <c r="AX453" s="47"/>
      <c r="AY453" s="47"/>
      <c r="AZ453" s="47"/>
      <c r="BA453" s="47"/>
      <c r="BB453" s="47"/>
      <c r="BC453" s="47"/>
      <c r="BD453" s="47"/>
      <c r="BE453" s="47"/>
      <c r="BF453" s="47"/>
      <c r="BG453" s="47"/>
      <c r="BH453" s="47"/>
      <c r="BI453" s="47"/>
      <c r="BJ453" s="47"/>
      <c r="BK453" s="47"/>
    </row>
    <row r="454"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  <c r="BE454" s="47"/>
      <c r="BF454" s="47"/>
      <c r="BG454" s="47"/>
      <c r="BH454" s="47"/>
      <c r="BI454" s="47"/>
      <c r="BJ454" s="47"/>
      <c r="BK454" s="47"/>
    </row>
    <row r="455">
      <c r="AK455" s="47"/>
      <c r="AL455" s="47"/>
      <c r="AM455" s="47"/>
      <c r="AN455" s="47"/>
      <c r="AO455" s="47"/>
      <c r="AP455" s="47"/>
      <c r="AQ455" s="47"/>
      <c r="AR455" s="47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47"/>
      <c r="BE455" s="47"/>
      <c r="BF455" s="47"/>
      <c r="BG455" s="47"/>
      <c r="BH455" s="47"/>
      <c r="BI455" s="47"/>
      <c r="BJ455" s="47"/>
      <c r="BK455" s="47"/>
    </row>
    <row r="456"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  <c r="BE456" s="47"/>
      <c r="BF456" s="47"/>
      <c r="BG456" s="47"/>
      <c r="BH456" s="47"/>
      <c r="BI456" s="47"/>
      <c r="BJ456" s="47"/>
      <c r="BK456" s="47"/>
    </row>
    <row r="457">
      <c r="AK457" s="47"/>
      <c r="AL457" s="47"/>
      <c r="AM457" s="47"/>
      <c r="AN457" s="47"/>
      <c r="AO457" s="47"/>
      <c r="AP457" s="47"/>
      <c r="AQ457" s="47"/>
      <c r="AR457" s="47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47"/>
      <c r="BE457" s="47"/>
      <c r="BF457" s="47"/>
      <c r="BG457" s="47"/>
      <c r="BH457" s="47"/>
      <c r="BI457" s="47"/>
      <c r="BJ457" s="47"/>
      <c r="BK457" s="47"/>
    </row>
    <row r="458"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  <c r="BE458" s="47"/>
      <c r="BF458" s="47"/>
      <c r="BG458" s="47"/>
      <c r="BH458" s="47"/>
      <c r="BI458" s="47"/>
      <c r="BJ458" s="47"/>
      <c r="BK458" s="47"/>
    </row>
    <row r="459">
      <c r="AK459" s="47"/>
      <c r="AL459" s="47"/>
      <c r="AM459" s="47"/>
      <c r="AN459" s="47"/>
      <c r="AO459" s="47"/>
      <c r="AP459" s="47"/>
      <c r="AQ459" s="47"/>
      <c r="AR459" s="47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47"/>
      <c r="BE459" s="47"/>
      <c r="BF459" s="47"/>
      <c r="BG459" s="47"/>
      <c r="BH459" s="47"/>
      <c r="BI459" s="47"/>
      <c r="BJ459" s="47"/>
      <c r="BK459" s="47"/>
    </row>
    <row r="460"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  <c r="BE460" s="47"/>
      <c r="BF460" s="47"/>
      <c r="BG460" s="47"/>
      <c r="BH460" s="47"/>
      <c r="BI460" s="47"/>
      <c r="BJ460" s="47"/>
      <c r="BK460" s="47"/>
    </row>
    <row r="461">
      <c r="AK461" s="47"/>
      <c r="AL461" s="47"/>
      <c r="AM461" s="47"/>
      <c r="AN461" s="47"/>
      <c r="AO461" s="47"/>
      <c r="AP461" s="47"/>
      <c r="AQ461" s="47"/>
      <c r="AR461" s="47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47"/>
      <c r="BE461" s="47"/>
      <c r="BF461" s="47"/>
      <c r="BG461" s="47"/>
      <c r="BH461" s="47"/>
      <c r="BI461" s="47"/>
      <c r="BJ461" s="47"/>
      <c r="BK461" s="47"/>
    </row>
    <row r="462"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</row>
    <row r="463">
      <c r="AK463" s="47"/>
      <c r="AL463" s="47"/>
      <c r="AM463" s="47"/>
      <c r="AN463" s="47"/>
      <c r="AO463" s="47"/>
      <c r="AP463" s="47"/>
      <c r="AQ463" s="47"/>
      <c r="AR463" s="47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47"/>
      <c r="BE463" s="47"/>
      <c r="BF463" s="47"/>
      <c r="BG463" s="47"/>
      <c r="BH463" s="47"/>
      <c r="BI463" s="47"/>
      <c r="BJ463" s="47"/>
      <c r="BK463" s="47"/>
    </row>
    <row r="464"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  <c r="BE464" s="47"/>
      <c r="BF464" s="47"/>
      <c r="BG464" s="47"/>
      <c r="BH464" s="47"/>
      <c r="BI464" s="47"/>
      <c r="BJ464" s="47"/>
      <c r="BK464" s="47"/>
    </row>
    <row r="465">
      <c r="AK465" s="47"/>
      <c r="AL465" s="47"/>
      <c r="AM465" s="47"/>
      <c r="AN465" s="47"/>
      <c r="AO465" s="47"/>
      <c r="AP465" s="47"/>
      <c r="AQ465" s="47"/>
      <c r="AR465" s="47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47"/>
      <c r="BE465" s="47"/>
      <c r="BF465" s="47"/>
      <c r="BG465" s="47"/>
      <c r="BH465" s="47"/>
      <c r="BI465" s="47"/>
      <c r="BJ465" s="47"/>
      <c r="BK465" s="47"/>
    </row>
    <row r="466"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  <c r="BE466" s="47"/>
      <c r="BF466" s="47"/>
      <c r="BG466" s="47"/>
      <c r="BH466" s="47"/>
      <c r="BI466" s="47"/>
      <c r="BJ466" s="47"/>
      <c r="BK466" s="47"/>
    </row>
    <row r="467">
      <c r="AK467" s="47"/>
      <c r="AL467" s="47"/>
      <c r="AM467" s="47"/>
      <c r="AN467" s="47"/>
      <c r="AO467" s="47"/>
      <c r="AP467" s="47"/>
      <c r="AQ467" s="47"/>
      <c r="AR467" s="47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47"/>
      <c r="BE467" s="47"/>
      <c r="BF467" s="47"/>
      <c r="BG467" s="47"/>
      <c r="BH467" s="47"/>
      <c r="BI467" s="47"/>
      <c r="BJ467" s="47"/>
      <c r="BK467" s="47"/>
    </row>
    <row r="468"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  <c r="BE468" s="47"/>
      <c r="BF468" s="47"/>
      <c r="BG468" s="47"/>
      <c r="BH468" s="47"/>
      <c r="BI468" s="47"/>
      <c r="BJ468" s="47"/>
      <c r="BK468" s="47"/>
    </row>
    <row r="469">
      <c r="AK469" s="47"/>
      <c r="AL469" s="47"/>
      <c r="AM469" s="47"/>
      <c r="AN469" s="47"/>
      <c r="AO469" s="47"/>
      <c r="AP469" s="47"/>
      <c r="AQ469" s="47"/>
      <c r="AR469" s="47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47"/>
      <c r="BE469" s="47"/>
      <c r="BF469" s="47"/>
      <c r="BG469" s="47"/>
      <c r="BH469" s="47"/>
      <c r="BI469" s="47"/>
      <c r="BJ469" s="47"/>
      <c r="BK469" s="47"/>
    </row>
    <row r="470"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  <c r="BE470" s="47"/>
      <c r="BF470" s="47"/>
      <c r="BG470" s="47"/>
      <c r="BH470" s="47"/>
      <c r="BI470" s="47"/>
      <c r="BJ470" s="47"/>
      <c r="BK470" s="47"/>
    </row>
    <row r="471">
      <c r="AK471" s="47"/>
      <c r="AL471" s="47"/>
      <c r="AM471" s="47"/>
      <c r="AN471" s="47"/>
      <c r="AO471" s="47"/>
      <c r="AP471" s="47"/>
      <c r="AQ471" s="47"/>
      <c r="AR471" s="47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47"/>
      <c r="BE471" s="47"/>
      <c r="BF471" s="47"/>
      <c r="BG471" s="47"/>
      <c r="BH471" s="47"/>
      <c r="BI471" s="47"/>
      <c r="BJ471" s="47"/>
      <c r="BK471" s="47"/>
    </row>
    <row r="472"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</row>
    <row r="473">
      <c r="AK473" s="47"/>
      <c r="AL473" s="47"/>
      <c r="AM473" s="47"/>
      <c r="AN473" s="47"/>
      <c r="AO473" s="47"/>
      <c r="AP473" s="47"/>
      <c r="AQ473" s="47"/>
      <c r="AR473" s="47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47"/>
      <c r="BE473" s="47"/>
      <c r="BF473" s="47"/>
      <c r="BG473" s="47"/>
      <c r="BH473" s="47"/>
      <c r="BI473" s="47"/>
      <c r="BJ473" s="47"/>
      <c r="BK473" s="47"/>
    </row>
    <row r="474"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  <c r="BE474" s="47"/>
      <c r="BF474" s="47"/>
      <c r="BG474" s="47"/>
      <c r="BH474" s="47"/>
      <c r="BI474" s="47"/>
      <c r="BJ474" s="47"/>
      <c r="BK474" s="47"/>
    </row>
    <row r="475">
      <c r="AK475" s="47"/>
      <c r="AL475" s="47"/>
      <c r="AM475" s="47"/>
      <c r="AN475" s="47"/>
      <c r="AO475" s="47"/>
      <c r="AP475" s="47"/>
      <c r="AQ475" s="47"/>
      <c r="AR475" s="47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47"/>
      <c r="BE475" s="47"/>
      <c r="BF475" s="47"/>
      <c r="BG475" s="47"/>
      <c r="BH475" s="47"/>
      <c r="BI475" s="47"/>
      <c r="BJ475" s="47"/>
      <c r="BK475" s="47"/>
    </row>
    <row r="476"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  <c r="BE476" s="47"/>
      <c r="BF476" s="47"/>
      <c r="BG476" s="47"/>
      <c r="BH476" s="47"/>
      <c r="BI476" s="47"/>
      <c r="BJ476" s="47"/>
      <c r="BK476" s="47"/>
    </row>
    <row r="477">
      <c r="AK477" s="47"/>
      <c r="AL477" s="47"/>
      <c r="AM477" s="47"/>
      <c r="AN477" s="47"/>
      <c r="AO477" s="47"/>
      <c r="AP477" s="47"/>
      <c r="AQ477" s="47"/>
      <c r="AR477" s="47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47"/>
      <c r="BE477" s="47"/>
      <c r="BF477" s="47"/>
      <c r="BG477" s="47"/>
      <c r="BH477" s="47"/>
      <c r="BI477" s="47"/>
      <c r="BJ477" s="47"/>
      <c r="BK477" s="47"/>
    </row>
    <row r="478"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</row>
    <row r="479">
      <c r="AK479" s="47"/>
      <c r="AL479" s="47"/>
      <c r="AM479" s="47"/>
      <c r="AN479" s="47"/>
      <c r="AO479" s="47"/>
      <c r="AP479" s="47"/>
      <c r="AQ479" s="47"/>
      <c r="AR479" s="47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47"/>
      <c r="BE479" s="47"/>
      <c r="BF479" s="47"/>
      <c r="BG479" s="47"/>
      <c r="BH479" s="47"/>
      <c r="BI479" s="47"/>
      <c r="BJ479" s="47"/>
      <c r="BK479" s="47"/>
    </row>
    <row r="480"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  <c r="BE480" s="47"/>
      <c r="BF480" s="47"/>
      <c r="BG480" s="47"/>
      <c r="BH480" s="47"/>
      <c r="BI480" s="47"/>
      <c r="BJ480" s="47"/>
      <c r="BK480" s="47"/>
    </row>
    <row r="481">
      <c r="AK481" s="47"/>
      <c r="AL481" s="47"/>
      <c r="AM481" s="47"/>
      <c r="AN481" s="47"/>
      <c r="AO481" s="47"/>
      <c r="AP481" s="47"/>
      <c r="AQ481" s="47"/>
      <c r="AR481" s="47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47"/>
      <c r="BE481" s="47"/>
      <c r="BF481" s="47"/>
      <c r="BG481" s="47"/>
      <c r="BH481" s="47"/>
      <c r="BI481" s="47"/>
      <c r="BJ481" s="47"/>
      <c r="BK481" s="47"/>
    </row>
    <row r="482"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  <c r="BE482" s="47"/>
      <c r="BF482" s="47"/>
      <c r="BG482" s="47"/>
      <c r="BH482" s="47"/>
      <c r="BI482" s="47"/>
      <c r="BJ482" s="47"/>
      <c r="BK482" s="47"/>
    </row>
    <row r="483">
      <c r="AK483" s="47"/>
      <c r="AL483" s="47"/>
      <c r="AM483" s="47"/>
      <c r="AN483" s="47"/>
      <c r="AO483" s="47"/>
      <c r="AP483" s="47"/>
      <c r="AQ483" s="47"/>
      <c r="AR483" s="47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47"/>
      <c r="BE483" s="47"/>
      <c r="BF483" s="47"/>
      <c r="BG483" s="47"/>
      <c r="BH483" s="47"/>
      <c r="BI483" s="47"/>
      <c r="BJ483" s="47"/>
      <c r="BK483" s="47"/>
    </row>
    <row r="484"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  <c r="BE484" s="47"/>
      <c r="BF484" s="47"/>
      <c r="BG484" s="47"/>
      <c r="BH484" s="47"/>
      <c r="BI484" s="47"/>
      <c r="BJ484" s="47"/>
      <c r="BK484" s="47"/>
    </row>
    <row r="485">
      <c r="AK485" s="47"/>
      <c r="AL485" s="47"/>
      <c r="AM485" s="47"/>
      <c r="AN485" s="47"/>
      <c r="AO485" s="47"/>
      <c r="AP485" s="47"/>
      <c r="AQ485" s="47"/>
      <c r="AR485" s="47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47"/>
      <c r="BE485" s="47"/>
      <c r="BF485" s="47"/>
      <c r="BG485" s="47"/>
      <c r="BH485" s="47"/>
      <c r="BI485" s="47"/>
      <c r="BJ485" s="47"/>
      <c r="BK485" s="47"/>
    </row>
    <row r="486"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  <c r="BE486" s="47"/>
      <c r="BF486" s="47"/>
      <c r="BG486" s="47"/>
      <c r="BH486" s="47"/>
      <c r="BI486" s="47"/>
      <c r="BJ486" s="47"/>
      <c r="BK486" s="47"/>
    </row>
    <row r="487">
      <c r="AK487" s="47"/>
      <c r="AL487" s="47"/>
      <c r="AM487" s="47"/>
      <c r="AN487" s="47"/>
      <c r="AO487" s="47"/>
      <c r="AP487" s="47"/>
      <c r="AQ487" s="47"/>
      <c r="AR487" s="47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47"/>
      <c r="BE487" s="47"/>
      <c r="BF487" s="47"/>
      <c r="BG487" s="47"/>
      <c r="BH487" s="47"/>
      <c r="BI487" s="47"/>
      <c r="BJ487" s="47"/>
      <c r="BK487" s="47"/>
    </row>
    <row r="488"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  <c r="BE488" s="47"/>
      <c r="BF488" s="47"/>
      <c r="BG488" s="47"/>
      <c r="BH488" s="47"/>
      <c r="BI488" s="47"/>
      <c r="BJ488" s="47"/>
      <c r="BK488" s="47"/>
    </row>
    <row r="489">
      <c r="AK489" s="47"/>
      <c r="AL489" s="47"/>
      <c r="AM489" s="47"/>
      <c r="AN489" s="47"/>
      <c r="AO489" s="47"/>
      <c r="AP489" s="47"/>
      <c r="AQ489" s="47"/>
      <c r="AR489" s="47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47"/>
      <c r="BE489" s="47"/>
      <c r="BF489" s="47"/>
      <c r="BG489" s="47"/>
      <c r="BH489" s="47"/>
      <c r="BI489" s="47"/>
      <c r="BJ489" s="47"/>
      <c r="BK489" s="47"/>
    </row>
    <row r="490"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  <c r="BE490" s="47"/>
      <c r="BF490" s="47"/>
      <c r="BG490" s="47"/>
      <c r="BH490" s="47"/>
      <c r="BI490" s="47"/>
      <c r="BJ490" s="47"/>
      <c r="BK490" s="47"/>
    </row>
    <row r="491">
      <c r="AK491" s="47"/>
      <c r="AL491" s="47"/>
      <c r="AM491" s="47"/>
      <c r="AN491" s="47"/>
      <c r="AO491" s="47"/>
      <c r="AP491" s="47"/>
      <c r="AQ491" s="47"/>
      <c r="AR491" s="47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47"/>
      <c r="BE491" s="47"/>
      <c r="BF491" s="47"/>
      <c r="BG491" s="47"/>
      <c r="BH491" s="47"/>
      <c r="BI491" s="47"/>
      <c r="BJ491" s="47"/>
      <c r="BK491" s="47"/>
    </row>
    <row r="492"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  <c r="BE492" s="47"/>
      <c r="BF492" s="47"/>
      <c r="BG492" s="47"/>
      <c r="BH492" s="47"/>
      <c r="BI492" s="47"/>
      <c r="BJ492" s="47"/>
      <c r="BK492" s="47"/>
    </row>
    <row r="493">
      <c r="AK493" s="47"/>
      <c r="AL493" s="47"/>
      <c r="AM493" s="47"/>
      <c r="AN493" s="47"/>
      <c r="AO493" s="47"/>
      <c r="AP493" s="47"/>
      <c r="AQ493" s="47"/>
      <c r="AR493" s="47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47"/>
      <c r="BE493" s="47"/>
      <c r="BF493" s="47"/>
      <c r="BG493" s="47"/>
      <c r="BH493" s="47"/>
      <c r="BI493" s="47"/>
      <c r="BJ493" s="47"/>
      <c r="BK493" s="47"/>
    </row>
    <row r="494"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  <c r="BE494" s="47"/>
      <c r="BF494" s="47"/>
      <c r="BG494" s="47"/>
      <c r="BH494" s="47"/>
      <c r="BI494" s="47"/>
      <c r="BJ494" s="47"/>
      <c r="BK494" s="47"/>
    </row>
    <row r="495">
      <c r="AK495" s="47"/>
      <c r="AL495" s="47"/>
      <c r="AM495" s="47"/>
      <c r="AN495" s="47"/>
      <c r="AO495" s="47"/>
      <c r="AP495" s="47"/>
      <c r="AQ495" s="47"/>
      <c r="AR495" s="47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47"/>
      <c r="BE495" s="47"/>
      <c r="BF495" s="47"/>
      <c r="BG495" s="47"/>
      <c r="BH495" s="47"/>
      <c r="BI495" s="47"/>
      <c r="BJ495" s="47"/>
      <c r="BK495" s="47"/>
    </row>
    <row r="496"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  <c r="BE496" s="47"/>
      <c r="BF496" s="47"/>
      <c r="BG496" s="47"/>
      <c r="BH496" s="47"/>
      <c r="BI496" s="47"/>
      <c r="BJ496" s="47"/>
      <c r="BK496" s="47"/>
    </row>
    <row r="497">
      <c r="AK497" s="47"/>
      <c r="AL497" s="47"/>
      <c r="AM497" s="47"/>
      <c r="AN497" s="47"/>
      <c r="AO497" s="47"/>
      <c r="AP497" s="47"/>
      <c r="AQ497" s="47"/>
      <c r="AR497" s="47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47"/>
      <c r="BE497" s="47"/>
      <c r="BF497" s="47"/>
      <c r="BG497" s="47"/>
      <c r="BH497" s="47"/>
      <c r="BI497" s="47"/>
      <c r="BJ497" s="47"/>
      <c r="BK497" s="47"/>
    </row>
    <row r="498"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  <c r="BE498" s="47"/>
      <c r="BF498" s="47"/>
      <c r="BG498" s="47"/>
      <c r="BH498" s="47"/>
      <c r="BI498" s="47"/>
      <c r="BJ498" s="47"/>
      <c r="BK498" s="47"/>
    </row>
    <row r="499">
      <c r="AK499" s="47"/>
      <c r="AL499" s="47"/>
      <c r="AM499" s="47"/>
      <c r="AN499" s="47"/>
      <c r="AO499" s="47"/>
      <c r="AP499" s="47"/>
      <c r="AQ499" s="47"/>
      <c r="AR499" s="47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47"/>
      <c r="BE499" s="47"/>
      <c r="BF499" s="47"/>
      <c r="BG499" s="47"/>
      <c r="BH499" s="47"/>
      <c r="BI499" s="47"/>
      <c r="BJ499" s="47"/>
      <c r="BK499" s="47"/>
    </row>
    <row r="500"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  <c r="BE500" s="47"/>
      <c r="BF500" s="47"/>
      <c r="BG500" s="47"/>
      <c r="BH500" s="47"/>
      <c r="BI500" s="47"/>
      <c r="BJ500" s="47"/>
      <c r="BK500" s="47"/>
    </row>
    <row r="501">
      <c r="AK501" s="47"/>
      <c r="AL501" s="47"/>
      <c r="AM501" s="47"/>
      <c r="AN501" s="47"/>
      <c r="AO501" s="47"/>
      <c r="AP501" s="47"/>
      <c r="AQ501" s="47"/>
      <c r="AR501" s="47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47"/>
      <c r="BE501" s="47"/>
      <c r="BF501" s="47"/>
      <c r="BG501" s="47"/>
      <c r="BH501" s="47"/>
      <c r="BI501" s="47"/>
      <c r="BJ501" s="47"/>
      <c r="BK501" s="47"/>
    </row>
    <row r="502"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</row>
    <row r="503">
      <c r="AK503" s="47"/>
      <c r="AL503" s="47"/>
      <c r="AM503" s="47"/>
      <c r="AN503" s="47"/>
      <c r="AO503" s="47"/>
      <c r="AP503" s="47"/>
      <c r="AQ503" s="47"/>
      <c r="AR503" s="47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47"/>
      <c r="BE503" s="47"/>
      <c r="BF503" s="47"/>
      <c r="BG503" s="47"/>
      <c r="BH503" s="47"/>
      <c r="BI503" s="47"/>
      <c r="BJ503" s="47"/>
      <c r="BK503" s="47"/>
    </row>
    <row r="504"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  <c r="BE504" s="47"/>
      <c r="BF504" s="47"/>
      <c r="BG504" s="47"/>
      <c r="BH504" s="47"/>
      <c r="BI504" s="47"/>
      <c r="BJ504" s="47"/>
      <c r="BK504" s="47"/>
    </row>
    <row r="505">
      <c r="AK505" s="47"/>
      <c r="AL505" s="47"/>
      <c r="AM505" s="47"/>
      <c r="AN505" s="47"/>
      <c r="AO505" s="47"/>
      <c r="AP505" s="47"/>
      <c r="AQ505" s="47"/>
      <c r="AR505" s="47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47"/>
      <c r="BE505" s="47"/>
      <c r="BF505" s="47"/>
      <c r="BG505" s="47"/>
      <c r="BH505" s="47"/>
      <c r="BI505" s="47"/>
      <c r="BJ505" s="47"/>
      <c r="BK505" s="47"/>
    </row>
    <row r="506"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  <c r="BE506" s="47"/>
      <c r="BF506" s="47"/>
      <c r="BG506" s="47"/>
      <c r="BH506" s="47"/>
      <c r="BI506" s="47"/>
      <c r="BJ506" s="47"/>
      <c r="BK506" s="47"/>
    </row>
    <row r="507">
      <c r="AK507" s="47"/>
      <c r="AL507" s="47"/>
      <c r="AM507" s="47"/>
      <c r="AN507" s="47"/>
      <c r="AO507" s="47"/>
      <c r="AP507" s="47"/>
      <c r="AQ507" s="47"/>
      <c r="AR507" s="47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47"/>
      <c r="BE507" s="47"/>
      <c r="BF507" s="47"/>
      <c r="BG507" s="47"/>
      <c r="BH507" s="47"/>
      <c r="BI507" s="47"/>
      <c r="BJ507" s="47"/>
      <c r="BK507" s="47"/>
    </row>
    <row r="508"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  <c r="BE508" s="47"/>
      <c r="BF508" s="47"/>
      <c r="BG508" s="47"/>
      <c r="BH508" s="47"/>
      <c r="BI508" s="47"/>
      <c r="BJ508" s="47"/>
      <c r="BK508" s="47"/>
    </row>
    <row r="509">
      <c r="AK509" s="47"/>
      <c r="AL509" s="47"/>
      <c r="AM509" s="47"/>
      <c r="AN509" s="47"/>
      <c r="AO509" s="47"/>
      <c r="AP509" s="47"/>
      <c r="AQ509" s="47"/>
      <c r="AR509" s="47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47"/>
      <c r="BE509" s="47"/>
      <c r="BF509" s="47"/>
      <c r="BG509" s="47"/>
      <c r="BH509" s="47"/>
      <c r="BI509" s="47"/>
      <c r="BJ509" s="47"/>
      <c r="BK509" s="47"/>
    </row>
    <row r="510"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  <c r="BE510" s="47"/>
      <c r="BF510" s="47"/>
      <c r="BG510" s="47"/>
      <c r="BH510" s="47"/>
      <c r="BI510" s="47"/>
      <c r="BJ510" s="47"/>
      <c r="BK510" s="47"/>
    </row>
    <row r="511">
      <c r="AK511" s="47"/>
      <c r="AL511" s="47"/>
      <c r="AM511" s="47"/>
      <c r="AN511" s="47"/>
      <c r="AO511" s="47"/>
      <c r="AP511" s="47"/>
      <c r="AQ511" s="47"/>
      <c r="AR511" s="47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47"/>
      <c r="BE511" s="47"/>
      <c r="BF511" s="47"/>
      <c r="BG511" s="47"/>
      <c r="BH511" s="47"/>
      <c r="BI511" s="47"/>
      <c r="BJ511" s="47"/>
      <c r="BK511" s="47"/>
    </row>
    <row r="512"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  <c r="BE512" s="47"/>
      <c r="BF512" s="47"/>
      <c r="BG512" s="47"/>
      <c r="BH512" s="47"/>
      <c r="BI512" s="47"/>
      <c r="BJ512" s="47"/>
      <c r="BK512" s="47"/>
    </row>
    <row r="513">
      <c r="AK513" s="47"/>
      <c r="AL513" s="47"/>
      <c r="AM513" s="47"/>
      <c r="AN513" s="47"/>
      <c r="AO513" s="47"/>
      <c r="AP513" s="47"/>
      <c r="AQ513" s="47"/>
      <c r="AR513" s="47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47"/>
      <c r="BE513" s="47"/>
      <c r="BF513" s="47"/>
      <c r="BG513" s="47"/>
      <c r="BH513" s="47"/>
      <c r="BI513" s="47"/>
      <c r="BJ513" s="47"/>
      <c r="BK513" s="47"/>
    </row>
    <row r="514"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  <c r="BE514" s="47"/>
      <c r="BF514" s="47"/>
      <c r="BG514" s="47"/>
      <c r="BH514" s="47"/>
      <c r="BI514" s="47"/>
      <c r="BJ514" s="47"/>
      <c r="BK514" s="47"/>
    </row>
    <row r="515">
      <c r="AK515" s="47"/>
      <c r="AL515" s="47"/>
      <c r="AM515" s="47"/>
      <c r="AN515" s="47"/>
      <c r="AO515" s="47"/>
      <c r="AP515" s="47"/>
      <c r="AQ515" s="47"/>
      <c r="AR515" s="47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47"/>
      <c r="BE515" s="47"/>
      <c r="BF515" s="47"/>
      <c r="BG515" s="47"/>
      <c r="BH515" s="47"/>
      <c r="BI515" s="47"/>
      <c r="BJ515" s="47"/>
      <c r="BK515" s="47"/>
    </row>
    <row r="516"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</row>
    <row r="517">
      <c r="AK517" s="47"/>
      <c r="AL517" s="47"/>
      <c r="AM517" s="47"/>
      <c r="AN517" s="47"/>
      <c r="AO517" s="47"/>
      <c r="AP517" s="47"/>
      <c r="AQ517" s="47"/>
      <c r="AR517" s="47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47"/>
      <c r="BE517" s="47"/>
      <c r="BF517" s="47"/>
      <c r="BG517" s="47"/>
      <c r="BH517" s="47"/>
      <c r="BI517" s="47"/>
      <c r="BJ517" s="47"/>
      <c r="BK517" s="47"/>
    </row>
    <row r="518"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  <c r="BE518" s="47"/>
      <c r="BF518" s="47"/>
      <c r="BG518" s="47"/>
      <c r="BH518" s="47"/>
      <c r="BI518" s="47"/>
      <c r="BJ518" s="47"/>
      <c r="BK518" s="47"/>
    </row>
    <row r="519">
      <c r="AK519" s="47"/>
      <c r="AL519" s="47"/>
      <c r="AM519" s="47"/>
      <c r="AN519" s="47"/>
      <c r="AO519" s="47"/>
      <c r="AP519" s="47"/>
      <c r="AQ519" s="47"/>
      <c r="AR519" s="47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47"/>
      <c r="BE519" s="47"/>
      <c r="BF519" s="47"/>
      <c r="BG519" s="47"/>
      <c r="BH519" s="47"/>
      <c r="BI519" s="47"/>
      <c r="BJ519" s="47"/>
      <c r="BK519" s="47"/>
    </row>
    <row r="520"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  <c r="BE520" s="47"/>
      <c r="BF520" s="47"/>
      <c r="BG520" s="47"/>
      <c r="BH520" s="47"/>
      <c r="BI520" s="47"/>
      <c r="BJ520" s="47"/>
      <c r="BK520" s="47"/>
    </row>
    <row r="521">
      <c r="AK521" s="47"/>
      <c r="AL521" s="47"/>
      <c r="AM521" s="47"/>
      <c r="AN521" s="47"/>
      <c r="AO521" s="47"/>
      <c r="AP521" s="47"/>
      <c r="AQ521" s="47"/>
      <c r="AR521" s="47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47"/>
      <c r="BE521" s="47"/>
      <c r="BF521" s="47"/>
      <c r="BG521" s="47"/>
      <c r="BH521" s="47"/>
      <c r="BI521" s="47"/>
      <c r="BJ521" s="47"/>
      <c r="BK521" s="47"/>
    </row>
    <row r="522">
      <c r="AK522" s="47"/>
      <c r="AL522" s="47"/>
      <c r="AM522" s="47"/>
      <c r="AN522" s="47"/>
      <c r="AO522" s="47"/>
      <c r="AP522" s="47"/>
      <c r="AQ522" s="47"/>
      <c r="AR522" s="47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47"/>
      <c r="BE522" s="47"/>
      <c r="BF522" s="47"/>
      <c r="BG522" s="47"/>
      <c r="BH522" s="47"/>
      <c r="BI522" s="47"/>
      <c r="BJ522" s="47"/>
      <c r="BK522" s="47"/>
    </row>
    <row r="523">
      <c r="AK523" s="47"/>
      <c r="AL523" s="47"/>
      <c r="AM523" s="47"/>
      <c r="AN523" s="47"/>
      <c r="AO523" s="47"/>
      <c r="AP523" s="47"/>
      <c r="AQ523" s="47"/>
      <c r="AR523" s="47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47"/>
      <c r="BE523" s="47"/>
      <c r="BF523" s="47"/>
      <c r="BG523" s="47"/>
      <c r="BH523" s="47"/>
      <c r="BI523" s="47"/>
      <c r="BJ523" s="47"/>
      <c r="BK523" s="47"/>
    </row>
    <row r="524"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  <c r="BE524" s="47"/>
      <c r="BF524" s="47"/>
      <c r="BG524" s="47"/>
      <c r="BH524" s="47"/>
      <c r="BI524" s="47"/>
      <c r="BJ524" s="47"/>
      <c r="BK524" s="47"/>
    </row>
    <row r="525">
      <c r="AK525" s="47"/>
      <c r="AL525" s="47"/>
      <c r="AM525" s="47"/>
      <c r="AN525" s="47"/>
      <c r="AO525" s="47"/>
      <c r="AP525" s="47"/>
      <c r="AQ525" s="47"/>
      <c r="AR525" s="47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47"/>
      <c r="BE525" s="47"/>
      <c r="BF525" s="47"/>
      <c r="BG525" s="47"/>
      <c r="BH525" s="47"/>
      <c r="BI525" s="47"/>
      <c r="BJ525" s="47"/>
      <c r="BK525" s="47"/>
    </row>
    <row r="526"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  <c r="BE526" s="47"/>
      <c r="BF526" s="47"/>
      <c r="BG526" s="47"/>
      <c r="BH526" s="47"/>
      <c r="BI526" s="47"/>
      <c r="BJ526" s="47"/>
      <c r="BK526" s="47"/>
    </row>
    <row r="527">
      <c r="AK527" s="47"/>
      <c r="AL527" s="47"/>
      <c r="AM527" s="47"/>
      <c r="AN527" s="47"/>
      <c r="AO527" s="47"/>
      <c r="AP527" s="47"/>
      <c r="AQ527" s="47"/>
      <c r="AR527" s="47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47"/>
      <c r="BE527" s="47"/>
      <c r="BF527" s="47"/>
      <c r="BG527" s="47"/>
      <c r="BH527" s="47"/>
      <c r="BI527" s="47"/>
      <c r="BJ527" s="47"/>
      <c r="BK527" s="47"/>
    </row>
    <row r="528"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  <c r="BE528" s="47"/>
      <c r="BF528" s="47"/>
      <c r="BG528" s="47"/>
      <c r="BH528" s="47"/>
      <c r="BI528" s="47"/>
      <c r="BJ528" s="47"/>
      <c r="BK528" s="47"/>
    </row>
    <row r="529">
      <c r="AK529" s="47"/>
      <c r="AL529" s="47"/>
      <c r="AM529" s="47"/>
      <c r="AN529" s="47"/>
      <c r="AO529" s="47"/>
      <c r="AP529" s="47"/>
      <c r="AQ529" s="47"/>
      <c r="AR529" s="47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47"/>
      <c r="BE529" s="47"/>
      <c r="BF529" s="47"/>
      <c r="BG529" s="47"/>
      <c r="BH529" s="47"/>
      <c r="BI529" s="47"/>
      <c r="BJ529" s="47"/>
      <c r="BK529" s="47"/>
    </row>
    <row r="530"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  <c r="BG530" s="47"/>
      <c r="BH530" s="47"/>
      <c r="BI530" s="47"/>
      <c r="BJ530" s="47"/>
      <c r="BK530" s="47"/>
    </row>
    <row r="531">
      <c r="AK531" s="47"/>
      <c r="AL531" s="47"/>
      <c r="AM531" s="47"/>
      <c r="AN531" s="47"/>
      <c r="AO531" s="47"/>
      <c r="AP531" s="47"/>
      <c r="AQ531" s="47"/>
      <c r="AR531" s="47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  <c r="BG531" s="47"/>
      <c r="BH531" s="47"/>
      <c r="BI531" s="47"/>
      <c r="BJ531" s="47"/>
      <c r="BK531" s="47"/>
    </row>
    <row r="532"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  <c r="BG532" s="47"/>
      <c r="BH532" s="47"/>
      <c r="BI532" s="47"/>
      <c r="BJ532" s="47"/>
      <c r="BK532" s="47"/>
    </row>
    <row r="533">
      <c r="AK533" s="47"/>
      <c r="AL533" s="47"/>
      <c r="AM533" s="47"/>
      <c r="AN533" s="47"/>
      <c r="AO533" s="47"/>
      <c r="AP533" s="47"/>
      <c r="AQ533" s="47"/>
      <c r="AR533" s="47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  <c r="BG533" s="47"/>
      <c r="BH533" s="47"/>
      <c r="BI533" s="47"/>
      <c r="BJ533" s="47"/>
      <c r="BK533" s="47"/>
    </row>
    <row r="534"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  <c r="BE534" s="47"/>
      <c r="BF534" s="47"/>
      <c r="BG534" s="47"/>
      <c r="BH534" s="47"/>
      <c r="BI534" s="47"/>
      <c r="BJ534" s="47"/>
      <c r="BK534" s="47"/>
    </row>
    <row r="535">
      <c r="AK535" s="47"/>
      <c r="AL535" s="47"/>
      <c r="AM535" s="47"/>
      <c r="AN535" s="47"/>
      <c r="AO535" s="47"/>
      <c r="AP535" s="47"/>
      <c r="AQ535" s="47"/>
      <c r="AR535" s="47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47"/>
      <c r="BE535" s="47"/>
      <c r="BF535" s="47"/>
      <c r="BG535" s="47"/>
      <c r="BH535" s="47"/>
      <c r="BI535" s="47"/>
      <c r="BJ535" s="47"/>
      <c r="BK535" s="47"/>
    </row>
    <row r="536"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  <c r="BE536" s="47"/>
      <c r="BF536" s="47"/>
      <c r="BG536" s="47"/>
      <c r="BH536" s="47"/>
      <c r="BI536" s="47"/>
      <c r="BJ536" s="47"/>
      <c r="BK536" s="47"/>
    </row>
    <row r="537">
      <c r="AK537" s="47"/>
      <c r="AL537" s="47"/>
      <c r="AM537" s="47"/>
      <c r="AN537" s="47"/>
      <c r="AO537" s="47"/>
      <c r="AP537" s="47"/>
      <c r="AQ537" s="47"/>
      <c r="AR537" s="47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47"/>
      <c r="BE537" s="47"/>
      <c r="BF537" s="47"/>
      <c r="BG537" s="47"/>
      <c r="BH537" s="47"/>
      <c r="BI537" s="47"/>
      <c r="BJ537" s="47"/>
      <c r="BK537" s="47"/>
    </row>
    <row r="538"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  <c r="BE538" s="47"/>
      <c r="BF538" s="47"/>
      <c r="BG538" s="47"/>
      <c r="BH538" s="47"/>
      <c r="BI538" s="47"/>
      <c r="BJ538" s="47"/>
      <c r="BK538" s="47"/>
    </row>
    <row r="539">
      <c r="AK539" s="47"/>
      <c r="AL539" s="47"/>
      <c r="AM539" s="47"/>
      <c r="AN539" s="47"/>
      <c r="AO539" s="47"/>
      <c r="AP539" s="47"/>
      <c r="AQ539" s="47"/>
      <c r="AR539" s="47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47"/>
      <c r="BE539" s="47"/>
      <c r="BF539" s="47"/>
      <c r="BG539" s="47"/>
      <c r="BH539" s="47"/>
      <c r="BI539" s="47"/>
      <c r="BJ539" s="47"/>
      <c r="BK539" s="47"/>
    </row>
    <row r="540"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  <c r="BE540" s="47"/>
      <c r="BF540" s="47"/>
      <c r="BG540" s="47"/>
      <c r="BH540" s="47"/>
      <c r="BI540" s="47"/>
      <c r="BJ540" s="47"/>
      <c r="BK540" s="47"/>
    </row>
    <row r="541">
      <c r="AK541" s="47"/>
      <c r="AL541" s="47"/>
      <c r="AM541" s="47"/>
      <c r="AN541" s="47"/>
      <c r="AO541" s="47"/>
      <c r="AP541" s="47"/>
      <c r="AQ541" s="47"/>
      <c r="AR541" s="47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47"/>
      <c r="BE541" s="47"/>
      <c r="BF541" s="47"/>
      <c r="BG541" s="47"/>
      <c r="BH541" s="47"/>
      <c r="BI541" s="47"/>
      <c r="BJ541" s="47"/>
      <c r="BK541" s="47"/>
    </row>
    <row r="542"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</row>
    <row r="543">
      <c r="AK543" s="47"/>
      <c r="AL543" s="47"/>
      <c r="AM543" s="47"/>
      <c r="AN543" s="47"/>
      <c r="AO543" s="47"/>
      <c r="AP543" s="47"/>
      <c r="AQ543" s="47"/>
      <c r="AR543" s="47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47"/>
      <c r="BE543" s="47"/>
      <c r="BF543" s="47"/>
      <c r="BG543" s="47"/>
      <c r="BH543" s="47"/>
      <c r="BI543" s="47"/>
      <c r="BJ543" s="47"/>
      <c r="BK543" s="47"/>
    </row>
    <row r="544"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  <c r="BE544" s="47"/>
      <c r="BF544" s="47"/>
      <c r="BG544" s="47"/>
      <c r="BH544" s="47"/>
      <c r="BI544" s="47"/>
      <c r="BJ544" s="47"/>
      <c r="BK544" s="47"/>
    </row>
    <row r="545">
      <c r="AK545" s="47"/>
      <c r="AL545" s="47"/>
      <c r="AM545" s="47"/>
      <c r="AN545" s="47"/>
      <c r="AO545" s="47"/>
      <c r="AP545" s="47"/>
      <c r="AQ545" s="47"/>
      <c r="AR545" s="47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47"/>
      <c r="BE545" s="47"/>
      <c r="BF545" s="47"/>
      <c r="BG545" s="47"/>
      <c r="BH545" s="47"/>
      <c r="BI545" s="47"/>
      <c r="BJ545" s="47"/>
      <c r="BK545" s="47"/>
    </row>
    <row r="546"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  <c r="BE546" s="47"/>
      <c r="BF546" s="47"/>
      <c r="BG546" s="47"/>
      <c r="BH546" s="47"/>
      <c r="BI546" s="47"/>
      <c r="BJ546" s="47"/>
      <c r="BK546" s="47"/>
    </row>
    <row r="547">
      <c r="AK547" s="47"/>
      <c r="AL547" s="47"/>
      <c r="AM547" s="47"/>
      <c r="AN547" s="47"/>
      <c r="AO547" s="47"/>
      <c r="AP547" s="47"/>
      <c r="AQ547" s="47"/>
      <c r="AR547" s="47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47"/>
      <c r="BE547" s="47"/>
      <c r="BF547" s="47"/>
      <c r="BG547" s="47"/>
      <c r="BH547" s="47"/>
      <c r="BI547" s="47"/>
      <c r="BJ547" s="47"/>
      <c r="BK547" s="47"/>
    </row>
    <row r="548"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  <c r="BE548" s="47"/>
      <c r="BF548" s="47"/>
      <c r="BG548" s="47"/>
      <c r="BH548" s="47"/>
      <c r="BI548" s="47"/>
      <c r="BJ548" s="47"/>
      <c r="BK548" s="47"/>
    </row>
    <row r="549">
      <c r="AK549" s="47"/>
      <c r="AL549" s="47"/>
      <c r="AM549" s="47"/>
      <c r="AN549" s="47"/>
      <c r="AO549" s="47"/>
      <c r="AP549" s="47"/>
      <c r="AQ549" s="47"/>
      <c r="AR549" s="47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47"/>
      <c r="BE549" s="47"/>
      <c r="BF549" s="47"/>
      <c r="BG549" s="47"/>
      <c r="BH549" s="47"/>
      <c r="BI549" s="47"/>
      <c r="BJ549" s="47"/>
      <c r="BK549" s="47"/>
    </row>
    <row r="550"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  <c r="BE550" s="47"/>
      <c r="BF550" s="47"/>
      <c r="BG550" s="47"/>
      <c r="BH550" s="47"/>
      <c r="BI550" s="47"/>
      <c r="BJ550" s="47"/>
      <c r="BK550" s="47"/>
    </row>
    <row r="551">
      <c r="AK551" s="47"/>
      <c r="AL551" s="47"/>
      <c r="AM551" s="47"/>
      <c r="AN551" s="47"/>
      <c r="AO551" s="47"/>
      <c r="AP551" s="47"/>
      <c r="AQ551" s="47"/>
      <c r="AR551" s="47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47"/>
      <c r="BE551" s="47"/>
      <c r="BF551" s="47"/>
      <c r="BG551" s="47"/>
      <c r="BH551" s="47"/>
      <c r="BI551" s="47"/>
      <c r="BJ551" s="47"/>
      <c r="BK551" s="47"/>
    </row>
    <row r="552"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  <c r="BE552" s="47"/>
      <c r="BF552" s="47"/>
      <c r="BG552" s="47"/>
      <c r="BH552" s="47"/>
      <c r="BI552" s="47"/>
      <c r="BJ552" s="47"/>
      <c r="BK552" s="47"/>
    </row>
    <row r="553">
      <c r="AK553" s="47"/>
      <c r="AL553" s="47"/>
      <c r="AM553" s="47"/>
      <c r="AN553" s="47"/>
      <c r="AO553" s="47"/>
      <c r="AP553" s="47"/>
      <c r="AQ553" s="47"/>
      <c r="AR553" s="47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47"/>
      <c r="BE553" s="47"/>
      <c r="BF553" s="47"/>
      <c r="BG553" s="47"/>
      <c r="BH553" s="47"/>
      <c r="BI553" s="47"/>
      <c r="BJ553" s="47"/>
      <c r="BK553" s="47"/>
    </row>
    <row r="554"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</row>
    <row r="555">
      <c r="AK555" s="47"/>
      <c r="AL555" s="47"/>
      <c r="AM555" s="47"/>
      <c r="AN555" s="47"/>
      <c r="AO555" s="47"/>
      <c r="AP555" s="47"/>
      <c r="AQ555" s="47"/>
      <c r="AR555" s="47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47"/>
      <c r="BE555" s="47"/>
      <c r="BF555" s="47"/>
      <c r="BG555" s="47"/>
      <c r="BH555" s="47"/>
      <c r="BI555" s="47"/>
      <c r="BJ555" s="47"/>
      <c r="BK555" s="47"/>
    </row>
    <row r="556"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  <c r="BE556" s="47"/>
      <c r="BF556" s="47"/>
      <c r="BG556" s="47"/>
      <c r="BH556" s="47"/>
      <c r="BI556" s="47"/>
      <c r="BJ556" s="47"/>
      <c r="BK556" s="47"/>
    </row>
    <row r="557">
      <c r="AK557" s="47"/>
      <c r="AL557" s="47"/>
      <c r="AM557" s="47"/>
      <c r="AN557" s="47"/>
      <c r="AO557" s="47"/>
      <c r="AP557" s="47"/>
      <c r="AQ557" s="47"/>
      <c r="AR557" s="47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47"/>
      <c r="BE557" s="47"/>
      <c r="BF557" s="47"/>
      <c r="BG557" s="47"/>
      <c r="BH557" s="47"/>
      <c r="BI557" s="47"/>
      <c r="BJ557" s="47"/>
      <c r="BK557" s="47"/>
    </row>
    <row r="558"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  <c r="BE558" s="47"/>
      <c r="BF558" s="47"/>
      <c r="BG558" s="47"/>
      <c r="BH558" s="47"/>
      <c r="BI558" s="47"/>
      <c r="BJ558" s="47"/>
      <c r="BK558" s="47"/>
    </row>
    <row r="559">
      <c r="AK559" s="47"/>
      <c r="AL559" s="47"/>
      <c r="AM559" s="47"/>
      <c r="AN559" s="47"/>
      <c r="AO559" s="47"/>
      <c r="AP559" s="47"/>
      <c r="AQ559" s="47"/>
      <c r="AR559" s="47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47"/>
      <c r="BE559" s="47"/>
      <c r="BF559" s="47"/>
      <c r="BG559" s="47"/>
      <c r="BH559" s="47"/>
      <c r="BI559" s="47"/>
      <c r="BJ559" s="47"/>
      <c r="BK559" s="47"/>
    </row>
    <row r="560"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  <c r="BE560" s="47"/>
      <c r="BF560" s="47"/>
      <c r="BG560" s="47"/>
      <c r="BH560" s="47"/>
      <c r="BI560" s="47"/>
      <c r="BJ560" s="47"/>
      <c r="BK560" s="47"/>
    </row>
    <row r="561">
      <c r="AK561" s="47"/>
      <c r="AL561" s="47"/>
      <c r="AM561" s="47"/>
      <c r="AN561" s="47"/>
      <c r="AO561" s="47"/>
      <c r="AP561" s="47"/>
      <c r="AQ561" s="47"/>
      <c r="AR561" s="47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47"/>
      <c r="BE561" s="47"/>
      <c r="BF561" s="47"/>
      <c r="BG561" s="47"/>
      <c r="BH561" s="47"/>
      <c r="BI561" s="47"/>
      <c r="BJ561" s="47"/>
      <c r="BK561" s="47"/>
    </row>
    <row r="562"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  <c r="BE562" s="47"/>
      <c r="BF562" s="47"/>
      <c r="BG562" s="47"/>
      <c r="BH562" s="47"/>
      <c r="BI562" s="47"/>
      <c r="BJ562" s="47"/>
      <c r="BK562" s="47"/>
    </row>
    <row r="563">
      <c r="AK563" s="47"/>
      <c r="AL563" s="47"/>
      <c r="AM563" s="47"/>
      <c r="AN563" s="47"/>
      <c r="AO563" s="47"/>
      <c r="AP563" s="47"/>
      <c r="AQ563" s="47"/>
      <c r="AR563" s="47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47"/>
      <c r="BE563" s="47"/>
      <c r="BF563" s="47"/>
      <c r="BG563" s="47"/>
      <c r="BH563" s="47"/>
      <c r="BI563" s="47"/>
      <c r="BJ563" s="47"/>
      <c r="BK563" s="47"/>
    </row>
    <row r="564"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  <c r="BG564" s="47"/>
      <c r="BH564" s="47"/>
      <c r="BI564" s="47"/>
      <c r="BJ564" s="47"/>
      <c r="BK564" s="47"/>
    </row>
    <row r="565">
      <c r="AK565" s="47"/>
      <c r="AL565" s="47"/>
      <c r="AM565" s="47"/>
      <c r="AN565" s="47"/>
      <c r="AO565" s="47"/>
      <c r="AP565" s="47"/>
      <c r="AQ565" s="47"/>
      <c r="AR565" s="47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47"/>
      <c r="BE565" s="47"/>
      <c r="BF565" s="47"/>
      <c r="BG565" s="47"/>
      <c r="BH565" s="47"/>
      <c r="BI565" s="47"/>
      <c r="BJ565" s="47"/>
      <c r="BK565" s="47"/>
    </row>
    <row r="566"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  <c r="BE566" s="47"/>
      <c r="BF566" s="47"/>
      <c r="BG566" s="47"/>
      <c r="BH566" s="47"/>
      <c r="BI566" s="47"/>
      <c r="BJ566" s="47"/>
      <c r="BK566" s="47"/>
    </row>
    <row r="567">
      <c r="AK567" s="47"/>
      <c r="AL567" s="47"/>
      <c r="AM567" s="47"/>
      <c r="AN567" s="47"/>
      <c r="AO567" s="47"/>
      <c r="AP567" s="47"/>
      <c r="AQ567" s="47"/>
      <c r="AR567" s="47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47"/>
      <c r="BE567" s="47"/>
      <c r="BF567" s="47"/>
      <c r="BG567" s="47"/>
      <c r="BH567" s="47"/>
      <c r="BI567" s="47"/>
      <c r="BJ567" s="47"/>
      <c r="BK567" s="47"/>
    </row>
    <row r="568"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  <c r="BE568" s="47"/>
      <c r="BF568" s="47"/>
      <c r="BG568" s="47"/>
      <c r="BH568" s="47"/>
      <c r="BI568" s="47"/>
      <c r="BJ568" s="47"/>
      <c r="BK568" s="47"/>
    </row>
    <row r="569">
      <c r="AK569" s="47"/>
      <c r="AL569" s="47"/>
      <c r="AM569" s="47"/>
      <c r="AN569" s="47"/>
      <c r="AO569" s="47"/>
      <c r="AP569" s="47"/>
      <c r="AQ569" s="47"/>
      <c r="AR569" s="47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47"/>
      <c r="BE569" s="47"/>
      <c r="BF569" s="47"/>
      <c r="BG569" s="47"/>
      <c r="BH569" s="47"/>
      <c r="BI569" s="47"/>
      <c r="BJ569" s="47"/>
      <c r="BK569" s="47"/>
    </row>
    <row r="570"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  <c r="BE570" s="47"/>
      <c r="BF570" s="47"/>
      <c r="BG570" s="47"/>
      <c r="BH570" s="47"/>
      <c r="BI570" s="47"/>
      <c r="BJ570" s="47"/>
      <c r="BK570" s="47"/>
    </row>
    <row r="571"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</row>
    <row r="572"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  <c r="BE572" s="47"/>
      <c r="BF572" s="47"/>
      <c r="BG572" s="47"/>
      <c r="BH572" s="47"/>
      <c r="BI572" s="47"/>
      <c r="BJ572" s="47"/>
      <c r="BK572" s="47"/>
    </row>
    <row r="573">
      <c r="AK573" s="47"/>
      <c r="AL573" s="47"/>
      <c r="AM573" s="47"/>
      <c r="AN573" s="47"/>
      <c r="AO573" s="47"/>
      <c r="AP573" s="47"/>
      <c r="AQ573" s="47"/>
      <c r="AR573" s="47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47"/>
      <c r="BE573" s="47"/>
      <c r="BF573" s="47"/>
      <c r="BG573" s="47"/>
      <c r="BH573" s="47"/>
      <c r="BI573" s="47"/>
      <c r="BJ573" s="47"/>
      <c r="BK573" s="47"/>
    </row>
    <row r="574"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  <c r="BE574" s="47"/>
      <c r="BF574" s="47"/>
      <c r="BG574" s="47"/>
      <c r="BH574" s="47"/>
      <c r="BI574" s="47"/>
      <c r="BJ574" s="47"/>
      <c r="BK574" s="47"/>
    </row>
    <row r="575">
      <c r="AK575" s="47"/>
      <c r="AL575" s="47"/>
      <c r="AM575" s="47"/>
      <c r="AN575" s="47"/>
      <c r="AO575" s="47"/>
      <c r="AP575" s="47"/>
      <c r="AQ575" s="47"/>
      <c r="AR575" s="47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47"/>
      <c r="BE575" s="47"/>
      <c r="BF575" s="47"/>
      <c r="BG575" s="47"/>
      <c r="BH575" s="47"/>
      <c r="BI575" s="47"/>
      <c r="BJ575" s="47"/>
      <c r="BK575" s="47"/>
    </row>
    <row r="576"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  <c r="BE576" s="47"/>
      <c r="BF576" s="47"/>
      <c r="BG576" s="47"/>
      <c r="BH576" s="47"/>
      <c r="BI576" s="47"/>
      <c r="BJ576" s="47"/>
      <c r="BK576" s="47"/>
    </row>
    <row r="577">
      <c r="AK577" s="47"/>
      <c r="AL577" s="47"/>
      <c r="AM577" s="47"/>
      <c r="AN577" s="47"/>
      <c r="AO577" s="47"/>
      <c r="AP577" s="47"/>
      <c r="AQ577" s="47"/>
      <c r="AR577" s="47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47"/>
      <c r="BE577" s="47"/>
      <c r="BF577" s="47"/>
      <c r="BG577" s="47"/>
      <c r="BH577" s="47"/>
      <c r="BI577" s="47"/>
      <c r="BJ577" s="47"/>
      <c r="BK577" s="47"/>
    </row>
    <row r="578"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  <c r="BE578" s="47"/>
      <c r="BF578" s="47"/>
      <c r="BG578" s="47"/>
      <c r="BH578" s="47"/>
      <c r="BI578" s="47"/>
      <c r="BJ578" s="47"/>
      <c r="BK578" s="47"/>
    </row>
    <row r="579">
      <c r="AK579" s="47"/>
      <c r="AL579" s="47"/>
      <c r="AM579" s="47"/>
      <c r="AN579" s="47"/>
      <c r="AO579" s="47"/>
      <c r="AP579" s="47"/>
      <c r="AQ579" s="47"/>
      <c r="AR579" s="47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47"/>
      <c r="BE579" s="47"/>
      <c r="BF579" s="47"/>
      <c r="BG579" s="47"/>
      <c r="BH579" s="47"/>
      <c r="BI579" s="47"/>
      <c r="BJ579" s="47"/>
      <c r="BK579" s="47"/>
    </row>
    <row r="580"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  <c r="BE580" s="47"/>
      <c r="BF580" s="47"/>
      <c r="BG580" s="47"/>
      <c r="BH580" s="47"/>
      <c r="BI580" s="47"/>
      <c r="BJ580" s="47"/>
      <c r="BK580" s="47"/>
    </row>
    <row r="581">
      <c r="AK581" s="47"/>
      <c r="AL581" s="47"/>
      <c r="AM581" s="47"/>
      <c r="AN581" s="47"/>
      <c r="AO581" s="47"/>
      <c r="AP581" s="47"/>
      <c r="AQ581" s="47"/>
      <c r="AR581" s="47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47"/>
      <c r="BE581" s="47"/>
      <c r="BF581" s="47"/>
      <c r="BG581" s="47"/>
      <c r="BH581" s="47"/>
      <c r="BI581" s="47"/>
      <c r="BJ581" s="47"/>
      <c r="BK581" s="47"/>
    </row>
    <row r="582"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</row>
    <row r="583">
      <c r="AK583" s="47"/>
      <c r="AL583" s="47"/>
      <c r="AM583" s="47"/>
      <c r="AN583" s="47"/>
      <c r="AO583" s="47"/>
      <c r="AP583" s="47"/>
      <c r="AQ583" s="47"/>
      <c r="AR583" s="47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47"/>
      <c r="BE583" s="47"/>
      <c r="BF583" s="47"/>
      <c r="BG583" s="47"/>
      <c r="BH583" s="47"/>
      <c r="BI583" s="47"/>
      <c r="BJ583" s="47"/>
      <c r="BK583" s="47"/>
    </row>
    <row r="584"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  <c r="BE584" s="47"/>
      <c r="BF584" s="47"/>
      <c r="BG584" s="47"/>
      <c r="BH584" s="47"/>
      <c r="BI584" s="47"/>
      <c r="BJ584" s="47"/>
      <c r="BK584" s="47"/>
    </row>
    <row r="585">
      <c r="AK585" s="47"/>
      <c r="AL585" s="47"/>
      <c r="AM585" s="47"/>
      <c r="AN585" s="47"/>
      <c r="AO585" s="47"/>
      <c r="AP585" s="47"/>
      <c r="AQ585" s="47"/>
      <c r="AR585" s="47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47"/>
      <c r="BE585" s="47"/>
      <c r="BF585" s="47"/>
      <c r="BG585" s="47"/>
      <c r="BH585" s="47"/>
      <c r="BI585" s="47"/>
      <c r="BJ585" s="47"/>
      <c r="BK585" s="47"/>
    </row>
    <row r="586"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  <c r="BE586" s="47"/>
      <c r="BF586" s="47"/>
      <c r="BG586" s="47"/>
      <c r="BH586" s="47"/>
      <c r="BI586" s="47"/>
      <c r="BJ586" s="47"/>
      <c r="BK586" s="47"/>
    </row>
    <row r="587">
      <c r="AK587" s="47"/>
      <c r="AL587" s="47"/>
      <c r="AM587" s="47"/>
      <c r="AN587" s="47"/>
      <c r="AO587" s="47"/>
      <c r="AP587" s="47"/>
      <c r="AQ587" s="47"/>
      <c r="AR587" s="47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47"/>
      <c r="BE587" s="47"/>
      <c r="BF587" s="47"/>
      <c r="BG587" s="47"/>
      <c r="BH587" s="47"/>
      <c r="BI587" s="47"/>
      <c r="BJ587" s="47"/>
      <c r="BK587" s="47"/>
    </row>
    <row r="588"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  <c r="BE588" s="47"/>
      <c r="BF588" s="47"/>
      <c r="BG588" s="47"/>
      <c r="BH588" s="47"/>
      <c r="BI588" s="47"/>
      <c r="BJ588" s="47"/>
      <c r="BK588" s="47"/>
    </row>
    <row r="589">
      <c r="AK589" s="47"/>
      <c r="AL589" s="47"/>
      <c r="AM589" s="47"/>
      <c r="AN589" s="47"/>
      <c r="AO589" s="47"/>
      <c r="AP589" s="47"/>
      <c r="AQ589" s="47"/>
      <c r="AR589" s="47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47"/>
      <c r="BE589" s="47"/>
      <c r="BF589" s="47"/>
      <c r="BG589" s="47"/>
      <c r="BH589" s="47"/>
      <c r="BI589" s="47"/>
      <c r="BJ589" s="47"/>
      <c r="BK589" s="47"/>
    </row>
    <row r="590"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  <c r="BE590" s="47"/>
      <c r="BF590" s="47"/>
      <c r="BG590" s="47"/>
      <c r="BH590" s="47"/>
      <c r="BI590" s="47"/>
      <c r="BJ590" s="47"/>
      <c r="BK590" s="47"/>
    </row>
    <row r="591">
      <c r="AK591" s="47"/>
      <c r="AL591" s="47"/>
      <c r="AM591" s="47"/>
      <c r="AN591" s="47"/>
      <c r="AO591" s="47"/>
      <c r="AP591" s="47"/>
      <c r="AQ591" s="47"/>
      <c r="AR591" s="47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47"/>
      <c r="BE591" s="47"/>
      <c r="BF591" s="47"/>
      <c r="BG591" s="47"/>
      <c r="BH591" s="47"/>
      <c r="BI591" s="47"/>
      <c r="BJ591" s="47"/>
      <c r="BK591" s="47"/>
    </row>
    <row r="592"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</row>
    <row r="593">
      <c r="AK593" s="47"/>
      <c r="AL593" s="47"/>
      <c r="AM593" s="47"/>
      <c r="AN593" s="47"/>
      <c r="AO593" s="47"/>
      <c r="AP593" s="47"/>
      <c r="AQ593" s="47"/>
      <c r="AR593" s="47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47"/>
      <c r="BE593" s="47"/>
      <c r="BF593" s="47"/>
      <c r="BG593" s="47"/>
      <c r="BH593" s="47"/>
      <c r="BI593" s="47"/>
      <c r="BJ593" s="47"/>
      <c r="BK593" s="47"/>
    </row>
    <row r="594"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  <c r="BE594" s="47"/>
      <c r="BF594" s="47"/>
      <c r="BG594" s="47"/>
      <c r="BH594" s="47"/>
      <c r="BI594" s="47"/>
      <c r="BJ594" s="47"/>
      <c r="BK594" s="47"/>
    </row>
    <row r="595">
      <c r="AK595" s="47"/>
      <c r="AL595" s="47"/>
      <c r="AM595" s="47"/>
      <c r="AN595" s="47"/>
      <c r="AO595" s="47"/>
      <c r="AP595" s="47"/>
      <c r="AQ595" s="47"/>
      <c r="AR595" s="47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47"/>
      <c r="BE595" s="47"/>
      <c r="BF595" s="47"/>
      <c r="BG595" s="47"/>
      <c r="BH595" s="47"/>
      <c r="BI595" s="47"/>
      <c r="BJ595" s="47"/>
      <c r="BK595" s="47"/>
    </row>
    <row r="596"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  <c r="BE596" s="47"/>
      <c r="BF596" s="47"/>
      <c r="BG596" s="47"/>
      <c r="BH596" s="47"/>
      <c r="BI596" s="47"/>
      <c r="BJ596" s="47"/>
      <c r="BK596" s="47"/>
    </row>
    <row r="597">
      <c r="AK597" s="47"/>
      <c r="AL597" s="47"/>
      <c r="AM597" s="47"/>
      <c r="AN597" s="47"/>
      <c r="AO597" s="47"/>
      <c r="AP597" s="47"/>
      <c r="AQ597" s="47"/>
      <c r="AR597" s="47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47"/>
      <c r="BE597" s="47"/>
      <c r="BF597" s="47"/>
      <c r="BG597" s="47"/>
      <c r="BH597" s="47"/>
      <c r="BI597" s="47"/>
      <c r="BJ597" s="47"/>
      <c r="BK597" s="47"/>
    </row>
    <row r="598"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  <c r="BE598" s="47"/>
      <c r="BF598" s="47"/>
      <c r="BG598" s="47"/>
      <c r="BH598" s="47"/>
      <c r="BI598" s="47"/>
      <c r="BJ598" s="47"/>
      <c r="BK598" s="47"/>
    </row>
    <row r="599">
      <c r="AK599" s="47"/>
      <c r="AL599" s="47"/>
      <c r="AM599" s="47"/>
      <c r="AN599" s="47"/>
      <c r="AO599" s="47"/>
      <c r="AP599" s="47"/>
      <c r="AQ599" s="47"/>
      <c r="AR599" s="47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47"/>
      <c r="BE599" s="47"/>
      <c r="BF599" s="47"/>
      <c r="BG599" s="47"/>
      <c r="BH599" s="47"/>
      <c r="BI599" s="47"/>
      <c r="BJ599" s="47"/>
      <c r="BK599" s="47"/>
    </row>
    <row r="600"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  <c r="BE600" s="47"/>
      <c r="BF600" s="47"/>
      <c r="BG600" s="47"/>
      <c r="BH600" s="47"/>
      <c r="BI600" s="47"/>
      <c r="BJ600" s="47"/>
      <c r="BK600" s="47"/>
    </row>
    <row r="601">
      <c r="AK601" s="47"/>
      <c r="AL601" s="47"/>
      <c r="AM601" s="47"/>
      <c r="AN601" s="47"/>
      <c r="AO601" s="47"/>
      <c r="AP601" s="47"/>
      <c r="AQ601" s="47"/>
      <c r="AR601" s="47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47"/>
      <c r="BE601" s="47"/>
      <c r="BF601" s="47"/>
      <c r="BG601" s="47"/>
      <c r="BH601" s="47"/>
      <c r="BI601" s="47"/>
      <c r="BJ601" s="47"/>
      <c r="BK601" s="47"/>
    </row>
    <row r="602"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  <c r="BE602" s="47"/>
      <c r="BF602" s="47"/>
      <c r="BG602" s="47"/>
      <c r="BH602" s="47"/>
      <c r="BI602" s="47"/>
      <c r="BJ602" s="47"/>
      <c r="BK602" s="47"/>
    </row>
    <row r="603">
      <c r="AK603" s="47"/>
      <c r="AL603" s="47"/>
      <c r="AM603" s="47"/>
      <c r="AN603" s="47"/>
      <c r="AO603" s="47"/>
      <c r="AP603" s="47"/>
      <c r="AQ603" s="47"/>
      <c r="AR603" s="47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47"/>
      <c r="BE603" s="47"/>
      <c r="BF603" s="47"/>
      <c r="BG603" s="47"/>
      <c r="BH603" s="47"/>
      <c r="BI603" s="47"/>
      <c r="BJ603" s="47"/>
      <c r="BK603" s="47"/>
    </row>
    <row r="604"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  <c r="BE604" s="47"/>
      <c r="BF604" s="47"/>
      <c r="BG604" s="47"/>
      <c r="BH604" s="47"/>
      <c r="BI604" s="47"/>
      <c r="BJ604" s="47"/>
      <c r="BK604" s="47"/>
    </row>
    <row r="605">
      <c r="AK605" s="47"/>
      <c r="AL605" s="47"/>
      <c r="AM605" s="47"/>
      <c r="AN605" s="47"/>
      <c r="AO605" s="47"/>
      <c r="AP605" s="47"/>
      <c r="AQ605" s="47"/>
      <c r="AR605" s="47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47"/>
      <c r="BE605" s="47"/>
      <c r="BF605" s="47"/>
      <c r="BG605" s="47"/>
      <c r="BH605" s="47"/>
      <c r="BI605" s="47"/>
      <c r="BJ605" s="47"/>
      <c r="BK605" s="47"/>
    </row>
    <row r="606"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  <c r="BE606" s="47"/>
      <c r="BF606" s="47"/>
      <c r="BG606" s="47"/>
      <c r="BH606" s="47"/>
      <c r="BI606" s="47"/>
      <c r="BJ606" s="47"/>
      <c r="BK606" s="47"/>
    </row>
    <row r="607">
      <c r="AK607" s="47"/>
      <c r="AL607" s="47"/>
      <c r="AM607" s="47"/>
      <c r="AN607" s="47"/>
      <c r="AO607" s="47"/>
      <c r="AP607" s="47"/>
      <c r="AQ607" s="47"/>
      <c r="AR607" s="47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47"/>
      <c r="BE607" s="47"/>
      <c r="BF607" s="47"/>
      <c r="BG607" s="47"/>
      <c r="BH607" s="47"/>
      <c r="BI607" s="47"/>
      <c r="BJ607" s="47"/>
      <c r="BK607" s="47"/>
    </row>
    <row r="608"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  <c r="BE608" s="47"/>
      <c r="BF608" s="47"/>
      <c r="BG608" s="47"/>
      <c r="BH608" s="47"/>
      <c r="BI608" s="47"/>
      <c r="BJ608" s="47"/>
      <c r="BK608" s="47"/>
    </row>
    <row r="609"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</row>
    <row r="610"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  <c r="BE610" s="47"/>
      <c r="BF610" s="47"/>
      <c r="BG610" s="47"/>
      <c r="BH610" s="47"/>
      <c r="BI610" s="47"/>
      <c r="BJ610" s="47"/>
      <c r="BK610" s="47"/>
    </row>
    <row r="611">
      <c r="AK611" s="47"/>
      <c r="AL611" s="47"/>
      <c r="AM611" s="47"/>
      <c r="AN611" s="47"/>
      <c r="AO611" s="47"/>
      <c r="AP611" s="47"/>
      <c r="AQ611" s="47"/>
      <c r="AR611" s="47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47"/>
      <c r="BE611" s="47"/>
      <c r="BF611" s="47"/>
      <c r="BG611" s="47"/>
      <c r="BH611" s="47"/>
      <c r="BI611" s="47"/>
      <c r="BJ611" s="47"/>
      <c r="BK611" s="47"/>
    </row>
    <row r="612"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  <c r="BE612" s="47"/>
      <c r="BF612" s="47"/>
      <c r="BG612" s="47"/>
      <c r="BH612" s="47"/>
      <c r="BI612" s="47"/>
      <c r="BJ612" s="47"/>
      <c r="BK612" s="47"/>
    </row>
    <row r="613">
      <c r="AK613" s="47"/>
      <c r="AL613" s="47"/>
      <c r="AM613" s="47"/>
      <c r="AN613" s="47"/>
      <c r="AO613" s="47"/>
      <c r="AP613" s="47"/>
      <c r="AQ613" s="47"/>
      <c r="AR613" s="47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47"/>
      <c r="BE613" s="47"/>
      <c r="BF613" s="47"/>
      <c r="BG613" s="47"/>
      <c r="BH613" s="47"/>
      <c r="BI613" s="47"/>
      <c r="BJ613" s="47"/>
      <c r="BK613" s="47"/>
    </row>
    <row r="614"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  <c r="BE614" s="47"/>
      <c r="BF614" s="47"/>
      <c r="BG614" s="47"/>
      <c r="BH614" s="47"/>
      <c r="BI614" s="47"/>
      <c r="BJ614" s="47"/>
      <c r="BK614" s="47"/>
    </row>
    <row r="615">
      <c r="AK615" s="47"/>
      <c r="AL615" s="47"/>
      <c r="AM615" s="47"/>
      <c r="AN615" s="47"/>
      <c r="AO615" s="47"/>
      <c r="AP615" s="47"/>
      <c r="AQ615" s="47"/>
      <c r="AR615" s="47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47"/>
      <c r="BE615" s="47"/>
      <c r="BF615" s="47"/>
      <c r="BG615" s="47"/>
      <c r="BH615" s="47"/>
      <c r="BI615" s="47"/>
      <c r="BJ615" s="47"/>
      <c r="BK615" s="47"/>
    </row>
    <row r="616"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  <c r="BE616" s="47"/>
      <c r="BF616" s="47"/>
      <c r="BG616" s="47"/>
      <c r="BH616" s="47"/>
      <c r="BI616" s="47"/>
      <c r="BJ616" s="47"/>
      <c r="BK616" s="47"/>
    </row>
    <row r="617">
      <c r="AK617" s="47"/>
      <c r="AL617" s="47"/>
      <c r="AM617" s="47"/>
      <c r="AN617" s="47"/>
      <c r="AO617" s="47"/>
      <c r="AP617" s="47"/>
      <c r="AQ617" s="47"/>
      <c r="AR617" s="47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47"/>
      <c r="BE617" s="47"/>
      <c r="BF617" s="47"/>
      <c r="BG617" s="47"/>
      <c r="BH617" s="47"/>
      <c r="BI617" s="47"/>
      <c r="BJ617" s="47"/>
      <c r="BK617" s="47"/>
    </row>
    <row r="618"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  <c r="BE618" s="47"/>
      <c r="BF618" s="47"/>
      <c r="BG618" s="47"/>
      <c r="BH618" s="47"/>
      <c r="BI618" s="47"/>
      <c r="BJ618" s="47"/>
      <c r="BK618" s="47"/>
    </row>
    <row r="619">
      <c r="AK619" s="47"/>
      <c r="AL619" s="47"/>
      <c r="AM619" s="47"/>
      <c r="AN619" s="47"/>
      <c r="AO619" s="47"/>
      <c r="AP619" s="47"/>
      <c r="AQ619" s="47"/>
      <c r="AR619" s="47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47"/>
      <c r="BE619" s="47"/>
      <c r="BF619" s="47"/>
      <c r="BG619" s="47"/>
      <c r="BH619" s="47"/>
      <c r="BI619" s="47"/>
      <c r="BJ619" s="47"/>
      <c r="BK619" s="47"/>
    </row>
    <row r="620"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  <c r="BE620" s="47"/>
      <c r="BF620" s="47"/>
      <c r="BG620" s="47"/>
      <c r="BH620" s="47"/>
      <c r="BI620" s="47"/>
      <c r="BJ620" s="47"/>
      <c r="BK620" s="47"/>
    </row>
    <row r="621">
      <c r="AK621" s="47"/>
      <c r="AL621" s="47"/>
      <c r="AM621" s="47"/>
      <c r="AN621" s="47"/>
      <c r="AO621" s="47"/>
      <c r="AP621" s="47"/>
      <c r="AQ621" s="47"/>
      <c r="AR621" s="47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47"/>
      <c r="BE621" s="47"/>
      <c r="BF621" s="47"/>
      <c r="BG621" s="47"/>
      <c r="BH621" s="47"/>
      <c r="BI621" s="47"/>
      <c r="BJ621" s="47"/>
      <c r="BK621" s="47"/>
    </row>
    <row r="622"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</row>
    <row r="623">
      <c r="AK623" s="47"/>
      <c r="AL623" s="47"/>
      <c r="AM623" s="47"/>
      <c r="AN623" s="47"/>
      <c r="AO623" s="47"/>
      <c r="AP623" s="47"/>
      <c r="AQ623" s="47"/>
      <c r="AR623" s="47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47"/>
      <c r="BE623" s="47"/>
      <c r="BF623" s="47"/>
      <c r="BG623" s="47"/>
      <c r="BH623" s="47"/>
      <c r="BI623" s="47"/>
      <c r="BJ623" s="47"/>
      <c r="BK623" s="47"/>
    </row>
    <row r="624"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  <c r="BE624" s="47"/>
      <c r="BF624" s="47"/>
      <c r="BG624" s="47"/>
      <c r="BH624" s="47"/>
      <c r="BI624" s="47"/>
      <c r="BJ624" s="47"/>
      <c r="BK624" s="47"/>
    </row>
    <row r="625"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</row>
    <row r="626"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  <c r="BE626" s="47"/>
      <c r="BF626" s="47"/>
      <c r="BG626" s="47"/>
      <c r="BH626" s="47"/>
      <c r="BI626" s="47"/>
      <c r="BJ626" s="47"/>
      <c r="BK626" s="47"/>
    </row>
    <row r="627">
      <c r="AK627" s="47"/>
      <c r="AL627" s="47"/>
      <c r="AM627" s="47"/>
      <c r="AN627" s="47"/>
      <c r="AO627" s="47"/>
      <c r="AP627" s="47"/>
      <c r="AQ627" s="47"/>
      <c r="AR627" s="47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47"/>
      <c r="BE627" s="47"/>
      <c r="BF627" s="47"/>
      <c r="BG627" s="47"/>
      <c r="BH627" s="47"/>
      <c r="BI627" s="47"/>
      <c r="BJ627" s="47"/>
      <c r="BK627" s="47"/>
    </row>
    <row r="628"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  <c r="BE628" s="47"/>
      <c r="BF628" s="47"/>
      <c r="BG628" s="47"/>
      <c r="BH628" s="47"/>
      <c r="BI628" s="47"/>
      <c r="BJ628" s="47"/>
      <c r="BK628" s="47"/>
    </row>
    <row r="629">
      <c r="AK629" s="47"/>
      <c r="AL629" s="47"/>
      <c r="AM629" s="47"/>
      <c r="AN629" s="47"/>
      <c r="AO629" s="47"/>
      <c r="AP629" s="47"/>
      <c r="AQ629" s="47"/>
      <c r="AR629" s="47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47"/>
      <c r="BE629" s="47"/>
      <c r="BF629" s="47"/>
      <c r="BG629" s="47"/>
      <c r="BH629" s="47"/>
      <c r="BI629" s="47"/>
      <c r="BJ629" s="47"/>
      <c r="BK629" s="47"/>
    </row>
    <row r="630"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</row>
    <row r="631">
      <c r="AK631" s="47"/>
      <c r="AL631" s="47"/>
      <c r="AM631" s="47"/>
      <c r="AN631" s="47"/>
      <c r="AO631" s="47"/>
      <c r="AP631" s="47"/>
      <c r="AQ631" s="47"/>
      <c r="AR631" s="47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47"/>
      <c r="BE631" s="47"/>
      <c r="BF631" s="47"/>
      <c r="BG631" s="47"/>
      <c r="BH631" s="47"/>
      <c r="BI631" s="47"/>
      <c r="BJ631" s="47"/>
      <c r="BK631" s="47"/>
    </row>
    <row r="632"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  <c r="BE632" s="47"/>
      <c r="BF632" s="47"/>
      <c r="BG632" s="47"/>
      <c r="BH632" s="47"/>
      <c r="BI632" s="47"/>
      <c r="BJ632" s="47"/>
      <c r="BK632" s="47"/>
    </row>
    <row r="633">
      <c r="AK633" s="47"/>
      <c r="AL633" s="47"/>
      <c r="AM633" s="47"/>
      <c r="AN633" s="47"/>
      <c r="AO633" s="47"/>
      <c r="AP633" s="47"/>
      <c r="AQ633" s="47"/>
      <c r="AR633" s="47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47"/>
      <c r="BE633" s="47"/>
      <c r="BF633" s="47"/>
      <c r="BG633" s="47"/>
      <c r="BH633" s="47"/>
      <c r="BI633" s="47"/>
      <c r="BJ633" s="47"/>
      <c r="BK633" s="47"/>
    </row>
    <row r="634"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  <c r="BE634" s="47"/>
      <c r="BF634" s="47"/>
      <c r="BG634" s="47"/>
      <c r="BH634" s="47"/>
      <c r="BI634" s="47"/>
      <c r="BJ634" s="47"/>
      <c r="BK634" s="47"/>
    </row>
    <row r="635">
      <c r="AK635" s="47"/>
      <c r="AL635" s="47"/>
      <c r="AM635" s="47"/>
      <c r="AN635" s="47"/>
      <c r="AO635" s="47"/>
      <c r="AP635" s="47"/>
      <c r="AQ635" s="47"/>
      <c r="AR635" s="47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47"/>
      <c r="BE635" s="47"/>
      <c r="BF635" s="47"/>
      <c r="BG635" s="47"/>
      <c r="BH635" s="47"/>
      <c r="BI635" s="47"/>
      <c r="BJ635" s="47"/>
      <c r="BK635" s="47"/>
    </row>
    <row r="636"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  <c r="BE636" s="47"/>
      <c r="BF636" s="47"/>
      <c r="BG636" s="47"/>
      <c r="BH636" s="47"/>
      <c r="BI636" s="47"/>
      <c r="BJ636" s="47"/>
      <c r="BK636" s="47"/>
    </row>
    <row r="637">
      <c r="AK637" s="47"/>
      <c r="AL637" s="47"/>
      <c r="AM637" s="47"/>
      <c r="AN637" s="47"/>
      <c r="AO637" s="47"/>
      <c r="AP637" s="47"/>
      <c r="AQ637" s="47"/>
      <c r="AR637" s="47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47"/>
      <c r="BE637" s="47"/>
      <c r="BF637" s="47"/>
      <c r="BG637" s="47"/>
      <c r="BH637" s="47"/>
      <c r="BI637" s="47"/>
      <c r="BJ637" s="47"/>
      <c r="BK637" s="47"/>
    </row>
    <row r="638"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  <c r="BE638" s="47"/>
      <c r="BF638" s="47"/>
      <c r="BG638" s="47"/>
      <c r="BH638" s="47"/>
      <c r="BI638" s="47"/>
      <c r="BJ638" s="47"/>
      <c r="BK638" s="47"/>
    </row>
    <row r="639">
      <c r="AK639" s="47"/>
      <c r="AL639" s="47"/>
      <c r="AM639" s="47"/>
      <c r="AN639" s="47"/>
      <c r="AO639" s="47"/>
      <c r="AP639" s="47"/>
      <c r="AQ639" s="47"/>
      <c r="AR639" s="47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47"/>
      <c r="BE639" s="47"/>
      <c r="BF639" s="47"/>
      <c r="BG639" s="47"/>
      <c r="BH639" s="47"/>
      <c r="BI639" s="47"/>
      <c r="BJ639" s="47"/>
      <c r="BK639" s="47"/>
    </row>
    <row r="640"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  <c r="BE640" s="47"/>
      <c r="BF640" s="47"/>
      <c r="BG640" s="47"/>
      <c r="BH640" s="47"/>
      <c r="BI640" s="47"/>
      <c r="BJ640" s="47"/>
      <c r="BK640" s="47"/>
    </row>
    <row r="641">
      <c r="AK641" s="47"/>
      <c r="AL641" s="47"/>
      <c r="AM641" s="47"/>
      <c r="AN641" s="47"/>
      <c r="AO641" s="47"/>
      <c r="AP641" s="47"/>
      <c r="AQ641" s="47"/>
      <c r="AR641" s="47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47"/>
      <c r="BE641" s="47"/>
      <c r="BF641" s="47"/>
      <c r="BG641" s="47"/>
      <c r="BH641" s="47"/>
      <c r="BI641" s="47"/>
      <c r="BJ641" s="47"/>
      <c r="BK641" s="47"/>
    </row>
    <row r="642"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  <c r="BE642" s="47"/>
      <c r="BF642" s="47"/>
      <c r="BG642" s="47"/>
      <c r="BH642" s="47"/>
      <c r="BI642" s="47"/>
      <c r="BJ642" s="47"/>
      <c r="BK642" s="47"/>
    </row>
    <row r="643">
      <c r="AK643" s="47"/>
      <c r="AL643" s="47"/>
      <c r="AM643" s="47"/>
      <c r="AN643" s="47"/>
      <c r="AO643" s="47"/>
      <c r="AP643" s="47"/>
      <c r="AQ643" s="47"/>
      <c r="AR643" s="47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47"/>
      <c r="BE643" s="47"/>
      <c r="BF643" s="47"/>
      <c r="BG643" s="47"/>
      <c r="BH643" s="47"/>
      <c r="BI643" s="47"/>
      <c r="BJ643" s="47"/>
      <c r="BK643" s="47"/>
    </row>
    <row r="644"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  <c r="BE644" s="47"/>
      <c r="BF644" s="47"/>
      <c r="BG644" s="47"/>
      <c r="BH644" s="47"/>
      <c r="BI644" s="47"/>
      <c r="BJ644" s="47"/>
      <c r="BK644" s="47"/>
    </row>
    <row r="645">
      <c r="AK645" s="47"/>
      <c r="AL645" s="47"/>
      <c r="AM645" s="47"/>
      <c r="AN645" s="47"/>
      <c r="AO645" s="47"/>
      <c r="AP645" s="47"/>
      <c r="AQ645" s="47"/>
      <c r="AR645" s="47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47"/>
      <c r="BE645" s="47"/>
      <c r="BF645" s="47"/>
      <c r="BG645" s="47"/>
      <c r="BH645" s="47"/>
      <c r="BI645" s="47"/>
      <c r="BJ645" s="47"/>
      <c r="BK645" s="47"/>
    </row>
    <row r="646"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  <c r="BE646" s="47"/>
      <c r="BF646" s="47"/>
      <c r="BG646" s="47"/>
      <c r="BH646" s="47"/>
      <c r="BI646" s="47"/>
      <c r="BJ646" s="47"/>
      <c r="BK646" s="47"/>
    </row>
    <row r="647">
      <c r="AK647" s="47"/>
      <c r="AL647" s="47"/>
      <c r="AM647" s="47"/>
      <c r="AN647" s="47"/>
      <c r="AO647" s="47"/>
      <c r="AP647" s="47"/>
      <c r="AQ647" s="47"/>
      <c r="AR647" s="47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47"/>
      <c r="BE647" s="47"/>
      <c r="BF647" s="47"/>
      <c r="BG647" s="47"/>
      <c r="BH647" s="47"/>
      <c r="BI647" s="47"/>
      <c r="BJ647" s="47"/>
      <c r="BK647" s="47"/>
    </row>
    <row r="648"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  <c r="BE648" s="47"/>
      <c r="BF648" s="47"/>
      <c r="BG648" s="47"/>
      <c r="BH648" s="47"/>
      <c r="BI648" s="47"/>
      <c r="BJ648" s="47"/>
      <c r="BK648" s="47"/>
    </row>
    <row r="649">
      <c r="AK649" s="47"/>
      <c r="AL649" s="47"/>
      <c r="AM649" s="47"/>
      <c r="AN649" s="47"/>
      <c r="AO649" s="47"/>
      <c r="AP649" s="47"/>
      <c r="AQ649" s="47"/>
      <c r="AR649" s="47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47"/>
      <c r="BE649" s="47"/>
      <c r="BF649" s="47"/>
      <c r="BG649" s="47"/>
      <c r="BH649" s="47"/>
      <c r="BI649" s="47"/>
      <c r="BJ649" s="47"/>
      <c r="BK649" s="47"/>
    </row>
    <row r="650"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  <c r="BE650" s="47"/>
      <c r="BF650" s="47"/>
      <c r="BG650" s="47"/>
      <c r="BH650" s="47"/>
      <c r="BI650" s="47"/>
      <c r="BJ650" s="47"/>
      <c r="BK650" s="47"/>
    </row>
    <row r="651">
      <c r="AK651" s="47"/>
      <c r="AL651" s="47"/>
      <c r="AM651" s="47"/>
      <c r="AN651" s="47"/>
      <c r="AO651" s="47"/>
      <c r="AP651" s="47"/>
      <c r="AQ651" s="47"/>
      <c r="AR651" s="47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47"/>
      <c r="BE651" s="47"/>
      <c r="BF651" s="47"/>
      <c r="BG651" s="47"/>
      <c r="BH651" s="47"/>
      <c r="BI651" s="47"/>
      <c r="BJ651" s="47"/>
      <c r="BK651" s="47"/>
    </row>
    <row r="652"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  <c r="BE652" s="47"/>
      <c r="BF652" s="47"/>
      <c r="BG652" s="47"/>
      <c r="BH652" s="47"/>
      <c r="BI652" s="47"/>
      <c r="BJ652" s="47"/>
      <c r="BK652" s="47"/>
    </row>
    <row r="653">
      <c r="AK653" s="47"/>
      <c r="AL653" s="47"/>
      <c r="AM653" s="47"/>
      <c r="AN653" s="47"/>
      <c r="AO653" s="47"/>
      <c r="AP653" s="47"/>
      <c r="AQ653" s="47"/>
      <c r="AR653" s="47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47"/>
      <c r="BE653" s="47"/>
      <c r="BF653" s="47"/>
      <c r="BG653" s="47"/>
      <c r="BH653" s="47"/>
      <c r="BI653" s="47"/>
      <c r="BJ653" s="47"/>
      <c r="BK653" s="47"/>
    </row>
    <row r="654"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  <c r="BE654" s="47"/>
      <c r="BF654" s="47"/>
      <c r="BG654" s="47"/>
      <c r="BH654" s="47"/>
      <c r="BI654" s="47"/>
      <c r="BJ654" s="47"/>
      <c r="BK654" s="47"/>
    </row>
    <row r="655">
      <c r="AK655" s="47"/>
      <c r="AL655" s="47"/>
      <c r="AM655" s="47"/>
      <c r="AN655" s="47"/>
      <c r="AO655" s="47"/>
      <c r="AP655" s="47"/>
      <c r="AQ655" s="47"/>
      <c r="AR655" s="47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47"/>
      <c r="BE655" s="47"/>
      <c r="BF655" s="47"/>
      <c r="BG655" s="47"/>
      <c r="BH655" s="47"/>
      <c r="BI655" s="47"/>
      <c r="BJ655" s="47"/>
      <c r="BK655" s="47"/>
    </row>
    <row r="656"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  <c r="BE656" s="47"/>
      <c r="BF656" s="47"/>
      <c r="BG656" s="47"/>
      <c r="BH656" s="47"/>
      <c r="BI656" s="47"/>
      <c r="BJ656" s="47"/>
      <c r="BK656" s="47"/>
    </row>
    <row r="657">
      <c r="AK657" s="47"/>
      <c r="AL657" s="47"/>
      <c r="AM657" s="47"/>
      <c r="AN657" s="47"/>
      <c r="AO657" s="47"/>
      <c r="AP657" s="47"/>
      <c r="AQ657" s="47"/>
      <c r="AR657" s="47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47"/>
      <c r="BE657" s="47"/>
      <c r="BF657" s="47"/>
      <c r="BG657" s="47"/>
      <c r="BH657" s="47"/>
      <c r="BI657" s="47"/>
      <c r="BJ657" s="47"/>
      <c r="BK657" s="47"/>
    </row>
    <row r="658"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  <c r="BE658" s="47"/>
      <c r="BF658" s="47"/>
      <c r="BG658" s="47"/>
      <c r="BH658" s="47"/>
      <c r="BI658" s="47"/>
      <c r="BJ658" s="47"/>
      <c r="BK658" s="47"/>
    </row>
    <row r="659">
      <c r="AK659" s="47"/>
      <c r="AL659" s="47"/>
      <c r="AM659" s="47"/>
      <c r="AN659" s="47"/>
      <c r="AO659" s="47"/>
      <c r="AP659" s="47"/>
      <c r="AQ659" s="47"/>
      <c r="AR659" s="47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47"/>
      <c r="BE659" s="47"/>
      <c r="BF659" s="47"/>
      <c r="BG659" s="47"/>
      <c r="BH659" s="47"/>
      <c r="BI659" s="47"/>
      <c r="BJ659" s="47"/>
      <c r="BK659" s="47"/>
    </row>
    <row r="660"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  <c r="BE660" s="47"/>
      <c r="BF660" s="47"/>
      <c r="BG660" s="47"/>
      <c r="BH660" s="47"/>
      <c r="BI660" s="47"/>
      <c r="BJ660" s="47"/>
      <c r="BK660" s="47"/>
    </row>
    <row r="661">
      <c r="AK661" s="47"/>
      <c r="AL661" s="47"/>
      <c r="AM661" s="47"/>
      <c r="AN661" s="47"/>
      <c r="AO661" s="47"/>
      <c r="AP661" s="47"/>
      <c r="AQ661" s="47"/>
      <c r="AR661" s="47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47"/>
      <c r="BE661" s="47"/>
      <c r="BF661" s="47"/>
      <c r="BG661" s="47"/>
      <c r="BH661" s="47"/>
      <c r="BI661" s="47"/>
      <c r="BJ661" s="47"/>
      <c r="BK661" s="47"/>
    </row>
    <row r="662"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</row>
    <row r="663">
      <c r="AK663" s="47"/>
      <c r="AL663" s="47"/>
      <c r="AM663" s="47"/>
      <c r="AN663" s="47"/>
      <c r="AO663" s="47"/>
      <c r="AP663" s="47"/>
      <c r="AQ663" s="47"/>
      <c r="AR663" s="47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47"/>
      <c r="BE663" s="47"/>
      <c r="BF663" s="47"/>
      <c r="BG663" s="47"/>
      <c r="BH663" s="47"/>
      <c r="BI663" s="47"/>
      <c r="BJ663" s="47"/>
      <c r="BK663" s="47"/>
    </row>
    <row r="664"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  <c r="BE664" s="47"/>
      <c r="BF664" s="47"/>
      <c r="BG664" s="47"/>
      <c r="BH664" s="47"/>
      <c r="BI664" s="47"/>
      <c r="BJ664" s="47"/>
      <c r="BK664" s="47"/>
    </row>
    <row r="665">
      <c r="AK665" s="47"/>
      <c r="AL665" s="47"/>
      <c r="AM665" s="47"/>
      <c r="AN665" s="47"/>
      <c r="AO665" s="47"/>
      <c r="AP665" s="47"/>
      <c r="AQ665" s="47"/>
      <c r="AR665" s="47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47"/>
      <c r="BE665" s="47"/>
      <c r="BF665" s="47"/>
      <c r="BG665" s="47"/>
      <c r="BH665" s="47"/>
      <c r="BI665" s="47"/>
      <c r="BJ665" s="47"/>
      <c r="BK665" s="47"/>
    </row>
    <row r="666"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  <c r="BE666" s="47"/>
      <c r="BF666" s="47"/>
      <c r="BG666" s="47"/>
      <c r="BH666" s="47"/>
      <c r="BI666" s="47"/>
      <c r="BJ666" s="47"/>
      <c r="BK666" s="47"/>
    </row>
    <row r="667">
      <c r="AK667" s="47"/>
      <c r="AL667" s="47"/>
      <c r="AM667" s="47"/>
      <c r="AN667" s="47"/>
      <c r="AO667" s="47"/>
      <c r="AP667" s="47"/>
      <c r="AQ667" s="47"/>
      <c r="AR667" s="47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47"/>
      <c r="BE667" s="47"/>
      <c r="BF667" s="47"/>
      <c r="BG667" s="47"/>
      <c r="BH667" s="47"/>
      <c r="BI667" s="47"/>
      <c r="BJ667" s="47"/>
      <c r="BK667" s="47"/>
    </row>
    <row r="668"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</row>
    <row r="669">
      <c r="AK669" s="47"/>
      <c r="AL669" s="47"/>
      <c r="AM669" s="47"/>
      <c r="AN669" s="47"/>
      <c r="AO669" s="47"/>
      <c r="AP669" s="47"/>
      <c r="AQ669" s="47"/>
      <c r="AR669" s="47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47"/>
      <c r="BE669" s="47"/>
      <c r="BF669" s="47"/>
      <c r="BG669" s="47"/>
      <c r="BH669" s="47"/>
      <c r="BI669" s="47"/>
      <c r="BJ669" s="47"/>
      <c r="BK669" s="47"/>
    </row>
    <row r="670"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  <c r="BE670" s="47"/>
      <c r="BF670" s="47"/>
      <c r="BG670" s="47"/>
      <c r="BH670" s="47"/>
      <c r="BI670" s="47"/>
      <c r="BJ670" s="47"/>
      <c r="BK670" s="47"/>
    </row>
    <row r="671">
      <c r="AK671" s="47"/>
      <c r="AL671" s="47"/>
      <c r="AM671" s="47"/>
      <c r="AN671" s="47"/>
      <c r="AO671" s="47"/>
      <c r="AP671" s="47"/>
      <c r="AQ671" s="47"/>
      <c r="AR671" s="47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47"/>
      <c r="BE671" s="47"/>
      <c r="BF671" s="47"/>
      <c r="BG671" s="47"/>
      <c r="BH671" s="47"/>
      <c r="BI671" s="47"/>
      <c r="BJ671" s="47"/>
      <c r="BK671" s="47"/>
    </row>
    <row r="672"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  <c r="BE672" s="47"/>
      <c r="BF672" s="47"/>
      <c r="BG672" s="47"/>
      <c r="BH672" s="47"/>
      <c r="BI672" s="47"/>
      <c r="BJ672" s="47"/>
      <c r="BK672" s="47"/>
    </row>
    <row r="673">
      <c r="AK673" s="47"/>
      <c r="AL673" s="47"/>
      <c r="AM673" s="47"/>
      <c r="AN673" s="47"/>
      <c r="AO673" s="47"/>
      <c r="AP673" s="47"/>
      <c r="AQ673" s="47"/>
      <c r="AR673" s="47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47"/>
      <c r="BE673" s="47"/>
      <c r="BF673" s="47"/>
      <c r="BG673" s="47"/>
      <c r="BH673" s="47"/>
      <c r="BI673" s="47"/>
      <c r="BJ673" s="47"/>
      <c r="BK673" s="47"/>
    </row>
    <row r="674"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  <c r="BE674" s="47"/>
      <c r="BF674" s="47"/>
      <c r="BG674" s="47"/>
      <c r="BH674" s="47"/>
      <c r="BI674" s="47"/>
      <c r="BJ674" s="47"/>
      <c r="BK674" s="47"/>
    </row>
    <row r="675">
      <c r="AK675" s="47"/>
      <c r="AL675" s="47"/>
      <c r="AM675" s="47"/>
      <c r="AN675" s="47"/>
      <c r="AO675" s="47"/>
      <c r="AP675" s="47"/>
      <c r="AQ675" s="47"/>
      <c r="AR675" s="47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47"/>
      <c r="BE675" s="47"/>
      <c r="BF675" s="47"/>
      <c r="BG675" s="47"/>
      <c r="BH675" s="47"/>
      <c r="BI675" s="47"/>
      <c r="BJ675" s="47"/>
      <c r="BK675" s="47"/>
    </row>
    <row r="676"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  <c r="BE676" s="47"/>
      <c r="BF676" s="47"/>
      <c r="BG676" s="47"/>
      <c r="BH676" s="47"/>
      <c r="BI676" s="47"/>
      <c r="BJ676" s="47"/>
      <c r="BK676" s="47"/>
    </row>
    <row r="677">
      <c r="AK677" s="47"/>
      <c r="AL677" s="47"/>
      <c r="AM677" s="47"/>
      <c r="AN677" s="47"/>
      <c r="AO677" s="47"/>
      <c r="AP677" s="47"/>
      <c r="AQ677" s="47"/>
      <c r="AR677" s="47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47"/>
      <c r="BE677" s="47"/>
      <c r="BF677" s="47"/>
      <c r="BG677" s="47"/>
      <c r="BH677" s="47"/>
      <c r="BI677" s="47"/>
      <c r="BJ677" s="47"/>
      <c r="BK677" s="47"/>
    </row>
    <row r="678"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  <c r="BE678" s="47"/>
      <c r="BF678" s="47"/>
      <c r="BG678" s="47"/>
      <c r="BH678" s="47"/>
      <c r="BI678" s="47"/>
      <c r="BJ678" s="47"/>
      <c r="BK678" s="47"/>
    </row>
    <row r="679">
      <c r="AK679" s="47"/>
      <c r="AL679" s="47"/>
      <c r="AM679" s="47"/>
      <c r="AN679" s="47"/>
      <c r="AO679" s="47"/>
      <c r="AP679" s="47"/>
      <c r="AQ679" s="47"/>
      <c r="AR679" s="47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47"/>
      <c r="BE679" s="47"/>
      <c r="BF679" s="47"/>
      <c r="BG679" s="47"/>
      <c r="BH679" s="47"/>
      <c r="BI679" s="47"/>
      <c r="BJ679" s="47"/>
      <c r="BK679" s="47"/>
    </row>
    <row r="680"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  <c r="BE680" s="47"/>
      <c r="BF680" s="47"/>
      <c r="BG680" s="47"/>
      <c r="BH680" s="47"/>
      <c r="BI680" s="47"/>
      <c r="BJ680" s="47"/>
      <c r="BK680" s="47"/>
    </row>
    <row r="681">
      <c r="AK681" s="47"/>
      <c r="AL681" s="47"/>
      <c r="AM681" s="47"/>
      <c r="AN681" s="47"/>
      <c r="AO681" s="47"/>
      <c r="AP681" s="47"/>
      <c r="AQ681" s="47"/>
      <c r="AR681" s="47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47"/>
      <c r="BE681" s="47"/>
      <c r="BF681" s="47"/>
      <c r="BG681" s="47"/>
      <c r="BH681" s="47"/>
      <c r="BI681" s="47"/>
      <c r="BJ681" s="47"/>
      <c r="BK681" s="47"/>
    </row>
    <row r="682"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  <c r="BE682" s="47"/>
      <c r="BF682" s="47"/>
      <c r="BG682" s="47"/>
      <c r="BH682" s="47"/>
      <c r="BI682" s="47"/>
      <c r="BJ682" s="47"/>
      <c r="BK682" s="47"/>
    </row>
    <row r="683">
      <c r="AK683" s="47"/>
      <c r="AL683" s="47"/>
      <c r="AM683" s="47"/>
      <c r="AN683" s="47"/>
      <c r="AO683" s="47"/>
      <c r="AP683" s="47"/>
      <c r="AQ683" s="47"/>
      <c r="AR683" s="47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47"/>
      <c r="BE683" s="47"/>
      <c r="BF683" s="47"/>
      <c r="BG683" s="47"/>
      <c r="BH683" s="47"/>
      <c r="BI683" s="47"/>
      <c r="BJ683" s="47"/>
      <c r="BK683" s="47"/>
    </row>
    <row r="684"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  <c r="BE684" s="47"/>
      <c r="BF684" s="47"/>
      <c r="BG684" s="47"/>
      <c r="BH684" s="47"/>
      <c r="BI684" s="47"/>
      <c r="BJ684" s="47"/>
      <c r="BK684" s="47"/>
    </row>
    <row r="685">
      <c r="AK685" s="47"/>
      <c r="AL685" s="47"/>
      <c r="AM685" s="47"/>
      <c r="AN685" s="47"/>
      <c r="AO685" s="47"/>
      <c r="AP685" s="47"/>
      <c r="AQ685" s="47"/>
      <c r="AR685" s="47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47"/>
      <c r="BE685" s="47"/>
      <c r="BF685" s="47"/>
      <c r="BG685" s="47"/>
      <c r="BH685" s="47"/>
      <c r="BI685" s="47"/>
      <c r="BJ685" s="47"/>
      <c r="BK685" s="47"/>
    </row>
    <row r="686"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  <c r="BE686" s="47"/>
      <c r="BF686" s="47"/>
      <c r="BG686" s="47"/>
      <c r="BH686" s="47"/>
      <c r="BI686" s="47"/>
      <c r="BJ686" s="47"/>
      <c r="BK686" s="47"/>
    </row>
    <row r="687">
      <c r="AK687" s="47"/>
      <c r="AL687" s="47"/>
      <c r="AM687" s="47"/>
      <c r="AN687" s="47"/>
      <c r="AO687" s="47"/>
      <c r="AP687" s="47"/>
      <c r="AQ687" s="47"/>
      <c r="AR687" s="47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47"/>
      <c r="BE687" s="47"/>
      <c r="BF687" s="47"/>
      <c r="BG687" s="47"/>
      <c r="BH687" s="47"/>
      <c r="BI687" s="47"/>
      <c r="BJ687" s="47"/>
      <c r="BK687" s="47"/>
    </row>
    <row r="688"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  <c r="BE688" s="47"/>
      <c r="BF688" s="47"/>
      <c r="BG688" s="47"/>
      <c r="BH688" s="47"/>
      <c r="BI688" s="47"/>
      <c r="BJ688" s="47"/>
      <c r="BK688" s="47"/>
    </row>
    <row r="689">
      <c r="AK689" s="47"/>
      <c r="AL689" s="47"/>
      <c r="AM689" s="47"/>
      <c r="AN689" s="47"/>
      <c r="AO689" s="47"/>
      <c r="AP689" s="47"/>
      <c r="AQ689" s="47"/>
      <c r="AR689" s="47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47"/>
      <c r="BE689" s="47"/>
      <c r="BF689" s="47"/>
      <c r="BG689" s="47"/>
      <c r="BH689" s="47"/>
      <c r="BI689" s="47"/>
      <c r="BJ689" s="47"/>
      <c r="BK689" s="47"/>
    </row>
    <row r="690"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  <c r="BE690" s="47"/>
      <c r="BF690" s="47"/>
      <c r="BG690" s="47"/>
      <c r="BH690" s="47"/>
      <c r="BI690" s="47"/>
      <c r="BJ690" s="47"/>
      <c r="BK690" s="47"/>
    </row>
    <row r="691">
      <c r="AK691" s="47"/>
      <c r="AL691" s="47"/>
      <c r="AM691" s="47"/>
      <c r="AN691" s="47"/>
      <c r="AO691" s="47"/>
      <c r="AP691" s="47"/>
      <c r="AQ691" s="47"/>
      <c r="AR691" s="47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47"/>
      <c r="BE691" s="47"/>
      <c r="BF691" s="47"/>
      <c r="BG691" s="47"/>
      <c r="BH691" s="47"/>
      <c r="BI691" s="47"/>
      <c r="BJ691" s="47"/>
      <c r="BK691" s="47"/>
    </row>
    <row r="692"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  <c r="BE692" s="47"/>
      <c r="BF692" s="47"/>
      <c r="BG692" s="47"/>
      <c r="BH692" s="47"/>
      <c r="BI692" s="47"/>
      <c r="BJ692" s="47"/>
      <c r="BK692" s="47"/>
    </row>
    <row r="693">
      <c r="AK693" s="47"/>
      <c r="AL693" s="47"/>
      <c r="AM693" s="47"/>
      <c r="AN693" s="47"/>
      <c r="AO693" s="47"/>
      <c r="AP693" s="47"/>
      <c r="AQ693" s="47"/>
      <c r="AR693" s="47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47"/>
      <c r="BE693" s="47"/>
      <c r="BF693" s="47"/>
      <c r="BG693" s="47"/>
      <c r="BH693" s="47"/>
      <c r="BI693" s="47"/>
      <c r="BJ693" s="47"/>
      <c r="BK693" s="47"/>
    </row>
    <row r="694"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  <c r="BE694" s="47"/>
      <c r="BF694" s="47"/>
      <c r="BG694" s="47"/>
      <c r="BH694" s="47"/>
      <c r="BI694" s="47"/>
      <c r="BJ694" s="47"/>
      <c r="BK694" s="47"/>
    </row>
    <row r="695">
      <c r="AK695" s="47"/>
      <c r="AL695" s="47"/>
      <c r="AM695" s="47"/>
      <c r="AN695" s="47"/>
      <c r="AO695" s="47"/>
      <c r="AP695" s="47"/>
      <c r="AQ695" s="47"/>
      <c r="AR695" s="47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47"/>
      <c r="BE695" s="47"/>
      <c r="BF695" s="47"/>
      <c r="BG695" s="47"/>
      <c r="BH695" s="47"/>
      <c r="BI695" s="47"/>
      <c r="BJ695" s="47"/>
      <c r="BK695" s="47"/>
    </row>
    <row r="696"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  <c r="BE696" s="47"/>
      <c r="BF696" s="47"/>
      <c r="BG696" s="47"/>
      <c r="BH696" s="47"/>
      <c r="BI696" s="47"/>
      <c r="BJ696" s="47"/>
      <c r="BK696" s="47"/>
    </row>
    <row r="697">
      <c r="AK697" s="47"/>
      <c r="AL697" s="47"/>
      <c r="AM697" s="47"/>
      <c r="AN697" s="47"/>
      <c r="AO697" s="47"/>
      <c r="AP697" s="47"/>
      <c r="AQ697" s="47"/>
      <c r="AR697" s="47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47"/>
      <c r="BE697" s="47"/>
      <c r="BF697" s="47"/>
      <c r="BG697" s="47"/>
      <c r="BH697" s="47"/>
      <c r="BI697" s="47"/>
      <c r="BJ697" s="47"/>
      <c r="BK697" s="47"/>
    </row>
    <row r="698"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  <c r="BE698" s="47"/>
      <c r="BF698" s="47"/>
      <c r="BG698" s="47"/>
      <c r="BH698" s="47"/>
      <c r="BI698" s="47"/>
      <c r="BJ698" s="47"/>
      <c r="BK698" s="47"/>
    </row>
    <row r="699">
      <c r="AK699" s="47"/>
      <c r="AL699" s="47"/>
      <c r="AM699" s="47"/>
      <c r="AN699" s="47"/>
      <c r="AO699" s="47"/>
      <c r="AP699" s="47"/>
      <c r="AQ699" s="47"/>
      <c r="AR699" s="47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47"/>
      <c r="BE699" s="47"/>
      <c r="BF699" s="47"/>
      <c r="BG699" s="47"/>
      <c r="BH699" s="47"/>
      <c r="BI699" s="47"/>
      <c r="BJ699" s="47"/>
      <c r="BK699" s="47"/>
    </row>
    <row r="700"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  <c r="BE700" s="47"/>
      <c r="BF700" s="47"/>
      <c r="BG700" s="47"/>
      <c r="BH700" s="47"/>
      <c r="BI700" s="47"/>
      <c r="BJ700" s="47"/>
      <c r="BK700" s="47"/>
    </row>
    <row r="701">
      <c r="AK701" s="47"/>
      <c r="AL701" s="47"/>
      <c r="AM701" s="47"/>
      <c r="AN701" s="47"/>
      <c r="AO701" s="47"/>
      <c r="AP701" s="47"/>
      <c r="AQ701" s="47"/>
      <c r="AR701" s="47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47"/>
      <c r="BE701" s="47"/>
      <c r="BF701" s="47"/>
      <c r="BG701" s="47"/>
      <c r="BH701" s="47"/>
      <c r="BI701" s="47"/>
      <c r="BJ701" s="47"/>
      <c r="BK701" s="47"/>
    </row>
    <row r="702"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</row>
    <row r="703">
      <c r="AK703" s="47"/>
      <c r="AL703" s="47"/>
      <c r="AM703" s="47"/>
      <c r="AN703" s="47"/>
      <c r="AO703" s="47"/>
      <c r="AP703" s="47"/>
      <c r="AQ703" s="47"/>
      <c r="AR703" s="47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47"/>
      <c r="BE703" s="47"/>
      <c r="BF703" s="47"/>
      <c r="BG703" s="47"/>
      <c r="BH703" s="47"/>
      <c r="BI703" s="47"/>
      <c r="BJ703" s="47"/>
      <c r="BK703" s="47"/>
    </row>
    <row r="704"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  <c r="BE704" s="47"/>
      <c r="BF704" s="47"/>
      <c r="BG704" s="47"/>
      <c r="BH704" s="47"/>
      <c r="BI704" s="47"/>
      <c r="BJ704" s="47"/>
      <c r="BK704" s="47"/>
    </row>
    <row r="705">
      <c r="AK705" s="47"/>
      <c r="AL705" s="47"/>
      <c r="AM705" s="47"/>
      <c r="AN705" s="47"/>
      <c r="AO705" s="47"/>
      <c r="AP705" s="47"/>
      <c r="AQ705" s="47"/>
      <c r="AR705" s="47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47"/>
      <c r="BE705" s="47"/>
      <c r="BF705" s="47"/>
      <c r="BG705" s="47"/>
      <c r="BH705" s="47"/>
      <c r="BI705" s="47"/>
      <c r="BJ705" s="47"/>
      <c r="BK705" s="47"/>
    </row>
    <row r="706"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</row>
    <row r="707">
      <c r="AK707" s="47"/>
      <c r="AL707" s="47"/>
      <c r="AM707" s="47"/>
      <c r="AN707" s="47"/>
      <c r="AO707" s="47"/>
      <c r="AP707" s="47"/>
      <c r="AQ707" s="47"/>
      <c r="AR707" s="47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47"/>
      <c r="BE707" s="47"/>
      <c r="BF707" s="47"/>
      <c r="BG707" s="47"/>
      <c r="BH707" s="47"/>
      <c r="BI707" s="47"/>
      <c r="BJ707" s="47"/>
      <c r="BK707" s="47"/>
    </row>
    <row r="708"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  <c r="BE708" s="47"/>
      <c r="BF708" s="47"/>
      <c r="BG708" s="47"/>
      <c r="BH708" s="47"/>
      <c r="BI708" s="47"/>
      <c r="BJ708" s="47"/>
      <c r="BK708" s="47"/>
    </row>
    <row r="709">
      <c r="AK709" s="47"/>
      <c r="AL709" s="47"/>
      <c r="AM709" s="47"/>
      <c r="AN709" s="47"/>
      <c r="AO709" s="47"/>
      <c r="AP709" s="47"/>
      <c r="AQ709" s="47"/>
      <c r="AR709" s="47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47"/>
      <c r="BE709" s="47"/>
      <c r="BF709" s="47"/>
      <c r="BG709" s="47"/>
      <c r="BH709" s="47"/>
      <c r="BI709" s="47"/>
      <c r="BJ709" s="47"/>
      <c r="BK709" s="47"/>
    </row>
    <row r="710"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  <c r="BE710" s="47"/>
      <c r="BF710" s="47"/>
      <c r="BG710" s="47"/>
      <c r="BH710" s="47"/>
      <c r="BI710" s="47"/>
      <c r="BJ710" s="47"/>
      <c r="BK710" s="47"/>
    </row>
    <row r="711">
      <c r="AK711" s="47"/>
      <c r="AL711" s="47"/>
      <c r="AM711" s="47"/>
      <c r="AN711" s="47"/>
      <c r="AO711" s="47"/>
      <c r="AP711" s="47"/>
      <c r="AQ711" s="47"/>
      <c r="AR711" s="47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47"/>
      <c r="BE711" s="47"/>
      <c r="BF711" s="47"/>
      <c r="BG711" s="47"/>
      <c r="BH711" s="47"/>
      <c r="BI711" s="47"/>
      <c r="BJ711" s="47"/>
      <c r="BK711" s="47"/>
    </row>
    <row r="712"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  <c r="BE712" s="47"/>
      <c r="BF712" s="47"/>
      <c r="BG712" s="47"/>
      <c r="BH712" s="47"/>
      <c r="BI712" s="47"/>
      <c r="BJ712" s="47"/>
      <c r="BK712" s="47"/>
    </row>
    <row r="713">
      <c r="AK713" s="47"/>
      <c r="AL713" s="47"/>
      <c r="AM713" s="47"/>
      <c r="AN713" s="47"/>
      <c r="AO713" s="47"/>
      <c r="AP713" s="47"/>
      <c r="AQ713" s="47"/>
      <c r="AR713" s="47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47"/>
      <c r="BE713" s="47"/>
      <c r="BF713" s="47"/>
      <c r="BG713" s="47"/>
      <c r="BH713" s="47"/>
      <c r="BI713" s="47"/>
      <c r="BJ713" s="47"/>
      <c r="BK713" s="47"/>
    </row>
    <row r="714"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  <c r="BE714" s="47"/>
      <c r="BF714" s="47"/>
      <c r="BG714" s="47"/>
      <c r="BH714" s="47"/>
      <c r="BI714" s="47"/>
      <c r="BJ714" s="47"/>
      <c r="BK714" s="47"/>
    </row>
    <row r="715">
      <c r="AK715" s="47"/>
      <c r="AL715" s="47"/>
      <c r="AM715" s="47"/>
      <c r="AN715" s="47"/>
      <c r="AO715" s="47"/>
      <c r="AP715" s="47"/>
      <c r="AQ715" s="47"/>
      <c r="AR715" s="47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47"/>
      <c r="BE715" s="47"/>
      <c r="BF715" s="47"/>
      <c r="BG715" s="47"/>
      <c r="BH715" s="47"/>
      <c r="BI715" s="47"/>
      <c r="BJ715" s="47"/>
      <c r="BK715" s="47"/>
    </row>
    <row r="716"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  <c r="BE716" s="47"/>
      <c r="BF716" s="47"/>
      <c r="BG716" s="47"/>
      <c r="BH716" s="47"/>
      <c r="BI716" s="47"/>
      <c r="BJ716" s="47"/>
      <c r="BK716" s="47"/>
    </row>
    <row r="717">
      <c r="AK717" s="47"/>
      <c r="AL717" s="47"/>
      <c r="AM717" s="47"/>
      <c r="AN717" s="47"/>
      <c r="AO717" s="47"/>
      <c r="AP717" s="47"/>
      <c r="AQ717" s="47"/>
      <c r="AR717" s="47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47"/>
      <c r="BE717" s="47"/>
      <c r="BF717" s="47"/>
      <c r="BG717" s="47"/>
      <c r="BH717" s="47"/>
      <c r="BI717" s="47"/>
      <c r="BJ717" s="47"/>
      <c r="BK717" s="47"/>
    </row>
    <row r="718"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  <c r="BE718" s="47"/>
      <c r="BF718" s="47"/>
      <c r="BG718" s="47"/>
      <c r="BH718" s="47"/>
      <c r="BI718" s="47"/>
      <c r="BJ718" s="47"/>
      <c r="BK718" s="47"/>
    </row>
    <row r="719">
      <c r="AK719" s="47"/>
      <c r="AL719" s="47"/>
      <c r="AM719" s="47"/>
      <c r="AN719" s="47"/>
      <c r="AO719" s="47"/>
      <c r="AP719" s="47"/>
      <c r="AQ719" s="47"/>
      <c r="AR719" s="47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47"/>
      <c r="BE719" s="47"/>
      <c r="BF719" s="47"/>
      <c r="BG719" s="47"/>
      <c r="BH719" s="47"/>
      <c r="BI719" s="47"/>
      <c r="BJ719" s="47"/>
      <c r="BK719" s="47"/>
    </row>
    <row r="720"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  <c r="BE720" s="47"/>
      <c r="BF720" s="47"/>
      <c r="BG720" s="47"/>
      <c r="BH720" s="47"/>
      <c r="BI720" s="47"/>
      <c r="BJ720" s="47"/>
      <c r="BK720" s="47"/>
    </row>
    <row r="721">
      <c r="AK721" s="47"/>
      <c r="AL721" s="47"/>
      <c r="AM721" s="47"/>
      <c r="AN721" s="47"/>
      <c r="AO721" s="47"/>
      <c r="AP721" s="47"/>
      <c r="AQ721" s="47"/>
      <c r="AR721" s="47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47"/>
      <c r="BE721" s="47"/>
      <c r="BF721" s="47"/>
      <c r="BG721" s="47"/>
      <c r="BH721" s="47"/>
      <c r="BI721" s="47"/>
      <c r="BJ721" s="47"/>
      <c r="BK721" s="47"/>
    </row>
    <row r="722"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  <c r="BE722" s="47"/>
      <c r="BF722" s="47"/>
      <c r="BG722" s="47"/>
      <c r="BH722" s="47"/>
      <c r="BI722" s="47"/>
      <c r="BJ722" s="47"/>
      <c r="BK722" s="47"/>
    </row>
    <row r="723">
      <c r="AK723" s="47"/>
      <c r="AL723" s="47"/>
      <c r="AM723" s="47"/>
      <c r="AN723" s="47"/>
      <c r="AO723" s="47"/>
      <c r="AP723" s="47"/>
      <c r="AQ723" s="47"/>
      <c r="AR723" s="47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47"/>
      <c r="BE723" s="47"/>
      <c r="BF723" s="47"/>
      <c r="BG723" s="47"/>
      <c r="BH723" s="47"/>
      <c r="BI723" s="47"/>
      <c r="BJ723" s="47"/>
      <c r="BK723" s="47"/>
    </row>
    <row r="724"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  <c r="BE724" s="47"/>
      <c r="BF724" s="47"/>
      <c r="BG724" s="47"/>
      <c r="BH724" s="47"/>
      <c r="BI724" s="47"/>
      <c r="BJ724" s="47"/>
      <c r="BK724" s="47"/>
    </row>
    <row r="725">
      <c r="AK725" s="47"/>
      <c r="AL725" s="47"/>
      <c r="AM725" s="47"/>
      <c r="AN725" s="47"/>
      <c r="AO725" s="47"/>
      <c r="AP725" s="47"/>
      <c r="AQ725" s="47"/>
      <c r="AR725" s="47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47"/>
      <c r="BE725" s="47"/>
      <c r="BF725" s="47"/>
      <c r="BG725" s="47"/>
      <c r="BH725" s="47"/>
      <c r="BI725" s="47"/>
      <c r="BJ725" s="47"/>
      <c r="BK725" s="47"/>
    </row>
    <row r="726"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  <c r="BE726" s="47"/>
      <c r="BF726" s="47"/>
      <c r="BG726" s="47"/>
      <c r="BH726" s="47"/>
      <c r="BI726" s="47"/>
      <c r="BJ726" s="47"/>
      <c r="BK726" s="47"/>
    </row>
    <row r="727">
      <c r="AK727" s="47"/>
      <c r="AL727" s="47"/>
      <c r="AM727" s="47"/>
      <c r="AN727" s="47"/>
      <c r="AO727" s="47"/>
      <c r="AP727" s="47"/>
      <c r="AQ727" s="47"/>
      <c r="AR727" s="47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47"/>
      <c r="BE727" s="47"/>
      <c r="BF727" s="47"/>
      <c r="BG727" s="47"/>
      <c r="BH727" s="47"/>
      <c r="BI727" s="47"/>
      <c r="BJ727" s="47"/>
      <c r="BK727" s="47"/>
    </row>
    <row r="728"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  <c r="BE728" s="47"/>
      <c r="BF728" s="47"/>
      <c r="BG728" s="47"/>
      <c r="BH728" s="47"/>
      <c r="BI728" s="47"/>
      <c r="BJ728" s="47"/>
      <c r="BK728" s="47"/>
    </row>
    <row r="729">
      <c r="AK729" s="47"/>
      <c r="AL729" s="47"/>
      <c r="AM729" s="47"/>
      <c r="AN729" s="47"/>
      <c r="AO729" s="47"/>
      <c r="AP729" s="47"/>
      <c r="AQ729" s="47"/>
      <c r="AR729" s="47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47"/>
      <c r="BE729" s="47"/>
      <c r="BF729" s="47"/>
      <c r="BG729" s="47"/>
      <c r="BH729" s="47"/>
      <c r="BI729" s="47"/>
      <c r="BJ729" s="47"/>
      <c r="BK729" s="47"/>
    </row>
    <row r="730"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  <c r="BE730" s="47"/>
      <c r="BF730" s="47"/>
      <c r="BG730" s="47"/>
      <c r="BH730" s="47"/>
      <c r="BI730" s="47"/>
      <c r="BJ730" s="47"/>
      <c r="BK730" s="47"/>
    </row>
    <row r="731">
      <c r="AK731" s="47"/>
      <c r="AL731" s="47"/>
      <c r="AM731" s="47"/>
      <c r="AN731" s="47"/>
      <c r="AO731" s="47"/>
      <c r="AP731" s="47"/>
      <c r="AQ731" s="47"/>
      <c r="AR731" s="47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47"/>
      <c r="BE731" s="47"/>
      <c r="BF731" s="47"/>
      <c r="BG731" s="47"/>
      <c r="BH731" s="47"/>
      <c r="BI731" s="47"/>
      <c r="BJ731" s="47"/>
      <c r="BK731" s="47"/>
    </row>
    <row r="732"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  <c r="BE732" s="47"/>
      <c r="BF732" s="47"/>
      <c r="BG732" s="47"/>
      <c r="BH732" s="47"/>
      <c r="BI732" s="47"/>
      <c r="BJ732" s="47"/>
      <c r="BK732" s="47"/>
    </row>
    <row r="733">
      <c r="AK733" s="47"/>
      <c r="AL733" s="47"/>
      <c r="AM733" s="47"/>
      <c r="AN733" s="47"/>
      <c r="AO733" s="47"/>
      <c r="AP733" s="47"/>
      <c r="AQ733" s="47"/>
      <c r="AR733" s="47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47"/>
      <c r="BE733" s="47"/>
      <c r="BF733" s="47"/>
      <c r="BG733" s="47"/>
      <c r="BH733" s="47"/>
      <c r="BI733" s="47"/>
      <c r="BJ733" s="47"/>
      <c r="BK733" s="47"/>
    </row>
    <row r="734"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  <c r="BE734" s="47"/>
      <c r="BF734" s="47"/>
      <c r="BG734" s="47"/>
      <c r="BH734" s="47"/>
      <c r="BI734" s="47"/>
      <c r="BJ734" s="47"/>
      <c r="BK734" s="47"/>
    </row>
    <row r="735">
      <c r="AK735" s="47"/>
      <c r="AL735" s="47"/>
      <c r="AM735" s="47"/>
      <c r="AN735" s="47"/>
      <c r="AO735" s="47"/>
      <c r="AP735" s="47"/>
      <c r="AQ735" s="47"/>
      <c r="AR735" s="47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47"/>
      <c r="BE735" s="47"/>
      <c r="BF735" s="47"/>
      <c r="BG735" s="47"/>
      <c r="BH735" s="47"/>
      <c r="BI735" s="47"/>
      <c r="BJ735" s="47"/>
      <c r="BK735" s="47"/>
    </row>
    <row r="736"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  <c r="BE736" s="47"/>
      <c r="BF736" s="47"/>
      <c r="BG736" s="47"/>
      <c r="BH736" s="47"/>
      <c r="BI736" s="47"/>
      <c r="BJ736" s="47"/>
      <c r="BK736" s="47"/>
    </row>
    <row r="737">
      <c r="AK737" s="47"/>
      <c r="AL737" s="47"/>
      <c r="AM737" s="47"/>
      <c r="AN737" s="47"/>
      <c r="AO737" s="47"/>
      <c r="AP737" s="47"/>
      <c r="AQ737" s="47"/>
      <c r="AR737" s="47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47"/>
      <c r="BE737" s="47"/>
      <c r="BF737" s="47"/>
      <c r="BG737" s="47"/>
      <c r="BH737" s="47"/>
      <c r="BI737" s="47"/>
      <c r="BJ737" s="47"/>
      <c r="BK737" s="47"/>
    </row>
    <row r="738"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  <c r="BE738" s="47"/>
      <c r="BF738" s="47"/>
      <c r="BG738" s="47"/>
      <c r="BH738" s="47"/>
      <c r="BI738" s="47"/>
      <c r="BJ738" s="47"/>
      <c r="BK738" s="47"/>
    </row>
    <row r="739">
      <c r="AK739" s="47"/>
      <c r="AL739" s="47"/>
      <c r="AM739" s="47"/>
      <c r="AN739" s="47"/>
      <c r="AO739" s="47"/>
      <c r="AP739" s="47"/>
      <c r="AQ739" s="47"/>
      <c r="AR739" s="47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47"/>
      <c r="BE739" s="47"/>
      <c r="BF739" s="47"/>
      <c r="BG739" s="47"/>
      <c r="BH739" s="47"/>
      <c r="BI739" s="47"/>
      <c r="BJ739" s="47"/>
      <c r="BK739" s="47"/>
    </row>
    <row r="740"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  <c r="BE740" s="47"/>
      <c r="BF740" s="47"/>
      <c r="BG740" s="47"/>
      <c r="BH740" s="47"/>
      <c r="BI740" s="47"/>
      <c r="BJ740" s="47"/>
      <c r="BK740" s="47"/>
    </row>
    <row r="741">
      <c r="AK741" s="47"/>
      <c r="AL741" s="47"/>
      <c r="AM741" s="47"/>
      <c r="AN741" s="47"/>
      <c r="AO741" s="47"/>
      <c r="AP741" s="47"/>
      <c r="AQ741" s="47"/>
      <c r="AR741" s="47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47"/>
      <c r="BE741" s="47"/>
      <c r="BF741" s="47"/>
      <c r="BG741" s="47"/>
      <c r="BH741" s="47"/>
      <c r="BI741" s="47"/>
      <c r="BJ741" s="47"/>
      <c r="BK741" s="47"/>
    </row>
    <row r="742"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</row>
    <row r="743">
      <c r="AK743" s="47"/>
      <c r="AL743" s="47"/>
      <c r="AM743" s="47"/>
      <c r="AN743" s="47"/>
      <c r="AO743" s="47"/>
      <c r="AP743" s="47"/>
      <c r="AQ743" s="47"/>
      <c r="AR743" s="47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47"/>
      <c r="BE743" s="47"/>
      <c r="BF743" s="47"/>
      <c r="BG743" s="47"/>
      <c r="BH743" s="47"/>
      <c r="BI743" s="47"/>
      <c r="BJ743" s="47"/>
      <c r="BK743" s="47"/>
    </row>
    <row r="744"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</row>
    <row r="745">
      <c r="AK745" s="47"/>
      <c r="AL745" s="47"/>
      <c r="AM745" s="47"/>
      <c r="AN745" s="47"/>
      <c r="AO745" s="47"/>
      <c r="AP745" s="47"/>
      <c r="AQ745" s="47"/>
      <c r="AR745" s="47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47"/>
      <c r="BE745" s="47"/>
      <c r="BF745" s="47"/>
      <c r="BG745" s="47"/>
      <c r="BH745" s="47"/>
      <c r="BI745" s="47"/>
      <c r="BJ745" s="47"/>
      <c r="BK745" s="47"/>
    </row>
    <row r="746"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  <c r="BE746" s="47"/>
      <c r="BF746" s="47"/>
      <c r="BG746" s="47"/>
      <c r="BH746" s="47"/>
      <c r="BI746" s="47"/>
      <c r="BJ746" s="47"/>
      <c r="BK746" s="47"/>
    </row>
    <row r="747">
      <c r="AK747" s="47"/>
      <c r="AL747" s="47"/>
      <c r="AM747" s="47"/>
      <c r="AN747" s="47"/>
      <c r="AO747" s="47"/>
      <c r="AP747" s="47"/>
      <c r="AQ747" s="47"/>
      <c r="AR747" s="47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47"/>
      <c r="BE747" s="47"/>
      <c r="BF747" s="47"/>
      <c r="BG747" s="47"/>
      <c r="BH747" s="47"/>
      <c r="BI747" s="47"/>
      <c r="BJ747" s="47"/>
      <c r="BK747" s="47"/>
    </row>
    <row r="748"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  <c r="BE748" s="47"/>
      <c r="BF748" s="47"/>
      <c r="BG748" s="47"/>
      <c r="BH748" s="47"/>
      <c r="BI748" s="47"/>
      <c r="BJ748" s="47"/>
      <c r="BK748" s="47"/>
    </row>
    <row r="749">
      <c r="AK749" s="47"/>
      <c r="AL749" s="47"/>
      <c r="AM749" s="47"/>
      <c r="AN749" s="47"/>
      <c r="AO749" s="47"/>
      <c r="AP749" s="47"/>
      <c r="AQ749" s="47"/>
      <c r="AR749" s="47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47"/>
      <c r="BE749" s="47"/>
      <c r="BF749" s="47"/>
      <c r="BG749" s="47"/>
      <c r="BH749" s="47"/>
      <c r="BI749" s="47"/>
      <c r="BJ749" s="47"/>
      <c r="BK749" s="47"/>
    </row>
    <row r="750"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  <c r="BE750" s="47"/>
      <c r="BF750" s="47"/>
      <c r="BG750" s="47"/>
      <c r="BH750" s="47"/>
      <c r="BI750" s="47"/>
      <c r="BJ750" s="47"/>
      <c r="BK750" s="47"/>
    </row>
    <row r="751">
      <c r="AK751" s="47"/>
      <c r="AL751" s="47"/>
      <c r="AM751" s="47"/>
      <c r="AN751" s="47"/>
      <c r="AO751" s="47"/>
      <c r="AP751" s="47"/>
      <c r="AQ751" s="47"/>
      <c r="AR751" s="47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47"/>
      <c r="BE751" s="47"/>
      <c r="BF751" s="47"/>
      <c r="BG751" s="47"/>
      <c r="BH751" s="47"/>
      <c r="BI751" s="47"/>
      <c r="BJ751" s="47"/>
      <c r="BK751" s="47"/>
    </row>
    <row r="752"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  <c r="BE752" s="47"/>
      <c r="BF752" s="47"/>
      <c r="BG752" s="47"/>
      <c r="BH752" s="47"/>
      <c r="BI752" s="47"/>
      <c r="BJ752" s="47"/>
      <c r="BK752" s="47"/>
    </row>
    <row r="753">
      <c r="AK753" s="47"/>
      <c r="AL753" s="47"/>
      <c r="AM753" s="47"/>
      <c r="AN753" s="47"/>
      <c r="AO753" s="47"/>
      <c r="AP753" s="47"/>
      <c r="AQ753" s="47"/>
      <c r="AR753" s="47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47"/>
      <c r="BE753" s="47"/>
      <c r="BF753" s="47"/>
      <c r="BG753" s="47"/>
      <c r="BH753" s="47"/>
      <c r="BI753" s="47"/>
      <c r="BJ753" s="47"/>
      <c r="BK753" s="47"/>
    </row>
    <row r="754"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  <c r="BE754" s="47"/>
      <c r="BF754" s="47"/>
      <c r="BG754" s="47"/>
      <c r="BH754" s="47"/>
      <c r="BI754" s="47"/>
      <c r="BJ754" s="47"/>
      <c r="BK754" s="47"/>
    </row>
    <row r="755">
      <c r="AK755" s="47"/>
      <c r="AL755" s="47"/>
      <c r="AM755" s="47"/>
      <c r="AN755" s="47"/>
      <c r="AO755" s="47"/>
      <c r="AP755" s="47"/>
      <c r="AQ755" s="47"/>
      <c r="AR755" s="47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47"/>
      <c r="BE755" s="47"/>
      <c r="BF755" s="47"/>
      <c r="BG755" s="47"/>
      <c r="BH755" s="47"/>
      <c r="BI755" s="47"/>
      <c r="BJ755" s="47"/>
      <c r="BK755" s="47"/>
    </row>
    <row r="756"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  <c r="BE756" s="47"/>
      <c r="BF756" s="47"/>
      <c r="BG756" s="47"/>
      <c r="BH756" s="47"/>
      <c r="BI756" s="47"/>
      <c r="BJ756" s="47"/>
      <c r="BK756" s="47"/>
    </row>
    <row r="757">
      <c r="AK757" s="47"/>
      <c r="AL757" s="47"/>
      <c r="AM757" s="47"/>
      <c r="AN757" s="47"/>
      <c r="AO757" s="47"/>
      <c r="AP757" s="47"/>
      <c r="AQ757" s="47"/>
      <c r="AR757" s="47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47"/>
      <c r="BE757" s="47"/>
      <c r="BF757" s="47"/>
      <c r="BG757" s="47"/>
      <c r="BH757" s="47"/>
      <c r="BI757" s="47"/>
      <c r="BJ757" s="47"/>
      <c r="BK757" s="47"/>
    </row>
    <row r="758"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  <c r="BE758" s="47"/>
      <c r="BF758" s="47"/>
      <c r="BG758" s="47"/>
      <c r="BH758" s="47"/>
      <c r="BI758" s="47"/>
      <c r="BJ758" s="47"/>
      <c r="BK758" s="47"/>
    </row>
    <row r="759">
      <c r="AK759" s="47"/>
      <c r="AL759" s="47"/>
      <c r="AM759" s="47"/>
      <c r="AN759" s="47"/>
      <c r="AO759" s="47"/>
      <c r="AP759" s="47"/>
      <c r="AQ759" s="47"/>
      <c r="AR759" s="47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47"/>
      <c r="BE759" s="47"/>
      <c r="BF759" s="47"/>
      <c r="BG759" s="47"/>
      <c r="BH759" s="47"/>
      <c r="BI759" s="47"/>
      <c r="BJ759" s="47"/>
      <c r="BK759" s="47"/>
    </row>
    <row r="760"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  <c r="BE760" s="47"/>
      <c r="BF760" s="47"/>
      <c r="BG760" s="47"/>
      <c r="BH760" s="47"/>
      <c r="BI760" s="47"/>
      <c r="BJ760" s="47"/>
      <c r="BK760" s="47"/>
    </row>
    <row r="761">
      <c r="AK761" s="47"/>
      <c r="AL761" s="47"/>
      <c r="AM761" s="47"/>
      <c r="AN761" s="47"/>
      <c r="AO761" s="47"/>
      <c r="AP761" s="47"/>
      <c r="AQ761" s="47"/>
      <c r="AR761" s="47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47"/>
      <c r="BE761" s="47"/>
      <c r="BF761" s="47"/>
      <c r="BG761" s="47"/>
      <c r="BH761" s="47"/>
      <c r="BI761" s="47"/>
      <c r="BJ761" s="47"/>
      <c r="BK761" s="47"/>
    </row>
    <row r="762"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  <c r="BJ762" s="47"/>
      <c r="BK762" s="47"/>
    </row>
    <row r="763"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  <c r="BJ763" s="47"/>
      <c r="BK763" s="47"/>
    </row>
    <row r="764"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  <c r="BJ764" s="47"/>
      <c r="BK764" s="47"/>
    </row>
    <row r="765">
      <c r="AK765" s="47"/>
      <c r="AL765" s="47"/>
      <c r="AM765" s="47"/>
      <c r="AN765" s="47"/>
      <c r="AO765" s="47"/>
      <c r="AP765" s="47"/>
      <c r="AQ765" s="47"/>
      <c r="AR765" s="47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47"/>
      <c r="BE765" s="47"/>
      <c r="BF765" s="47"/>
      <c r="BG765" s="47"/>
      <c r="BH765" s="47"/>
      <c r="BI765" s="47"/>
      <c r="BJ765" s="47"/>
      <c r="BK765" s="47"/>
    </row>
    <row r="766"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  <c r="BJ766" s="47"/>
      <c r="BK766" s="47"/>
    </row>
    <row r="767"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  <c r="BJ767" s="47"/>
      <c r="BK767" s="47"/>
    </row>
    <row r="768"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  <c r="BJ768" s="47"/>
      <c r="BK768" s="47"/>
    </row>
    <row r="769">
      <c r="AK769" s="47"/>
      <c r="AL769" s="47"/>
      <c r="AM769" s="47"/>
      <c r="AN769" s="47"/>
      <c r="AO769" s="47"/>
      <c r="AP769" s="47"/>
      <c r="AQ769" s="47"/>
      <c r="AR769" s="47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47"/>
      <c r="BE769" s="47"/>
      <c r="BF769" s="47"/>
      <c r="BG769" s="47"/>
      <c r="BH769" s="47"/>
      <c r="BI769" s="47"/>
      <c r="BJ769" s="47"/>
      <c r="BK769" s="47"/>
    </row>
    <row r="770"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  <c r="BJ770" s="47"/>
      <c r="BK770" s="47"/>
    </row>
    <row r="771"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  <c r="BJ771" s="47"/>
      <c r="BK771" s="47"/>
    </row>
    <row r="772"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  <c r="BJ772" s="47"/>
      <c r="BK772" s="47"/>
    </row>
    <row r="773">
      <c r="AK773" s="47"/>
      <c r="AL773" s="47"/>
      <c r="AM773" s="47"/>
      <c r="AN773" s="47"/>
      <c r="AO773" s="47"/>
      <c r="AP773" s="47"/>
      <c r="AQ773" s="47"/>
      <c r="AR773" s="47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47"/>
      <c r="BE773" s="47"/>
      <c r="BF773" s="47"/>
      <c r="BG773" s="47"/>
      <c r="BH773" s="47"/>
      <c r="BI773" s="47"/>
      <c r="BJ773" s="47"/>
      <c r="BK773" s="47"/>
    </row>
    <row r="774"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  <c r="BJ774" s="47"/>
      <c r="BK774" s="47"/>
    </row>
    <row r="775"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  <c r="BJ775" s="47"/>
      <c r="BK775" s="47"/>
    </row>
    <row r="776"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  <c r="BJ776" s="47"/>
      <c r="BK776" s="47"/>
    </row>
    <row r="777">
      <c r="AK777" s="47"/>
      <c r="AL777" s="47"/>
      <c r="AM777" s="47"/>
      <c r="AN777" s="47"/>
      <c r="AO777" s="47"/>
      <c r="AP777" s="47"/>
      <c r="AQ777" s="47"/>
      <c r="AR777" s="47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47"/>
      <c r="BE777" s="47"/>
      <c r="BF777" s="47"/>
      <c r="BG777" s="47"/>
      <c r="BH777" s="47"/>
      <c r="BI777" s="47"/>
      <c r="BJ777" s="47"/>
      <c r="BK777" s="47"/>
    </row>
    <row r="778"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  <c r="BJ778" s="47"/>
      <c r="BK778" s="47"/>
    </row>
    <row r="779"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  <c r="BJ779" s="47"/>
      <c r="BK779" s="47"/>
    </row>
    <row r="780"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  <c r="BJ780" s="47"/>
      <c r="BK780" s="47"/>
    </row>
    <row r="781">
      <c r="AK781" s="47"/>
      <c r="AL781" s="47"/>
      <c r="AM781" s="47"/>
      <c r="AN781" s="47"/>
      <c r="AO781" s="47"/>
      <c r="AP781" s="47"/>
      <c r="AQ781" s="47"/>
      <c r="AR781" s="47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47"/>
      <c r="BE781" s="47"/>
      <c r="BF781" s="47"/>
      <c r="BG781" s="47"/>
      <c r="BH781" s="47"/>
      <c r="BI781" s="47"/>
      <c r="BJ781" s="47"/>
      <c r="BK781" s="47"/>
    </row>
    <row r="782"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</row>
    <row r="783"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  <c r="BJ783" s="47"/>
      <c r="BK783" s="47"/>
    </row>
    <row r="784"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  <c r="BJ784" s="47"/>
      <c r="BK784" s="47"/>
    </row>
    <row r="785">
      <c r="AK785" s="47"/>
      <c r="AL785" s="47"/>
      <c r="AM785" s="47"/>
      <c r="AN785" s="47"/>
      <c r="AO785" s="47"/>
      <c r="AP785" s="47"/>
      <c r="AQ785" s="47"/>
      <c r="AR785" s="47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47"/>
      <c r="BE785" s="47"/>
      <c r="BF785" s="47"/>
      <c r="BG785" s="47"/>
      <c r="BH785" s="47"/>
      <c r="BI785" s="47"/>
      <c r="BJ785" s="47"/>
      <c r="BK785" s="47"/>
    </row>
    <row r="786"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  <c r="BJ786" s="47"/>
      <c r="BK786" s="47"/>
    </row>
    <row r="787"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  <c r="BJ787" s="47"/>
      <c r="BK787" s="47"/>
    </row>
    <row r="788"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  <c r="BJ788" s="47"/>
      <c r="BK788" s="47"/>
    </row>
    <row r="789">
      <c r="AK789" s="47"/>
      <c r="AL789" s="47"/>
      <c r="AM789" s="47"/>
      <c r="AN789" s="47"/>
      <c r="AO789" s="47"/>
      <c r="AP789" s="47"/>
      <c r="AQ789" s="47"/>
      <c r="AR789" s="47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47"/>
      <c r="BE789" s="47"/>
      <c r="BF789" s="47"/>
      <c r="BG789" s="47"/>
      <c r="BH789" s="47"/>
      <c r="BI789" s="47"/>
      <c r="BJ789" s="47"/>
      <c r="BK789" s="47"/>
    </row>
    <row r="790">
      <c r="AK790" s="47"/>
      <c r="AL790" s="47"/>
      <c r="AM790" s="47"/>
      <c r="AN790" s="47"/>
      <c r="AO790" s="47"/>
      <c r="AP790" s="47"/>
      <c r="AQ790" s="47"/>
      <c r="AR790" s="47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47"/>
      <c r="BE790" s="47"/>
      <c r="BF790" s="47"/>
      <c r="BG790" s="47"/>
      <c r="BH790" s="47"/>
      <c r="BI790" s="47"/>
      <c r="BJ790" s="47"/>
      <c r="BK790" s="47"/>
    </row>
    <row r="791">
      <c r="AK791" s="47"/>
      <c r="AL791" s="47"/>
      <c r="AM791" s="47"/>
      <c r="AN791" s="47"/>
      <c r="AO791" s="47"/>
      <c r="AP791" s="47"/>
      <c r="AQ791" s="47"/>
      <c r="AR791" s="47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47"/>
      <c r="BE791" s="47"/>
      <c r="BF791" s="47"/>
      <c r="BG791" s="47"/>
      <c r="BH791" s="47"/>
      <c r="BI791" s="47"/>
      <c r="BJ791" s="47"/>
      <c r="BK791" s="47"/>
    </row>
    <row r="792">
      <c r="AK792" s="47"/>
      <c r="AL792" s="47"/>
      <c r="AM792" s="47"/>
      <c r="AN792" s="47"/>
      <c r="AO792" s="47"/>
      <c r="AP792" s="47"/>
      <c r="AQ792" s="47"/>
      <c r="AR792" s="47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47"/>
      <c r="BE792" s="47"/>
      <c r="BF792" s="47"/>
      <c r="BG792" s="47"/>
      <c r="BH792" s="47"/>
      <c r="BI792" s="47"/>
      <c r="BJ792" s="47"/>
      <c r="BK792" s="47"/>
    </row>
    <row r="793">
      <c r="AK793" s="47"/>
      <c r="AL793" s="47"/>
      <c r="AM793" s="47"/>
      <c r="AN793" s="47"/>
      <c r="AO793" s="47"/>
      <c r="AP793" s="47"/>
      <c r="AQ793" s="47"/>
      <c r="AR793" s="47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47"/>
      <c r="BE793" s="47"/>
      <c r="BF793" s="47"/>
      <c r="BG793" s="47"/>
      <c r="BH793" s="47"/>
      <c r="BI793" s="47"/>
      <c r="BJ793" s="47"/>
      <c r="BK793" s="47"/>
    </row>
    <row r="794">
      <c r="AK794" s="47"/>
      <c r="AL794" s="47"/>
      <c r="AM794" s="47"/>
      <c r="AN794" s="47"/>
      <c r="AO794" s="47"/>
      <c r="AP794" s="47"/>
      <c r="AQ794" s="47"/>
      <c r="AR794" s="47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47"/>
      <c r="BE794" s="47"/>
      <c r="BF794" s="47"/>
      <c r="BG794" s="47"/>
      <c r="BH794" s="47"/>
      <c r="BI794" s="47"/>
      <c r="BJ794" s="47"/>
      <c r="BK794" s="47"/>
    </row>
    <row r="795">
      <c r="AK795" s="47"/>
      <c r="AL795" s="47"/>
      <c r="AM795" s="47"/>
      <c r="AN795" s="47"/>
      <c r="AO795" s="47"/>
      <c r="AP795" s="47"/>
      <c r="AQ795" s="47"/>
      <c r="AR795" s="47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</row>
    <row r="796">
      <c r="AK796" s="47"/>
      <c r="AL796" s="47"/>
      <c r="AM796" s="47"/>
      <c r="AN796" s="47"/>
      <c r="AO796" s="47"/>
      <c r="AP796" s="47"/>
      <c r="AQ796" s="47"/>
      <c r="AR796" s="47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47"/>
      <c r="BE796" s="47"/>
      <c r="BF796" s="47"/>
      <c r="BG796" s="47"/>
      <c r="BH796" s="47"/>
      <c r="BI796" s="47"/>
      <c r="BJ796" s="47"/>
      <c r="BK796" s="47"/>
    </row>
    <row r="797">
      <c r="AK797" s="47"/>
      <c r="AL797" s="47"/>
      <c r="AM797" s="47"/>
      <c r="AN797" s="47"/>
      <c r="AO797" s="47"/>
      <c r="AP797" s="47"/>
      <c r="AQ797" s="47"/>
      <c r="AR797" s="47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47"/>
      <c r="BE797" s="47"/>
      <c r="BF797" s="47"/>
      <c r="BG797" s="47"/>
      <c r="BH797" s="47"/>
      <c r="BI797" s="47"/>
      <c r="BJ797" s="47"/>
      <c r="BK797" s="47"/>
    </row>
    <row r="798">
      <c r="AK798" s="47"/>
      <c r="AL798" s="47"/>
      <c r="AM798" s="47"/>
      <c r="AN798" s="47"/>
      <c r="AO798" s="47"/>
      <c r="AP798" s="47"/>
      <c r="AQ798" s="47"/>
      <c r="AR798" s="47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47"/>
      <c r="BE798" s="47"/>
      <c r="BF798" s="47"/>
      <c r="BG798" s="47"/>
      <c r="BH798" s="47"/>
      <c r="BI798" s="47"/>
      <c r="BJ798" s="47"/>
      <c r="BK798" s="47"/>
    </row>
    <row r="799">
      <c r="AK799" s="47"/>
      <c r="AL799" s="47"/>
      <c r="AM799" s="47"/>
      <c r="AN799" s="47"/>
      <c r="AO799" s="47"/>
      <c r="AP799" s="47"/>
      <c r="AQ799" s="47"/>
      <c r="AR799" s="47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47"/>
      <c r="BE799" s="47"/>
      <c r="BF799" s="47"/>
      <c r="BG799" s="47"/>
      <c r="BH799" s="47"/>
      <c r="BI799" s="47"/>
      <c r="BJ799" s="47"/>
      <c r="BK799" s="47"/>
    </row>
    <row r="800">
      <c r="AK800" s="47"/>
      <c r="AL800" s="47"/>
      <c r="AM800" s="47"/>
      <c r="AN800" s="47"/>
      <c r="AO800" s="47"/>
      <c r="AP800" s="47"/>
      <c r="AQ800" s="47"/>
      <c r="AR800" s="47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47"/>
      <c r="BE800" s="47"/>
      <c r="BF800" s="47"/>
      <c r="BG800" s="47"/>
      <c r="BH800" s="47"/>
      <c r="BI800" s="47"/>
      <c r="BJ800" s="47"/>
      <c r="BK800" s="47"/>
    </row>
    <row r="801">
      <c r="AK801" s="47"/>
      <c r="AL801" s="47"/>
      <c r="AM801" s="47"/>
      <c r="AN801" s="47"/>
      <c r="AO801" s="47"/>
      <c r="AP801" s="47"/>
      <c r="AQ801" s="47"/>
      <c r="AR801" s="47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47"/>
      <c r="BE801" s="47"/>
      <c r="BF801" s="47"/>
      <c r="BG801" s="47"/>
      <c r="BH801" s="47"/>
      <c r="BI801" s="47"/>
      <c r="BJ801" s="47"/>
      <c r="BK801" s="47"/>
    </row>
    <row r="802">
      <c r="AK802" s="47"/>
      <c r="AL802" s="47"/>
      <c r="AM802" s="47"/>
      <c r="AN802" s="47"/>
      <c r="AO802" s="47"/>
      <c r="AP802" s="47"/>
      <c r="AQ802" s="47"/>
      <c r="AR802" s="47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47"/>
      <c r="BE802" s="47"/>
      <c r="BF802" s="47"/>
      <c r="BG802" s="47"/>
      <c r="BH802" s="47"/>
      <c r="BI802" s="47"/>
      <c r="BJ802" s="47"/>
      <c r="BK802" s="47"/>
    </row>
    <row r="803">
      <c r="AK803" s="47"/>
      <c r="AL803" s="47"/>
      <c r="AM803" s="47"/>
      <c r="AN803" s="47"/>
      <c r="AO803" s="47"/>
      <c r="AP803" s="47"/>
      <c r="AQ803" s="47"/>
      <c r="AR803" s="47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47"/>
      <c r="BE803" s="47"/>
      <c r="BF803" s="47"/>
      <c r="BG803" s="47"/>
      <c r="BH803" s="47"/>
      <c r="BI803" s="47"/>
      <c r="BJ803" s="47"/>
      <c r="BK803" s="47"/>
    </row>
    <row r="804">
      <c r="AK804" s="47"/>
      <c r="AL804" s="47"/>
      <c r="AM804" s="47"/>
      <c r="AN804" s="47"/>
      <c r="AO804" s="47"/>
      <c r="AP804" s="47"/>
      <c r="AQ804" s="47"/>
      <c r="AR804" s="47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47"/>
      <c r="BE804" s="47"/>
      <c r="BF804" s="47"/>
      <c r="BG804" s="47"/>
      <c r="BH804" s="47"/>
      <c r="BI804" s="47"/>
      <c r="BJ804" s="47"/>
      <c r="BK804" s="47"/>
    </row>
    <row r="805">
      <c r="AK805" s="47"/>
      <c r="AL805" s="47"/>
      <c r="AM805" s="47"/>
      <c r="AN805" s="47"/>
      <c r="AO805" s="47"/>
      <c r="AP805" s="47"/>
      <c r="AQ805" s="47"/>
      <c r="AR805" s="47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47"/>
      <c r="BE805" s="47"/>
      <c r="BF805" s="47"/>
      <c r="BG805" s="47"/>
      <c r="BH805" s="47"/>
      <c r="BI805" s="47"/>
      <c r="BJ805" s="47"/>
      <c r="BK805" s="47"/>
    </row>
    <row r="806">
      <c r="AK806" s="47"/>
      <c r="AL806" s="47"/>
      <c r="AM806" s="47"/>
      <c r="AN806" s="47"/>
      <c r="AO806" s="47"/>
      <c r="AP806" s="47"/>
      <c r="AQ806" s="47"/>
      <c r="AR806" s="47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47"/>
      <c r="BE806" s="47"/>
      <c r="BF806" s="47"/>
      <c r="BG806" s="47"/>
      <c r="BH806" s="47"/>
      <c r="BI806" s="47"/>
      <c r="BJ806" s="47"/>
      <c r="BK806" s="47"/>
    </row>
    <row r="807">
      <c r="AK807" s="47"/>
      <c r="AL807" s="47"/>
      <c r="AM807" s="47"/>
      <c r="AN807" s="47"/>
      <c r="AO807" s="47"/>
      <c r="AP807" s="47"/>
      <c r="AQ807" s="47"/>
      <c r="AR807" s="47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47"/>
      <c r="BE807" s="47"/>
      <c r="BF807" s="47"/>
      <c r="BG807" s="47"/>
      <c r="BH807" s="47"/>
      <c r="BI807" s="47"/>
      <c r="BJ807" s="47"/>
      <c r="BK807" s="47"/>
    </row>
    <row r="808">
      <c r="AK808" s="47"/>
      <c r="AL808" s="47"/>
      <c r="AM808" s="47"/>
      <c r="AN808" s="47"/>
      <c r="AO808" s="47"/>
      <c r="AP808" s="47"/>
      <c r="AQ808" s="47"/>
      <c r="AR808" s="47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47"/>
      <c r="BE808" s="47"/>
      <c r="BF808" s="47"/>
      <c r="BG808" s="47"/>
      <c r="BH808" s="47"/>
      <c r="BI808" s="47"/>
      <c r="BJ808" s="47"/>
      <c r="BK808" s="47"/>
    </row>
    <row r="809">
      <c r="AK809" s="47"/>
      <c r="AL809" s="47"/>
      <c r="AM809" s="47"/>
      <c r="AN809" s="47"/>
      <c r="AO809" s="47"/>
      <c r="AP809" s="47"/>
      <c r="AQ809" s="47"/>
      <c r="AR809" s="47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47"/>
      <c r="BE809" s="47"/>
      <c r="BF809" s="47"/>
      <c r="BG809" s="47"/>
      <c r="BH809" s="47"/>
      <c r="BI809" s="47"/>
      <c r="BJ809" s="47"/>
      <c r="BK809" s="47"/>
    </row>
    <row r="810">
      <c r="AK810" s="47"/>
      <c r="AL810" s="47"/>
      <c r="AM810" s="47"/>
      <c r="AN810" s="47"/>
      <c r="AO810" s="47"/>
      <c r="AP810" s="47"/>
      <c r="AQ810" s="47"/>
      <c r="AR810" s="47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47"/>
      <c r="BE810" s="47"/>
      <c r="BF810" s="47"/>
      <c r="BG810" s="47"/>
      <c r="BH810" s="47"/>
      <c r="BI810" s="47"/>
      <c r="BJ810" s="47"/>
      <c r="BK810" s="47"/>
    </row>
    <row r="811">
      <c r="AK811" s="47"/>
      <c r="AL811" s="47"/>
      <c r="AM811" s="47"/>
      <c r="AN811" s="47"/>
      <c r="AO811" s="47"/>
      <c r="AP811" s="47"/>
      <c r="AQ811" s="47"/>
      <c r="AR811" s="47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47"/>
      <c r="BE811" s="47"/>
      <c r="BF811" s="47"/>
      <c r="BG811" s="47"/>
      <c r="BH811" s="47"/>
      <c r="BI811" s="47"/>
      <c r="BJ811" s="47"/>
      <c r="BK811" s="47"/>
    </row>
    <row r="812">
      <c r="AK812" s="47"/>
      <c r="AL812" s="47"/>
      <c r="AM812" s="47"/>
      <c r="AN812" s="47"/>
      <c r="AO812" s="47"/>
      <c r="AP812" s="47"/>
      <c r="AQ812" s="47"/>
      <c r="AR812" s="47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47"/>
      <c r="BE812" s="47"/>
      <c r="BF812" s="47"/>
      <c r="BG812" s="47"/>
      <c r="BH812" s="47"/>
      <c r="BI812" s="47"/>
      <c r="BJ812" s="47"/>
      <c r="BK812" s="47"/>
    </row>
    <row r="813">
      <c r="AK813" s="47"/>
      <c r="AL813" s="47"/>
      <c r="AM813" s="47"/>
      <c r="AN813" s="47"/>
      <c r="AO813" s="47"/>
      <c r="AP813" s="47"/>
      <c r="AQ813" s="47"/>
      <c r="AR813" s="47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47"/>
      <c r="BE813" s="47"/>
      <c r="BF813" s="47"/>
      <c r="BG813" s="47"/>
      <c r="BH813" s="47"/>
      <c r="BI813" s="47"/>
      <c r="BJ813" s="47"/>
      <c r="BK813" s="47"/>
    </row>
    <row r="814">
      <c r="AK814" s="47"/>
      <c r="AL814" s="47"/>
      <c r="AM814" s="47"/>
      <c r="AN814" s="47"/>
      <c r="AO814" s="47"/>
      <c r="AP814" s="47"/>
      <c r="AQ814" s="47"/>
      <c r="AR814" s="47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47"/>
      <c r="BE814" s="47"/>
      <c r="BF814" s="47"/>
      <c r="BG814" s="47"/>
      <c r="BH814" s="47"/>
      <c r="BI814" s="47"/>
      <c r="BJ814" s="47"/>
      <c r="BK814" s="47"/>
    </row>
    <row r="815">
      <c r="AK815" s="47"/>
      <c r="AL815" s="47"/>
      <c r="AM815" s="47"/>
      <c r="AN815" s="47"/>
      <c r="AO815" s="47"/>
      <c r="AP815" s="47"/>
      <c r="AQ815" s="47"/>
      <c r="AR815" s="47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47"/>
      <c r="BE815" s="47"/>
      <c r="BF815" s="47"/>
      <c r="BG815" s="47"/>
      <c r="BH815" s="47"/>
      <c r="BI815" s="47"/>
      <c r="BJ815" s="47"/>
      <c r="BK815" s="47"/>
    </row>
    <row r="816">
      <c r="AK816" s="47"/>
      <c r="AL816" s="47"/>
      <c r="AM816" s="47"/>
      <c r="AN816" s="47"/>
      <c r="AO816" s="47"/>
      <c r="AP816" s="47"/>
      <c r="AQ816" s="47"/>
      <c r="AR816" s="47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47"/>
      <c r="BE816" s="47"/>
      <c r="BF816" s="47"/>
      <c r="BG816" s="47"/>
      <c r="BH816" s="47"/>
      <c r="BI816" s="47"/>
      <c r="BJ816" s="47"/>
      <c r="BK816" s="47"/>
    </row>
    <row r="817">
      <c r="AK817" s="47"/>
      <c r="AL817" s="47"/>
      <c r="AM817" s="47"/>
      <c r="AN817" s="47"/>
      <c r="AO817" s="47"/>
      <c r="AP817" s="47"/>
      <c r="AQ817" s="47"/>
      <c r="AR817" s="47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47"/>
      <c r="BE817" s="47"/>
      <c r="BF817" s="47"/>
      <c r="BG817" s="47"/>
      <c r="BH817" s="47"/>
      <c r="BI817" s="47"/>
      <c r="BJ817" s="47"/>
      <c r="BK817" s="47"/>
    </row>
    <row r="818">
      <c r="AK818" s="47"/>
      <c r="AL818" s="47"/>
      <c r="AM818" s="47"/>
      <c r="AN818" s="47"/>
      <c r="AO818" s="47"/>
      <c r="AP818" s="47"/>
      <c r="AQ818" s="47"/>
      <c r="AR818" s="47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47"/>
      <c r="BE818" s="47"/>
      <c r="BF818" s="47"/>
      <c r="BG818" s="47"/>
      <c r="BH818" s="47"/>
      <c r="BI818" s="47"/>
      <c r="BJ818" s="47"/>
      <c r="BK818" s="47"/>
    </row>
    <row r="819">
      <c r="AK819" s="47"/>
      <c r="AL819" s="47"/>
      <c r="AM819" s="47"/>
      <c r="AN819" s="47"/>
      <c r="AO819" s="47"/>
      <c r="AP819" s="47"/>
      <c r="AQ819" s="47"/>
      <c r="AR819" s="47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47"/>
      <c r="BE819" s="47"/>
      <c r="BF819" s="47"/>
      <c r="BG819" s="47"/>
      <c r="BH819" s="47"/>
      <c r="BI819" s="47"/>
      <c r="BJ819" s="47"/>
      <c r="BK819" s="47"/>
    </row>
    <row r="820">
      <c r="AK820" s="47"/>
      <c r="AL820" s="47"/>
      <c r="AM820" s="47"/>
      <c r="AN820" s="47"/>
      <c r="AO820" s="47"/>
      <c r="AP820" s="47"/>
      <c r="AQ820" s="47"/>
      <c r="AR820" s="47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47"/>
      <c r="BE820" s="47"/>
      <c r="BF820" s="47"/>
      <c r="BG820" s="47"/>
      <c r="BH820" s="47"/>
      <c r="BI820" s="47"/>
      <c r="BJ820" s="47"/>
      <c r="BK820" s="47"/>
    </row>
    <row r="821">
      <c r="AK821" s="47"/>
      <c r="AL821" s="47"/>
      <c r="AM821" s="47"/>
      <c r="AN821" s="47"/>
      <c r="AO821" s="47"/>
      <c r="AP821" s="47"/>
      <c r="AQ821" s="47"/>
      <c r="AR821" s="47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47"/>
      <c r="BE821" s="47"/>
      <c r="BF821" s="47"/>
      <c r="BG821" s="47"/>
      <c r="BH821" s="47"/>
      <c r="BI821" s="47"/>
      <c r="BJ821" s="47"/>
      <c r="BK821" s="47"/>
    </row>
    <row r="822">
      <c r="AK822" s="47"/>
      <c r="AL822" s="47"/>
      <c r="AM822" s="47"/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</row>
    <row r="823">
      <c r="AK823" s="47"/>
      <c r="AL823" s="47"/>
      <c r="AM823" s="47"/>
      <c r="AN823" s="47"/>
      <c r="AO823" s="47"/>
      <c r="AP823" s="47"/>
      <c r="AQ823" s="47"/>
      <c r="AR823" s="47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47"/>
      <c r="BE823" s="47"/>
      <c r="BF823" s="47"/>
      <c r="BG823" s="47"/>
      <c r="BH823" s="47"/>
      <c r="BI823" s="47"/>
      <c r="BJ823" s="47"/>
      <c r="BK823" s="47"/>
    </row>
    <row r="824">
      <c r="AK824" s="47"/>
      <c r="AL824" s="47"/>
      <c r="AM824" s="47"/>
      <c r="AN824" s="47"/>
      <c r="AO824" s="47"/>
      <c r="AP824" s="47"/>
      <c r="AQ824" s="47"/>
      <c r="AR824" s="47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47"/>
      <c r="BE824" s="47"/>
      <c r="BF824" s="47"/>
      <c r="BG824" s="47"/>
      <c r="BH824" s="47"/>
      <c r="BI824" s="47"/>
      <c r="BJ824" s="47"/>
      <c r="BK824" s="47"/>
    </row>
    <row r="825">
      <c r="AK825" s="47"/>
      <c r="AL825" s="47"/>
      <c r="AM825" s="47"/>
      <c r="AN825" s="47"/>
      <c r="AO825" s="47"/>
      <c r="AP825" s="47"/>
      <c r="AQ825" s="47"/>
      <c r="AR825" s="47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47"/>
      <c r="BE825" s="47"/>
      <c r="BF825" s="47"/>
      <c r="BG825" s="47"/>
      <c r="BH825" s="47"/>
      <c r="BI825" s="47"/>
      <c r="BJ825" s="47"/>
      <c r="BK825" s="47"/>
    </row>
    <row r="826">
      <c r="AK826" s="47"/>
      <c r="AL826" s="47"/>
      <c r="AM826" s="47"/>
      <c r="AN826" s="47"/>
      <c r="AO826" s="47"/>
      <c r="AP826" s="47"/>
      <c r="AQ826" s="47"/>
      <c r="AR826" s="47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47"/>
      <c r="BE826" s="47"/>
      <c r="BF826" s="47"/>
      <c r="BG826" s="47"/>
      <c r="BH826" s="47"/>
      <c r="BI826" s="47"/>
      <c r="BJ826" s="47"/>
      <c r="BK826" s="47"/>
    </row>
    <row r="827">
      <c r="AK827" s="47"/>
      <c r="AL827" s="47"/>
      <c r="AM827" s="47"/>
      <c r="AN827" s="47"/>
      <c r="AO827" s="47"/>
      <c r="AP827" s="47"/>
      <c r="AQ827" s="47"/>
      <c r="AR827" s="47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47"/>
      <c r="BE827" s="47"/>
      <c r="BF827" s="47"/>
      <c r="BG827" s="47"/>
      <c r="BH827" s="47"/>
      <c r="BI827" s="47"/>
      <c r="BJ827" s="47"/>
      <c r="BK827" s="47"/>
    </row>
    <row r="828">
      <c r="AK828" s="47"/>
      <c r="AL828" s="47"/>
      <c r="AM828" s="47"/>
      <c r="AN828" s="47"/>
      <c r="AO828" s="47"/>
      <c r="AP828" s="47"/>
      <c r="AQ828" s="47"/>
      <c r="AR828" s="47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47"/>
      <c r="BE828" s="47"/>
      <c r="BF828" s="47"/>
      <c r="BG828" s="47"/>
      <c r="BH828" s="47"/>
      <c r="BI828" s="47"/>
      <c r="BJ828" s="47"/>
      <c r="BK828" s="47"/>
    </row>
    <row r="829">
      <c r="AK829" s="47"/>
      <c r="AL829" s="47"/>
      <c r="AM829" s="47"/>
      <c r="AN829" s="47"/>
      <c r="AO829" s="47"/>
      <c r="AP829" s="47"/>
      <c r="AQ829" s="47"/>
      <c r="AR829" s="47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47"/>
      <c r="BE829" s="47"/>
      <c r="BF829" s="47"/>
      <c r="BG829" s="47"/>
      <c r="BH829" s="47"/>
      <c r="BI829" s="47"/>
      <c r="BJ829" s="47"/>
      <c r="BK829" s="47"/>
    </row>
    <row r="830">
      <c r="AK830" s="47"/>
      <c r="AL830" s="47"/>
      <c r="AM830" s="47"/>
      <c r="AN830" s="47"/>
      <c r="AO830" s="47"/>
      <c r="AP830" s="47"/>
      <c r="AQ830" s="47"/>
      <c r="AR830" s="47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47"/>
      <c r="BE830" s="47"/>
      <c r="BF830" s="47"/>
      <c r="BG830" s="47"/>
      <c r="BH830" s="47"/>
      <c r="BI830" s="47"/>
      <c r="BJ830" s="47"/>
      <c r="BK830" s="47"/>
    </row>
    <row r="831">
      <c r="AK831" s="47"/>
      <c r="AL831" s="47"/>
      <c r="AM831" s="47"/>
      <c r="AN831" s="47"/>
      <c r="AO831" s="47"/>
      <c r="AP831" s="47"/>
      <c r="AQ831" s="47"/>
      <c r="AR831" s="47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47"/>
      <c r="BE831" s="47"/>
      <c r="BF831" s="47"/>
      <c r="BG831" s="47"/>
      <c r="BH831" s="47"/>
      <c r="BI831" s="47"/>
      <c r="BJ831" s="47"/>
      <c r="BK831" s="47"/>
    </row>
    <row r="832">
      <c r="AK832" s="47"/>
      <c r="AL832" s="47"/>
      <c r="AM832" s="47"/>
      <c r="AN832" s="47"/>
      <c r="AO832" s="47"/>
      <c r="AP832" s="47"/>
      <c r="AQ832" s="47"/>
      <c r="AR832" s="47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47"/>
      <c r="BE832" s="47"/>
      <c r="BF832" s="47"/>
      <c r="BG832" s="47"/>
      <c r="BH832" s="47"/>
      <c r="BI832" s="47"/>
      <c r="BJ832" s="47"/>
      <c r="BK832" s="47"/>
    </row>
    <row r="833">
      <c r="AK833" s="47"/>
      <c r="AL833" s="47"/>
      <c r="AM833" s="47"/>
      <c r="AN833" s="47"/>
      <c r="AO833" s="47"/>
      <c r="AP833" s="47"/>
      <c r="AQ833" s="47"/>
      <c r="AR833" s="47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47"/>
      <c r="BE833" s="47"/>
      <c r="BF833" s="47"/>
      <c r="BG833" s="47"/>
      <c r="BH833" s="47"/>
      <c r="BI833" s="47"/>
      <c r="BJ833" s="47"/>
      <c r="BK833" s="47"/>
    </row>
    <row r="834">
      <c r="AK834" s="47"/>
      <c r="AL834" s="47"/>
      <c r="AM834" s="47"/>
      <c r="AN834" s="47"/>
      <c r="AO834" s="47"/>
      <c r="AP834" s="47"/>
      <c r="AQ834" s="47"/>
      <c r="AR834" s="47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47"/>
      <c r="BE834" s="47"/>
      <c r="BF834" s="47"/>
      <c r="BG834" s="47"/>
      <c r="BH834" s="47"/>
      <c r="BI834" s="47"/>
      <c r="BJ834" s="47"/>
      <c r="BK834" s="47"/>
    </row>
    <row r="835">
      <c r="AK835" s="47"/>
      <c r="AL835" s="47"/>
      <c r="AM835" s="47"/>
      <c r="AN835" s="47"/>
      <c r="AO835" s="47"/>
      <c r="AP835" s="47"/>
      <c r="AQ835" s="47"/>
      <c r="AR835" s="47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47"/>
      <c r="BE835" s="47"/>
      <c r="BF835" s="47"/>
      <c r="BG835" s="47"/>
      <c r="BH835" s="47"/>
      <c r="BI835" s="47"/>
      <c r="BJ835" s="47"/>
      <c r="BK835" s="47"/>
    </row>
    <row r="836">
      <c r="AK836" s="47"/>
      <c r="AL836" s="47"/>
      <c r="AM836" s="47"/>
      <c r="AN836" s="47"/>
      <c r="AO836" s="47"/>
      <c r="AP836" s="47"/>
      <c r="AQ836" s="47"/>
      <c r="AR836" s="47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47"/>
      <c r="BE836" s="47"/>
      <c r="BF836" s="47"/>
      <c r="BG836" s="47"/>
      <c r="BH836" s="47"/>
      <c r="BI836" s="47"/>
      <c r="BJ836" s="47"/>
      <c r="BK836" s="47"/>
    </row>
    <row r="837">
      <c r="AK837" s="47"/>
      <c r="AL837" s="47"/>
      <c r="AM837" s="47"/>
      <c r="AN837" s="47"/>
      <c r="AO837" s="47"/>
      <c r="AP837" s="47"/>
      <c r="AQ837" s="47"/>
      <c r="AR837" s="47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47"/>
      <c r="BE837" s="47"/>
      <c r="BF837" s="47"/>
      <c r="BG837" s="47"/>
      <c r="BH837" s="47"/>
      <c r="BI837" s="47"/>
      <c r="BJ837" s="47"/>
      <c r="BK837" s="47"/>
    </row>
    <row r="838">
      <c r="AK838" s="47"/>
      <c r="AL838" s="47"/>
      <c r="AM838" s="47"/>
      <c r="AN838" s="47"/>
      <c r="AO838" s="47"/>
      <c r="AP838" s="47"/>
      <c r="AQ838" s="47"/>
      <c r="AR838" s="47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47"/>
      <c r="BE838" s="47"/>
      <c r="BF838" s="47"/>
      <c r="BG838" s="47"/>
      <c r="BH838" s="47"/>
      <c r="BI838" s="47"/>
      <c r="BJ838" s="47"/>
      <c r="BK838" s="47"/>
    </row>
    <row r="839">
      <c r="AK839" s="47"/>
      <c r="AL839" s="47"/>
      <c r="AM839" s="47"/>
      <c r="AN839" s="47"/>
      <c r="AO839" s="47"/>
      <c r="AP839" s="47"/>
      <c r="AQ839" s="47"/>
      <c r="AR839" s="47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47"/>
      <c r="BE839" s="47"/>
      <c r="BF839" s="47"/>
      <c r="BG839" s="47"/>
      <c r="BH839" s="47"/>
      <c r="BI839" s="47"/>
      <c r="BJ839" s="47"/>
      <c r="BK839" s="47"/>
    </row>
    <row r="840">
      <c r="AK840" s="47"/>
      <c r="AL840" s="47"/>
      <c r="AM840" s="47"/>
      <c r="AN840" s="47"/>
      <c r="AO840" s="47"/>
      <c r="AP840" s="47"/>
      <c r="AQ840" s="47"/>
      <c r="AR840" s="47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47"/>
      <c r="BE840" s="47"/>
      <c r="BF840" s="47"/>
      <c r="BG840" s="47"/>
      <c r="BH840" s="47"/>
      <c r="BI840" s="47"/>
      <c r="BJ840" s="47"/>
      <c r="BK840" s="47"/>
    </row>
    <row r="841">
      <c r="AK841" s="47"/>
      <c r="AL841" s="47"/>
      <c r="AM841" s="47"/>
      <c r="AN841" s="47"/>
      <c r="AO841" s="47"/>
      <c r="AP841" s="47"/>
      <c r="AQ841" s="47"/>
      <c r="AR841" s="47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47"/>
      <c r="BE841" s="47"/>
      <c r="BF841" s="47"/>
      <c r="BG841" s="47"/>
      <c r="BH841" s="47"/>
      <c r="BI841" s="47"/>
      <c r="BJ841" s="47"/>
      <c r="BK841" s="47"/>
    </row>
    <row r="842">
      <c r="AK842" s="47"/>
      <c r="AL842" s="47"/>
      <c r="AM842" s="47"/>
      <c r="AN842" s="47"/>
      <c r="AO842" s="47"/>
      <c r="AP842" s="47"/>
      <c r="AQ842" s="47"/>
      <c r="AR842" s="47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47"/>
      <c r="BE842" s="47"/>
      <c r="BF842" s="47"/>
      <c r="BG842" s="47"/>
      <c r="BH842" s="47"/>
      <c r="BI842" s="47"/>
      <c r="BJ842" s="47"/>
      <c r="BK842" s="47"/>
    </row>
    <row r="843">
      <c r="AK843" s="47"/>
      <c r="AL843" s="47"/>
      <c r="AM843" s="47"/>
      <c r="AN843" s="47"/>
      <c r="AO843" s="47"/>
      <c r="AP843" s="47"/>
      <c r="AQ843" s="47"/>
      <c r="AR843" s="47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47"/>
      <c r="BE843" s="47"/>
      <c r="BF843" s="47"/>
      <c r="BG843" s="47"/>
      <c r="BH843" s="47"/>
      <c r="BI843" s="47"/>
      <c r="BJ843" s="47"/>
      <c r="BK843" s="47"/>
    </row>
    <row r="844">
      <c r="AK844" s="47"/>
      <c r="AL844" s="47"/>
      <c r="AM844" s="47"/>
      <c r="AN844" s="47"/>
      <c r="AO844" s="47"/>
      <c r="AP844" s="47"/>
      <c r="AQ844" s="47"/>
      <c r="AR844" s="47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47"/>
      <c r="BE844" s="47"/>
      <c r="BF844" s="47"/>
      <c r="BG844" s="47"/>
      <c r="BH844" s="47"/>
      <c r="BI844" s="47"/>
      <c r="BJ844" s="47"/>
      <c r="BK844" s="47"/>
    </row>
    <row r="845">
      <c r="AK845" s="47"/>
      <c r="AL845" s="47"/>
      <c r="AM845" s="47"/>
      <c r="AN845" s="47"/>
      <c r="AO845" s="47"/>
      <c r="AP845" s="47"/>
      <c r="AQ845" s="47"/>
      <c r="AR845" s="47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47"/>
      <c r="BE845" s="47"/>
      <c r="BF845" s="47"/>
      <c r="BG845" s="47"/>
      <c r="BH845" s="47"/>
      <c r="BI845" s="47"/>
      <c r="BJ845" s="47"/>
      <c r="BK845" s="47"/>
    </row>
    <row r="846">
      <c r="AK846" s="47"/>
      <c r="AL846" s="47"/>
      <c r="AM846" s="47"/>
      <c r="AN846" s="47"/>
      <c r="AO846" s="47"/>
      <c r="AP846" s="47"/>
      <c r="AQ846" s="47"/>
      <c r="AR846" s="47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47"/>
      <c r="BE846" s="47"/>
      <c r="BF846" s="47"/>
      <c r="BG846" s="47"/>
      <c r="BH846" s="47"/>
      <c r="BI846" s="47"/>
      <c r="BJ846" s="47"/>
      <c r="BK846" s="47"/>
    </row>
    <row r="847">
      <c r="AK847" s="47"/>
      <c r="AL847" s="47"/>
      <c r="AM847" s="47"/>
      <c r="AN847" s="47"/>
      <c r="AO847" s="47"/>
      <c r="AP847" s="47"/>
      <c r="AQ847" s="47"/>
      <c r="AR847" s="47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47"/>
      <c r="BE847" s="47"/>
      <c r="BF847" s="47"/>
      <c r="BG847" s="47"/>
      <c r="BH847" s="47"/>
      <c r="BI847" s="47"/>
      <c r="BJ847" s="47"/>
      <c r="BK847" s="47"/>
    </row>
    <row r="848">
      <c r="AK848" s="47"/>
      <c r="AL848" s="47"/>
      <c r="AM848" s="47"/>
      <c r="AN848" s="47"/>
      <c r="AO848" s="47"/>
      <c r="AP848" s="47"/>
      <c r="AQ848" s="47"/>
      <c r="AR848" s="47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47"/>
      <c r="BE848" s="47"/>
      <c r="BF848" s="47"/>
      <c r="BG848" s="47"/>
      <c r="BH848" s="47"/>
      <c r="BI848" s="47"/>
      <c r="BJ848" s="47"/>
      <c r="BK848" s="47"/>
    </row>
    <row r="849">
      <c r="AK849" s="47"/>
      <c r="AL849" s="47"/>
      <c r="AM849" s="47"/>
      <c r="AN849" s="47"/>
      <c r="AO849" s="47"/>
      <c r="AP849" s="47"/>
      <c r="AQ849" s="47"/>
      <c r="AR849" s="47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47"/>
      <c r="BE849" s="47"/>
      <c r="BF849" s="47"/>
      <c r="BG849" s="47"/>
      <c r="BH849" s="47"/>
      <c r="BI849" s="47"/>
      <c r="BJ849" s="47"/>
      <c r="BK849" s="47"/>
    </row>
    <row r="850">
      <c r="AK850" s="47"/>
      <c r="AL850" s="47"/>
      <c r="AM850" s="47"/>
      <c r="AN850" s="47"/>
      <c r="AO850" s="47"/>
      <c r="AP850" s="47"/>
      <c r="AQ850" s="47"/>
      <c r="AR850" s="47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47"/>
      <c r="BE850" s="47"/>
      <c r="BF850" s="47"/>
      <c r="BG850" s="47"/>
      <c r="BH850" s="47"/>
      <c r="BI850" s="47"/>
      <c r="BJ850" s="47"/>
      <c r="BK850" s="47"/>
    </row>
    <row r="851">
      <c r="AK851" s="47"/>
      <c r="AL851" s="47"/>
      <c r="AM851" s="47"/>
      <c r="AN851" s="47"/>
      <c r="AO851" s="47"/>
      <c r="AP851" s="47"/>
      <c r="AQ851" s="47"/>
      <c r="AR851" s="47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47"/>
      <c r="BE851" s="47"/>
      <c r="BF851" s="47"/>
      <c r="BG851" s="47"/>
      <c r="BH851" s="47"/>
      <c r="BI851" s="47"/>
      <c r="BJ851" s="47"/>
      <c r="BK851" s="47"/>
    </row>
    <row r="852">
      <c r="AK852" s="47"/>
      <c r="AL852" s="47"/>
      <c r="AM852" s="47"/>
      <c r="AN852" s="47"/>
      <c r="AO852" s="47"/>
      <c r="AP852" s="47"/>
      <c r="AQ852" s="47"/>
      <c r="AR852" s="47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47"/>
      <c r="BE852" s="47"/>
      <c r="BF852" s="47"/>
      <c r="BG852" s="47"/>
      <c r="BH852" s="47"/>
      <c r="BI852" s="47"/>
      <c r="BJ852" s="47"/>
      <c r="BK852" s="47"/>
    </row>
    <row r="853">
      <c r="AK853" s="47"/>
      <c r="AL853" s="47"/>
      <c r="AM853" s="47"/>
      <c r="AN853" s="47"/>
      <c r="AO853" s="47"/>
      <c r="AP853" s="47"/>
      <c r="AQ853" s="47"/>
      <c r="AR853" s="47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47"/>
      <c r="BE853" s="47"/>
      <c r="BF853" s="47"/>
      <c r="BG853" s="47"/>
      <c r="BH853" s="47"/>
      <c r="BI853" s="47"/>
      <c r="BJ853" s="47"/>
      <c r="BK853" s="47"/>
    </row>
    <row r="854">
      <c r="AK854" s="47"/>
      <c r="AL854" s="47"/>
      <c r="AM854" s="47"/>
      <c r="AN854" s="47"/>
      <c r="AO854" s="47"/>
      <c r="AP854" s="47"/>
      <c r="AQ854" s="47"/>
      <c r="AR854" s="47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47"/>
      <c r="BE854" s="47"/>
      <c r="BF854" s="47"/>
      <c r="BG854" s="47"/>
      <c r="BH854" s="47"/>
      <c r="BI854" s="47"/>
      <c r="BJ854" s="47"/>
      <c r="BK854" s="47"/>
    </row>
    <row r="855">
      <c r="AK855" s="47"/>
      <c r="AL855" s="47"/>
      <c r="AM855" s="47"/>
      <c r="AN855" s="47"/>
      <c r="AO855" s="47"/>
      <c r="AP855" s="47"/>
      <c r="AQ855" s="47"/>
      <c r="AR855" s="47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47"/>
      <c r="BE855" s="47"/>
      <c r="BF855" s="47"/>
      <c r="BG855" s="47"/>
      <c r="BH855" s="47"/>
      <c r="BI855" s="47"/>
      <c r="BJ855" s="47"/>
      <c r="BK855" s="47"/>
    </row>
    <row r="856">
      <c r="AK856" s="47"/>
      <c r="AL856" s="47"/>
      <c r="AM856" s="47"/>
      <c r="AN856" s="47"/>
      <c r="AO856" s="47"/>
      <c r="AP856" s="47"/>
      <c r="AQ856" s="47"/>
      <c r="AR856" s="47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47"/>
      <c r="BE856" s="47"/>
      <c r="BF856" s="47"/>
      <c r="BG856" s="47"/>
      <c r="BH856" s="47"/>
      <c r="BI856" s="47"/>
      <c r="BJ856" s="47"/>
      <c r="BK856" s="47"/>
    </row>
    <row r="857">
      <c r="AK857" s="47"/>
      <c r="AL857" s="47"/>
      <c r="AM857" s="47"/>
      <c r="AN857" s="47"/>
      <c r="AO857" s="47"/>
      <c r="AP857" s="47"/>
      <c r="AQ857" s="47"/>
      <c r="AR857" s="47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47"/>
      <c r="BE857" s="47"/>
      <c r="BF857" s="47"/>
      <c r="BG857" s="47"/>
      <c r="BH857" s="47"/>
      <c r="BI857" s="47"/>
      <c r="BJ857" s="47"/>
      <c r="BK857" s="47"/>
    </row>
    <row r="858">
      <c r="AK858" s="47"/>
      <c r="AL858" s="47"/>
      <c r="AM858" s="47"/>
      <c r="AN858" s="47"/>
      <c r="AO858" s="47"/>
      <c r="AP858" s="47"/>
      <c r="AQ858" s="47"/>
      <c r="AR858" s="47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47"/>
      <c r="BE858" s="47"/>
      <c r="BF858" s="47"/>
      <c r="BG858" s="47"/>
      <c r="BH858" s="47"/>
      <c r="BI858" s="47"/>
      <c r="BJ858" s="47"/>
      <c r="BK858" s="47"/>
    </row>
    <row r="859">
      <c r="AK859" s="47"/>
      <c r="AL859" s="47"/>
      <c r="AM859" s="47"/>
      <c r="AN859" s="47"/>
      <c r="AO859" s="47"/>
      <c r="AP859" s="47"/>
      <c r="AQ859" s="47"/>
      <c r="AR859" s="47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47"/>
      <c r="BE859" s="47"/>
      <c r="BF859" s="47"/>
      <c r="BG859" s="47"/>
      <c r="BH859" s="47"/>
      <c r="BI859" s="47"/>
      <c r="BJ859" s="47"/>
      <c r="BK859" s="47"/>
    </row>
    <row r="860">
      <c r="AK860" s="47"/>
      <c r="AL860" s="47"/>
      <c r="AM860" s="47"/>
      <c r="AN860" s="47"/>
      <c r="AO860" s="47"/>
      <c r="AP860" s="47"/>
      <c r="AQ860" s="47"/>
      <c r="AR860" s="47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47"/>
      <c r="BE860" s="47"/>
      <c r="BF860" s="47"/>
      <c r="BG860" s="47"/>
      <c r="BH860" s="47"/>
      <c r="BI860" s="47"/>
      <c r="BJ860" s="47"/>
      <c r="BK860" s="47"/>
    </row>
    <row r="861">
      <c r="AK861" s="47"/>
      <c r="AL861" s="47"/>
      <c r="AM861" s="47"/>
      <c r="AN861" s="47"/>
      <c r="AO861" s="47"/>
      <c r="AP861" s="47"/>
      <c r="AQ861" s="47"/>
      <c r="AR861" s="47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47"/>
      <c r="BE861" s="47"/>
      <c r="BF861" s="47"/>
      <c r="BG861" s="47"/>
      <c r="BH861" s="47"/>
      <c r="BI861" s="47"/>
      <c r="BJ861" s="47"/>
      <c r="BK861" s="47"/>
    </row>
    <row r="862">
      <c r="AK862" s="47"/>
      <c r="AL862" s="47"/>
      <c r="AM862" s="47"/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</row>
    <row r="863">
      <c r="AK863" s="47"/>
      <c r="AL863" s="47"/>
      <c r="AM863" s="47"/>
      <c r="AN863" s="47"/>
      <c r="AO863" s="47"/>
      <c r="AP863" s="47"/>
      <c r="AQ863" s="47"/>
      <c r="AR863" s="47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47"/>
      <c r="BE863" s="47"/>
      <c r="BF863" s="47"/>
      <c r="BG863" s="47"/>
      <c r="BH863" s="47"/>
      <c r="BI863" s="47"/>
      <c r="BJ863" s="47"/>
      <c r="BK863" s="47"/>
    </row>
    <row r="864">
      <c r="AK864" s="47"/>
      <c r="AL864" s="47"/>
      <c r="AM864" s="47"/>
      <c r="AN864" s="47"/>
      <c r="AO864" s="47"/>
      <c r="AP864" s="47"/>
      <c r="AQ864" s="47"/>
      <c r="AR864" s="47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47"/>
      <c r="BE864" s="47"/>
      <c r="BF864" s="47"/>
      <c r="BG864" s="47"/>
      <c r="BH864" s="47"/>
      <c r="BI864" s="47"/>
      <c r="BJ864" s="47"/>
      <c r="BK864" s="47"/>
    </row>
    <row r="865">
      <c r="AK865" s="47"/>
      <c r="AL865" s="47"/>
      <c r="AM865" s="47"/>
      <c r="AN865" s="47"/>
      <c r="AO865" s="47"/>
      <c r="AP865" s="47"/>
      <c r="AQ865" s="47"/>
      <c r="AR865" s="47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47"/>
      <c r="BE865" s="47"/>
      <c r="BF865" s="47"/>
      <c r="BG865" s="47"/>
      <c r="BH865" s="47"/>
      <c r="BI865" s="47"/>
      <c r="BJ865" s="47"/>
      <c r="BK865" s="47"/>
    </row>
    <row r="866">
      <c r="AK866" s="47"/>
      <c r="AL866" s="47"/>
      <c r="AM866" s="47"/>
      <c r="AN866" s="47"/>
      <c r="AO866" s="47"/>
      <c r="AP866" s="47"/>
      <c r="AQ866" s="47"/>
      <c r="AR866" s="47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47"/>
      <c r="BE866" s="47"/>
      <c r="BF866" s="47"/>
      <c r="BG866" s="47"/>
      <c r="BH866" s="47"/>
      <c r="BI866" s="47"/>
      <c r="BJ866" s="47"/>
      <c r="BK866" s="47"/>
    </row>
    <row r="867">
      <c r="AK867" s="47"/>
      <c r="AL867" s="47"/>
      <c r="AM867" s="47"/>
      <c r="AN867" s="47"/>
      <c r="AO867" s="47"/>
      <c r="AP867" s="47"/>
      <c r="AQ867" s="47"/>
      <c r="AR867" s="47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47"/>
      <c r="BE867" s="47"/>
      <c r="BF867" s="47"/>
      <c r="BG867" s="47"/>
      <c r="BH867" s="47"/>
      <c r="BI867" s="47"/>
      <c r="BJ867" s="47"/>
      <c r="BK867" s="47"/>
    </row>
    <row r="868">
      <c r="AK868" s="47"/>
      <c r="AL868" s="47"/>
      <c r="AM868" s="47"/>
      <c r="AN868" s="47"/>
      <c r="AO868" s="47"/>
      <c r="AP868" s="47"/>
      <c r="AQ868" s="47"/>
      <c r="AR868" s="47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47"/>
      <c r="BE868" s="47"/>
      <c r="BF868" s="47"/>
      <c r="BG868" s="47"/>
      <c r="BH868" s="47"/>
      <c r="BI868" s="47"/>
      <c r="BJ868" s="47"/>
      <c r="BK868" s="47"/>
    </row>
    <row r="869">
      <c r="AK869" s="47"/>
      <c r="AL869" s="47"/>
      <c r="AM869" s="47"/>
      <c r="AN869" s="47"/>
      <c r="AO869" s="47"/>
      <c r="AP869" s="47"/>
      <c r="AQ869" s="47"/>
      <c r="AR869" s="47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47"/>
      <c r="BE869" s="47"/>
      <c r="BF869" s="47"/>
      <c r="BG869" s="47"/>
      <c r="BH869" s="47"/>
      <c r="BI869" s="47"/>
      <c r="BJ869" s="47"/>
      <c r="BK869" s="47"/>
    </row>
    <row r="870">
      <c r="AK870" s="47"/>
      <c r="AL870" s="47"/>
      <c r="AM870" s="47"/>
      <c r="AN870" s="47"/>
      <c r="AO870" s="47"/>
      <c r="AP870" s="47"/>
      <c r="AQ870" s="47"/>
      <c r="AR870" s="47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47"/>
      <c r="BE870" s="47"/>
      <c r="BF870" s="47"/>
      <c r="BG870" s="47"/>
      <c r="BH870" s="47"/>
      <c r="BI870" s="47"/>
      <c r="BJ870" s="47"/>
      <c r="BK870" s="47"/>
    </row>
    <row r="871">
      <c r="AK871" s="47"/>
      <c r="AL871" s="47"/>
      <c r="AM871" s="47"/>
      <c r="AN871" s="47"/>
      <c r="AO871" s="47"/>
      <c r="AP871" s="47"/>
      <c r="AQ871" s="47"/>
      <c r="AR871" s="47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47"/>
      <c r="BE871" s="47"/>
      <c r="BF871" s="47"/>
      <c r="BG871" s="47"/>
      <c r="BH871" s="47"/>
      <c r="BI871" s="47"/>
      <c r="BJ871" s="47"/>
      <c r="BK871" s="47"/>
    </row>
    <row r="872">
      <c r="AK872" s="47"/>
      <c r="AL872" s="47"/>
      <c r="AM872" s="47"/>
      <c r="AN872" s="47"/>
      <c r="AO872" s="47"/>
      <c r="AP872" s="47"/>
      <c r="AQ872" s="47"/>
      <c r="AR872" s="47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47"/>
      <c r="BE872" s="47"/>
      <c r="BF872" s="47"/>
      <c r="BG872" s="47"/>
      <c r="BH872" s="47"/>
      <c r="BI872" s="47"/>
      <c r="BJ872" s="47"/>
      <c r="BK872" s="47"/>
    </row>
    <row r="873">
      <c r="AK873" s="47"/>
      <c r="AL873" s="47"/>
      <c r="AM873" s="47"/>
      <c r="AN873" s="47"/>
      <c r="AO873" s="47"/>
      <c r="AP873" s="47"/>
      <c r="AQ873" s="47"/>
      <c r="AR873" s="47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47"/>
      <c r="BE873" s="47"/>
      <c r="BF873" s="47"/>
      <c r="BG873" s="47"/>
      <c r="BH873" s="47"/>
      <c r="BI873" s="47"/>
      <c r="BJ873" s="47"/>
      <c r="BK873" s="47"/>
    </row>
    <row r="874">
      <c r="AK874" s="47"/>
      <c r="AL874" s="47"/>
      <c r="AM874" s="47"/>
      <c r="AN874" s="47"/>
      <c r="AO874" s="47"/>
      <c r="AP874" s="47"/>
      <c r="AQ874" s="47"/>
      <c r="AR874" s="47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47"/>
      <c r="BE874" s="47"/>
      <c r="BF874" s="47"/>
      <c r="BG874" s="47"/>
      <c r="BH874" s="47"/>
      <c r="BI874" s="47"/>
      <c r="BJ874" s="47"/>
      <c r="BK874" s="47"/>
    </row>
    <row r="875">
      <c r="AK875" s="47"/>
      <c r="AL875" s="47"/>
      <c r="AM875" s="47"/>
      <c r="AN875" s="47"/>
      <c r="AO875" s="47"/>
      <c r="AP875" s="47"/>
      <c r="AQ875" s="47"/>
      <c r="AR875" s="47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47"/>
      <c r="BE875" s="47"/>
      <c r="BF875" s="47"/>
      <c r="BG875" s="47"/>
      <c r="BH875" s="47"/>
      <c r="BI875" s="47"/>
      <c r="BJ875" s="47"/>
      <c r="BK875" s="47"/>
    </row>
    <row r="876">
      <c r="AK876" s="47"/>
      <c r="AL876" s="47"/>
      <c r="AM876" s="47"/>
      <c r="AN876" s="47"/>
      <c r="AO876" s="47"/>
      <c r="AP876" s="47"/>
      <c r="AQ876" s="47"/>
      <c r="AR876" s="47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47"/>
      <c r="BE876" s="47"/>
      <c r="BF876" s="47"/>
      <c r="BG876" s="47"/>
      <c r="BH876" s="47"/>
      <c r="BI876" s="47"/>
      <c r="BJ876" s="47"/>
      <c r="BK876" s="47"/>
    </row>
    <row r="877">
      <c r="AK877" s="47"/>
      <c r="AL877" s="47"/>
      <c r="AM877" s="47"/>
      <c r="AN877" s="47"/>
      <c r="AO877" s="47"/>
      <c r="AP877" s="47"/>
      <c r="AQ877" s="47"/>
      <c r="AR877" s="47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47"/>
      <c r="BE877" s="47"/>
      <c r="BF877" s="47"/>
      <c r="BG877" s="47"/>
      <c r="BH877" s="47"/>
      <c r="BI877" s="47"/>
      <c r="BJ877" s="47"/>
      <c r="BK877" s="47"/>
    </row>
    <row r="878">
      <c r="AK878" s="47"/>
      <c r="AL878" s="47"/>
      <c r="AM878" s="47"/>
      <c r="AN878" s="47"/>
      <c r="AO878" s="47"/>
      <c r="AP878" s="47"/>
      <c r="AQ878" s="47"/>
      <c r="AR878" s="47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47"/>
      <c r="BE878" s="47"/>
      <c r="BF878" s="47"/>
      <c r="BG878" s="47"/>
      <c r="BH878" s="47"/>
      <c r="BI878" s="47"/>
      <c r="BJ878" s="47"/>
      <c r="BK878" s="47"/>
    </row>
    <row r="879">
      <c r="AK879" s="47"/>
      <c r="AL879" s="47"/>
      <c r="AM879" s="47"/>
      <c r="AN879" s="47"/>
      <c r="AO879" s="47"/>
      <c r="AP879" s="47"/>
      <c r="AQ879" s="47"/>
      <c r="AR879" s="47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47"/>
      <c r="BE879" s="47"/>
      <c r="BF879" s="47"/>
      <c r="BG879" s="47"/>
      <c r="BH879" s="47"/>
      <c r="BI879" s="47"/>
      <c r="BJ879" s="47"/>
      <c r="BK879" s="47"/>
    </row>
    <row r="880">
      <c r="AK880" s="47"/>
      <c r="AL880" s="47"/>
      <c r="AM880" s="47"/>
      <c r="AN880" s="47"/>
      <c r="AO880" s="47"/>
      <c r="AP880" s="47"/>
      <c r="AQ880" s="47"/>
      <c r="AR880" s="47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47"/>
      <c r="BE880" s="47"/>
      <c r="BF880" s="47"/>
      <c r="BG880" s="47"/>
      <c r="BH880" s="47"/>
      <c r="BI880" s="47"/>
      <c r="BJ880" s="47"/>
      <c r="BK880" s="47"/>
    </row>
    <row r="881">
      <c r="AK881" s="47"/>
      <c r="AL881" s="47"/>
      <c r="AM881" s="47"/>
      <c r="AN881" s="47"/>
      <c r="AO881" s="47"/>
      <c r="AP881" s="47"/>
      <c r="AQ881" s="47"/>
      <c r="AR881" s="47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47"/>
      <c r="BE881" s="47"/>
      <c r="BF881" s="47"/>
      <c r="BG881" s="47"/>
      <c r="BH881" s="47"/>
      <c r="BI881" s="47"/>
      <c r="BJ881" s="47"/>
      <c r="BK881" s="47"/>
    </row>
    <row r="882">
      <c r="AK882" s="47"/>
      <c r="AL882" s="47"/>
      <c r="AM882" s="47"/>
      <c r="AN882" s="47"/>
      <c r="AO882" s="47"/>
      <c r="AP882" s="47"/>
      <c r="AQ882" s="47"/>
      <c r="AR882" s="47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47"/>
      <c r="BE882" s="47"/>
      <c r="BF882" s="47"/>
      <c r="BG882" s="47"/>
      <c r="BH882" s="47"/>
      <c r="BI882" s="47"/>
      <c r="BJ882" s="47"/>
      <c r="BK882" s="47"/>
    </row>
    <row r="883">
      <c r="AK883" s="47"/>
      <c r="AL883" s="47"/>
      <c r="AM883" s="47"/>
      <c r="AN883" s="47"/>
      <c r="AO883" s="47"/>
      <c r="AP883" s="47"/>
      <c r="AQ883" s="47"/>
      <c r="AR883" s="47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47"/>
      <c r="BE883" s="47"/>
      <c r="BF883" s="47"/>
      <c r="BG883" s="47"/>
      <c r="BH883" s="47"/>
      <c r="BI883" s="47"/>
      <c r="BJ883" s="47"/>
      <c r="BK883" s="47"/>
    </row>
    <row r="884">
      <c r="AK884" s="47"/>
      <c r="AL884" s="47"/>
      <c r="AM884" s="47"/>
      <c r="AN884" s="47"/>
      <c r="AO884" s="47"/>
      <c r="AP884" s="47"/>
      <c r="AQ884" s="47"/>
      <c r="AR884" s="47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47"/>
      <c r="BE884" s="47"/>
      <c r="BF884" s="47"/>
      <c r="BG884" s="47"/>
      <c r="BH884" s="47"/>
      <c r="BI884" s="47"/>
      <c r="BJ884" s="47"/>
      <c r="BK884" s="47"/>
    </row>
    <row r="885">
      <c r="AK885" s="47"/>
      <c r="AL885" s="47"/>
      <c r="AM885" s="47"/>
      <c r="AN885" s="47"/>
      <c r="AO885" s="47"/>
      <c r="AP885" s="47"/>
      <c r="AQ885" s="47"/>
      <c r="AR885" s="47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47"/>
      <c r="BE885" s="47"/>
      <c r="BF885" s="47"/>
      <c r="BG885" s="47"/>
      <c r="BH885" s="47"/>
      <c r="BI885" s="47"/>
      <c r="BJ885" s="47"/>
      <c r="BK885" s="47"/>
    </row>
    <row r="886">
      <c r="AK886" s="47"/>
      <c r="AL886" s="47"/>
      <c r="AM886" s="47"/>
      <c r="AN886" s="47"/>
      <c r="AO886" s="47"/>
      <c r="AP886" s="47"/>
      <c r="AQ886" s="47"/>
      <c r="AR886" s="47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47"/>
      <c r="BE886" s="47"/>
      <c r="BF886" s="47"/>
      <c r="BG886" s="47"/>
      <c r="BH886" s="47"/>
      <c r="BI886" s="47"/>
      <c r="BJ886" s="47"/>
      <c r="BK886" s="47"/>
    </row>
    <row r="887">
      <c r="AK887" s="47"/>
      <c r="AL887" s="47"/>
      <c r="AM887" s="47"/>
      <c r="AN887" s="47"/>
      <c r="AO887" s="47"/>
      <c r="AP887" s="47"/>
      <c r="AQ887" s="47"/>
      <c r="AR887" s="47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47"/>
      <c r="BE887" s="47"/>
      <c r="BF887" s="47"/>
      <c r="BG887" s="47"/>
      <c r="BH887" s="47"/>
      <c r="BI887" s="47"/>
      <c r="BJ887" s="47"/>
      <c r="BK887" s="47"/>
    </row>
    <row r="888">
      <c r="AK888" s="47"/>
      <c r="AL888" s="47"/>
      <c r="AM888" s="47"/>
      <c r="AN888" s="47"/>
      <c r="AO888" s="47"/>
      <c r="AP888" s="47"/>
      <c r="AQ888" s="47"/>
      <c r="AR888" s="47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47"/>
      <c r="BE888" s="47"/>
      <c r="BF888" s="47"/>
      <c r="BG888" s="47"/>
      <c r="BH888" s="47"/>
      <c r="BI888" s="47"/>
      <c r="BJ888" s="47"/>
      <c r="BK888" s="47"/>
    </row>
    <row r="889">
      <c r="AK889" s="47"/>
      <c r="AL889" s="47"/>
      <c r="AM889" s="47"/>
      <c r="AN889" s="47"/>
      <c r="AO889" s="47"/>
      <c r="AP889" s="47"/>
      <c r="AQ889" s="47"/>
      <c r="AR889" s="47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47"/>
      <c r="BE889" s="47"/>
      <c r="BF889" s="47"/>
      <c r="BG889" s="47"/>
      <c r="BH889" s="47"/>
      <c r="BI889" s="47"/>
      <c r="BJ889" s="47"/>
      <c r="BK889" s="47"/>
    </row>
    <row r="890">
      <c r="AK890" s="47"/>
      <c r="AL890" s="47"/>
      <c r="AM890" s="47"/>
      <c r="AN890" s="47"/>
      <c r="AO890" s="47"/>
      <c r="AP890" s="47"/>
      <c r="AQ890" s="47"/>
      <c r="AR890" s="47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47"/>
      <c r="BE890" s="47"/>
      <c r="BF890" s="47"/>
      <c r="BG890" s="47"/>
      <c r="BH890" s="47"/>
      <c r="BI890" s="47"/>
      <c r="BJ890" s="47"/>
      <c r="BK890" s="47"/>
    </row>
    <row r="891">
      <c r="AK891" s="47"/>
      <c r="AL891" s="47"/>
      <c r="AM891" s="47"/>
      <c r="AN891" s="47"/>
      <c r="AO891" s="47"/>
      <c r="AP891" s="47"/>
      <c r="AQ891" s="47"/>
      <c r="AR891" s="47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47"/>
      <c r="BE891" s="47"/>
      <c r="BF891" s="47"/>
      <c r="BG891" s="47"/>
      <c r="BH891" s="47"/>
      <c r="BI891" s="47"/>
      <c r="BJ891" s="47"/>
      <c r="BK891" s="47"/>
    </row>
    <row r="892">
      <c r="AK892" s="47"/>
      <c r="AL892" s="47"/>
      <c r="AM892" s="47"/>
      <c r="AN892" s="47"/>
      <c r="AO892" s="47"/>
      <c r="AP892" s="47"/>
      <c r="AQ892" s="47"/>
      <c r="AR892" s="47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47"/>
      <c r="BE892" s="47"/>
      <c r="BF892" s="47"/>
      <c r="BG892" s="47"/>
      <c r="BH892" s="47"/>
      <c r="BI892" s="47"/>
      <c r="BJ892" s="47"/>
      <c r="BK892" s="47"/>
    </row>
    <row r="893">
      <c r="AK893" s="47"/>
      <c r="AL893" s="47"/>
      <c r="AM893" s="47"/>
      <c r="AN893" s="47"/>
      <c r="AO893" s="47"/>
      <c r="AP893" s="47"/>
      <c r="AQ893" s="47"/>
      <c r="AR893" s="47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47"/>
      <c r="BE893" s="47"/>
      <c r="BF893" s="47"/>
      <c r="BG893" s="47"/>
      <c r="BH893" s="47"/>
      <c r="BI893" s="47"/>
      <c r="BJ893" s="47"/>
      <c r="BK893" s="47"/>
    </row>
    <row r="894">
      <c r="AK894" s="47"/>
      <c r="AL894" s="47"/>
      <c r="AM894" s="47"/>
      <c r="AN894" s="47"/>
      <c r="AO894" s="47"/>
      <c r="AP894" s="47"/>
      <c r="AQ894" s="47"/>
      <c r="AR894" s="47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47"/>
      <c r="BE894" s="47"/>
      <c r="BF894" s="47"/>
      <c r="BG894" s="47"/>
      <c r="BH894" s="47"/>
      <c r="BI894" s="47"/>
      <c r="BJ894" s="47"/>
      <c r="BK894" s="47"/>
    </row>
    <row r="895">
      <c r="AK895" s="47"/>
      <c r="AL895" s="47"/>
      <c r="AM895" s="47"/>
      <c r="AN895" s="47"/>
      <c r="AO895" s="47"/>
      <c r="AP895" s="47"/>
      <c r="AQ895" s="47"/>
      <c r="AR895" s="47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47"/>
      <c r="BE895" s="47"/>
      <c r="BF895" s="47"/>
      <c r="BG895" s="47"/>
      <c r="BH895" s="47"/>
      <c r="BI895" s="47"/>
      <c r="BJ895" s="47"/>
      <c r="BK895" s="47"/>
    </row>
    <row r="896">
      <c r="AK896" s="47"/>
      <c r="AL896" s="47"/>
      <c r="AM896" s="47"/>
      <c r="AN896" s="47"/>
      <c r="AO896" s="47"/>
      <c r="AP896" s="47"/>
      <c r="AQ896" s="47"/>
      <c r="AR896" s="47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47"/>
      <c r="BE896" s="47"/>
      <c r="BF896" s="47"/>
      <c r="BG896" s="47"/>
      <c r="BH896" s="47"/>
      <c r="BI896" s="47"/>
      <c r="BJ896" s="47"/>
      <c r="BK896" s="47"/>
    </row>
    <row r="897">
      <c r="AK897" s="47"/>
      <c r="AL897" s="47"/>
      <c r="AM897" s="47"/>
      <c r="AN897" s="47"/>
      <c r="AO897" s="47"/>
      <c r="AP897" s="47"/>
      <c r="AQ897" s="47"/>
      <c r="AR897" s="47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47"/>
      <c r="BE897" s="47"/>
      <c r="BF897" s="47"/>
      <c r="BG897" s="47"/>
      <c r="BH897" s="47"/>
      <c r="BI897" s="47"/>
      <c r="BJ897" s="47"/>
      <c r="BK897" s="47"/>
    </row>
    <row r="898">
      <c r="AK898" s="47"/>
      <c r="AL898" s="47"/>
      <c r="AM898" s="47"/>
      <c r="AN898" s="47"/>
      <c r="AO898" s="47"/>
      <c r="AP898" s="47"/>
      <c r="AQ898" s="47"/>
      <c r="AR898" s="47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47"/>
      <c r="BE898" s="47"/>
      <c r="BF898" s="47"/>
      <c r="BG898" s="47"/>
      <c r="BH898" s="47"/>
      <c r="BI898" s="47"/>
      <c r="BJ898" s="47"/>
      <c r="BK898" s="47"/>
    </row>
    <row r="899">
      <c r="AK899" s="47"/>
      <c r="AL899" s="47"/>
      <c r="AM899" s="47"/>
      <c r="AN899" s="47"/>
      <c r="AO899" s="47"/>
      <c r="AP899" s="47"/>
      <c r="AQ899" s="47"/>
      <c r="AR899" s="47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47"/>
      <c r="BE899" s="47"/>
      <c r="BF899" s="47"/>
      <c r="BG899" s="47"/>
      <c r="BH899" s="47"/>
      <c r="BI899" s="47"/>
      <c r="BJ899" s="47"/>
      <c r="BK899" s="47"/>
    </row>
    <row r="900">
      <c r="AK900" s="47"/>
      <c r="AL900" s="47"/>
      <c r="AM900" s="47"/>
      <c r="AN900" s="47"/>
      <c r="AO900" s="47"/>
      <c r="AP900" s="47"/>
      <c r="AQ900" s="47"/>
      <c r="AR900" s="47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47"/>
      <c r="BE900" s="47"/>
      <c r="BF900" s="47"/>
      <c r="BG900" s="47"/>
      <c r="BH900" s="47"/>
      <c r="BI900" s="47"/>
      <c r="BJ900" s="47"/>
      <c r="BK900" s="47"/>
    </row>
    <row r="901">
      <c r="AK901" s="47"/>
      <c r="AL901" s="47"/>
      <c r="AM901" s="47"/>
      <c r="AN901" s="47"/>
      <c r="AO901" s="47"/>
      <c r="AP901" s="47"/>
      <c r="AQ901" s="47"/>
      <c r="AR901" s="47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47"/>
      <c r="BE901" s="47"/>
      <c r="BF901" s="47"/>
      <c r="BG901" s="47"/>
      <c r="BH901" s="47"/>
      <c r="BI901" s="47"/>
      <c r="BJ901" s="47"/>
      <c r="BK901" s="47"/>
    </row>
    <row r="902">
      <c r="AK902" s="47"/>
      <c r="AL902" s="47"/>
      <c r="AM902" s="47"/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</row>
    <row r="903">
      <c r="AK903" s="47"/>
      <c r="AL903" s="47"/>
      <c r="AM903" s="47"/>
      <c r="AN903" s="47"/>
      <c r="AO903" s="47"/>
      <c r="AP903" s="47"/>
      <c r="AQ903" s="47"/>
      <c r="AR903" s="47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47"/>
      <c r="BE903" s="47"/>
      <c r="BF903" s="47"/>
      <c r="BG903" s="47"/>
      <c r="BH903" s="47"/>
      <c r="BI903" s="47"/>
      <c r="BJ903" s="47"/>
      <c r="BK903" s="47"/>
    </row>
    <row r="904">
      <c r="AK904" s="47"/>
      <c r="AL904" s="47"/>
      <c r="AM904" s="47"/>
      <c r="AN904" s="47"/>
      <c r="AO904" s="47"/>
      <c r="AP904" s="47"/>
      <c r="AQ904" s="47"/>
      <c r="AR904" s="47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47"/>
      <c r="BE904" s="47"/>
      <c r="BF904" s="47"/>
      <c r="BG904" s="47"/>
      <c r="BH904" s="47"/>
      <c r="BI904" s="47"/>
      <c r="BJ904" s="47"/>
      <c r="BK904" s="47"/>
    </row>
    <row r="905">
      <c r="AK905" s="47"/>
      <c r="AL905" s="47"/>
      <c r="AM905" s="47"/>
      <c r="AN905" s="47"/>
      <c r="AO905" s="47"/>
      <c r="AP905" s="47"/>
      <c r="AQ905" s="47"/>
      <c r="AR905" s="47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47"/>
      <c r="BE905" s="47"/>
      <c r="BF905" s="47"/>
      <c r="BG905" s="47"/>
      <c r="BH905" s="47"/>
      <c r="BI905" s="47"/>
      <c r="BJ905" s="47"/>
      <c r="BK905" s="47"/>
    </row>
    <row r="906">
      <c r="AK906" s="47"/>
      <c r="AL906" s="47"/>
      <c r="AM906" s="47"/>
      <c r="AN906" s="47"/>
      <c r="AO906" s="47"/>
      <c r="AP906" s="47"/>
      <c r="AQ906" s="47"/>
      <c r="AR906" s="47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47"/>
      <c r="BE906" s="47"/>
      <c r="BF906" s="47"/>
      <c r="BG906" s="47"/>
      <c r="BH906" s="47"/>
      <c r="BI906" s="47"/>
      <c r="BJ906" s="47"/>
      <c r="BK906" s="47"/>
    </row>
    <row r="907">
      <c r="AK907" s="47"/>
      <c r="AL907" s="47"/>
      <c r="AM907" s="47"/>
      <c r="AN907" s="47"/>
      <c r="AO907" s="47"/>
      <c r="AP907" s="47"/>
      <c r="AQ907" s="47"/>
      <c r="AR907" s="47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47"/>
      <c r="BE907" s="47"/>
      <c r="BF907" s="47"/>
      <c r="BG907" s="47"/>
      <c r="BH907" s="47"/>
      <c r="BI907" s="47"/>
      <c r="BJ907" s="47"/>
      <c r="BK907" s="47"/>
    </row>
    <row r="908">
      <c r="AK908" s="47"/>
      <c r="AL908" s="47"/>
      <c r="AM908" s="47"/>
      <c r="AN908" s="47"/>
      <c r="AO908" s="47"/>
      <c r="AP908" s="47"/>
      <c r="AQ908" s="47"/>
      <c r="AR908" s="47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47"/>
      <c r="BE908" s="47"/>
      <c r="BF908" s="47"/>
      <c r="BG908" s="47"/>
      <c r="BH908" s="47"/>
      <c r="BI908" s="47"/>
      <c r="BJ908" s="47"/>
      <c r="BK908" s="47"/>
    </row>
    <row r="909">
      <c r="AK909" s="47"/>
      <c r="AL909" s="47"/>
      <c r="AM909" s="47"/>
      <c r="AN909" s="47"/>
      <c r="AO909" s="47"/>
      <c r="AP909" s="47"/>
      <c r="AQ909" s="47"/>
      <c r="AR909" s="47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47"/>
      <c r="BE909" s="47"/>
      <c r="BF909" s="47"/>
      <c r="BG909" s="47"/>
      <c r="BH909" s="47"/>
      <c r="BI909" s="47"/>
      <c r="BJ909" s="47"/>
      <c r="BK909" s="47"/>
    </row>
    <row r="910">
      <c r="AK910" s="47"/>
      <c r="AL910" s="47"/>
      <c r="AM910" s="47"/>
      <c r="AN910" s="47"/>
      <c r="AO910" s="47"/>
      <c r="AP910" s="47"/>
      <c r="AQ910" s="47"/>
      <c r="AR910" s="47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47"/>
      <c r="BE910" s="47"/>
      <c r="BF910" s="47"/>
      <c r="BG910" s="47"/>
      <c r="BH910" s="47"/>
      <c r="BI910" s="47"/>
      <c r="BJ910" s="47"/>
      <c r="BK910" s="47"/>
    </row>
    <row r="911">
      <c r="AK911" s="47"/>
      <c r="AL911" s="47"/>
      <c r="AM911" s="47"/>
      <c r="AN911" s="47"/>
      <c r="AO911" s="47"/>
      <c r="AP911" s="47"/>
      <c r="AQ911" s="47"/>
      <c r="AR911" s="47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47"/>
      <c r="BE911" s="47"/>
      <c r="BF911" s="47"/>
      <c r="BG911" s="47"/>
      <c r="BH911" s="47"/>
      <c r="BI911" s="47"/>
      <c r="BJ911" s="47"/>
      <c r="BK911" s="47"/>
    </row>
    <row r="912">
      <c r="AK912" s="47"/>
      <c r="AL912" s="47"/>
      <c r="AM912" s="47"/>
      <c r="AN912" s="47"/>
      <c r="AO912" s="47"/>
      <c r="AP912" s="47"/>
      <c r="AQ912" s="47"/>
      <c r="AR912" s="47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47"/>
      <c r="BE912" s="47"/>
      <c r="BF912" s="47"/>
      <c r="BG912" s="47"/>
      <c r="BH912" s="47"/>
      <c r="BI912" s="47"/>
      <c r="BJ912" s="47"/>
      <c r="BK912" s="47"/>
    </row>
    <row r="913">
      <c r="AK913" s="47"/>
      <c r="AL913" s="47"/>
      <c r="AM913" s="47"/>
      <c r="AN913" s="47"/>
      <c r="AO913" s="47"/>
      <c r="AP913" s="47"/>
      <c r="AQ913" s="47"/>
      <c r="AR913" s="47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47"/>
      <c r="BE913" s="47"/>
      <c r="BF913" s="47"/>
      <c r="BG913" s="47"/>
      <c r="BH913" s="47"/>
      <c r="BI913" s="47"/>
      <c r="BJ913" s="47"/>
      <c r="BK913" s="47"/>
    </row>
    <row r="914">
      <c r="AK914" s="47"/>
      <c r="AL914" s="47"/>
      <c r="AM914" s="47"/>
      <c r="AN914" s="47"/>
      <c r="AO914" s="47"/>
      <c r="AP914" s="47"/>
      <c r="AQ914" s="47"/>
      <c r="AR914" s="47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47"/>
      <c r="BE914" s="47"/>
      <c r="BF914" s="47"/>
      <c r="BG914" s="47"/>
      <c r="BH914" s="47"/>
      <c r="BI914" s="47"/>
      <c r="BJ914" s="47"/>
      <c r="BK914" s="47"/>
    </row>
    <row r="915">
      <c r="AK915" s="47"/>
      <c r="AL915" s="47"/>
      <c r="AM915" s="47"/>
      <c r="AN915" s="47"/>
      <c r="AO915" s="47"/>
      <c r="AP915" s="47"/>
      <c r="AQ915" s="47"/>
      <c r="AR915" s="47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47"/>
      <c r="BE915" s="47"/>
      <c r="BF915" s="47"/>
      <c r="BG915" s="47"/>
      <c r="BH915" s="47"/>
      <c r="BI915" s="47"/>
      <c r="BJ915" s="47"/>
      <c r="BK915" s="47"/>
    </row>
    <row r="916">
      <c r="AK916" s="47"/>
      <c r="AL916" s="47"/>
      <c r="AM916" s="47"/>
      <c r="AN916" s="47"/>
      <c r="AO916" s="47"/>
      <c r="AP916" s="47"/>
      <c r="AQ916" s="47"/>
      <c r="AR916" s="47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47"/>
      <c r="BE916" s="47"/>
      <c r="BF916" s="47"/>
      <c r="BG916" s="47"/>
      <c r="BH916" s="47"/>
      <c r="BI916" s="47"/>
      <c r="BJ916" s="47"/>
      <c r="BK916" s="47"/>
    </row>
    <row r="917">
      <c r="AK917" s="47"/>
      <c r="AL917" s="47"/>
      <c r="AM917" s="47"/>
      <c r="AN917" s="47"/>
      <c r="AO917" s="47"/>
      <c r="AP917" s="47"/>
      <c r="AQ917" s="47"/>
      <c r="AR917" s="47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47"/>
      <c r="BE917" s="47"/>
      <c r="BF917" s="47"/>
      <c r="BG917" s="47"/>
      <c r="BH917" s="47"/>
      <c r="BI917" s="47"/>
      <c r="BJ917" s="47"/>
      <c r="BK917" s="47"/>
    </row>
    <row r="918">
      <c r="AK918" s="47"/>
      <c r="AL918" s="47"/>
      <c r="AM918" s="47"/>
      <c r="AN918" s="47"/>
      <c r="AO918" s="47"/>
      <c r="AP918" s="47"/>
      <c r="AQ918" s="47"/>
      <c r="AR918" s="47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47"/>
      <c r="BE918" s="47"/>
      <c r="BF918" s="47"/>
      <c r="BG918" s="47"/>
      <c r="BH918" s="47"/>
      <c r="BI918" s="47"/>
      <c r="BJ918" s="47"/>
      <c r="BK918" s="47"/>
    </row>
    <row r="919">
      <c r="AK919" s="47"/>
      <c r="AL919" s="47"/>
      <c r="AM919" s="47"/>
      <c r="AN919" s="47"/>
      <c r="AO919" s="47"/>
      <c r="AP919" s="47"/>
      <c r="AQ919" s="47"/>
      <c r="AR919" s="47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47"/>
      <c r="BE919" s="47"/>
      <c r="BF919" s="47"/>
      <c r="BG919" s="47"/>
      <c r="BH919" s="47"/>
      <c r="BI919" s="47"/>
      <c r="BJ919" s="47"/>
      <c r="BK919" s="47"/>
    </row>
    <row r="920">
      <c r="AK920" s="47"/>
      <c r="AL920" s="47"/>
      <c r="AM920" s="47"/>
      <c r="AN920" s="47"/>
      <c r="AO920" s="47"/>
      <c r="AP920" s="47"/>
      <c r="AQ920" s="47"/>
      <c r="AR920" s="47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47"/>
      <c r="BE920" s="47"/>
      <c r="BF920" s="47"/>
      <c r="BG920" s="47"/>
      <c r="BH920" s="47"/>
      <c r="BI920" s="47"/>
      <c r="BJ920" s="47"/>
      <c r="BK920" s="47"/>
    </row>
    <row r="921">
      <c r="AK921" s="47"/>
      <c r="AL921" s="47"/>
      <c r="AM921" s="47"/>
      <c r="AN921" s="47"/>
      <c r="AO921" s="47"/>
      <c r="AP921" s="47"/>
      <c r="AQ921" s="47"/>
      <c r="AR921" s="47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47"/>
      <c r="BE921" s="47"/>
      <c r="BF921" s="47"/>
      <c r="BG921" s="47"/>
      <c r="BH921" s="47"/>
      <c r="BI921" s="47"/>
      <c r="BJ921" s="47"/>
      <c r="BK921" s="47"/>
    </row>
    <row r="922">
      <c r="AK922" s="47"/>
      <c r="AL922" s="47"/>
      <c r="AM922" s="47"/>
      <c r="AN922" s="47"/>
      <c r="AO922" s="47"/>
      <c r="AP922" s="47"/>
      <c r="AQ922" s="47"/>
      <c r="AR922" s="47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47"/>
      <c r="BE922" s="47"/>
      <c r="BF922" s="47"/>
      <c r="BG922" s="47"/>
      <c r="BH922" s="47"/>
      <c r="BI922" s="47"/>
      <c r="BJ922" s="47"/>
      <c r="BK922" s="47"/>
    </row>
    <row r="923">
      <c r="AK923" s="47"/>
      <c r="AL923" s="47"/>
      <c r="AM923" s="47"/>
      <c r="AN923" s="47"/>
      <c r="AO923" s="47"/>
      <c r="AP923" s="47"/>
      <c r="AQ923" s="47"/>
      <c r="AR923" s="47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47"/>
      <c r="BE923" s="47"/>
      <c r="BF923" s="47"/>
      <c r="BG923" s="47"/>
      <c r="BH923" s="47"/>
      <c r="BI923" s="47"/>
      <c r="BJ923" s="47"/>
      <c r="BK923" s="47"/>
    </row>
    <row r="924">
      <c r="AK924" s="47"/>
      <c r="AL924" s="47"/>
      <c r="AM924" s="47"/>
      <c r="AN924" s="47"/>
      <c r="AO924" s="47"/>
      <c r="AP924" s="47"/>
      <c r="AQ924" s="47"/>
      <c r="AR924" s="47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47"/>
      <c r="BE924" s="47"/>
      <c r="BF924" s="47"/>
      <c r="BG924" s="47"/>
      <c r="BH924" s="47"/>
      <c r="BI924" s="47"/>
      <c r="BJ924" s="47"/>
      <c r="BK924" s="47"/>
    </row>
    <row r="925">
      <c r="AK925" s="47"/>
      <c r="AL925" s="47"/>
      <c r="AM925" s="47"/>
      <c r="AN925" s="47"/>
      <c r="AO925" s="47"/>
      <c r="AP925" s="47"/>
      <c r="AQ925" s="47"/>
      <c r="AR925" s="47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47"/>
      <c r="BE925" s="47"/>
      <c r="BF925" s="47"/>
      <c r="BG925" s="47"/>
      <c r="BH925" s="47"/>
      <c r="BI925" s="47"/>
      <c r="BJ925" s="47"/>
      <c r="BK925" s="47"/>
    </row>
    <row r="926">
      <c r="AK926" s="47"/>
      <c r="AL926" s="47"/>
      <c r="AM926" s="47"/>
      <c r="AN926" s="47"/>
      <c r="AO926" s="47"/>
      <c r="AP926" s="47"/>
      <c r="AQ926" s="47"/>
      <c r="AR926" s="47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47"/>
      <c r="BE926" s="47"/>
      <c r="BF926" s="47"/>
      <c r="BG926" s="47"/>
      <c r="BH926" s="47"/>
      <c r="BI926" s="47"/>
      <c r="BJ926" s="47"/>
      <c r="BK926" s="47"/>
    </row>
    <row r="927">
      <c r="AK927" s="47"/>
      <c r="AL927" s="47"/>
      <c r="AM927" s="47"/>
      <c r="AN927" s="47"/>
      <c r="AO927" s="47"/>
      <c r="AP927" s="47"/>
      <c r="AQ927" s="47"/>
      <c r="AR927" s="47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47"/>
      <c r="BE927" s="47"/>
      <c r="BF927" s="47"/>
      <c r="BG927" s="47"/>
      <c r="BH927" s="47"/>
      <c r="BI927" s="47"/>
      <c r="BJ927" s="47"/>
      <c r="BK927" s="47"/>
    </row>
    <row r="928">
      <c r="AK928" s="47"/>
      <c r="AL928" s="47"/>
      <c r="AM928" s="47"/>
      <c r="AN928" s="47"/>
      <c r="AO928" s="47"/>
      <c r="AP928" s="47"/>
      <c r="AQ928" s="47"/>
      <c r="AR928" s="47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47"/>
      <c r="BE928" s="47"/>
      <c r="BF928" s="47"/>
      <c r="BG928" s="47"/>
      <c r="BH928" s="47"/>
      <c r="BI928" s="47"/>
      <c r="BJ928" s="47"/>
      <c r="BK928" s="47"/>
    </row>
    <row r="929">
      <c r="AK929" s="47"/>
      <c r="AL929" s="47"/>
      <c r="AM929" s="47"/>
      <c r="AN929" s="47"/>
      <c r="AO929" s="47"/>
      <c r="AP929" s="47"/>
      <c r="AQ929" s="47"/>
      <c r="AR929" s="47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47"/>
      <c r="BE929" s="47"/>
      <c r="BF929" s="47"/>
      <c r="BG929" s="47"/>
      <c r="BH929" s="47"/>
      <c r="BI929" s="47"/>
      <c r="BJ929" s="47"/>
      <c r="BK929" s="47"/>
    </row>
    <row r="930">
      <c r="AK930" s="47"/>
      <c r="AL930" s="47"/>
      <c r="AM930" s="47"/>
      <c r="AN930" s="47"/>
      <c r="AO930" s="47"/>
      <c r="AP930" s="47"/>
      <c r="AQ930" s="47"/>
      <c r="AR930" s="47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47"/>
      <c r="BE930" s="47"/>
      <c r="BF930" s="47"/>
      <c r="BG930" s="47"/>
      <c r="BH930" s="47"/>
      <c r="BI930" s="47"/>
      <c r="BJ930" s="47"/>
      <c r="BK930" s="47"/>
    </row>
    <row r="931">
      <c r="AK931" s="47"/>
      <c r="AL931" s="47"/>
      <c r="AM931" s="47"/>
      <c r="AN931" s="47"/>
      <c r="AO931" s="47"/>
      <c r="AP931" s="47"/>
      <c r="AQ931" s="47"/>
      <c r="AR931" s="47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47"/>
      <c r="BE931" s="47"/>
      <c r="BF931" s="47"/>
      <c r="BG931" s="47"/>
      <c r="BH931" s="47"/>
      <c r="BI931" s="47"/>
      <c r="BJ931" s="47"/>
      <c r="BK931" s="47"/>
    </row>
    <row r="932">
      <c r="AK932" s="47"/>
      <c r="AL932" s="47"/>
      <c r="AM932" s="47"/>
      <c r="AN932" s="47"/>
      <c r="AO932" s="47"/>
      <c r="AP932" s="47"/>
      <c r="AQ932" s="47"/>
      <c r="AR932" s="47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47"/>
      <c r="BE932" s="47"/>
      <c r="BF932" s="47"/>
      <c r="BG932" s="47"/>
      <c r="BH932" s="47"/>
      <c r="BI932" s="47"/>
      <c r="BJ932" s="47"/>
      <c r="BK932" s="47"/>
    </row>
    <row r="933">
      <c r="AK933" s="47"/>
      <c r="AL933" s="47"/>
      <c r="AM933" s="47"/>
      <c r="AN933" s="47"/>
      <c r="AO933" s="47"/>
      <c r="AP933" s="47"/>
      <c r="AQ933" s="47"/>
      <c r="AR933" s="47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47"/>
      <c r="BE933" s="47"/>
      <c r="BF933" s="47"/>
      <c r="BG933" s="47"/>
      <c r="BH933" s="47"/>
      <c r="BI933" s="47"/>
      <c r="BJ933" s="47"/>
      <c r="BK933" s="47"/>
    </row>
    <row r="934">
      <c r="AK934" s="47"/>
      <c r="AL934" s="47"/>
      <c r="AM934" s="47"/>
      <c r="AN934" s="47"/>
      <c r="AO934" s="47"/>
      <c r="AP934" s="47"/>
      <c r="AQ934" s="47"/>
      <c r="AR934" s="47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47"/>
      <c r="BE934" s="47"/>
      <c r="BF934" s="47"/>
      <c r="BG934" s="47"/>
      <c r="BH934" s="47"/>
      <c r="BI934" s="47"/>
      <c r="BJ934" s="47"/>
      <c r="BK934" s="47"/>
    </row>
    <row r="935">
      <c r="AK935" s="47"/>
      <c r="AL935" s="47"/>
      <c r="AM935" s="47"/>
      <c r="AN935" s="47"/>
      <c r="AO935" s="47"/>
      <c r="AP935" s="47"/>
      <c r="AQ935" s="47"/>
      <c r="AR935" s="47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47"/>
      <c r="BE935" s="47"/>
      <c r="BF935" s="47"/>
      <c r="BG935" s="47"/>
      <c r="BH935" s="47"/>
      <c r="BI935" s="47"/>
      <c r="BJ935" s="47"/>
      <c r="BK935" s="47"/>
    </row>
    <row r="936">
      <c r="AK936" s="47"/>
      <c r="AL936" s="47"/>
      <c r="AM936" s="47"/>
      <c r="AN936" s="47"/>
      <c r="AO936" s="47"/>
      <c r="AP936" s="47"/>
      <c r="AQ936" s="47"/>
      <c r="AR936" s="47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47"/>
      <c r="BE936" s="47"/>
      <c r="BF936" s="47"/>
      <c r="BG936" s="47"/>
      <c r="BH936" s="47"/>
      <c r="BI936" s="47"/>
      <c r="BJ936" s="47"/>
      <c r="BK936" s="47"/>
    </row>
    <row r="937">
      <c r="AK937" s="47"/>
      <c r="AL937" s="47"/>
      <c r="AM937" s="47"/>
      <c r="AN937" s="47"/>
      <c r="AO937" s="47"/>
      <c r="AP937" s="47"/>
      <c r="AQ937" s="47"/>
      <c r="AR937" s="47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47"/>
      <c r="BE937" s="47"/>
      <c r="BF937" s="47"/>
      <c r="BG937" s="47"/>
      <c r="BH937" s="47"/>
      <c r="BI937" s="47"/>
      <c r="BJ937" s="47"/>
      <c r="BK937" s="47"/>
    </row>
    <row r="938">
      <c r="AK938" s="47"/>
      <c r="AL938" s="47"/>
      <c r="AM938" s="47"/>
      <c r="AN938" s="47"/>
      <c r="AO938" s="47"/>
      <c r="AP938" s="47"/>
      <c r="AQ938" s="47"/>
      <c r="AR938" s="47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47"/>
      <c r="BE938" s="47"/>
      <c r="BF938" s="47"/>
      <c r="BG938" s="47"/>
      <c r="BH938" s="47"/>
      <c r="BI938" s="47"/>
      <c r="BJ938" s="47"/>
      <c r="BK938" s="47"/>
    </row>
    <row r="939">
      <c r="AK939" s="47"/>
      <c r="AL939" s="47"/>
      <c r="AM939" s="47"/>
      <c r="AN939" s="47"/>
      <c r="AO939" s="47"/>
      <c r="AP939" s="47"/>
      <c r="AQ939" s="47"/>
      <c r="AR939" s="47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47"/>
      <c r="BE939" s="47"/>
      <c r="BF939" s="47"/>
      <c r="BG939" s="47"/>
      <c r="BH939" s="47"/>
      <c r="BI939" s="47"/>
      <c r="BJ939" s="47"/>
      <c r="BK939" s="47"/>
    </row>
    <row r="940">
      <c r="AK940" s="47"/>
      <c r="AL940" s="47"/>
      <c r="AM940" s="47"/>
      <c r="AN940" s="47"/>
      <c r="AO940" s="47"/>
      <c r="AP940" s="47"/>
      <c r="AQ940" s="47"/>
      <c r="AR940" s="47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47"/>
      <c r="BE940" s="47"/>
      <c r="BF940" s="47"/>
      <c r="BG940" s="47"/>
      <c r="BH940" s="47"/>
      <c r="BI940" s="47"/>
      <c r="BJ940" s="47"/>
      <c r="BK940" s="47"/>
    </row>
    <row r="941">
      <c r="AK941" s="47"/>
      <c r="AL941" s="47"/>
      <c r="AM941" s="47"/>
      <c r="AN941" s="47"/>
      <c r="AO941" s="47"/>
      <c r="AP941" s="47"/>
      <c r="AQ941" s="47"/>
      <c r="AR941" s="47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47"/>
      <c r="BE941" s="47"/>
      <c r="BF941" s="47"/>
      <c r="BG941" s="47"/>
      <c r="BH941" s="47"/>
      <c r="BI941" s="47"/>
      <c r="BJ941" s="47"/>
      <c r="BK941" s="47"/>
    </row>
    <row r="942">
      <c r="AK942" s="47"/>
      <c r="AL942" s="47"/>
      <c r="AM942" s="47"/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</row>
    <row r="943">
      <c r="AK943" s="47"/>
      <c r="AL943" s="47"/>
      <c r="AM943" s="47"/>
      <c r="AN943" s="47"/>
      <c r="AO943" s="47"/>
      <c r="AP943" s="47"/>
      <c r="AQ943" s="47"/>
      <c r="AR943" s="47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47"/>
      <c r="BE943" s="47"/>
      <c r="BF943" s="47"/>
      <c r="BG943" s="47"/>
      <c r="BH943" s="47"/>
      <c r="BI943" s="47"/>
      <c r="BJ943" s="47"/>
      <c r="BK943" s="47"/>
    </row>
    <row r="944">
      <c r="AK944" s="47"/>
      <c r="AL944" s="47"/>
      <c r="AM944" s="47"/>
      <c r="AN944" s="47"/>
      <c r="AO944" s="47"/>
      <c r="AP944" s="47"/>
      <c r="AQ944" s="47"/>
      <c r="AR944" s="47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47"/>
      <c r="BE944" s="47"/>
      <c r="BF944" s="47"/>
      <c r="BG944" s="47"/>
      <c r="BH944" s="47"/>
      <c r="BI944" s="47"/>
      <c r="BJ944" s="47"/>
      <c r="BK944" s="47"/>
    </row>
    <row r="945">
      <c r="AK945" s="47"/>
      <c r="AL945" s="47"/>
      <c r="AM945" s="47"/>
      <c r="AN945" s="47"/>
      <c r="AO945" s="47"/>
      <c r="AP945" s="47"/>
      <c r="AQ945" s="47"/>
      <c r="AR945" s="47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47"/>
      <c r="BE945" s="47"/>
      <c r="BF945" s="47"/>
      <c r="BG945" s="47"/>
      <c r="BH945" s="47"/>
      <c r="BI945" s="47"/>
      <c r="BJ945" s="47"/>
      <c r="BK945" s="47"/>
    </row>
    <row r="946">
      <c r="AK946" s="47"/>
      <c r="AL946" s="47"/>
      <c r="AM946" s="47"/>
      <c r="AN946" s="47"/>
      <c r="AO946" s="47"/>
      <c r="AP946" s="47"/>
      <c r="AQ946" s="47"/>
      <c r="AR946" s="47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47"/>
      <c r="BE946" s="47"/>
      <c r="BF946" s="47"/>
      <c r="BG946" s="47"/>
      <c r="BH946" s="47"/>
      <c r="BI946" s="47"/>
      <c r="BJ946" s="47"/>
      <c r="BK946" s="47"/>
    </row>
    <row r="947">
      <c r="AK947" s="47"/>
      <c r="AL947" s="47"/>
      <c r="AM947" s="47"/>
      <c r="AN947" s="47"/>
      <c r="AO947" s="47"/>
      <c r="AP947" s="47"/>
      <c r="AQ947" s="47"/>
      <c r="AR947" s="47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47"/>
      <c r="BE947" s="47"/>
      <c r="BF947" s="47"/>
      <c r="BG947" s="47"/>
      <c r="BH947" s="47"/>
      <c r="BI947" s="47"/>
      <c r="BJ947" s="47"/>
      <c r="BK947" s="47"/>
    </row>
    <row r="948">
      <c r="AK948" s="47"/>
      <c r="AL948" s="47"/>
      <c r="AM948" s="47"/>
      <c r="AN948" s="47"/>
      <c r="AO948" s="47"/>
      <c r="AP948" s="47"/>
      <c r="AQ948" s="47"/>
      <c r="AR948" s="47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47"/>
      <c r="BE948" s="47"/>
      <c r="BF948" s="47"/>
      <c r="BG948" s="47"/>
      <c r="BH948" s="47"/>
      <c r="BI948" s="47"/>
      <c r="BJ948" s="47"/>
      <c r="BK948" s="47"/>
    </row>
    <row r="949">
      <c r="AK949" s="47"/>
      <c r="AL949" s="47"/>
      <c r="AM949" s="47"/>
      <c r="AN949" s="47"/>
      <c r="AO949" s="47"/>
      <c r="AP949" s="47"/>
      <c r="AQ949" s="47"/>
      <c r="AR949" s="47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47"/>
      <c r="BE949" s="47"/>
      <c r="BF949" s="47"/>
      <c r="BG949" s="47"/>
      <c r="BH949" s="47"/>
      <c r="BI949" s="47"/>
      <c r="BJ949" s="47"/>
      <c r="BK949" s="47"/>
    </row>
    <row r="950">
      <c r="AK950" s="47"/>
      <c r="AL950" s="47"/>
      <c r="AM950" s="47"/>
      <c r="AN950" s="47"/>
      <c r="AO950" s="47"/>
      <c r="AP950" s="47"/>
      <c r="AQ950" s="47"/>
      <c r="AR950" s="47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47"/>
      <c r="BE950" s="47"/>
      <c r="BF950" s="47"/>
      <c r="BG950" s="47"/>
      <c r="BH950" s="47"/>
      <c r="BI950" s="47"/>
      <c r="BJ950" s="47"/>
      <c r="BK950" s="47"/>
    </row>
    <row r="951">
      <c r="AK951" s="47"/>
      <c r="AL951" s="47"/>
      <c r="AM951" s="47"/>
      <c r="AN951" s="47"/>
      <c r="AO951" s="47"/>
      <c r="AP951" s="47"/>
      <c r="AQ951" s="47"/>
      <c r="AR951" s="47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47"/>
      <c r="BE951" s="47"/>
      <c r="BF951" s="47"/>
      <c r="BG951" s="47"/>
      <c r="BH951" s="47"/>
      <c r="BI951" s="47"/>
      <c r="BJ951" s="47"/>
      <c r="BK951" s="47"/>
    </row>
    <row r="952">
      <c r="AK952" s="47"/>
      <c r="AL952" s="47"/>
      <c r="AM952" s="47"/>
      <c r="AN952" s="47"/>
      <c r="AO952" s="47"/>
      <c r="AP952" s="47"/>
      <c r="AQ952" s="47"/>
      <c r="AR952" s="47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47"/>
      <c r="BE952" s="47"/>
      <c r="BF952" s="47"/>
      <c r="BG952" s="47"/>
      <c r="BH952" s="47"/>
      <c r="BI952" s="47"/>
      <c r="BJ952" s="47"/>
      <c r="BK952" s="47"/>
    </row>
    <row r="953">
      <c r="AK953" s="47"/>
      <c r="AL953" s="47"/>
      <c r="AM953" s="47"/>
      <c r="AN953" s="47"/>
      <c r="AO953" s="47"/>
      <c r="AP953" s="47"/>
      <c r="AQ953" s="47"/>
      <c r="AR953" s="47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47"/>
      <c r="BE953" s="47"/>
      <c r="BF953" s="47"/>
      <c r="BG953" s="47"/>
      <c r="BH953" s="47"/>
      <c r="BI953" s="47"/>
      <c r="BJ953" s="47"/>
      <c r="BK953" s="47"/>
    </row>
    <row r="954">
      <c r="AK954" s="47"/>
      <c r="AL954" s="47"/>
      <c r="AM954" s="47"/>
      <c r="AN954" s="47"/>
      <c r="AO954" s="47"/>
      <c r="AP954" s="47"/>
      <c r="AQ954" s="47"/>
      <c r="AR954" s="47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47"/>
      <c r="BE954" s="47"/>
      <c r="BF954" s="47"/>
      <c r="BG954" s="47"/>
      <c r="BH954" s="47"/>
      <c r="BI954" s="47"/>
      <c r="BJ954" s="47"/>
      <c r="BK954" s="47"/>
    </row>
    <row r="955">
      <c r="AK955" s="47"/>
      <c r="AL955" s="47"/>
      <c r="AM955" s="47"/>
      <c r="AN955" s="47"/>
      <c r="AO955" s="47"/>
      <c r="AP955" s="47"/>
      <c r="AQ955" s="47"/>
      <c r="AR955" s="47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47"/>
      <c r="BE955" s="47"/>
      <c r="BF955" s="47"/>
      <c r="BG955" s="47"/>
      <c r="BH955" s="47"/>
      <c r="BI955" s="47"/>
      <c r="BJ955" s="47"/>
      <c r="BK955" s="47"/>
    </row>
    <row r="956">
      <c r="AK956" s="47"/>
      <c r="AL956" s="47"/>
      <c r="AM956" s="47"/>
      <c r="AN956" s="47"/>
      <c r="AO956" s="47"/>
      <c r="AP956" s="47"/>
      <c r="AQ956" s="47"/>
      <c r="AR956" s="47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47"/>
      <c r="BE956" s="47"/>
      <c r="BF956" s="47"/>
      <c r="BG956" s="47"/>
      <c r="BH956" s="47"/>
      <c r="BI956" s="47"/>
      <c r="BJ956" s="47"/>
      <c r="BK956" s="47"/>
    </row>
    <row r="957">
      <c r="AK957" s="47"/>
      <c r="AL957" s="47"/>
      <c r="AM957" s="47"/>
      <c r="AN957" s="47"/>
      <c r="AO957" s="47"/>
      <c r="AP957" s="47"/>
      <c r="AQ957" s="47"/>
      <c r="AR957" s="47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47"/>
      <c r="BE957" s="47"/>
      <c r="BF957" s="47"/>
      <c r="BG957" s="47"/>
      <c r="BH957" s="47"/>
      <c r="BI957" s="47"/>
      <c r="BJ957" s="47"/>
      <c r="BK957" s="47"/>
    </row>
    <row r="958">
      <c r="AK958" s="47"/>
      <c r="AL958" s="47"/>
      <c r="AM958" s="47"/>
      <c r="AN958" s="47"/>
      <c r="AO958" s="47"/>
      <c r="AP958" s="47"/>
      <c r="AQ958" s="47"/>
      <c r="AR958" s="47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47"/>
      <c r="BE958" s="47"/>
      <c r="BF958" s="47"/>
      <c r="BG958" s="47"/>
      <c r="BH958" s="47"/>
      <c r="BI958" s="47"/>
      <c r="BJ958" s="47"/>
      <c r="BK958" s="47"/>
    </row>
    <row r="959">
      <c r="AK959" s="47"/>
      <c r="AL959" s="47"/>
      <c r="AM959" s="47"/>
      <c r="AN959" s="47"/>
      <c r="AO959" s="47"/>
      <c r="AP959" s="47"/>
      <c r="AQ959" s="47"/>
      <c r="AR959" s="47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47"/>
      <c r="BE959" s="47"/>
      <c r="BF959" s="47"/>
      <c r="BG959" s="47"/>
      <c r="BH959" s="47"/>
      <c r="BI959" s="47"/>
      <c r="BJ959" s="47"/>
      <c r="BK959" s="47"/>
    </row>
    <row r="960">
      <c r="AK960" s="47"/>
      <c r="AL960" s="47"/>
      <c r="AM960" s="47"/>
      <c r="AN960" s="47"/>
      <c r="AO960" s="47"/>
      <c r="AP960" s="47"/>
      <c r="AQ960" s="47"/>
      <c r="AR960" s="47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47"/>
      <c r="BE960" s="47"/>
      <c r="BF960" s="47"/>
      <c r="BG960" s="47"/>
      <c r="BH960" s="47"/>
      <c r="BI960" s="47"/>
      <c r="BJ960" s="47"/>
      <c r="BK960" s="47"/>
    </row>
    <row r="961">
      <c r="AK961" s="47"/>
      <c r="AL961" s="47"/>
      <c r="AM961" s="47"/>
      <c r="AN961" s="47"/>
      <c r="AO961" s="47"/>
      <c r="AP961" s="47"/>
      <c r="AQ961" s="47"/>
      <c r="AR961" s="47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47"/>
      <c r="BE961" s="47"/>
      <c r="BF961" s="47"/>
      <c r="BG961" s="47"/>
      <c r="BH961" s="47"/>
      <c r="BI961" s="47"/>
      <c r="BJ961" s="47"/>
      <c r="BK961" s="47"/>
    </row>
    <row r="962">
      <c r="AK962" s="47"/>
      <c r="AL962" s="47"/>
      <c r="AM962" s="47"/>
      <c r="AN962" s="47"/>
      <c r="AO962" s="47"/>
      <c r="AP962" s="47"/>
      <c r="AQ962" s="47"/>
      <c r="AR962" s="47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47"/>
      <c r="BE962" s="47"/>
      <c r="BF962" s="47"/>
      <c r="BG962" s="47"/>
      <c r="BH962" s="47"/>
      <c r="BI962" s="47"/>
      <c r="BJ962" s="47"/>
      <c r="BK962" s="47"/>
    </row>
    <row r="963">
      <c r="AK963" s="47"/>
      <c r="AL963" s="47"/>
      <c r="AM963" s="47"/>
      <c r="AN963" s="47"/>
      <c r="AO963" s="47"/>
      <c r="AP963" s="47"/>
      <c r="AQ963" s="47"/>
      <c r="AR963" s="47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47"/>
      <c r="BE963" s="47"/>
      <c r="BF963" s="47"/>
      <c r="BG963" s="47"/>
      <c r="BH963" s="47"/>
      <c r="BI963" s="47"/>
      <c r="BJ963" s="47"/>
      <c r="BK963" s="47"/>
    </row>
    <row r="964">
      <c r="AK964" s="47"/>
      <c r="AL964" s="47"/>
      <c r="AM964" s="47"/>
      <c r="AN964" s="47"/>
      <c r="AO964" s="47"/>
      <c r="AP964" s="47"/>
      <c r="AQ964" s="47"/>
      <c r="AR964" s="47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47"/>
      <c r="BE964" s="47"/>
      <c r="BF964" s="47"/>
      <c r="BG964" s="47"/>
      <c r="BH964" s="47"/>
      <c r="BI964" s="47"/>
      <c r="BJ964" s="47"/>
      <c r="BK964" s="47"/>
    </row>
    <row r="965">
      <c r="AK965" s="47"/>
      <c r="AL965" s="47"/>
      <c r="AM965" s="47"/>
      <c r="AN965" s="47"/>
      <c r="AO965" s="47"/>
      <c r="AP965" s="47"/>
      <c r="AQ965" s="47"/>
      <c r="AR965" s="47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47"/>
      <c r="BE965" s="47"/>
      <c r="BF965" s="47"/>
      <c r="BG965" s="47"/>
      <c r="BH965" s="47"/>
      <c r="BI965" s="47"/>
      <c r="BJ965" s="47"/>
      <c r="BK965" s="47"/>
    </row>
    <row r="966">
      <c r="AK966" s="47"/>
      <c r="AL966" s="47"/>
      <c r="AM966" s="47"/>
      <c r="AN966" s="47"/>
      <c r="AO966" s="47"/>
      <c r="AP966" s="47"/>
      <c r="AQ966" s="47"/>
      <c r="AR966" s="47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47"/>
      <c r="BE966" s="47"/>
      <c r="BF966" s="47"/>
      <c r="BG966" s="47"/>
      <c r="BH966" s="47"/>
      <c r="BI966" s="47"/>
      <c r="BJ966" s="47"/>
      <c r="BK966" s="47"/>
    </row>
    <row r="967">
      <c r="AK967" s="47"/>
      <c r="AL967" s="47"/>
      <c r="AM967" s="47"/>
      <c r="AN967" s="47"/>
      <c r="AO967" s="47"/>
      <c r="AP967" s="47"/>
      <c r="AQ967" s="47"/>
      <c r="AR967" s="47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47"/>
      <c r="BE967" s="47"/>
      <c r="BF967" s="47"/>
      <c r="BG967" s="47"/>
      <c r="BH967" s="47"/>
      <c r="BI967" s="47"/>
      <c r="BJ967" s="47"/>
      <c r="BK967" s="47"/>
    </row>
    <row r="968">
      <c r="AK968" s="47"/>
      <c r="AL968" s="47"/>
      <c r="AM968" s="47"/>
      <c r="AN968" s="47"/>
      <c r="AO968" s="47"/>
      <c r="AP968" s="47"/>
      <c r="AQ968" s="47"/>
      <c r="AR968" s="47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47"/>
      <c r="BE968" s="47"/>
      <c r="BF968" s="47"/>
      <c r="BG968" s="47"/>
      <c r="BH968" s="47"/>
      <c r="BI968" s="47"/>
      <c r="BJ968" s="47"/>
      <c r="BK968" s="47"/>
    </row>
    <row r="969">
      <c r="AK969" s="47"/>
      <c r="AL969" s="47"/>
      <c r="AM969" s="47"/>
      <c r="AN969" s="47"/>
      <c r="AO969" s="47"/>
      <c r="AP969" s="47"/>
      <c r="AQ969" s="47"/>
      <c r="AR969" s="47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47"/>
      <c r="BE969" s="47"/>
      <c r="BF969" s="47"/>
      <c r="BG969" s="47"/>
      <c r="BH969" s="47"/>
      <c r="BI969" s="47"/>
      <c r="BJ969" s="47"/>
      <c r="BK969" s="47"/>
    </row>
    <row r="970">
      <c r="AK970" s="47"/>
      <c r="AL970" s="47"/>
      <c r="AM970" s="47"/>
      <c r="AN970" s="47"/>
      <c r="AO970" s="47"/>
      <c r="AP970" s="47"/>
      <c r="AQ970" s="47"/>
      <c r="AR970" s="47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47"/>
      <c r="BE970" s="47"/>
      <c r="BF970" s="47"/>
      <c r="BG970" s="47"/>
      <c r="BH970" s="47"/>
      <c r="BI970" s="47"/>
      <c r="BJ970" s="47"/>
      <c r="BK970" s="47"/>
    </row>
    <row r="971">
      <c r="AK971" s="47"/>
      <c r="AL971" s="47"/>
      <c r="AM971" s="47"/>
      <c r="AN971" s="47"/>
      <c r="AO971" s="47"/>
      <c r="AP971" s="47"/>
      <c r="AQ971" s="47"/>
      <c r="AR971" s="47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47"/>
      <c r="BE971" s="47"/>
      <c r="BF971" s="47"/>
      <c r="BG971" s="47"/>
      <c r="BH971" s="47"/>
      <c r="BI971" s="47"/>
      <c r="BJ971" s="47"/>
      <c r="BK971" s="47"/>
    </row>
    <row r="972">
      <c r="AK972" s="47"/>
      <c r="AL972" s="47"/>
      <c r="AM972" s="47"/>
      <c r="AN972" s="47"/>
      <c r="AO972" s="47"/>
      <c r="AP972" s="47"/>
      <c r="AQ972" s="47"/>
      <c r="AR972" s="47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47"/>
      <c r="BE972" s="47"/>
      <c r="BF972" s="47"/>
      <c r="BG972" s="47"/>
      <c r="BH972" s="47"/>
      <c r="BI972" s="47"/>
      <c r="BJ972" s="47"/>
      <c r="BK972" s="47"/>
    </row>
    <row r="973">
      <c r="AK973" s="47"/>
      <c r="AL973" s="47"/>
      <c r="AM973" s="47"/>
      <c r="AN973" s="47"/>
      <c r="AO973" s="47"/>
      <c r="AP973" s="47"/>
      <c r="AQ973" s="47"/>
      <c r="AR973" s="47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47"/>
      <c r="BE973" s="47"/>
      <c r="BF973" s="47"/>
      <c r="BG973" s="47"/>
      <c r="BH973" s="47"/>
      <c r="BI973" s="47"/>
      <c r="BJ973" s="47"/>
      <c r="BK973" s="47"/>
    </row>
    <row r="974">
      <c r="AK974" s="47"/>
      <c r="AL974" s="47"/>
      <c r="AM974" s="47"/>
      <c r="AN974" s="47"/>
      <c r="AO974" s="47"/>
      <c r="AP974" s="47"/>
      <c r="AQ974" s="47"/>
      <c r="AR974" s="47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47"/>
      <c r="BE974" s="47"/>
      <c r="BF974" s="47"/>
      <c r="BG974" s="47"/>
      <c r="BH974" s="47"/>
      <c r="BI974" s="47"/>
      <c r="BJ974" s="47"/>
      <c r="BK974" s="47"/>
    </row>
    <row r="975">
      <c r="AK975" s="47"/>
      <c r="AL975" s="47"/>
      <c r="AM975" s="47"/>
      <c r="AN975" s="47"/>
      <c r="AO975" s="47"/>
      <c r="AP975" s="47"/>
      <c r="AQ975" s="47"/>
      <c r="AR975" s="47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47"/>
      <c r="BE975" s="47"/>
      <c r="BF975" s="47"/>
      <c r="BG975" s="47"/>
      <c r="BH975" s="47"/>
      <c r="BI975" s="47"/>
      <c r="BJ975" s="47"/>
      <c r="BK975" s="47"/>
    </row>
    <row r="976">
      <c r="AK976" s="47"/>
      <c r="AL976" s="47"/>
      <c r="AM976" s="47"/>
      <c r="AN976" s="47"/>
      <c r="AO976" s="47"/>
      <c r="AP976" s="47"/>
      <c r="AQ976" s="47"/>
      <c r="AR976" s="47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47"/>
      <c r="BE976" s="47"/>
      <c r="BF976" s="47"/>
      <c r="BG976" s="47"/>
      <c r="BH976" s="47"/>
      <c r="BI976" s="47"/>
      <c r="BJ976" s="47"/>
      <c r="BK976" s="47"/>
    </row>
    <row r="977">
      <c r="AK977" s="47"/>
      <c r="AL977" s="47"/>
      <c r="AM977" s="47"/>
      <c r="AN977" s="47"/>
      <c r="AO977" s="47"/>
      <c r="AP977" s="47"/>
      <c r="AQ977" s="47"/>
      <c r="AR977" s="47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47"/>
      <c r="BE977" s="47"/>
      <c r="BF977" s="47"/>
      <c r="BG977" s="47"/>
      <c r="BH977" s="47"/>
      <c r="BI977" s="47"/>
      <c r="BJ977" s="47"/>
      <c r="BK977" s="47"/>
    </row>
    <row r="978">
      <c r="AK978" s="47"/>
      <c r="AL978" s="47"/>
      <c r="AM978" s="47"/>
      <c r="AN978" s="47"/>
      <c r="AO978" s="47"/>
      <c r="AP978" s="47"/>
      <c r="AQ978" s="47"/>
      <c r="AR978" s="47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47"/>
      <c r="BE978" s="47"/>
      <c r="BF978" s="47"/>
      <c r="BG978" s="47"/>
      <c r="BH978" s="47"/>
      <c r="BI978" s="47"/>
      <c r="BJ978" s="47"/>
      <c r="BK978" s="47"/>
    </row>
    <row r="979">
      <c r="AK979" s="47"/>
      <c r="AL979" s="47"/>
      <c r="AM979" s="47"/>
      <c r="AN979" s="47"/>
      <c r="AO979" s="47"/>
      <c r="AP979" s="47"/>
      <c r="AQ979" s="47"/>
      <c r="AR979" s="47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47"/>
      <c r="BE979" s="47"/>
      <c r="BF979" s="47"/>
      <c r="BG979" s="47"/>
      <c r="BH979" s="47"/>
      <c r="BI979" s="47"/>
      <c r="BJ979" s="47"/>
      <c r="BK979" s="47"/>
    </row>
    <row r="980">
      <c r="AK980" s="47"/>
      <c r="AL980" s="47"/>
      <c r="AM980" s="47"/>
      <c r="AN980" s="47"/>
      <c r="AO980" s="47"/>
      <c r="AP980" s="47"/>
      <c r="AQ980" s="47"/>
      <c r="AR980" s="47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47"/>
      <c r="BE980" s="47"/>
      <c r="BF980" s="47"/>
      <c r="BG980" s="47"/>
      <c r="BH980" s="47"/>
      <c r="BI980" s="47"/>
      <c r="BJ980" s="47"/>
      <c r="BK980" s="47"/>
    </row>
    <row r="981">
      <c r="AK981" s="47"/>
      <c r="AL981" s="47"/>
      <c r="AM981" s="47"/>
      <c r="AN981" s="47"/>
      <c r="AO981" s="47"/>
      <c r="AP981" s="47"/>
      <c r="AQ981" s="47"/>
      <c r="AR981" s="47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47"/>
      <c r="BE981" s="47"/>
      <c r="BF981" s="47"/>
      <c r="BG981" s="47"/>
      <c r="BH981" s="47"/>
      <c r="BI981" s="47"/>
      <c r="BJ981" s="47"/>
      <c r="BK981" s="47"/>
    </row>
    <row r="982">
      <c r="AK982" s="47"/>
      <c r="AL982" s="47"/>
      <c r="AM982" s="47"/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</row>
    <row r="983">
      <c r="AK983" s="47"/>
      <c r="AL983" s="47"/>
      <c r="AM983" s="47"/>
      <c r="AN983" s="47"/>
      <c r="AO983" s="47"/>
      <c r="AP983" s="47"/>
      <c r="AQ983" s="47"/>
      <c r="AR983" s="47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47"/>
      <c r="BE983" s="47"/>
      <c r="BF983" s="47"/>
      <c r="BG983" s="47"/>
      <c r="BH983" s="47"/>
      <c r="BI983" s="47"/>
      <c r="BJ983" s="47"/>
      <c r="BK983" s="47"/>
    </row>
    <row r="984">
      <c r="AK984" s="47"/>
      <c r="AL984" s="47"/>
      <c r="AM984" s="47"/>
      <c r="AN984" s="47"/>
      <c r="AO984" s="47"/>
      <c r="AP984" s="47"/>
      <c r="AQ984" s="47"/>
      <c r="AR984" s="47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47"/>
      <c r="BE984" s="47"/>
      <c r="BF984" s="47"/>
      <c r="BG984" s="47"/>
      <c r="BH984" s="47"/>
      <c r="BI984" s="47"/>
      <c r="BJ984" s="47"/>
      <c r="BK984" s="47"/>
    </row>
    <row r="985">
      <c r="AK985" s="47"/>
      <c r="AL985" s="47"/>
      <c r="AM985" s="47"/>
      <c r="AN985" s="47"/>
      <c r="AO985" s="47"/>
      <c r="AP985" s="47"/>
      <c r="AQ985" s="47"/>
      <c r="AR985" s="47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47"/>
      <c r="BE985" s="47"/>
      <c r="BF985" s="47"/>
      <c r="BG985" s="47"/>
      <c r="BH985" s="47"/>
      <c r="BI985" s="47"/>
      <c r="BJ985" s="47"/>
      <c r="BK985" s="47"/>
    </row>
  </sheetData>
  <dataValidations>
    <dataValidation type="list" allowBlank="1" showErrorMessage="1" sqref="B5:B19">
      <formula1>"Cafeteria,Aseo,Cocina"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4.13"/>
    <col customWidth="1" min="3" max="3" width="21.38"/>
    <col customWidth="1" hidden="1" min="4" max="6" width="10.38"/>
    <col hidden="1" min="7" max="29" width="12.63"/>
    <col customWidth="1" hidden="1" min="30" max="30" width="10.38"/>
    <col customWidth="1" hidden="1" min="31" max="31" width="13.5"/>
    <col hidden="1" min="32" max="40" width="12.63"/>
    <col customWidth="1" hidden="1" min="41" max="41" width="15.25"/>
    <col hidden="1" min="42" max="51" width="12.63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7"/>
      <c r="J1" s="16"/>
      <c r="K1" s="27"/>
      <c r="L1" s="27"/>
      <c r="M1" s="16"/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H2" si="1">E2+7</f>
        <v>45824</v>
      </c>
      <c r="G2" s="18">
        <f t="shared" si="1"/>
        <v>45831</v>
      </c>
      <c r="H2" s="17">
        <f t="shared" si="1"/>
        <v>45838</v>
      </c>
      <c r="I2" s="17">
        <v>45845.0</v>
      </c>
      <c r="J2" s="17">
        <f>I2+6</f>
        <v>45851</v>
      </c>
      <c r="K2" s="18">
        <f t="shared" ref="K2:L2" si="2">I2+7</f>
        <v>45852</v>
      </c>
      <c r="L2" s="18">
        <f t="shared" si="2"/>
        <v>45858</v>
      </c>
      <c r="M2" s="17">
        <f>L2+7</f>
        <v>45865</v>
      </c>
      <c r="N2" s="17">
        <v>45873.0</v>
      </c>
      <c r="O2" s="17">
        <f t="shared" ref="O2:Q2" si="3">N2+7</f>
        <v>45880</v>
      </c>
      <c r="P2" s="18">
        <f t="shared" si="3"/>
        <v>45887</v>
      </c>
      <c r="Q2" s="18">
        <f t="shared" si="3"/>
        <v>45894</v>
      </c>
      <c r="R2" s="18">
        <v>45901.0</v>
      </c>
      <c r="S2" s="17">
        <v>45908.0</v>
      </c>
      <c r="T2" s="17">
        <v>45915.0</v>
      </c>
      <c r="U2" s="17">
        <v>45922.0</v>
      </c>
      <c r="V2" s="17">
        <v>45929.0</v>
      </c>
      <c r="W2" s="17">
        <f t="shared" ref="W2:AA2" si="4">V2+7</f>
        <v>45936</v>
      </c>
      <c r="X2" s="17">
        <f t="shared" si="4"/>
        <v>45943</v>
      </c>
      <c r="Y2" s="17">
        <f t="shared" si="4"/>
        <v>45950</v>
      </c>
      <c r="Z2" s="17">
        <f t="shared" si="4"/>
        <v>45957</v>
      </c>
      <c r="AA2" s="17">
        <f t="shared" si="4"/>
        <v>45964</v>
      </c>
      <c r="AB2" s="17">
        <v>45967.0</v>
      </c>
      <c r="AC2" s="17">
        <v>45971.0</v>
      </c>
      <c r="AD2" s="17">
        <f>AC2+7</f>
        <v>45978</v>
      </c>
      <c r="AE2" s="17">
        <f>AD2+3</f>
        <v>45981</v>
      </c>
      <c r="AF2" s="17">
        <v>45985.0</v>
      </c>
      <c r="AG2" s="17">
        <v>45988.0</v>
      </c>
      <c r="AH2" s="17">
        <v>46000.0</v>
      </c>
      <c r="AI2" s="17">
        <v>46020.0</v>
      </c>
      <c r="AJ2" s="17">
        <v>46027.0</v>
      </c>
      <c r="AK2" s="17">
        <v>46030.0</v>
      </c>
      <c r="AL2" s="17">
        <f>AK2+4</f>
        <v>46034</v>
      </c>
      <c r="AM2" s="17">
        <v>46037.0</v>
      </c>
      <c r="AN2" s="17">
        <v>46041.0</v>
      </c>
      <c r="AO2" s="17">
        <v>46044.0</v>
      </c>
      <c r="AP2" s="17">
        <v>46049.0</v>
      </c>
      <c r="AQ2" s="17">
        <v>46051.0</v>
      </c>
      <c r="AR2" s="17">
        <v>46055.0</v>
      </c>
      <c r="AS2" s="17">
        <v>46062.0</v>
      </c>
      <c r="AT2" s="17">
        <v>46065.0</v>
      </c>
      <c r="AU2" s="17">
        <v>46069.0</v>
      </c>
      <c r="AV2" s="17">
        <v>46072.0</v>
      </c>
      <c r="AW2" s="17">
        <v>46076.0</v>
      </c>
      <c r="AX2" s="17">
        <v>46083.0</v>
      </c>
      <c r="AY2" s="17">
        <v>46091.0</v>
      </c>
      <c r="AZ2" s="17">
        <v>46100.0</v>
      </c>
      <c r="BA2" s="17">
        <v>46104.0</v>
      </c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16" t="s">
        <v>3</v>
      </c>
      <c r="N3" s="16" t="s">
        <v>3</v>
      </c>
      <c r="O3" s="16" t="s">
        <v>3</v>
      </c>
      <c r="P3" s="16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</row>
    <row r="4">
      <c r="A4" s="57" t="s">
        <v>496</v>
      </c>
      <c r="B4" s="57" t="s">
        <v>7</v>
      </c>
      <c r="C4" s="19" t="s">
        <v>26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22"/>
      <c r="AG4" s="22"/>
      <c r="AH4" s="22"/>
      <c r="AI4" s="22"/>
      <c r="AJ4" s="22"/>
      <c r="AK4" s="22"/>
      <c r="AL4" s="32" t="s">
        <v>21</v>
      </c>
      <c r="AM4" s="32" t="s">
        <v>21</v>
      </c>
      <c r="AN4" s="32" t="s">
        <v>21</v>
      </c>
      <c r="AO4" s="22">
        <v>3.0</v>
      </c>
      <c r="AP4" s="22">
        <v>3.0</v>
      </c>
      <c r="AQ4" s="22">
        <v>3.0</v>
      </c>
      <c r="AR4" s="22">
        <v>3.0</v>
      </c>
      <c r="AS4" s="22">
        <v>5.0</v>
      </c>
      <c r="AT4" s="22">
        <v>5.0</v>
      </c>
      <c r="AU4" s="22">
        <v>4.0</v>
      </c>
      <c r="AV4" s="22">
        <v>3.0</v>
      </c>
      <c r="AW4" s="22">
        <v>3.0</v>
      </c>
      <c r="AX4" s="22">
        <v>3.0</v>
      </c>
      <c r="AY4" s="22">
        <v>2.0</v>
      </c>
      <c r="AZ4" s="22">
        <v>2.0</v>
      </c>
      <c r="BA4" s="22">
        <v>1.0</v>
      </c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</row>
    <row r="5">
      <c r="A5" s="57" t="s">
        <v>496</v>
      </c>
      <c r="B5" s="57" t="s">
        <v>7</v>
      </c>
      <c r="C5" s="19" t="s">
        <v>497</v>
      </c>
      <c r="AL5" s="32" t="s">
        <v>21</v>
      </c>
      <c r="AM5" s="32" t="s">
        <v>21</v>
      </c>
      <c r="AN5" s="32" t="s">
        <v>21</v>
      </c>
      <c r="AO5" s="32">
        <v>2.0</v>
      </c>
      <c r="AP5" s="22">
        <v>2.0</v>
      </c>
      <c r="AQ5" s="22">
        <v>2.0</v>
      </c>
      <c r="AR5" s="22">
        <v>2.0</v>
      </c>
      <c r="AS5" s="22">
        <v>5.0</v>
      </c>
      <c r="AT5" s="22">
        <v>5.0</v>
      </c>
      <c r="AU5" s="22">
        <v>5.0</v>
      </c>
      <c r="AV5" s="22">
        <v>4.0</v>
      </c>
      <c r="AW5" s="22">
        <v>4.0</v>
      </c>
      <c r="AX5" s="22">
        <v>4.0</v>
      </c>
      <c r="AY5" s="22">
        <v>3.0</v>
      </c>
      <c r="AZ5" s="22">
        <v>2.0</v>
      </c>
      <c r="BA5" s="22">
        <v>1.0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</row>
    <row r="6">
      <c r="A6" s="57" t="s">
        <v>496</v>
      </c>
      <c r="B6" s="57" t="s">
        <v>7</v>
      </c>
      <c r="C6" s="19" t="s">
        <v>12</v>
      </c>
      <c r="AL6" s="32" t="s">
        <v>21</v>
      </c>
      <c r="AM6" s="32" t="s">
        <v>21</v>
      </c>
      <c r="AN6" s="32" t="s">
        <v>21</v>
      </c>
      <c r="AO6" s="22">
        <v>4.0</v>
      </c>
      <c r="AP6" s="22">
        <v>4.0</v>
      </c>
      <c r="AQ6" s="22">
        <v>4.0</v>
      </c>
      <c r="AR6" s="22">
        <v>4.0</v>
      </c>
      <c r="AS6" s="22">
        <v>4.0</v>
      </c>
      <c r="AT6" s="22">
        <v>3.0</v>
      </c>
      <c r="AU6" s="22">
        <v>3.0</v>
      </c>
      <c r="AV6" s="22">
        <v>3.0</v>
      </c>
      <c r="AW6" s="22">
        <v>3.0</v>
      </c>
      <c r="AX6" s="22">
        <v>3.0</v>
      </c>
      <c r="AY6" s="22">
        <v>3.0</v>
      </c>
      <c r="AZ6" s="22">
        <v>3.0</v>
      </c>
      <c r="BA6" s="22">
        <v>3.0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>
      <c r="A7" s="57" t="s">
        <v>496</v>
      </c>
      <c r="B7" s="57" t="s">
        <v>7</v>
      </c>
      <c r="C7" s="19" t="s">
        <v>18</v>
      </c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59">
        <v>0.0</v>
      </c>
      <c r="Y7" s="59">
        <v>0.0</v>
      </c>
      <c r="Z7" s="59">
        <v>0.0</v>
      </c>
      <c r="AA7" s="59">
        <v>3.0</v>
      </c>
      <c r="AB7" s="59">
        <v>2.0</v>
      </c>
      <c r="AC7" s="59">
        <v>1.0</v>
      </c>
      <c r="AD7" s="59">
        <v>3.0</v>
      </c>
      <c r="AE7" s="59">
        <v>3.0</v>
      </c>
      <c r="AF7" s="22">
        <v>4.0</v>
      </c>
      <c r="AG7" s="22">
        <v>4.0</v>
      </c>
      <c r="AH7" s="22">
        <v>4.0</v>
      </c>
      <c r="AI7" s="22">
        <v>5.0</v>
      </c>
      <c r="AJ7" s="22">
        <v>5.0</v>
      </c>
      <c r="AK7" s="22">
        <v>4.0</v>
      </c>
      <c r="AL7" s="22">
        <v>3.0</v>
      </c>
      <c r="AM7" s="22">
        <v>3.0</v>
      </c>
      <c r="AN7" s="22">
        <v>4.0</v>
      </c>
      <c r="AO7" s="22">
        <v>4.0</v>
      </c>
      <c r="AP7" s="22">
        <v>4.0</v>
      </c>
      <c r="AQ7" s="22">
        <v>4.0</v>
      </c>
      <c r="AR7" s="22">
        <v>4.0</v>
      </c>
      <c r="AS7" s="22">
        <v>4.0</v>
      </c>
      <c r="AT7" s="22">
        <v>4.0</v>
      </c>
      <c r="AU7" s="22">
        <v>4.0</v>
      </c>
      <c r="AV7" s="22">
        <v>3.0</v>
      </c>
      <c r="AW7" s="22">
        <v>3.0</v>
      </c>
      <c r="AX7" s="22">
        <v>3.0</v>
      </c>
      <c r="AY7" s="22">
        <v>7.0</v>
      </c>
      <c r="AZ7" s="22">
        <v>6.0</v>
      </c>
      <c r="BA7" s="22">
        <v>6.0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</row>
    <row r="8">
      <c r="A8" s="57" t="s">
        <v>496</v>
      </c>
      <c r="B8" s="57" t="s">
        <v>7</v>
      </c>
      <c r="C8" s="19" t="s">
        <v>498</v>
      </c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22"/>
      <c r="AG8" s="22"/>
      <c r="AH8" s="22"/>
      <c r="AI8" s="22"/>
      <c r="AJ8" s="22"/>
      <c r="AK8" s="22"/>
      <c r="AL8" s="32" t="s">
        <v>21</v>
      </c>
      <c r="AM8" s="32" t="s">
        <v>21</v>
      </c>
      <c r="AN8" s="32" t="s">
        <v>21</v>
      </c>
      <c r="AO8" s="22">
        <v>6.0</v>
      </c>
      <c r="AP8" s="22">
        <v>6.0</v>
      </c>
      <c r="AQ8" s="22">
        <v>6.0</v>
      </c>
      <c r="AR8" s="22">
        <v>6.0</v>
      </c>
      <c r="AS8" s="22">
        <v>6.0</v>
      </c>
      <c r="AT8" s="22">
        <v>5.0</v>
      </c>
      <c r="AU8" s="22">
        <v>5.0</v>
      </c>
      <c r="AV8" s="22">
        <v>5.0</v>
      </c>
      <c r="AW8" s="22">
        <v>5.0</v>
      </c>
      <c r="AX8" s="22">
        <v>5.0</v>
      </c>
      <c r="AY8" s="22">
        <v>5.0</v>
      </c>
      <c r="AZ8" s="22">
        <v>5.0</v>
      </c>
      <c r="BA8" s="22">
        <v>5.0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</row>
    <row r="9">
      <c r="A9" s="57" t="s">
        <v>496</v>
      </c>
      <c r="B9" s="57" t="s">
        <v>7</v>
      </c>
      <c r="C9" s="19" t="s">
        <v>15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59">
        <v>0.0</v>
      </c>
      <c r="Y9" s="59">
        <v>0.0</v>
      </c>
      <c r="Z9" s="59">
        <v>0.0</v>
      </c>
      <c r="AA9" s="59">
        <v>12.0</v>
      </c>
      <c r="AB9" s="59">
        <v>3.0</v>
      </c>
      <c r="AC9" s="59">
        <v>0.0</v>
      </c>
      <c r="AD9" s="59">
        <v>36.0</v>
      </c>
      <c r="AE9" s="59">
        <v>30.0</v>
      </c>
      <c r="AF9" s="22">
        <v>26.0</v>
      </c>
      <c r="AG9" s="22">
        <v>18.0</v>
      </c>
      <c r="AH9" s="22">
        <v>5.0</v>
      </c>
      <c r="AI9" s="22">
        <v>17.0</v>
      </c>
      <c r="AJ9" s="22">
        <v>13.0</v>
      </c>
      <c r="AK9" s="22">
        <v>8.0</v>
      </c>
      <c r="AL9" s="22">
        <v>4.0</v>
      </c>
      <c r="AM9" s="22">
        <v>0.0</v>
      </c>
      <c r="AN9" s="22">
        <v>0.0</v>
      </c>
      <c r="AO9" s="22">
        <v>24.0</v>
      </c>
      <c r="AP9" s="22">
        <v>20.0</v>
      </c>
      <c r="AQ9" s="22">
        <v>15.0</v>
      </c>
      <c r="AR9" s="22">
        <v>11.0</v>
      </c>
      <c r="AS9" s="22">
        <v>18.0</v>
      </c>
      <c r="AT9" s="22">
        <v>10.0</v>
      </c>
      <c r="AU9" s="22">
        <v>7.0</v>
      </c>
      <c r="AV9" s="22">
        <v>1.0</v>
      </c>
      <c r="AW9" s="22">
        <v>0.0</v>
      </c>
      <c r="AX9" s="22">
        <v>0.0</v>
      </c>
      <c r="AY9" s="22">
        <v>24.0</v>
      </c>
      <c r="AZ9" s="22">
        <v>20.0</v>
      </c>
      <c r="BA9" s="22">
        <v>14.0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</row>
    <row r="10">
      <c r="A10" s="57" t="s">
        <v>496</v>
      </c>
      <c r="B10" s="57" t="s">
        <v>7</v>
      </c>
      <c r="C10" s="19" t="s">
        <v>499</v>
      </c>
      <c r="D10" s="57">
        <v>6.0</v>
      </c>
      <c r="E10" s="57"/>
      <c r="F10" s="57">
        <v>4.0</v>
      </c>
      <c r="G10" s="57">
        <v>2.0</v>
      </c>
      <c r="H10" s="60">
        <v>2.0</v>
      </c>
      <c r="I10" s="59">
        <v>2.0</v>
      </c>
      <c r="J10" s="58"/>
      <c r="K10" s="58"/>
      <c r="L10" s="59">
        <v>0.0</v>
      </c>
      <c r="M10" s="59">
        <v>0.0</v>
      </c>
      <c r="N10" s="59">
        <v>0.0</v>
      </c>
      <c r="O10" s="59">
        <v>0.0</v>
      </c>
      <c r="P10" s="59">
        <v>2.0</v>
      </c>
      <c r="Q10" s="59">
        <v>2.0</v>
      </c>
      <c r="R10" s="59">
        <v>2.0</v>
      </c>
      <c r="S10" s="59">
        <v>0.0</v>
      </c>
      <c r="T10" s="59">
        <v>4.0</v>
      </c>
      <c r="U10" s="59">
        <v>4.0</v>
      </c>
      <c r="V10" s="59">
        <v>8.0</v>
      </c>
      <c r="W10" s="59">
        <v>8.0</v>
      </c>
      <c r="X10" s="59">
        <v>8.0</v>
      </c>
      <c r="Y10" s="59">
        <v>7.0</v>
      </c>
      <c r="Z10" s="59">
        <v>6.0</v>
      </c>
      <c r="AA10" s="59">
        <v>6.0</v>
      </c>
      <c r="AB10" s="59">
        <v>6.0</v>
      </c>
      <c r="AC10" s="59">
        <v>6.0</v>
      </c>
      <c r="AD10" s="59">
        <v>7.0</v>
      </c>
      <c r="AE10" s="59">
        <v>7.0</v>
      </c>
      <c r="AF10" s="22">
        <v>5.0</v>
      </c>
      <c r="AG10" s="22">
        <v>5.0</v>
      </c>
      <c r="AH10" s="22" t="s">
        <v>500</v>
      </c>
      <c r="AI10" s="22" t="s">
        <v>501</v>
      </c>
      <c r="AJ10" s="22" t="s">
        <v>501</v>
      </c>
      <c r="AK10" s="22" t="s">
        <v>501</v>
      </c>
      <c r="AL10" s="22">
        <v>4.0</v>
      </c>
      <c r="AM10" s="22">
        <v>4.0</v>
      </c>
      <c r="AN10" s="22">
        <v>5.0</v>
      </c>
      <c r="AO10" s="22">
        <v>5.0</v>
      </c>
      <c r="AP10" s="22">
        <v>5.0</v>
      </c>
      <c r="AQ10" s="22">
        <v>5.0</v>
      </c>
      <c r="AR10" s="22">
        <v>5.0</v>
      </c>
      <c r="AS10" s="22">
        <v>5.0</v>
      </c>
      <c r="AT10" s="22">
        <v>5.0</v>
      </c>
      <c r="AU10" s="22">
        <v>5.0</v>
      </c>
      <c r="AV10" s="22">
        <v>5.0</v>
      </c>
      <c r="AW10" s="22">
        <v>5.0</v>
      </c>
      <c r="AX10" s="22">
        <v>5.0</v>
      </c>
      <c r="AY10" s="22">
        <v>5.0</v>
      </c>
      <c r="AZ10" s="22">
        <v>10.0</v>
      </c>
      <c r="BA10" s="22">
        <v>10.0</v>
      </c>
    </row>
    <row r="11">
      <c r="A11" s="57" t="s">
        <v>496</v>
      </c>
      <c r="B11" s="57" t="s">
        <v>7</v>
      </c>
      <c r="C11" s="19" t="s">
        <v>502</v>
      </c>
      <c r="AL11" s="22">
        <v>9.0</v>
      </c>
      <c r="AM11" s="22">
        <v>9.0</v>
      </c>
      <c r="AN11" s="22">
        <v>9.0</v>
      </c>
      <c r="AO11" s="22">
        <v>9.0</v>
      </c>
      <c r="AP11" s="22">
        <v>9.0</v>
      </c>
      <c r="AQ11" s="22">
        <v>9.0</v>
      </c>
      <c r="AR11" s="22">
        <v>9.0</v>
      </c>
      <c r="AS11" s="22">
        <v>9.0</v>
      </c>
      <c r="AT11" s="22">
        <v>9.0</v>
      </c>
      <c r="AU11" s="22">
        <v>9.0</v>
      </c>
      <c r="AV11" s="22">
        <v>9.0</v>
      </c>
      <c r="AW11" s="22">
        <v>9.0</v>
      </c>
      <c r="AX11" s="22">
        <v>9.0</v>
      </c>
      <c r="AY11" s="22">
        <v>9.0</v>
      </c>
      <c r="AZ11" s="22">
        <v>9.0</v>
      </c>
      <c r="BA11" s="22">
        <v>9.0</v>
      </c>
    </row>
    <row r="12">
      <c r="A12" s="57" t="s">
        <v>496</v>
      </c>
      <c r="B12" s="57" t="s">
        <v>7</v>
      </c>
      <c r="C12" s="19" t="s">
        <v>503</v>
      </c>
      <c r="AL12" s="32" t="s">
        <v>21</v>
      </c>
      <c r="AM12" s="32" t="s">
        <v>21</v>
      </c>
      <c r="AN12" s="32" t="s">
        <v>21</v>
      </c>
      <c r="AO12" s="22">
        <v>14.0</v>
      </c>
      <c r="AP12" s="22">
        <v>13.0</v>
      </c>
      <c r="AQ12" s="22">
        <v>13.0</v>
      </c>
      <c r="AR12" s="22">
        <v>12.0</v>
      </c>
      <c r="AS12" s="22">
        <v>12.0</v>
      </c>
      <c r="AT12" s="22">
        <v>12.0</v>
      </c>
      <c r="AU12" s="22">
        <v>12.0</v>
      </c>
      <c r="AV12" s="22">
        <v>12.0</v>
      </c>
      <c r="AW12" s="22">
        <v>11.0</v>
      </c>
      <c r="AX12" s="22">
        <v>11.0</v>
      </c>
      <c r="AY12" s="22">
        <v>8.0</v>
      </c>
      <c r="AZ12" s="22">
        <v>8.0</v>
      </c>
      <c r="BA12" s="22">
        <v>6.0</v>
      </c>
    </row>
    <row r="13">
      <c r="A13" s="57" t="s">
        <v>496</v>
      </c>
      <c r="B13" s="57" t="s">
        <v>7</v>
      </c>
      <c r="C13" s="26" t="s">
        <v>392</v>
      </c>
      <c r="AL13" s="32" t="s">
        <v>21</v>
      </c>
      <c r="AM13" s="32" t="s">
        <v>21</v>
      </c>
      <c r="AN13" s="32" t="s">
        <v>21</v>
      </c>
      <c r="AO13" s="32">
        <v>1.0</v>
      </c>
      <c r="AP13" s="22">
        <v>1.0</v>
      </c>
      <c r="AQ13" s="22">
        <v>1.0</v>
      </c>
      <c r="AR13" s="22">
        <v>1.0</v>
      </c>
      <c r="AS13" s="22">
        <v>1.0</v>
      </c>
      <c r="AT13" s="22">
        <v>1.0</v>
      </c>
      <c r="AU13" s="22">
        <v>1.0</v>
      </c>
      <c r="AV13" s="22">
        <v>1.0</v>
      </c>
      <c r="AW13" s="22">
        <v>1.0</v>
      </c>
      <c r="AX13" s="22">
        <v>1.0</v>
      </c>
      <c r="AY13" s="22">
        <v>1.0</v>
      </c>
      <c r="AZ13" s="22">
        <v>1.0</v>
      </c>
      <c r="BA13" s="22">
        <v>1.0</v>
      </c>
    </row>
    <row r="14">
      <c r="A14" s="57" t="s">
        <v>496</v>
      </c>
      <c r="B14" s="57" t="s">
        <v>7</v>
      </c>
      <c r="C14" s="19" t="s">
        <v>504</v>
      </c>
      <c r="AL14" s="32" t="s">
        <v>21</v>
      </c>
      <c r="AM14" s="32" t="s">
        <v>21</v>
      </c>
      <c r="AN14" s="32" t="s">
        <v>21</v>
      </c>
      <c r="AO14" s="32">
        <v>1.0</v>
      </c>
      <c r="AP14" s="22">
        <v>0.0</v>
      </c>
      <c r="AQ14" s="22">
        <v>0.0</v>
      </c>
      <c r="AR14" s="22">
        <v>0.0</v>
      </c>
      <c r="AS14" s="22">
        <v>10.0</v>
      </c>
      <c r="AT14" s="22">
        <v>4.0</v>
      </c>
      <c r="AU14" s="22">
        <v>2.0</v>
      </c>
      <c r="AV14" s="22">
        <v>11.0</v>
      </c>
      <c r="AW14" s="22">
        <v>9.0</v>
      </c>
      <c r="AX14" s="22">
        <v>7.0</v>
      </c>
      <c r="AY14" s="22">
        <v>15.0</v>
      </c>
      <c r="AZ14" s="22">
        <v>14.0</v>
      </c>
      <c r="BA14" s="22">
        <v>10.0</v>
      </c>
    </row>
    <row r="15">
      <c r="A15" s="57" t="s">
        <v>496</v>
      </c>
      <c r="B15" s="57" t="s">
        <v>7</v>
      </c>
      <c r="C15" s="19" t="s">
        <v>505</v>
      </c>
      <c r="AL15" s="32" t="s">
        <v>21</v>
      </c>
      <c r="AM15" s="32" t="s">
        <v>21</v>
      </c>
      <c r="AN15" s="32" t="s">
        <v>21</v>
      </c>
      <c r="AO15" s="32">
        <v>2.0</v>
      </c>
      <c r="AP15" s="59">
        <v>2.0</v>
      </c>
      <c r="AQ15" s="59" t="s">
        <v>506</v>
      </c>
      <c r="AR15" s="59" t="s">
        <v>506</v>
      </c>
      <c r="AS15" s="59" t="s">
        <v>506</v>
      </c>
      <c r="AT15" s="22" t="s">
        <v>506</v>
      </c>
      <c r="AU15" s="22" t="s">
        <v>506</v>
      </c>
      <c r="AV15" s="22" t="s">
        <v>506</v>
      </c>
      <c r="AW15" s="22" t="s">
        <v>506</v>
      </c>
      <c r="AX15" s="22">
        <v>1.0</v>
      </c>
      <c r="AY15" s="22">
        <v>1.0</v>
      </c>
      <c r="AZ15" s="22">
        <v>1.0</v>
      </c>
      <c r="BA15" s="22" t="s">
        <v>253</v>
      </c>
    </row>
    <row r="16">
      <c r="A16" s="57" t="s">
        <v>496</v>
      </c>
      <c r="B16" s="57" t="s">
        <v>7</v>
      </c>
      <c r="C16" s="19" t="s">
        <v>507</v>
      </c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22"/>
      <c r="AG16" s="22"/>
      <c r="AH16" s="22"/>
      <c r="AI16" s="22"/>
      <c r="AJ16" s="22"/>
      <c r="AK16" s="22"/>
      <c r="AL16" s="32" t="s">
        <v>21</v>
      </c>
      <c r="AM16" s="32" t="s">
        <v>21</v>
      </c>
      <c r="AN16" s="32" t="s">
        <v>21</v>
      </c>
      <c r="AO16" s="22">
        <v>2.0</v>
      </c>
      <c r="AP16" s="22">
        <v>2.0</v>
      </c>
      <c r="AQ16" s="22">
        <v>2.0</v>
      </c>
      <c r="AR16" s="22">
        <v>2.0</v>
      </c>
      <c r="AS16" s="22">
        <v>2.0</v>
      </c>
      <c r="AT16" s="22">
        <v>2.0</v>
      </c>
      <c r="AU16" s="22">
        <v>2.0</v>
      </c>
      <c r="AV16" s="22">
        <v>2.0</v>
      </c>
      <c r="AW16" s="22">
        <v>2.0</v>
      </c>
      <c r="AX16" s="22">
        <v>2.0</v>
      </c>
      <c r="AY16" s="22">
        <v>2.0</v>
      </c>
      <c r="AZ16" s="22">
        <v>2.0</v>
      </c>
      <c r="BA16" s="22">
        <v>2.0</v>
      </c>
    </row>
    <row r="17">
      <c r="A17" s="57" t="s">
        <v>496</v>
      </c>
      <c r="B17" s="57" t="s">
        <v>7</v>
      </c>
      <c r="C17" s="19" t="s">
        <v>508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22"/>
      <c r="AG17" s="22"/>
      <c r="AH17" s="22"/>
      <c r="AI17" s="22"/>
      <c r="AJ17" s="22"/>
      <c r="AK17" s="22"/>
      <c r="AL17" s="32" t="s">
        <v>21</v>
      </c>
      <c r="AM17" s="32" t="s">
        <v>21</v>
      </c>
      <c r="AN17" s="32" t="s">
        <v>21</v>
      </c>
      <c r="AO17" s="22" t="s">
        <v>509</v>
      </c>
      <c r="AP17" s="22" t="s">
        <v>509</v>
      </c>
      <c r="AQ17" s="22" t="s">
        <v>509</v>
      </c>
      <c r="AR17" s="22" t="s">
        <v>509</v>
      </c>
      <c r="AS17" s="22" t="s">
        <v>510</v>
      </c>
      <c r="AT17" s="59" t="s">
        <v>510</v>
      </c>
      <c r="AU17" s="59" t="s">
        <v>510</v>
      </c>
      <c r="AV17" s="59" t="s">
        <v>510</v>
      </c>
      <c r="AW17" s="59" t="s">
        <v>510</v>
      </c>
      <c r="AX17" s="59" t="s">
        <v>510</v>
      </c>
      <c r="AY17" s="59" t="s">
        <v>510</v>
      </c>
      <c r="AZ17" s="59" t="s">
        <v>510</v>
      </c>
      <c r="BA17" s="59" t="s">
        <v>510</v>
      </c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</row>
    <row r="18">
      <c r="A18" s="57" t="s">
        <v>496</v>
      </c>
      <c r="B18" s="57" t="s">
        <v>45</v>
      </c>
      <c r="C18" s="19" t="s">
        <v>6</v>
      </c>
      <c r="D18" s="57">
        <v>2.0</v>
      </c>
      <c r="E18" s="57"/>
      <c r="F18" s="57">
        <v>0.0</v>
      </c>
      <c r="G18" s="57">
        <v>5.0</v>
      </c>
      <c r="H18" s="60">
        <v>3.0</v>
      </c>
      <c r="I18" s="59">
        <v>2.0</v>
      </c>
      <c r="J18" s="58"/>
      <c r="K18" s="58"/>
      <c r="L18" s="59">
        <v>6.0</v>
      </c>
      <c r="M18" s="59">
        <v>1.0</v>
      </c>
      <c r="N18" s="59">
        <v>16.0</v>
      </c>
      <c r="O18" s="59">
        <v>12.0</v>
      </c>
      <c r="P18" s="59">
        <v>10.0</v>
      </c>
      <c r="Q18" s="59">
        <v>7.5</v>
      </c>
      <c r="R18" s="59">
        <v>10.0</v>
      </c>
      <c r="S18" s="59">
        <v>4.0</v>
      </c>
      <c r="T18" s="59">
        <v>9.0</v>
      </c>
      <c r="U18" s="59">
        <v>7.0</v>
      </c>
      <c r="V18" s="59">
        <v>13.0</v>
      </c>
      <c r="W18" s="59">
        <v>10.0</v>
      </c>
      <c r="X18" s="59">
        <v>6.0</v>
      </c>
      <c r="Y18" s="59">
        <v>2.0</v>
      </c>
      <c r="Z18" s="59">
        <v>11.0</v>
      </c>
      <c r="AA18" s="59">
        <v>8.0</v>
      </c>
      <c r="AB18" s="59">
        <v>5.0</v>
      </c>
      <c r="AC18" s="59">
        <v>3.5</v>
      </c>
      <c r="AD18" s="59">
        <v>13.0</v>
      </c>
      <c r="AE18" s="59">
        <v>10.0</v>
      </c>
      <c r="AF18" s="22">
        <v>12.5</v>
      </c>
      <c r="AG18" s="22">
        <v>8.0</v>
      </c>
      <c r="AH18" s="22">
        <v>13.5</v>
      </c>
      <c r="AI18" s="22">
        <v>15.0</v>
      </c>
      <c r="AJ18" s="22">
        <v>13.0</v>
      </c>
      <c r="AK18" s="22">
        <v>21.0</v>
      </c>
      <c r="AL18" s="22">
        <v>22.0</v>
      </c>
      <c r="AM18" s="22">
        <v>18.0</v>
      </c>
      <c r="AN18" s="22">
        <v>17.0</v>
      </c>
      <c r="AO18" s="22">
        <v>13.0</v>
      </c>
      <c r="AP18" s="61" t="s">
        <v>511</v>
      </c>
      <c r="AQ18" s="61" t="s">
        <v>512</v>
      </c>
      <c r="AR18" s="61" t="s">
        <v>513</v>
      </c>
      <c r="AS18" s="59">
        <v>7.0</v>
      </c>
      <c r="AT18" s="59">
        <v>5.0</v>
      </c>
      <c r="AU18" s="59" t="s">
        <v>514</v>
      </c>
      <c r="AV18" s="59">
        <v>13.0</v>
      </c>
      <c r="AW18" s="59">
        <v>12.0</v>
      </c>
      <c r="AX18" s="59" t="s">
        <v>515</v>
      </c>
      <c r="AY18" s="59" t="s">
        <v>516</v>
      </c>
      <c r="AZ18" s="59" t="s">
        <v>517</v>
      </c>
      <c r="BA18" s="59">
        <v>13.0</v>
      </c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</row>
    <row r="19">
      <c r="A19" s="57" t="s">
        <v>496</v>
      </c>
      <c r="B19" s="62" t="s">
        <v>13</v>
      </c>
      <c r="C19" s="19" t="s">
        <v>518</v>
      </c>
      <c r="AL19" s="32" t="s">
        <v>21</v>
      </c>
      <c r="AM19" s="32" t="s">
        <v>21</v>
      </c>
      <c r="AN19" s="32" t="s">
        <v>21</v>
      </c>
      <c r="AO19" s="32" t="s">
        <v>21</v>
      </c>
      <c r="AP19" s="22">
        <v>8.0</v>
      </c>
      <c r="AQ19" s="22">
        <v>7.0</v>
      </c>
      <c r="AR19" s="22">
        <v>7.0</v>
      </c>
      <c r="AS19" s="59">
        <v>7.0</v>
      </c>
      <c r="AT19" s="59">
        <v>4.0</v>
      </c>
      <c r="AU19" s="59">
        <v>3.0</v>
      </c>
      <c r="AV19" s="59">
        <v>3.0</v>
      </c>
      <c r="AW19" s="59">
        <v>3.0</v>
      </c>
      <c r="AX19" s="59">
        <v>3.0</v>
      </c>
      <c r="AY19" s="59">
        <v>12.0</v>
      </c>
      <c r="AZ19" s="59">
        <v>4.0</v>
      </c>
      <c r="BA19" s="59">
        <v>8.0</v>
      </c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</row>
    <row r="20">
      <c r="A20" s="57" t="s">
        <v>496</v>
      </c>
      <c r="B20" s="62" t="s">
        <v>13</v>
      </c>
      <c r="C20" s="19" t="s">
        <v>519</v>
      </c>
      <c r="AL20" s="32" t="s">
        <v>21</v>
      </c>
      <c r="AM20" s="32" t="s">
        <v>21</v>
      </c>
      <c r="AN20" s="32" t="s">
        <v>21</v>
      </c>
      <c r="AO20" s="32" t="s">
        <v>21</v>
      </c>
      <c r="AP20" s="22">
        <v>2.0</v>
      </c>
      <c r="AQ20" s="22">
        <v>2.0</v>
      </c>
      <c r="AR20" s="22">
        <v>2.0</v>
      </c>
      <c r="AS20" s="59">
        <v>2.0</v>
      </c>
      <c r="AT20" s="59">
        <v>2.0</v>
      </c>
      <c r="AU20" s="59">
        <v>2.0</v>
      </c>
      <c r="AV20" s="59">
        <v>2.0</v>
      </c>
      <c r="AW20" s="59">
        <v>2.0</v>
      </c>
      <c r="AX20" s="59">
        <v>1.0</v>
      </c>
      <c r="AY20" s="59">
        <v>1.0</v>
      </c>
      <c r="AZ20" s="59">
        <v>2.0</v>
      </c>
      <c r="BA20" s="59">
        <v>2.0</v>
      </c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</row>
    <row r="21">
      <c r="A21" s="57" t="s">
        <v>496</v>
      </c>
      <c r="B21" s="62" t="s">
        <v>13</v>
      </c>
      <c r="C21" s="19" t="s">
        <v>134</v>
      </c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9" t="s">
        <v>21</v>
      </c>
      <c r="S21" s="59" t="s">
        <v>21</v>
      </c>
      <c r="T21" s="59" t="s">
        <v>21</v>
      </c>
      <c r="U21" s="59" t="s">
        <v>21</v>
      </c>
      <c r="V21" s="59" t="s">
        <v>21</v>
      </c>
      <c r="W21" s="59" t="s">
        <v>21</v>
      </c>
      <c r="X21" s="59" t="s">
        <v>21</v>
      </c>
      <c r="Y21" s="59" t="s">
        <v>21</v>
      </c>
      <c r="Z21" s="59" t="s">
        <v>21</v>
      </c>
      <c r="AA21" s="59" t="s">
        <v>21</v>
      </c>
      <c r="AB21" s="59" t="s">
        <v>21</v>
      </c>
      <c r="AC21" s="59" t="s">
        <v>21</v>
      </c>
      <c r="AD21" s="59">
        <v>45.0</v>
      </c>
      <c r="AE21" s="32" t="s">
        <v>520</v>
      </c>
      <c r="AF21" s="32">
        <v>12.0</v>
      </c>
      <c r="AG21" s="32">
        <v>12.0</v>
      </c>
      <c r="AH21" s="32">
        <v>24.0</v>
      </c>
      <c r="AI21" s="32">
        <v>23.0</v>
      </c>
      <c r="AJ21" s="32">
        <v>22.0</v>
      </c>
      <c r="AK21" s="32">
        <v>21.0</v>
      </c>
      <c r="AL21" s="32">
        <v>17.0</v>
      </c>
      <c r="AM21" s="32">
        <v>15.0</v>
      </c>
      <c r="AN21" s="32">
        <v>9.0</v>
      </c>
      <c r="AO21" s="59">
        <v>0.0</v>
      </c>
      <c r="AP21" s="22">
        <v>0.0</v>
      </c>
      <c r="AQ21" s="22">
        <v>0.0</v>
      </c>
      <c r="AR21" s="22">
        <v>0.0</v>
      </c>
      <c r="AS21" s="22">
        <v>20.0</v>
      </c>
      <c r="AT21" s="22">
        <v>15.0</v>
      </c>
      <c r="AU21" s="22">
        <v>11.0</v>
      </c>
      <c r="AV21" s="22">
        <v>9.0</v>
      </c>
      <c r="AW21" s="22">
        <v>4.0</v>
      </c>
      <c r="AX21" s="22">
        <v>1.0</v>
      </c>
      <c r="AY21" s="22">
        <v>10.0</v>
      </c>
      <c r="AZ21" s="22">
        <v>2.0</v>
      </c>
      <c r="BA21" s="22">
        <v>3.0</v>
      </c>
    </row>
    <row r="22">
      <c r="A22" s="57" t="s">
        <v>496</v>
      </c>
      <c r="B22" s="62" t="s">
        <v>13</v>
      </c>
      <c r="C22" s="19" t="s">
        <v>148</v>
      </c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32"/>
      <c r="AF22" s="32">
        <v>19.0</v>
      </c>
      <c r="AG22" s="32">
        <v>18.0</v>
      </c>
      <c r="AH22" s="32">
        <v>27.0</v>
      </c>
      <c r="AI22" s="32">
        <v>25.0</v>
      </c>
      <c r="AJ22" s="32">
        <v>21.0</v>
      </c>
      <c r="AK22" s="32">
        <v>20.0</v>
      </c>
      <c r="AL22" s="32">
        <v>28.0</v>
      </c>
      <c r="AM22" s="32">
        <v>27.0</v>
      </c>
      <c r="AN22" s="32">
        <v>26.0</v>
      </c>
      <c r="AO22" s="22">
        <v>22.0</v>
      </c>
      <c r="AP22" s="22">
        <v>10.0</v>
      </c>
      <c r="AQ22" s="22">
        <v>10.0</v>
      </c>
      <c r="AR22" s="22">
        <v>4.0</v>
      </c>
      <c r="AS22" s="22">
        <v>13.0</v>
      </c>
      <c r="AT22" s="22">
        <v>12.0</v>
      </c>
      <c r="AU22" s="22">
        <v>12.0</v>
      </c>
      <c r="AV22" s="22">
        <v>11.0</v>
      </c>
      <c r="AW22" s="22">
        <v>8.0</v>
      </c>
      <c r="AX22" s="22">
        <v>7.0</v>
      </c>
      <c r="AY22" s="22">
        <v>10.0</v>
      </c>
      <c r="AZ22" s="22">
        <v>8.0</v>
      </c>
      <c r="BA22" s="22">
        <v>9.0</v>
      </c>
    </row>
    <row r="23">
      <c r="A23" s="57" t="s">
        <v>496</v>
      </c>
      <c r="B23" s="62" t="s">
        <v>13</v>
      </c>
      <c r="C23" s="19" t="s">
        <v>149</v>
      </c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32"/>
      <c r="AF23" s="32">
        <v>8.0</v>
      </c>
      <c r="AG23" s="32">
        <v>7.0</v>
      </c>
      <c r="AH23" s="32">
        <v>4.0</v>
      </c>
      <c r="AI23" s="32">
        <v>3.0</v>
      </c>
      <c r="AJ23" s="32">
        <v>3.0</v>
      </c>
      <c r="AK23" s="32">
        <v>3.0</v>
      </c>
      <c r="AL23" s="32">
        <v>3.0</v>
      </c>
      <c r="AM23" s="32">
        <v>1.0</v>
      </c>
      <c r="AN23" s="32">
        <v>1.0</v>
      </c>
      <c r="AO23" s="59">
        <v>10.0</v>
      </c>
      <c r="AP23" s="22">
        <v>7.0</v>
      </c>
      <c r="AQ23" s="22">
        <v>6.0</v>
      </c>
      <c r="AR23" s="22">
        <v>6.0</v>
      </c>
      <c r="AS23" s="22">
        <v>6.0</v>
      </c>
      <c r="AT23" s="22">
        <v>4.0</v>
      </c>
      <c r="AU23" s="22">
        <v>4.0</v>
      </c>
      <c r="AV23" s="22">
        <v>3.0</v>
      </c>
      <c r="AW23" s="22">
        <v>1.0</v>
      </c>
      <c r="AX23" s="22">
        <v>0.0</v>
      </c>
      <c r="AY23" s="22">
        <v>10.0</v>
      </c>
      <c r="AZ23" s="22">
        <v>5.0</v>
      </c>
      <c r="BA23" s="22">
        <v>11.0</v>
      </c>
    </row>
    <row r="24">
      <c r="A24" s="57" t="s">
        <v>496</v>
      </c>
      <c r="B24" s="62" t="s">
        <v>13</v>
      </c>
      <c r="C24" s="19" t="s">
        <v>20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9" t="s">
        <v>21</v>
      </c>
      <c r="S24" s="59" t="s">
        <v>21</v>
      </c>
      <c r="T24" s="59" t="s">
        <v>21</v>
      </c>
      <c r="U24" s="59" t="s">
        <v>21</v>
      </c>
      <c r="V24" s="59" t="s">
        <v>21</v>
      </c>
      <c r="W24" s="59" t="s">
        <v>21</v>
      </c>
      <c r="X24" s="59" t="s">
        <v>21</v>
      </c>
      <c r="Y24" s="59" t="s">
        <v>21</v>
      </c>
      <c r="Z24" s="59" t="s">
        <v>21</v>
      </c>
      <c r="AA24" s="59" t="s">
        <v>21</v>
      </c>
      <c r="AB24" s="59" t="s">
        <v>21</v>
      </c>
      <c r="AC24" s="59" t="s">
        <v>21</v>
      </c>
      <c r="AD24" s="59">
        <v>2.0</v>
      </c>
      <c r="AE24" s="59">
        <v>2.0</v>
      </c>
      <c r="AF24" s="22">
        <v>1.0</v>
      </c>
      <c r="AG24" s="22">
        <v>1.0</v>
      </c>
      <c r="AH24" s="22">
        <v>0.0</v>
      </c>
      <c r="AI24" s="22">
        <v>1.0</v>
      </c>
      <c r="AJ24" s="22">
        <v>1.0</v>
      </c>
      <c r="AK24" s="22">
        <v>1.0</v>
      </c>
      <c r="AL24" s="22">
        <v>1.0</v>
      </c>
      <c r="AM24" s="22">
        <v>1.0</v>
      </c>
      <c r="AN24" s="22">
        <v>0.0</v>
      </c>
      <c r="AO24" s="22">
        <v>1.0</v>
      </c>
      <c r="AP24" s="22">
        <v>1.0</v>
      </c>
      <c r="AQ24" s="22">
        <v>1.0</v>
      </c>
      <c r="AR24" s="22">
        <v>0.0</v>
      </c>
      <c r="AS24" s="22">
        <v>2.0</v>
      </c>
      <c r="AT24" s="22">
        <v>1.0</v>
      </c>
      <c r="AU24" s="22">
        <v>1.0</v>
      </c>
      <c r="AV24" s="22">
        <v>2.0</v>
      </c>
      <c r="AW24" s="22">
        <v>2.0</v>
      </c>
      <c r="AX24" s="22">
        <v>2.0</v>
      </c>
      <c r="AY24" s="22">
        <v>3.0</v>
      </c>
      <c r="AZ24" s="22">
        <v>3.0</v>
      </c>
      <c r="BA24" s="22">
        <v>3.0</v>
      </c>
    </row>
    <row r="25">
      <c r="A25" s="57" t="s">
        <v>496</v>
      </c>
      <c r="B25" s="62" t="s">
        <v>13</v>
      </c>
      <c r="C25" s="19" t="s">
        <v>23</v>
      </c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9" t="s">
        <v>21</v>
      </c>
      <c r="S25" s="59" t="s">
        <v>21</v>
      </c>
      <c r="T25" s="59" t="s">
        <v>21</v>
      </c>
      <c r="U25" s="59" t="s">
        <v>21</v>
      </c>
      <c r="V25" s="59" t="s">
        <v>21</v>
      </c>
      <c r="W25" s="59" t="s">
        <v>21</v>
      </c>
      <c r="X25" s="59" t="s">
        <v>21</v>
      </c>
      <c r="Y25" s="59" t="s">
        <v>21</v>
      </c>
      <c r="Z25" s="59" t="s">
        <v>21</v>
      </c>
      <c r="AA25" s="59" t="s">
        <v>21</v>
      </c>
      <c r="AB25" s="59" t="s">
        <v>21</v>
      </c>
      <c r="AC25" s="59" t="s">
        <v>21</v>
      </c>
      <c r="AD25" s="59">
        <v>2.0</v>
      </c>
      <c r="AE25" s="59">
        <v>1.0</v>
      </c>
      <c r="AF25" s="22">
        <v>5.0</v>
      </c>
      <c r="AG25" s="22">
        <v>3.0</v>
      </c>
      <c r="AH25" s="22">
        <v>1.0</v>
      </c>
      <c r="AI25" s="22">
        <v>2.0</v>
      </c>
      <c r="AJ25" s="22">
        <v>2.0</v>
      </c>
      <c r="AK25" s="22">
        <v>2.0</v>
      </c>
      <c r="AL25" s="22">
        <v>2.0</v>
      </c>
      <c r="AM25" s="22">
        <v>2.0</v>
      </c>
      <c r="AN25" s="22">
        <v>1.0</v>
      </c>
      <c r="AO25" s="32" t="s">
        <v>253</v>
      </c>
      <c r="AP25" s="32" t="s">
        <v>253</v>
      </c>
      <c r="AQ25" s="32" t="s">
        <v>253</v>
      </c>
      <c r="AR25" s="32" t="s">
        <v>506</v>
      </c>
      <c r="AS25" s="32" t="s">
        <v>521</v>
      </c>
      <c r="AT25" s="32" t="s">
        <v>521</v>
      </c>
      <c r="AU25" s="22">
        <v>3.0</v>
      </c>
      <c r="AV25" s="22">
        <v>3.0</v>
      </c>
      <c r="AW25" s="22" t="s">
        <v>253</v>
      </c>
      <c r="AX25" s="22" t="s">
        <v>506</v>
      </c>
      <c r="AY25" s="22" t="s">
        <v>521</v>
      </c>
      <c r="AZ25" s="22">
        <v>3.0</v>
      </c>
      <c r="BA25" s="22" t="s">
        <v>253</v>
      </c>
    </row>
    <row r="26">
      <c r="A26" s="57" t="s">
        <v>496</v>
      </c>
      <c r="B26" s="62" t="s">
        <v>13</v>
      </c>
      <c r="C26" s="19" t="s">
        <v>42</v>
      </c>
      <c r="AL26" s="32" t="s">
        <v>21</v>
      </c>
      <c r="AM26" s="32" t="s">
        <v>21</v>
      </c>
      <c r="AN26" s="32" t="s">
        <v>21</v>
      </c>
      <c r="AO26" s="32" t="s">
        <v>21</v>
      </c>
      <c r="AP26" s="22">
        <v>4.0</v>
      </c>
      <c r="AQ26" s="22">
        <v>4.0</v>
      </c>
      <c r="AR26" s="22">
        <v>2.0</v>
      </c>
      <c r="AS26" s="22">
        <v>6.0</v>
      </c>
      <c r="AT26" s="22">
        <v>6.0</v>
      </c>
      <c r="AU26" s="22">
        <v>5.0</v>
      </c>
      <c r="AV26" s="22">
        <v>4.0</v>
      </c>
      <c r="AW26" s="22">
        <v>4.0</v>
      </c>
      <c r="AX26" s="22">
        <v>4.0</v>
      </c>
      <c r="AY26" s="22">
        <v>10.0</v>
      </c>
      <c r="AZ26" s="22">
        <v>8.0</v>
      </c>
      <c r="BA26" s="22">
        <v>7.0</v>
      </c>
    </row>
    <row r="27">
      <c r="A27" s="57" t="s">
        <v>496</v>
      </c>
      <c r="B27" s="62" t="s">
        <v>13</v>
      </c>
      <c r="C27" s="19" t="s">
        <v>522</v>
      </c>
      <c r="AL27" s="32" t="s">
        <v>21</v>
      </c>
      <c r="AM27" s="32" t="s">
        <v>21</v>
      </c>
      <c r="AN27" s="32" t="s">
        <v>21</v>
      </c>
      <c r="AO27" s="32" t="s">
        <v>21</v>
      </c>
      <c r="AP27" s="22">
        <v>3.0</v>
      </c>
      <c r="AQ27" s="22">
        <v>3.0</v>
      </c>
      <c r="AR27" s="22">
        <v>3.0</v>
      </c>
      <c r="AS27" s="22">
        <v>3.0</v>
      </c>
      <c r="AT27" s="22">
        <v>3.0</v>
      </c>
      <c r="AU27" s="22">
        <v>3.0</v>
      </c>
      <c r="AV27" s="22">
        <v>3.0</v>
      </c>
      <c r="AW27" s="22">
        <v>3.0</v>
      </c>
      <c r="AX27" s="22">
        <v>3.0</v>
      </c>
      <c r="AY27" s="22">
        <v>2.0</v>
      </c>
      <c r="AZ27" s="22">
        <v>2.0</v>
      </c>
      <c r="BA27" s="22">
        <v>2.0</v>
      </c>
    </row>
    <row r="28">
      <c r="A28" s="57" t="s">
        <v>496</v>
      </c>
      <c r="B28" s="62" t="s">
        <v>13</v>
      </c>
      <c r="C28" s="19" t="s">
        <v>523</v>
      </c>
      <c r="AL28" s="32"/>
      <c r="AM28" s="32"/>
      <c r="AN28" s="32"/>
      <c r="AO28" s="32"/>
      <c r="AP28" s="22">
        <v>3.0</v>
      </c>
      <c r="AQ28" s="22">
        <v>3.0</v>
      </c>
      <c r="AR28" s="22">
        <v>3.0</v>
      </c>
      <c r="AS28" s="22">
        <v>3.0</v>
      </c>
      <c r="AT28" s="22">
        <v>3.0</v>
      </c>
      <c r="AU28" s="22">
        <v>3.0</v>
      </c>
      <c r="AV28" s="22">
        <v>3.0</v>
      </c>
      <c r="AW28" s="22">
        <v>3.0</v>
      </c>
      <c r="AX28" s="22">
        <v>3.0</v>
      </c>
      <c r="AY28" s="22">
        <v>3.0</v>
      </c>
      <c r="AZ28" s="22">
        <v>3.0</v>
      </c>
      <c r="BA28" s="22">
        <v>3.0</v>
      </c>
    </row>
    <row r="29">
      <c r="A29" s="57" t="s">
        <v>496</v>
      </c>
      <c r="B29" s="62" t="s">
        <v>13</v>
      </c>
      <c r="C29" s="19" t="s">
        <v>524</v>
      </c>
      <c r="AL29" s="32"/>
      <c r="AM29" s="32"/>
      <c r="AN29" s="32"/>
      <c r="AO29" s="32"/>
      <c r="AP29" s="22">
        <v>2.0</v>
      </c>
      <c r="AQ29" s="22">
        <v>2.0</v>
      </c>
      <c r="AR29" s="22">
        <v>2.0</v>
      </c>
      <c r="AS29" s="22">
        <v>2.0</v>
      </c>
      <c r="AT29" s="22">
        <v>2.0</v>
      </c>
      <c r="AU29" s="22">
        <v>2.0</v>
      </c>
      <c r="AV29" s="22">
        <v>2.0</v>
      </c>
      <c r="AW29" s="22">
        <v>2.0</v>
      </c>
      <c r="AX29" s="22">
        <v>2.0</v>
      </c>
      <c r="AY29" s="22">
        <v>2.0</v>
      </c>
      <c r="AZ29" s="22">
        <v>2.0</v>
      </c>
      <c r="BA29" s="22">
        <v>2.0</v>
      </c>
    </row>
    <row r="30">
      <c r="A30" s="57" t="s">
        <v>496</v>
      </c>
      <c r="B30" s="62" t="s">
        <v>13</v>
      </c>
      <c r="C30" s="19" t="s">
        <v>525</v>
      </c>
      <c r="AL30" s="32" t="s">
        <v>21</v>
      </c>
      <c r="AM30" s="32" t="s">
        <v>21</v>
      </c>
      <c r="AN30" s="32" t="s">
        <v>21</v>
      </c>
      <c r="AO30" s="32" t="s">
        <v>21</v>
      </c>
      <c r="AP30" s="22">
        <v>13.0</v>
      </c>
      <c r="AQ30" s="22">
        <v>13.0</v>
      </c>
      <c r="AR30" s="22">
        <v>13.0</v>
      </c>
      <c r="AS30" s="22">
        <v>13.0</v>
      </c>
      <c r="AT30" s="22">
        <v>13.0</v>
      </c>
      <c r="AU30" s="22">
        <v>13.0</v>
      </c>
      <c r="AV30" s="22">
        <v>13.0</v>
      </c>
      <c r="AW30" s="22">
        <v>13.0</v>
      </c>
      <c r="AX30" s="22">
        <v>13.0</v>
      </c>
      <c r="AY30" s="22">
        <v>13.0</v>
      </c>
      <c r="AZ30" s="22">
        <v>12.0</v>
      </c>
      <c r="BA30" s="22">
        <v>12.0</v>
      </c>
    </row>
    <row r="31">
      <c r="A31" s="57" t="s">
        <v>496</v>
      </c>
      <c r="B31" s="62" t="s">
        <v>13</v>
      </c>
      <c r="C31" s="19" t="s">
        <v>22</v>
      </c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9" t="s">
        <v>21</v>
      </c>
      <c r="S31" s="59" t="s">
        <v>21</v>
      </c>
      <c r="T31" s="59" t="s">
        <v>21</v>
      </c>
      <c r="U31" s="59" t="s">
        <v>21</v>
      </c>
      <c r="V31" s="59" t="s">
        <v>21</v>
      </c>
      <c r="W31" s="59" t="s">
        <v>21</v>
      </c>
      <c r="X31" s="59" t="s">
        <v>21</v>
      </c>
      <c r="Y31" s="59" t="s">
        <v>21</v>
      </c>
      <c r="Z31" s="59" t="s">
        <v>21</v>
      </c>
      <c r="AA31" s="59" t="s">
        <v>21</v>
      </c>
      <c r="AB31" s="59" t="s">
        <v>21</v>
      </c>
      <c r="AC31" s="59" t="s">
        <v>21</v>
      </c>
      <c r="AD31" s="59">
        <v>2.0</v>
      </c>
      <c r="AE31" s="59">
        <v>2.0</v>
      </c>
      <c r="AF31" s="22">
        <v>1.0</v>
      </c>
      <c r="AG31" s="22">
        <v>1.0</v>
      </c>
      <c r="AH31" s="22">
        <v>0.0</v>
      </c>
      <c r="AI31" s="22">
        <v>1.0</v>
      </c>
      <c r="AJ31" s="22">
        <v>1.0</v>
      </c>
      <c r="AK31" s="22">
        <v>1.0</v>
      </c>
      <c r="AL31" s="22">
        <v>1.0</v>
      </c>
      <c r="AM31" s="22">
        <v>1.0</v>
      </c>
      <c r="AN31" s="22">
        <v>0.0</v>
      </c>
      <c r="AO31" s="22">
        <v>1.0</v>
      </c>
      <c r="AP31" s="22">
        <v>0.0</v>
      </c>
      <c r="AQ31" s="22">
        <v>0.0</v>
      </c>
      <c r="AR31" s="22">
        <v>0.0</v>
      </c>
      <c r="AS31" s="22">
        <v>2.0</v>
      </c>
      <c r="AT31" s="22">
        <v>0.0</v>
      </c>
      <c r="AU31" s="22">
        <v>0.0</v>
      </c>
      <c r="AV31" s="22">
        <v>2.0</v>
      </c>
      <c r="AW31" s="22">
        <v>2.0</v>
      </c>
      <c r="AX31" s="22">
        <v>2.0</v>
      </c>
      <c r="AY31" s="22">
        <v>2.0</v>
      </c>
      <c r="AZ31" s="22">
        <v>2.0</v>
      </c>
      <c r="BA31" s="22">
        <v>2.0</v>
      </c>
    </row>
    <row r="32">
      <c r="A32" s="57" t="s">
        <v>496</v>
      </c>
      <c r="B32" s="62" t="s">
        <v>13</v>
      </c>
      <c r="C32" s="19" t="s">
        <v>526</v>
      </c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32"/>
      <c r="AF32" s="32"/>
      <c r="AG32" s="32"/>
      <c r="AH32" s="32"/>
      <c r="AI32" s="32"/>
      <c r="AJ32" s="32"/>
      <c r="AK32" s="32"/>
      <c r="AL32" s="32" t="s">
        <v>21</v>
      </c>
      <c r="AM32" s="32" t="s">
        <v>21</v>
      </c>
      <c r="AN32" s="32">
        <v>3.0</v>
      </c>
      <c r="AO32" s="59">
        <v>3.0</v>
      </c>
      <c r="AP32" s="22">
        <v>3.0</v>
      </c>
      <c r="AQ32" s="22">
        <v>3.0</v>
      </c>
      <c r="AR32" s="22">
        <v>3.0</v>
      </c>
      <c r="AS32" s="22">
        <v>3.0</v>
      </c>
      <c r="AT32" s="22">
        <v>2.0</v>
      </c>
      <c r="AU32" s="22">
        <v>2.0</v>
      </c>
      <c r="AV32" s="22">
        <v>2.0</v>
      </c>
      <c r="AW32" s="22">
        <v>2.0</v>
      </c>
      <c r="AX32" s="22">
        <v>2.0</v>
      </c>
      <c r="AY32" s="22">
        <v>2.0</v>
      </c>
      <c r="AZ32" s="22">
        <v>2.0</v>
      </c>
      <c r="BA32" s="22">
        <v>2.0</v>
      </c>
    </row>
    <row r="33">
      <c r="A33" s="57" t="s">
        <v>496</v>
      </c>
      <c r="B33" s="62" t="s">
        <v>13</v>
      </c>
      <c r="C33" s="19" t="s">
        <v>527</v>
      </c>
      <c r="AL33" s="32" t="s">
        <v>21</v>
      </c>
      <c r="AM33" s="32" t="s">
        <v>21</v>
      </c>
      <c r="AN33" s="32" t="s">
        <v>21</v>
      </c>
      <c r="AO33" s="32" t="s">
        <v>21</v>
      </c>
      <c r="AP33" s="22">
        <v>3.0</v>
      </c>
      <c r="AQ33" s="22">
        <v>3.0</v>
      </c>
      <c r="AR33" s="22">
        <v>3.0</v>
      </c>
      <c r="AS33" s="22">
        <v>3.0</v>
      </c>
      <c r="AT33" s="22">
        <v>2.0</v>
      </c>
      <c r="AU33" s="22">
        <v>1.0</v>
      </c>
      <c r="AV33" s="22">
        <v>1.0</v>
      </c>
      <c r="AW33" s="22">
        <v>1.0</v>
      </c>
      <c r="AX33" s="22">
        <v>0.0</v>
      </c>
      <c r="AY33" s="22">
        <v>0.0</v>
      </c>
      <c r="AZ33" s="22">
        <v>0.0</v>
      </c>
      <c r="BA33" s="22">
        <v>0.0</v>
      </c>
    </row>
    <row r="34">
      <c r="A34" s="57" t="s">
        <v>496</v>
      </c>
      <c r="B34" s="62" t="s">
        <v>13</v>
      </c>
      <c r="C34" s="19" t="s">
        <v>528</v>
      </c>
      <c r="AL34" s="32" t="s">
        <v>21</v>
      </c>
      <c r="AM34" s="32" t="s">
        <v>21</v>
      </c>
      <c r="AN34" s="32" t="s">
        <v>21</v>
      </c>
      <c r="AO34" s="32" t="s">
        <v>21</v>
      </c>
      <c r="AP34" s="22">
        <v>4.0</v>
      </c>
      <c r="AQ34" s="22">
        <v>4.0</v>
      </c>
      <c r="AR34" s="22">
        <v>4.0</v>
      </c>
      <c r="AS34" s="22">
        <v>4.0</v>
      </c>
      <c r="AT34" s="22">
        <v>4.0</v>
      </c>
      <c r="AU34" s="22">
        <v>4.0</v>
      </c>
      <c r="AV34" s="22">
        <v>4.0</v>
      </c>
      <c r="AW34" s="22">
        <v>4.0</v>
      </c>
      <c r="AX34" s="22">
        <v>4.0</v>
      </c>
      <c r="AY34" s="22">
        <v>4.0</v>
      </c>
      <c r="AZ34" s="22">
        <v>4.0</v>
      </c>
      <c r="BA34" s="22">
        <v>4.0</v>
      </c>
    </row>
    <row r="35">
      <c r="A35" s="57" t="s">
        <v>496</v>
      </c>
      <c r="B35" s="62" t="s">
        <v>13</v>
      </c>
      <c r="C35" s="19" t="s">
        <v>529</v>
      </c>
      <c r="AL35" s="32" t="s">
        <v>21</v>
      </c>
      <c r="AM35" s="32" t="s">
        <v>21</v>
      </c>
      <c r="AN35" s="32" t="s">
        <v>21</v>
      </c>
      <c r="AO35" s="32">
        <v>3.0</v>
      </c>
      <c r="AP35" s="22">
        <v>3.0</v>
      </c>
      <c r="AQ35" s="22">
        <v>3.0</v>
      </c>
      <c r="AR35" s="22">
        <v>3.0</v>
      </c>
      <c r="AS35" s="22">
        <v>1.0</v>
      </c>
      <c r="AT35" s="22">
        <v>1.0</v>
      </c>
      <c r="AU35" s="22">
        <v>1.0</v>
      </c>
      <c r="AV35" s="22">
        <v>1.0</v>
      </c>
      <c r="AW35" s="22">
        <v>1.0</v>
      </c>
      <c r="AX35" s="22">
        <v>1.0</v>
      </c>
      <c r="AY35" s="22">
        <v>1.0</v>
      </c>
      <c r="AZ35" s="22">
        <v>1.0</v>
      </c>
      <c r="BA35" s="22">
        <v>1.0</v>
      </c>
    </row>
    <row r="36">
      <c r="A36" s="57" t="s">
        <v>496</v>
      </c>
      <c r="B36" s="62" t="s">
        <v>13</v>
      </c>
      <c r="C36" s="19" t="s">
        <v>530</v>
      </c>
      <c r="AL36" s="32" t="s">
        <v>21</v>
      </c>
      <c r="AM36" s="32" t="s">
        <v>21</v>
      </c>
      <c r="AN36" s="32" t="s">
        <v>21</v>
      </c>
      <c r="AO36" s="32">
        <v>2.0</v>
      </c>
      <c r="AP36" s="22">
        <v>2.0</v>
      </c>
      <c r="AQ36" s="22">
        <v>2.0</v>
      </c>
      <c r="AR36" s="22">
        <v>2.0</v>
      </c>
      <c r="AS36" s="22">
        <v>1.0</v>
      </c>
      <c r="AT36" s="22">
        <v>0.0</v>
      </c>
      <c r="AU36" s="22">
        <v>0.0</v>
      </c>
      <c r="AV36" s="22">
        <v>0.0</v>
      </c>
      <c r="AW36" s="22">
        <v>0.0</v>
      </c>
      <c r="AX36" s="22">
        <v>0.0</v>
      </c>
      <c r="AY36" s="22">
        <v>0.0</v>
      </c>
      <c r="AZ36" s="22">
        <v>0.0</v>
      </c>
      <c r="BA36" s="22">
        <v>0.0</v>
      </c>
    </row>
    <row r="37">
      <c r="A37" s="57" t="s">
        <v>496</v>
      </c>
      <c r="B37" s="62" t="s">
        <v>13</v>
      </c>
      <c r="C37" s="19" t="s">
        <v>24</v>
      </c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9" t="s">
        <v>21</v>
      </c>
      <c r="S37" s="59" t="s">
        <v>21</v>
      </c>
      <c r="T37" s="59" t="s">
        <v>21</v>
      </c>
      <c r="U37" s="59" t="s">
        <v>21</v>
      </c>
      <c r="V37" s="59" t="s">
        <v>21</v>
      </c>
      <c r="W37" s="59" t="s">
        <v>21</v>
      </c>
      <c r="X37" s="59" t="s">
        <v>21</v>
      </c>
      <c r="Y37" s="59" t="s">
        <v>21</v>
      </c>
      <c r="Z37" s="59" t="s">
        <v>21</v>
      </c>
      <c r="AA37" s="59" t="s">
        <v>21</v>
      </c>
      <c r="AB37" s="59" t="s">
        <v>21</v>
      </c>
      <c r="AC37" s="59" t="s">
        <v>21</v>
      </c>
      <c r="AD37" s="59">
        <v>6.0</v>
      </c>
      <c r="AE37" s="59">
        <v>5.0</v>
      </c>
      <c r="AF37" s="22">
        <v>5.0</v>
      </c>
      <c r="AG37" s="22">
        <v>5.0</v>
      </c>
      <c r="AH37" s="22">
        <v>3.0</v>
      </c>
      <c r="AI37" s="22">
        <v>5.0</v>
      </c>
      <c r="AJ37" s="22">
        <v>4.0</v>
      </c>
      <c r="AK37" s="22">
        <v>4.0</v>
      </c>
      <c r="AL37" s="22">
        <v>4.0</v>
      </c>
      <c r="AM37" s="22">
        <v>4.0</v>
      </c>
      <c r="AN37" s="22">
        <v>3.0</v>
      </c>
      <c r="AO37" s="22">
        <v>4.0</v>
      </c>
      <c r="AP37" s="22">
        <v>1.0</v>
      </c>
      <c r="AQ37" s="22">
        <v>1.0</v>
      </c>
      <c r="AR37" s="22">
        <v>0.0</v>
      </c>
      <c r="AS37" s="22">
        <v>4.0</v>
      </c>
      <c r="AT37" s="22">
        <v>4.0</v>
      </c>
      <c r="AU37" s="22">
        <v>3.0</v>
      </c>
      <c r="AV37" s="22">
        <v>3.0</v>
      </c>
      <c r="AW37" s="22">
        <v>2.0</v>
      </c>
      <c r="AX37" s="22">
        <v>0.0</v>
      </c>
      <c r="AY37" s="22">
        <v>0.0</v>
      </c>
      <c r="AZ37" s="22">
        <v>0.0</v>
      </c>
      <c r="BA37" s="22">
        <v>4.0</v>
      </c>
    </row>
    <row r="38">
      <c r="A38" s="57" t="s">
        <v>496</v>
      </c>
      <c r="B38" s="62" t="s">
        <v>13</v>
      </c>
      <c r="C38" s="19" t="s">
        <v>531</v>
      </c>
      <c r="AL38" s="32" t="s">
        <v>21</v>
      </c>
      <c r="AM38" s="32" t="s">
        <v>21</v>
      </c>
      <c r="AN38" s="32" t="s">
        <v>21</v>
      </c>
      <c r="AO38" s="32" t="s">
        <v>21</v>
      </c>
      <c r="AP38" s="32">
        <v>5.0</v>
      </c>
      <c r="AQ38" s="32">
        <v>5.0</v>
      </c>
      <c r="AR38" s="32">
        <v>5.0</v>
      </c>
      <c r="AS38" s="22">
        <v>5.0</v>
      </c>
      <c r="AT38" s="22">
        <v>5.0</v>
      </c>
      <c r="AU38" s="22">
        <v>5.0</v>
      </c>
      <c r="AV38" s="22">
        <v>5.0</v>
      </c>
      <c r="AW38" s="22">
        <v>5.0</v>
      </c>
      <c r="AX38" s="22">
        <v>5.0</v>
      </c>
      <c r="AY38" s="22">
        <v>5.0</v>
      </c>
      <c r="AZ38" s="22">
        <v>4.0</v>
      </c>
      <c r="BA38" s="22">
        <v>4.0</v>
      </c>
    </row>
    <row r="39">
      <c r="A39" s="57" t="s">
        <v>496</v>
      </c>
      <c r="B39" s="57" t="s">
        <v>13</v>
      </c>
      <c r="C39" s="19" t="s">
        <v>9</v>
      </c>
      <c r="D39" s="57">
        <v>38.0</v>
      </c>
      <c r="E39" s="62"/>
      <c r="F39" s="57">
        <v>34.0</v>
      </c>
      <c r="G39" s="57">
        <v>63.0</v>
      </c>
      <c r="H39" s="60">
        <v>60.0</v>
      </c>
      <c r="I39" s="59">
        <v>60.0</v>
      </c>
      <c r="J39" s="58"/>
      <c r="K39" s="58"/>
      <c r="L39" s="59">
        <v>22.0</v>
      </c>
      <c r="M39" s="59">
        <v>36.0</v>
      </c>
      <c r="N39" s="59">
        <v>32.0</v>
      </c>
      <c r="O39" s="59">
        <v>19.0</v>
      </c>
      <c r="P39" s="59">
        <v>18.0</v>
      </c>
      <c r="Q39" s="59">
        <v>13.0</v>
      </c>
      <c r="R39" s="59">
        <v>8.0</v>
      </c>
      <c r="S39" s="59">
        <v>4.0</v>
      </c>
      <c r="T39" s="59">
        <v>16.0</v>
      </c>
      <c r="U39" s="59">
        <v>12.0</v>
      </c>
      <c r="V39" s="59">
        <v>32.0</v>
      </c>
      <c r="W39" s="59">
        <v>24.0</v>
      </c>
      <c r="X39" s="59">
        <v>20.0</v>
      </c>
      <c r="Y39" s="59">
        <v>12.0</v>
      </c>
      <c r="Z39" s="59">
        <v>15.0</v>
      </c>
      <c r="AA39" s="59">
        <v>13.0</v>
      </c>
      <c r="AB39" s="59">
        <v>10.0</v>
      </c>
      <c r="AC39" s="59">
        <v>7.0</v>
      </c>
      <c r="AD39" s="59">
        <v>28.0</v>
      </c>
      <c r="AE39" s="59">
        <v>26.0</v>
      </c>
      <c r="AF39" s="22">
        <v>28.0</v>
      </c>
      <c r="AG39" s="22">
        <v>28.0</v>
      </c>
      <c r="AH39" s="22">
        <v>24.0</v>
      </c>
      <c r="AI39" s="22">
        <v>26.0</v>
      </c>
      <c r="AJ39" s="22">
        <v>26.0</v>
      </c>
      <c r="AK39" s="22">
        <v>24.0</v>
      </c>
      <c r="AL39" s="22">
        <v>20.0</v>
      </c>
      <c r="AM39" s="22">
        <v>20.0</v>
      </c>
      <c r="AN39" s="22">
        <v>16.0</v>
      </c>
      <c r="AO39" s="22">
        <v>38.0</v>
      </c>
      <c r="AP39" s="59">
        <v>40.0</v>
      </c>
      <c r="AQ39" s="59">
        <v>38.0</v>
      </c>
      <c r="AR39" s="59">
        <v>35.0</v>
      </c>
      <c r="AS39" s="22">
        <v>33.0</v>
      </c>
      <c r="AT39" s="22">
        <v>31.0</v>
      </c>
      <c r="AU39" s="22">
        <v>30.0</v>
      </c>
      <c r="AV39" s="22">
        <v>27.0</v>
      </c>
      <c r="AW39" s="22">
        <v>25.0</v>
      </c>
      <c r="AX39" s="22">
        <v>19.0</v>
      </c>
      <c r="AY39" s="22">
        <v>36.0</v>
      </c>
      <c r="AZ39" s="22">
        <v>32.0</v>
      </c>
      <c r="BA39" s="22">
        <v>26.0</v>
      </c>
    </row>
    <row r="40">
      <c r="A40" s="57" t="s">
        <v>496</v>
      </c>
      <c r="B40" s="57" t="s">
        <v>13</v>
      </c>
      <c r="C40" s="19" t="s">
        <v>8</v>
      </c>
      <c r="D40" s="57">
        <v>11.0</v>
      </c>
      <c r="E40" s="62"/>
      <c r="F40" s="57">
        <v>40.0</v>
      </c>
      <c r="G40" s="57">
        <v>20.0</v>
      </c>
      <c r="H40" s="60">
        <v>20.0</v>
      </c>
      <c r="I40" s="59">
        <v>16.0</v>
      </c>
      <c r="J40" s="58"/>
      <c r="K40" s="58"/>
      <c r="L40" s="59">
        <v>0.0</v>
      </c>
      <c r="M40" s="59">
        <v>14.0</v>
      </c>
      <c r="N40" s="59">
        <v>6.0</v>
      </c>
      <c r="O40" s="59">
        <v>0.0</v>
      </c>
      <c r="P40" s="59">
        <v>12.0</v>
      </c>
      <c r="Q40" s="59">
        <v>9.0</v>
      </c>
      <c r="R40" s="59">
        <v>3.0</v>
      </c>
      <c r="S40" s="59">
        <v>0.0</v>
      </c>
      <c r="T40" s="59">
        <v>4.0</v>
      </c>
      <c r="U40" s="59">
        <v>2.0</v>
      </c>
      <c r="V40" s="59">
        <v>12.0</v>
      </c>
      <c r="W40" s="59">
        <v>8.0</v>
      </c>
      <c r="X40" s="59">
        <v>0.0</v>
      </c>
      <c r="Y40" s="59">
        <v>0.0</v>
      </c>
      <c r="Z40" s="59">
        <v>12.0</v>
      </c>
      <c r="AA40" s="59">
        <v>8.0</v>
      </c>
      <c r="AB40" s="59">
        <v>5.0</v>
      </c>
      <c r="AC40" s="59">
        <v>2.0</v>
      </c>
      <c r="AD40" s="59">
        <v>16.0</v>
      </c>
      <c r="AE40" s="59">
        <v>9.0</v>
      </c>
      <c r="AF40" s="22">
        <v>8.0</v>
      </c>
      <c r="AG40" s="22">
        <v>5.0</v>
      </c>
      <c r="AH40" s="22">
        <v>0.0</v>
      </c>
      <c r="AI40" s="22">
        <v>4.0</v>
      </c>
      <c r="AJ40" s="22">
        <v>4.0</v>
      </c>
      <c r="AK40" s="22">
        <v>2.0</v>
      </c>
      <c r="AL40" s="22">
        <v>0.0</v>
      </c>
      <c r="AM40" s="22">
        <v>0.0</v>
      </c>
      <c r="AN40" s="22">
        <v>0.0</v>
      </c>
      <c r="AO40" s="22">
        <v>9.0</v>
      </c>
      <c r="AP40" s="59">
        <v>7.0</v>
      </c>
      <c r="AQ40" s="59">
        <v>7.0</v>
      </c>
      <c r="AR40" s="59">
        <v>4.0</v>
      </c>
      <c r="AS40" s="22">
        <v>3.0</v>
      </c>
      <c r="AT40" s="22">
        <v>2.0</v>
      </c>
      <c r="AU40" s="22">
        <v>0.0</v>
      </c>
      <c r="AV40" s="22">
        <v>16.0</v>
      </c>
      <c r="AW40" s="22">
        <v>13.0</v>
      </c>
      <c r="AX40" s="22">
        <v>9.0</v>
      </c>
      <c r="AY40" s="22">
        <v>16.0</v>
      </c>
      <c r="AZ40" s="22">
        <v>13.0</v>
      </c>
      <c r="BA40" s="22">
        <v>4.0</v>
      </c>
    </row>
    <row r="41">
      <c r="A41" s="57" t="s">
        <v>496</v>
      </c>
      <c r="B41" s="62" t="s">
        <v>13</v>
      </c>
      <c r="C41" s="19" t="s">
        <v>532</v>
      </c>
      <c r="AL41" s="32" t="s">
        <v>21</v>
      </c>
      <c r="AM41" s="32" t="s">
        <v>21</v>
      </c>
      <c r="AN41" s="32" t="s">
        <v>21</v>
      </c>
      <c r="AO41" s="32" t="s">
        <v>21</v>
      </c>
      <c r="AP41" s="22">
        <v>6.0</v>
      </c>
      <c r="AQ41" s="22">
        <v>6.0</v>
      </c>
      <c r="AR41" s="22">
        <v>6.0</v>
      </c>
      <c r="AS41" s="22">
        <v>3.0</v>
      </c>
      <c r="AT41" s="22">
        <v>2.0</v>
      </c>
      <c r="AU41" s="22">
        <v>1.0</v>
      </c>
      <c r="AV41" s="22">
        <v>15.0</v>
      </c>
      <c r="AW41" s="22">
        <v>15.0</v>
      </c>
      <c r="AX41" s="22">
        <v>14.0</v>
      </c>
      <c r="AY41" s="22">
        <v>12.0</v>
      </c>
      <c r="AZ41" s="22">
        <v>11.0</v>
      </c>
      <c r="BA41" s="22">
        <v>10.0</v>
      </c>
    </row>
    <row r="42">
      <c r="A42" s="57" t="s">
        <v>496</v>
      </c>
      <c r="B42" s="62" t="s">
        <v>13</v>
      </c>
      <c r="C42" s="19" t="s">
        <v>533</v>
      </c>
      <c r="AL42" s="32" t="s">
        <v>21</v>
      </c>
      <c r="AM42" s="32" t="s">
        <v>21</v>
      </c>
      <c r="AN42" s="32" t="s">
        <v>21</v>
      </c>
      <c r="AO42" s="32" t="s">
        <v>21</v>
      </c>
      <c r="AP42" s="22">
        <v>12.0</v>
      </c>
      <c r="AQ42" s="22">
        <v>12.0</v>
      </c>
      <c r="AR42" s="22">
        <v>11.0</v>
      </c>
      <c r="AS42" s="22">
        <v>11.0</v>
      </c>
      <c r="AT42" s="22">
        <v>9.0</v>
      </c>
      <c r="AU42" s="22">
        <v>8.0</v>
      </c>
      <c r="AV42" s="22">
        <v>7.0</v>
      </c>
      <c r="AW42" s="22">
        <v>7.0</v>
      </c>
      <c r="AX42" s="22">
        <v>6.0</v>
      </c>
      <c r="AY42" s="22">
        <v>21.0</v>
      </c>
      <c r="AZ42" s="22">
        <v>17.0</v>
      </c>
      <c r="BA42" s="22">
        <v>17.0</v>
      </c>
    </row>
    <row r="43">
      <c r="A43" s="57" t="s">
        <v>496</v>
      </c>
      <c r="B43" s="62" t="s">
        <v>13</v>
      </c>
      <c r="C43" s="19" t="s">
        <v>534</v>
      </c>
      <c r="AL43" s="32" t="s">
        <v>21</v>
      </c>
      <c r="AM43" s="32" t="s">
        <v>21</v>
      </c>
      <c r="AN43" s="32" t="s">
        <v>21</v>
      </c>
      <c r="AO43" s="32" t="s">
        <v>21</v>
      </c>
      <c r="AP43" s="22">
        <v>11.0</v>
      </c>
      <c r="AQ43" s="22">
        <v>10.0</v>
      </c>
      <c r="AR43" s="22">
        <v>9.0</v>
      </c>
      <c r="AS43" s="22">
        <v>9.0</v>
      </c>
      <c r="AT43" s="22">
        <v>7.0</v>
      </c>
      <c r="AU43" s="22">
        <v>6.0</v>
      </c>
      <c r="AV43" s="22">
        <v>5.0</v>
      </c>
      <c r="AW43" s="22">
        <v>4.0</v>
      </c>
      <c r="AX43" s="22">
        <v>3.0</v>
      </c>
      <c r="AY43" s="22">
        <v>3.0</v>
      </c>
      <c r="AZ43" s="22">
        <v>3.0</v>
      </c>
      <c r="BA43" s="22">
        <v>2.0</v>
      </c>
    </row>
    <row r="44">
      <c r="A44" s="57" t="s">
        <v>496</v>
      </c>
      <c r="B44" s="62" t="s">
        <v>13</v>
      </c>
      <c r="C44" s="19" t="s">
        <v>31</v>
      </c>
      <c r="AP44" s="32" t="s">
        <v>21</v>
      </c>
      <c r="AQ44" s="32" t="s">
        <v>21</v>
      </c>
      <c r="AR44" s="32">
        <v>0.0</v>
      </c>
      <c r="AS44" s="22">
        <v>0.0</v>
      </c>
      <c r="AT44" s="22">
        <v>0.0</v>
      </c>
      <c r="AU44" s="22">
        <v>0.0</v>
      </c>
      <c r="AV44" s="22">
        <v>2.0</v>
      </c>
      <c r="AW44" s="22">
        <v>0.0</v>
      </c>
      <c r="AX44" s="22">
        <v>0.0</v>
      </c>
      <c r="AY44" s="22">
        <v>4.0</v>
      </c>
      <c r="AZ44" s="22">
        <v>4.0</v>
      </c>
      <c r="BA44" s="22">
        <v>4.0</v>
      </c>
    </row>
    <row r="45">
      <c r="A45" s="57" t="s">
        <v>496</v>
      </c>
      <c r="B45" s="62" t="s">
        <v>13</v>
      </c>
      <c r="C45" s="19" t="s">
        <v>535</v>
      </c>
      <c r="AP45" s="32" t="s">
        <v>21</v>
      </c>
      <c r="AQ45" s="32" t="s">
        <v>21</v>
      </c>
      <c r="AR45" s="32">
        <v>0.0</v>
      </c>
      <c r="AS45" s="22">
        <v>0.0</v>
      </c>
      <c r="AT45" s="22">
        <v>0.0</v>
      </c>
      <c r="AU45" s="22">
        <v>0.0</v>
      </c>
      <c r="AV45" s="22">
        <v>0.0</v>
      </c>
      <c r="AW45" s="22">
        <v>0.0</v>
      </c>
      <c r="AX45" s="22">
        <v>0.0</v>
      </c>
      <c r="AY45" s="22">
        <v>0.0</v>
      </c>
      <c r="AZ45" s="22">
        <v>0.0</v>
      </c>
      <c r="BA45" s="22">
        <v>0.0</v>
      </c>
    </row>
  </sheetData>
  <dataValidations>
    <dataValidation type="list" allowBlank="1" showErrorMessage="1" sqref="B4:B17 B19:B45">
      <formula1>"Cafeteria,Aseo"</formula1>
    </dataValidation>
    <dataValidation type="list" allowBlank="1" showErrorMessage="1" sqref="B18">
      <formula1>"Dimerc,Cafe Caribe"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38"/>
    <col customWidth="1" min="2" max="2" width="19.5"/>
    <col customWidth="1" min="3" max="3" width="22.38"/>
    <col hidden="1" min="4" max="61" width="12.63"/>
  </cols>
  <sheetData>
    <row r="1">
      <c r="A1" s="63"/>
      <c r="B1" s="63"/>
      <c r="C1" s="64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I1" s="18"/>
      <c r="J1" s="18"/>
      <c r="K1" s="18"/>
      <c r="L1" s="18"/>
    </row>
    <row r="2">
      <c r="A2" s="63"/>
      <c r="B2" s="63"/>
      <c r="C2" s="64"/>
      <c r="D2" s="18">
        <v>45811.0</v>
      </c>
      <c r="E2" s="18">
        <f>D2+6</f>
        <v>45817</v>
      </c>
      <c r="F2" s="18">
        <f t="shared" ref="F2:L2" si="1">E2+7</f>
        <v>45824</v>
      </c>
      <c r="G2" s="18">
        <f t="shared" si="1"/>
        <v>45831</v>
      </c>
      <c r="H2" s="18">
        <f t="shared" si="1"/>
        <v>45838</v>
      </c>
      <c r="I2" s="18">
        <f t="shared" si="1"/>
        <v>45845</v>
      </c>
      <c r="J2" s="18">
        <f t="shared" si="1"/>
        <v>45852</v>
      </c>
      <c r="K2" s="18">
        <f t="shared" si="1"/>
        <v>45859</v>
      </c>
      <c r="L2" s="18">
        <f t="shared" si="1"/>
        <v>45866</v>
      </c>
      <c r="M2" s="17">
        <v>45873.0</v>
      </c>
      <c r="N2" s="17">
        <v>45880.0</v>
      </c>
      <c r="O2" s="18">
        <f t="shared" ref="O2:P2" si="2">N2+7</f>
        <v>45887</v>
      </c>
      <c r="P2" s="18">
        <f t="shared" si="2"/>
        <v>45894</v>
      </c>
      <c r="Q2" s="18">
        <v>45901.0</v>
      </c>
      <c r="R2" s="18">
        <v>45908.0</v>
      </c>
      <c r="S2" s="18">
        <v>45915.0</v>
      </c>
      <c r="T2" s="18">
        <v>45915.0</v>
      </c>
      <c r="U2" s="18">
        <v>45929.0</v>
      </c>
      <c r="V2" s="18">
        <f>U2+7</f>
        <v>45936</v>
      </c>
      <c r="W2" s="18">
        <v>45943.0</v>
      </c>
      <c r="X2" s="18">
        <v>45950.0</v>
      </c>
      <c r="Y2" s="18">
        <f>X2+7</f>
        <v>45957</v>
      </c>
      <c r="Z2" s="17">
        <v>45964.0</v>
      </c>
      <c r="AA2" s="17">
        <v>45971.0</v>
      </c>
      <c r="AB2" s="18">
        <f t="shared" ref="AB2:AC2" si="3">AA2+7</f>
        <v>45978</v>
      </c>
      <c r="AC2" s="18">
        <f t="shared" si="3"/>
        <v>45985</v>
      </c>
      <c r="AD2" s="17">
        <v>45986.0</v>
      </c>
      <c r="AE2" s="17">
        <v>45992.0</v>
      </c>
      <c r="AF2" s="17">
        <v>45993.0</v>
      </c>
      <c r="AG2" s="17">
        <v>45995.0</v>
      </c>
      <c r="AH2" s="17">
        <v>46000.0</v>
      </c>
      <c r="AI2" s="17">
        <v>46002.0</v>
      </c>
      <c r="AJ2" s="17">
        <v>46006.0</v>
      </c>
      <c r="AK2" s="17">
        <v>46009.0</v>
      </c>
      <c r="AL2" s="17">
        <v>46010.0</v>
      </c>
      <c r="AM2" s="17">
        <v>46013.0</v>
      </c>
      <c r="AN2" s="17">
        <v>46020.0</v>
      </c>
      <c r="AO2" s="17">
        <v>46027.0</v>
      </c>
      <c r="AP2" s="17">
        <v>46030.0</v>
      </c>
      <c r="AQ2" s="17">
        <v>46034.0</v>
      </c>
      <c r="AR2" s="17">
        <v>46035.0</v>
      </c>
      <c r="AS2" s="17">
        <v>46037.0</v>
      </c>
      <c r="AT2" s="17">
        <v>46041.0</v>
      </c>
      <c r="AU2" s="17">
        <v>46044.0</v>
      </c>
      <c r="AV2" s="17">
        <v>46045.0</v>
      </c>
      <c r="AW2" s="17">
        <v>46048.0</v>
      </c>
      <c r="AX2" s="17">
        <v>46049.0</v>
      </c>
      <c r="AY2" s="17">
        <v>46050.0</v>
      </c>
      <c r="AZ2" s="17">
        <v>46051.0</v>
      </c>
      <c r="BA2" s="17">
        <v>46055.0</v>
      </c>
      <c r="BB2" s="17">
        <v>46058.0</v>
      </c>
      <c r="BC2" s="17">
        <v>46062.0</v>
      </c>
      <c r="BD2" s="17">
        <v>46065.0</v>
      </c>
      <c r="BE2" s="17">
        <v>46069.0</v>
      </c>
      <c r="BF2" s="17">
        <v>46072.0</v>
      </c>
      <c r="BG2" s="17">
        <v>46076.0</v>
      </c>
      <c r="BH2" s="17">
        <v>46079.0</v>
      </c>
      <c r="BI2" s="17">
        <v>46079.0</v>
      </c>
      <c r="BJ2" s="17">
        <v>46084.0</v>
      </c>
      <c r="BK2" s="17">
        <v>46084.0</v>
      </c>
      <c r="BL2" s="17">
        <v>46097.0</v>
      </c>
      <c r="BM2" s="17">
        <v>46100.0</v>
      </c>
      <c r="BN2" s="17">
        <v>46104.0</v>
      </c>
      <c r="BO2" s="65"/>
      <c r="BP2" s="65"/>
      <c r="BQ2" s="65"/>
      <c r="BR2" s="65"/>
    </row>
    <row r="3">
      <c r="A3" s="27" t="s">
        <v>0</v>
      </c>
      <c r="B3" s="27" t="s">
        <v>1</v>
      </c>
      <c r="C3" s="27" t="s">
        <v>2</v>
      </c>
      <c r="D3" s="27" t="s">
        <v>3</v>
      </c>
      <c r="E3" s="27" t="s">
        <v>3</v>
      </c>
      <c r="F3" s="27" t="s">
        <v>3</v>
      </c>
      <c r="G3" s="27" t="s">
        <v>3</v>
      </c>
      <c r="H3" s="27" t="s">
        <v>3</v>
      </c>
      <c r="I3" s="27" t="s">
        <v>3</v>
      </c>
      <c r="J3" s="27" t="s">
        <v>3</v>
      </c>
      <c r="K3" s="27" t="s">
        <v>3</v>
      </c>
      <c r="L3" s="27" t="s">
        <v>3</v>
      </c>
      <c r="M3" s="27" t="s">
        <v>3</v>
      </c>
      <c r="N3" s="27" t="s">
        <v>3</v>
      </c>
      <c r="O3" s="27" t="s">
        <v>3</v>
      </c>
      <c r="P3" s="27" t="s">
        <v>3</v>
      </c>
      <c r="Q3" s="16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16" t="s">
        <v>3</v>
      </c>
      <c r="AP3" s="16" t="s">
        <v>3</v>
      </c>
      <c r="AQ3" s="16" t="s">
        <v>3</v>
      </c>
      <c r="AR3" s="16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 t="s">
        <v>3</v>
      </c>
      <c r="BE3" s="16" t="s">
        <v>3</v>
      </c>
      <c r="BF3" s="16" t="s">
        <v>3</v>
      </c>
      <c r="BG3" s="16" t="s">
        <v>3</v>
      </c>
      <c r="BH3" s="16" t="s">
        <v>3</v>
      </c>
      <c r="BI3" s="16" t="s">
        <v>3</v>
      </c>
      <c r="BJ3" s="16" t="s">
        <v>3</v>
      </c>
      <c r="BK3" s="16" t="s">
        <v>3</v>
      </c>
      <c r="BL3" s="16" t="s">
        <v>3</v>
      </c>
      <c r="BM3" s="16" t="s">
        <v>3</v>
      </c>
      <c r="BN3" s="16" t="s">
        <v>3</v>
      </c>
      <c r="BO3" s="16"/>
      <c r="BP3" s="16"/>
      <c r="BQ3" s="16"/>
      <c r="BR3" s="16"/>
    </row>
    <row r="4">
      <c r="A4" s="26" t="s">
        <v>536</v>
      </c>
      <c r="B4" s="26" t="s">
        <v>45</v>
      </c>
      <c r="C4" s="26" t="s">
        <v>6</v>
      </c>
      <c r="D4" s="66">
        <v>5.0</v>
      </c>
      <c r="E4" s="67">
        <v>3.5</v>
      </c>
      <c r="F4" s="67">
        <v>1.0</v>
      </c>
      <c r="G4" s="67">
        <v>15.0</v>
      </c>
      <c r="H4" s="67">
        <v>10.0</v>
      </c>
      <c r="I4" s="22">
        <v>15.0</v>
      </c>
      <c r="J4" s="22">
        <v>12.0</v>
      </c>
      <c r="K4" s="22">
        <v>10.0</v>
      </c>
      <c r="L4" s="22">
        <v>8.0</v>
      </c>
      <c r="M4" s="66">
        <v>6.0</v>
      </c>
      <c r="N4" s="67">
        <v>1.0</v>
      </c>
      <c r="O4" s="67">
        <v>11.0</v>
      </c>
      <c r="P4" s="67">
        <v>10.0</v>
      </c>
      <c r="Q4" s="67">
        <v>10.0</v>
      </c>
      <c r="R4" s="22">
        <v>7.0</v>
      </c>
      <c r="S4" s="22">
        <v>5.0</v>
      </c>
      <c r="T4" s="22">
        <v>4.0</v>
      </c>
      <c r="U4" s="22">
        <v>11.0</v>
      </c>
      <c r="V4" s="22">
        <v>8.0</v>
      </c>
      <c r="W4" s="22">
        <v>3.0</v>
      </c>
      <c r="X4" s="22">
        <v>3.0</v>
      </c>
      <c r="Y4" s="22">
        <v>13.0</v>
      </c>
      <c r="AA4" s="22">
        <v>8.0</v>
      </c>
      <c r="AB4" s="22">
        <v>13.0</v>
      </c>
      <c r="AC4" s="22">
        <v>12.0</v>
      </c>
      <c r="AD4" s="22">
        <v>11.0</v>
      </c>
      <c r="AE4" s="22">
        <v>9.5</v>
      </c>
      <c r="AF4" s="22">
        <v>9.5</v>
      </c>
      <c r="AG4" s="22">
        <v>8.5</v>
      </c>
      <c r="AH4" s="22">
        <v>7.0</v>
      </c>
      <c r="AI4" s="22">
        <v>6.0</v>
      </c>
      <c r="AJ4" s="22">
        <v>5.5</v>
      </c>
      <c r="AK4" s="22">
        <v>4.5</v>
      </c>
      <c r="AL4" s="22">
        <v>12.5</v>
      </c>
      <c r="AM4" s="22">
        <v>12.0</v>
      </c>
      <c r="AN4" s="22">
        <v>11.0</v>
      </c>
      <c r="AO4" s="22">
        <v>10.0</v>
      </c>
      <c r="AP4" s="22">
        <v>7.5</v>
      </c>
      <c r="AQ4" s="22">
        <v>4.5</v>
      </c>
      <c r="AR4" s="22">
        <v>3.5</v>
      </c>
      <c r="AS4" s="22">
        <v>1.5</v>
      </c>
      <c r="AT4" s="22">
        <v>0.0</v>
      </c>
      <c r="AU4" s="22">
        <v>1.0</v>
      </c>
      <c r="AV4" s="22">
        <v>0.0</v>
      </c>
      <c r="AW4" s="22">
        <v>1.0</v>
      </c>
      <c r="AX4" s="22">
        <v>1.0</v>
      </c>
      <c r="AY4" s="22">
        <v>10.0</v>
      </c>
      <c r="AZ4" s="22">
        <v>8.0</v>
      </c>
      <c r="BA4" s="22">
        <v>6.5</v>
      </c>
      <c r="BB4" s="22">
        <v>4.5</v>
      </c>
      <c r="BC4" s="22">
        <v>3.5</v>
      </c>
      <c r="BD4" s="22">
        <v>1.0</v>
      </c>
      <c r="BE4" s="22">
        <v>9.5</v>
      </c>
      <c r="BF4" s="22">
        <v>7.5</v>
      </c>
      <c r="BG4" s="22">
        <v>5.5</v>
      </c>
      <c r="BH4" s="22">
        <v>4.0</v>
      </c>
      <c r="BI4" s="22">
        <v>17.5</v>
      </c>
      <c r="BJ4" s="22">
        <v>17.5</v>
      </c>
      <c r="BK4" s="22">
        <v>16.0</v>
      </c>
      <c r="BL4" s="22">
        <v>12.0</v>
      </c>
      <c r="BM4" s="22">
        <v>9.5</v>
      </c>
      <c r="BN4" s="22">
        <v>8.0</v>
      </c>
      <c r="BO4" s="22"/>
      <c r="BP4" s="22"/>
      <c r="BQ4" s="22"/>
      <c r="BR4" s="22"/>
    </row>
    <row r="5">
      <c r="A5" s="26" t="s">
        <v>536</v>
      </c>
      <c r="B5" s="19" t="s">
        <v>7</v>
      </c>
      <c r="C5" s="26" t="s">
        <v>8</v>
      </c>
      <c r="D5" s="66">
        <v>10.0</v>
      </c>
      <c r="E5" s="67">
        <v>12.0</v>
      </c>
      <c r="F5" s="67">
        <v>6.0</v>
      </c>
      <c r="G5" s="67">
        <v>8.0</v>
      </c>
      <c r="H5" s="67">
        <v>5.0</v>
      </c>
      <c r="I5" s="22">
        <v>12.0</v>
      </c>
      <c r="J5" s="22">
        <v>9.0</v>
      </c>
      <c r="K5" s="22">
        <v>6.0</v>
      </c>
      <c r="L5" s="22">
        <v>20.0</v>
      </c>
      <c r="M5" s="66">
        <v>10.0</v>
      </c>
      <c r="N5" s="67">
        <v>8.0</v>
      </c>
      <c r="O5" s="67">
        <v>6.0</v>
      </c>
      <c r="P5" s="67">
        <v>14.0</v>
      </c>
      <c r="Q5" s="67">
        <v>20.0</v>
      </c>
      <c r="R5" s="22">
        <v>18.0</v>
      </c>
      <c r="S5" s="22">
        <v>17.0</v>
      </c>
      <c r="T5" s="22">
        <v>16.0</v>
      </c>
      <c r="U5" s="22">
        <v>25.0</v>
      </c>
      <c r="V5" s="22">
        <v>19.0</v>
      </c>
      <c r="W5" s="22">
        <v>14.0</v>
      </c>
      <c r="X5" s="22">
        <v>13.0</v>
      </c>
      <c r="Y5" s="22">
        <v>22.0</v>
      </c>
      <c r="AA5" s="22">
        <v>26.0</v>
      </c>
      <c r="AB5" s="22">
        <v>23.0</v>
      </c>
      <c r="AC5" s="22">
        <v>20.0</v>
      </c>
      <c r="AD5" s="22">
        <v>14.0</v>
      </c>
      <c r="AE5" s="22">
        <v>12.0</v>
      </c>
      <c r="AF5" s="22">
        <v>11.0</v>
      </c>
      <c r="AG5" s="22">
        <v>10.0</v>
      </c>
      <c r="AH5" s="22">
        <v>9.0</v>
      </c>
      <c r="AI5" s="22">
        <v>9.0</v>
      </c>
      <c r="AJ5" s="22">
        <v>8.0</v>
      </c>
      <c r="AK5" s="22">
        <v>8.0</v>
      </c>
      <c r="AL5" s="22">
        <v>8.0</v>
      </c>
      <c r="AM5" s="22">
        <v>16.0</v>
      </c>
      <c r="AN5" s="22">
        <v>15.0</v>
      </c>
      <c r="AO5" s="22">
        <v>14.0</v>
      </c>
      <c r="AP5" s="22">
        <v>12.0</v>
      </c>
      <c r="AQ5" s="22">
        <v>11.0</v>
      </c>
      <c r="AR5" s="22">
        <v>22.0</v>
      </c>
      <c r="AS5" s="22">
        <v>21.0</v>
      </c>
      <c r="AT5" s="22">
        <v>19.0</v>
      </c>
      <c r="AU5" s="22">
        <v>17.0</v>
      </c>
      <c r="AV5" s="22">
        <v>13.0</v>
      </c>
      <c r="AW5" s="22">
        <v>12.0</v>
      </c>
      <c r="AX5" s="22">
        <v>11.0</v>
      </c>
      <c r="AY5" s="22">
        <v>8.0</v>
      </c>
      <c r="AZ5" s="22">
        <v>7.0</v>
      </c>
      <c r="BA5" s="22">
        <v>6.0</v>
      </c>
      <c r="BB5" s="22">
        <v>4.0</v>
      </c>
      <c r="BC5" s="22">
        <v>7.0</v>
      </c>
      <c r="BD5" s="22">
        <v>4.0</v>
      </c>
      <c r="BE5" s="22">
        <v>2.0</v>
      </c>
      <c r="BF5" s="22">
        <v>5.0</v>
      </c>
      <c r="BG5" s="22">
        <v>3.0</v>
      </c>
      <c r="BH5" s="22">
        <v>2.0</v>
      </c>
      <c r="BI5" s="22">
        <v>0.0</v>
      </c>
      <c r="BJ5" s="22">
        <v>0.0</v>
      </c>
      <c r="BK5" s="22">
        <v>0.0</v>
      </c>
      <c r="BL5" s="22">
        <v>5.0</v>
      </c>
      <c r="BM5" s="22">
        <v>3.0</v>
      </c>
      <c r="BN5" s="22">
        <v>1.0</v>
      </c>
      <c r="BO5" s="22"/>
      <c r="BP5" s="22"/>
      <c r="BQ5" s="22"/>
      <c r="BR5" s="22"/>
    </row>
    <row r="6">
      <c r="A6" s="26" t="s">
        <v>536</v>
      </c>
      <c r="B6" s="19" t="s">
        <v>7</v>
      </c>
      <c r="C6" s="26" t="s">
        <v>9</v>
      </c>
      <c r="D6" s="66">
        <v>17.0</v>
      </c>
      <c r="E6" s="67">
        <v>13.0</v>
      </c>
      <c r="F6" s="67">
        <v>3.0</v>
      </c>
      <c r="G6" s="67">
        <v>1.0</v>
      </c>
      <c r="H6" s="67">
        <v>3.0</v>
      </c>
      <c r="I6" s="22">
        <v>32.0</v>
      </c>
      <c r="J6" s="22">
        <v>25.0</v>
      </c>
      <c r="K6" s="22">
        <v>16.0</v>
      </c>
      <c r="L6" s="22">
        <v>32.0</v>
      </c>
      <c r="M6" s="66">
        <v>30.0</v>
      </c>
      <c r="N6" s="67">
        <v>24.0</v>
      </c>
      <c r="O6" s="67">
        <v>16.0</v>
      </c>
      <c r="P6" s="67">
        <v>13.0</v>
      </c>
      <c r="Q6" s="67">
        <v>36.0</v>
      </c>
      <c r="R6" s="22">
        <v>36.0</v>
      </c>
      <c r="S6" s="22">
        <v>34.0</v>
      </c>
      <c r="T6" s="22">
        <v>31.0</v>
      </c>
      <c r="U6" s="22">
        <v>48.0</v>
      </c>
      <c r="V6" s="22">
        <v>36.0</v>
      </c>
      <c r="W6" s="22">
        <v>40.0</v>
      </c>
      <c r="X6" s="22">
        <v>38.0</v>
      </c>
      <c r="Y6" s="22">
        <v>40.0</v>
      </c>
      <c r="AA6" s="22">
        <v>32.0</v>
      </c>
      <c r="AB6" s="22">
        <v>24.0</v>
      </c>
      <c r="AC6" s="22">
        <v>36.0</v>
      </c>
      <c r="AD6" s="22">
        <v>36.0</v>
      </c>
      <c r="AE6" s="22">
        <v>35.0</v>
      </c>
      <c r="AF6" s="22">
        <v>50.0</v>
      </c>
      <c r="AG6" s="22">
        <v>44.0</v>
      </c>
      <c r="AH6" s="22">
        <v>44.0</v>
      </c>
      <c r="AI6" s="22">
        <v>44.0</v>
      </c>
      <c r="AJ6" s="22">
        <v>42.0</v>
      </c>
      <c r="AK6" s="22">
        <v>40.0</v>
      </c>
      <c r="AL6" s="22">
        <v>40.0</v>
      </c>
      <c r="AM6" s="22">
        <v>48.0</v>
      </c>
      <c r="AN6" s="22">
        <v>44.0</v>
      </c>
      <c r="AO6" s="22">
        <v>42.0</v>
      </c>
      <c r="AP6" s="22">
        <v>36.0</v>
      </c>
      <c r="AQ6" s="22">
        <v>36.0</v>
      </c>
      <c r="AR6" s="22">
        <v>52.0</v>
      </c>
      <c r="AS6" s="22">
        <v>49.0</v>
      </c>
      <c r="AT6" s="22">
        <v>44.0</v>
      </c>
      <c r="AU6" s="22">
        <v>38.0</v>
      </c>
      <c r="AV6" s="22">
        <v>36.0</v>
      </c>
      <c r="AW6" s="22">
        <v>31.0</v>
      </c>
      <c r="AX6" s="22">
        <v>30.0</v>
      </c>
      <c r="AY6" s="22">
        <v>28.0</v>
      </c>
      <c r="AZ6" s="22">
        <v>26.0</v>
      </c>
      <c r="BA6" s="22">
        <v>20.0</v>
      </c>
      <c r="BB6" s="22">
        <v>12.0</v>
      </c>
      <c r="BC6" s="22">
        <v>20.0</v>
      </c>
      <c r="BD6" s="22">
        <v>12.0</v>
      </c>
      <c r="BE6" s="22">
        <v>5.0</v>
      </c>
      <c r="BF6" s="22">
        <v>20.0</v>
      </c>
      <c r="BG6" s="22">
        <v>16.0</v>
      </c>
      <c r="BH6" s="22">
        <v>8.0</v>
      </c>
      <c r="BI6" s="22">
        <v>3.0</v>
      </c>
      <c r="BJ6" s="22">
        <v>2.0</v>
      </c>
      <c r="BK6" s="22">
        <v>0.0</v>
      </c>
      <c r="BL6" s="22">
        <v>12.0</v>
      </c>
      <c r="BM6" s="22">
        <v>4.0</v>
      </c>
      <c r="BN6" s="22">
        <v>3.0</v>
      </c>
      <c r="BO6" s="22"/>
      <c r="BP6" s="22"/>
      <c r="BQ6" s="22"/>
      <c r="BR6" s="22"/>
    </row>
    <row r="7">
      <c r="A7" s="26" t="s">
        <v>536</v>
      </c>
      <c r="B7" s="19" t="s">
        <v>7</v>
      </c>
      <c r="C7" s="26" t="s">
        <v>10</v>
      </c>
      <c r="D7" s="66">
        <v>6.0</v>
      </c>
      <c r="E7" s="67">
        <v>5.0</v>
      </c>
      <c r="F7" s="67">
        <v>3.5</v>
      </c>
      <c r="G7" s="67">
        <v>2.0</v>
      </c>
      <c r="H7" s="67">
        <v>1.0</v>
      </c>
      <c r="I7" s="22">
        <v>0.0</v>
      </c>
      <c r="J7" s="22">
        <v>0.0</v>
      </c>
      <c r="K7" s="22">
        <v>0.0</v>
      </c>
      <c r="L7" s="22">
        <v>2.0</v>
      </c>
      <c r="M7" s="66">
        <v>1.0</v>
      </c>
      <c r="N7" s="67">
        <v>1.0</v>
      </c>
      <c r="O7" s="67">
        <v>0.0</v>
      </c>
      <c r="P7" s="67">
        <v>0.0</v>
      </c>
      <c r="Q7" s="67">
        <v>3.0</v>
      </c>
      <c r="R7" s="22">
        <v>3.0</v>
      </c>
      <c r="S7" s="22">
        <v>2.5</v>
      </c>
      <c r="T7" s="22">
        <v>2.0</v>
      </c>
      <c r="U7" s="22">
        <v>3.0</v>
      </c>
      <c r="V7" s="22">
        <v>3.0</v>
      </c>
      <c r="W7" s="22">
        <v>2.0</v>
      </c>
      <c r="X7" s="22">
        <v>2.0</v>
      </c>
      <c r="Y7" s="22">
        <v>2.0</v>
      </c>
      <c r="AA7" s="22">
        <v>1.0</v>
      </c>
      <c r="AB7" s="22">
        <v>0.0</v>
      </c>
      <c r="AC7" s="22">
        <v>0.0</v>
      </c>
      <c r="AD7" s="22">
        <v>0.0</v>
      </c>
      <c r="AE7" s="22">
        <v>0.0</v>
      </c>
      <c r="AF7" s="22">
        <v>4.0</v>
      </c>
      <c r="AG7" s="22">
        <v>4.0</v>
      </c>
      <c r="AH7" s="22">
        <v>3.0</v>
      </c>
      <c r="AI7" s="22">
        <v>3.0</v>
      </c>
      <c r="AJ7" s="22">
        <v>2.0</v>
      </c>
      <c r="AK7" s="22">
        <v>2.0</v>
      </c>
      <c r="AL7" s="22">
        <v>2.0</v>
      </c>
      <c r="AM7" s="22">
        <v>1.5</v>
      </c>
      <c r="AN7" s="22">
        <v>1.0</v>
      </c>
      <c r="AO7" s="22">
        <v>1.0</v>
      </c>
      <c r="AP7" s="22">
        <v>0.5</v>
      </c>
      <c r="AQ7" s="32" t="s">
        <v>537</v>
      </c>
      <c r="AR7" s="22">
        <v>0.0</v>
      </c>
      <c r="AS7" s="22">
        <v>0.0</v>
      </c>
      <c r="AT7" s="22">
        <v>0.0</v>
      </c>
      <c r="AU7" s="22">
        <v>0.0</v>
      </c>
      <c r="AV7" s="22">
        <v>0.0</v>
      </c>
      <c r="AW7" s="22">
        <v>0.0</v>
      </c>
      <c r="AX7" s="22">
        <v>0.0</v>
      </c>
      <c r="AY7" s="22">
        <v>0.0</v>
      </c>
      <c r="AZ7" s="22">
        <v>0.0</v>
      </c>
      <c r="BA7" s="22">
        <v>0.0</v>
      </c>
      <c r="BB7" s="22">
        <v>0.0</v>
      </c>
      <c r="BC7" s="22">
        <v>0.0</v>
      </c>
      <c r="BD7" s="22">
        <v>0.0</v>
      </c>
      <c r="BE7" s="22">
        <v>0.0</v>
      </c>
      <c r="BF7" s="22">
        <v>5.0</v>
      </c>
      <c r="BG7" s="22">
        <v>5.0</v>
      </c>
      <c r="BH7" s="22">
        <v>5.0</v>
      </c>
      <c r="BI7" s="22">
        <v>5.0</v>
      </c>
      <c r="BJ7" s="22">
        <v>5.0</v>
      </c>
      <c r="BK7" s="22">
        <v>5.0</v>
      </c>
      <c r="BL7" s="22">
        <v>4.0</v>
      </c>
      <c r="BM7" s="22">
        <v>6.0</v>
      </c>
      <c r="BN7" s="22">
        <v>6.0</v>
      </c>
      <c r="BO7" s="22"/>
      <c r="BP7" s="22"/>
      <c r="BQ7" s="22"/>
      <c r="BR7" s="22"/>
    </row>
    <row r="8">
      <c r="A8" s="22" t="s">
        <v>536</v>
      </c>
      <c r="B8" s="19" t="s">
        <v>7</v>
      </c>
      <c r="C8" s="26" t="s">
        <v>15</v>
      </c>
      <c r="M8" s="31">
        <v>7.0</v>
      </c>
      <c r="N8" s="22">
        <v>4.0</v>
      </c>
      <c r="O8" s="22">
        <v>2.0</v>
      </c>
      <c r="P8" s="22">
        <v>0.0</v>
      </c>
      <c r="Q8" s="22">
        <v>12.0</v>
      </c>
      <c r="R8" s="22">
        <v>9.0</v>
      </c>
      <c r="S8" s="22">
        <v>6.0</v>
      </c>
      <c r="T8" s="22">
        <v>4.0</v>
      </c>
      <c r="U8" s="22">
        <v>22.0</v>
      </c>
      <c r="V8" s="22">
        <v>18.0</v>
      </c>
      <c r="W8" s="22">
        <v>18.0</v>
      </c>
      <c r="X8" s="22">
        <v>15.0</v>
      </c>
      <c r="Y8" s="22">
        <v>18.0</v>
      </c>
      <c r="AA8" s="22">
        <v>10.0</v>
      </c>
      <c r="AB8" s="22">
        <v>4.0</v>
      </c>
      <c r="AC8" s="22">
        <v>0.0</v>
      </c>
      <c r="AD8" s="22">
        <v>0.0</v>
      </c>
      <c r="AE8" s="22">
        <v>0.0</v>
      </c>
      <c r="AF8" s="22">
        <v>12.0</v>
      </c>
      <c r="AG8" s="22">
        <v>11.0</v>
      </c>
      <c r="AH8" s="22">
        <v>10.0</v>
      </c>
      <c r="AI8" s="22">
        <v>9.0</v>
      </c>
      <c r="AJ8" s="22">
        <v>7.0</v>
      </c>
      <c r="AK8" s="22">
        <v>5.0</v>
      </c>
      <c r="AL8" s="22">
        <v>5.0</v>
      </c>
      <c r="AM8" s="22">
        <v>16.0</v>
      </c>
      <c r="AN8" s="22">
        <v>15.0</v>
      </c>
      <c r="AO8" s="22">
        <v>14.0</v>
      </c>
      <c r="AP8" s="22">
        <v>11.0</v>
      </c>
      <c r="AQ8" s="22">
        <v>9.0</v>
      </c>
      <c r="AR8" s="22">
        <v>8.0</v>
      </c>
      <c r="AS8" s="22">
        <v>6.0</v>
      </c>
      <c r="AT8" s="22">
        <v>4.0</v>
      </c>
      <c r="AU8" s="22">
        <v>25.0</v>
      </c>
      <c r="AV8" s="22">
        <v>24.0</v>
      </c>
      <c r="AW8" s="22">
        <v>23.0</v>
      </c>
      <c r="AX8" s="22">
        <v>22.0</v>
      </c>
      <c r="AY8" s="22">
        <v>19.0</v>
      </c>
      <c r="AZ8" s="22">
        <v>18.0</v>
      </c>
      <c r="BA8" s="22">
        <v>17.0</v>
      </c>
      <c r="BB8" s="22">
        <v>14.0</v>
      </c>
      <c r="BC8" s="22">
        <v>12.0</v>
      </c>
      <c r="BD8" s="22">
        <v>10.0</v>
      </c>
      <c r="BE8" s="22">
        <v>8.0</v>
      </c>
      <c r="BF8" s="22">
        <v>5.0</v>
      </c>
      <c r="BG8" s="22">
        <v>3.0</v>
      </c>
      <c r="BH8" s="22">
        <v>1.0</v>
      </c>
      <c r="BI8" s="22">
        <v>0.0</v>
      </c>
      <c r="BJ8" s="22">
        <v>0.0</v>
      </c>
      <c r="BK8" s="22">
        <v>0.0</v>
      </c>
      <c r="BL8" s="22">
        <v>21.0</v>
      </c>
      <c r="BM8" s="22">
        <v>17.0</v>
      </c>
      <c r="BN8" s="22">
        <v>16.0</v>
      </c>
      <c r="BO8" s="22"/>
      <c r="BP8" s="22"/>
      <c r="BQ8" s="22"/>
      <c r="BR8" s="22"/>
    </row>
    <row r="9">
      <c r="A9" s="22" t="s">
        <v>536</v>
      </c>
      <c r="B9" s="19" t="s">
        <v>7</v>
      </c>
      <c r="C9" s="26" t="s">
        <v>18</v>
      </c>
      <c r="Q9" s="32">
        <v>0.0</v>
      </c>
      <c r="R9" s="32">
        <v>0.0</v>
      </c>
      <c r="S9" s="32">
        <v>0.0</v>
      </c>
      <c r="T9" s="32">
        <v>0.0</v>
      </c>
      <c r="U9" s="32">
        <v>0.0</v>
      </c>
      <c r="V9" s="32">
        <v>0.0</v>
      </c>
      <c r="W9" s="32">
        <v>0.0</v>
      </c>
      <c r="X9" s="32">
        <v>0.0</v>
      </c>
      <c r="Y9" s="32">
        <v>0.0</v>
      </c>
      <c r="AA9" s="22">
        <v>5.0</v>
      </c>
      <c r="AB9" s="22">
        <v>4.0</v>
      </c>
      <c r="AC9" s="22">
        <v>3.0</v>
      </c>
      <c r="AD9" s="22">
        <v>3.0</v>
      </c>
      <c r="AE9" s="22">
        <v>3.0</v>
      </c>
      <c r="AF9" s="22">
        <v>4.0</v>
      </c>
      <c r="AG9" s="22">
        <v>5.0</v>
      </c>
      <c r="AH9" s="22">
        <v>5.0</v>
      </c>
      <c r="AI9" s="22">
        <v>5.0</v>
      </c>
      <c r="AJ9" s="22">
        <v>5.0</v>
      </c>
      <c r="AK9" s="22">
        <v>5.0</v>
      </c>
      <c r="AL9" s="22">
        <v>5.0</v>
      </c>
      <c r="AM9" s="22">
        <v>7.0</v>
      </c>
      <c r="AN9" s="22">
        <v>7.0</v>
      </c>
      <c r="AO9" s="22">
        <v>7.0</v>
      </c>
      <c r="AP9" s="22">
        <v>7.0</v>
      </c>
      <c r="AQ9" s="22">
        <v>6.0</v>
      </c>
      <c r="AR9" s="22">
        <v>6.0</v>
      </c>
      <c r="AS9" s="22">
        <v>6.0</v>
      </c>
      <c r="AT9" s="22">
        <v>6.0</v>
      </c>
      <c r="AU9" s="22">
        <v>6.0</v>
      </c>
      <c r="AV9" s="22">
        <v>6.0</v>
      </c>
      <c r="AW9" s="22">
        <v>6.0</v>
      </c>
      <c r="AX9" s="22">
        <v>6.0</v>
      </c>
      <c r="AY9" s="22">
        <v>5.0</v>
      </c>
      <c r="AZ9" s="22">
        <v>5.0</v>
      </c>
      <c r="BA9" s="22">
        <v>4.0</v>
      </c>
      <c r="BB9" s="22">
        <v>4.0</v>
      </c>
      <c r="BC9" s="22">
        <v>4.0</v>
      </c>
      <c r="BD9" s="22">
        <v>4.0</v>
      </c>
      <c r="BE9" s="22">
        <v>3.0</v>
      </c>
      <c r="BF9" s="22">
        <v>3.0</v>
      </c>
      <c r="BG9" s="22">
        <v>3.0</v>
      </c>
      <c r="BH9" s="22">
        <v>3.0</v>
      </c>
      <c r="BI9" s="22">
        <v>3.0</v>
      </c>
      <c r="BJ9" s="22">
        <v>3.0</v>
      </c>
      <c r="BK9" s="22">
        <v>2.0</v>
      </c>
      <c r="BL9" s="22">
        <v>2.0</v>
      </c>
      <c r="BM9" s="22">
        <v>2.0</v>
      </c>
      <c r="BN9" s="22">
        <v>2.0</v>
      </c>
      <c r="BO9" s="22"/>
      <c r="BP9" s="22"/>
      <c r="BQ9" s="22"/>
      <c r="BR9" s="22"/>
    </row>
    <row r="10">
      <c r="A10" s="22" t="s">
        <v>536</v>
      </c>
      <c r="B10" s="19" t="s">
        <v>7</v>
      </c>
      <c r="C10" s="19" t="s">
        <v>19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>
        <v>10.0</v>
      </c>
      <c r="AY10" s="22">
        <v>9.0</v>
      </c>
      <c r="AZ10" s="22">
        <v>8.0</v>
      </c>
      <c r="BA10" s="22">
        <v>7.0</v>
      </c>
      <c r="BB10" s="22">
        <v>6.0</v>
      </c>
      <c r="BC10" s="22">
        <v>5.0</v>
      </c>
      <c r="BD10" s="22">
        <v>4.0</v>
      </c>
      <c r="BE10" s="22">
        <v>4.0</v>
      </c>
      <c r="BF10" s="22">
        <v>3.0</v>
      </c>
      <c r="BG10" s="22">
        <v>15.0</v>
      </c>
      <c r="BH10" s="22">
        <v>15.0</v>
      </c>
      <c r="BI10" s="22">
        <v>9.0</v>
      </c>
      <c r="BJ10" s="22">
        <v>9.0</v>
      </c>
      <c r="BK10" s="22">
        <v>8.0</v>
      </c>
      <c r="BL10" s="22">
        <v>15.0</v>
      </c>
      <c r="BM10" s="22">
        <v>15.0</v>
      </c>
      <c r="BN10" s="22">
        <v>13.0</v>
      </c>
    </row>
    <row r="11">
      <c r="A11" s="22" t="s">
        <v>536</v>
      </c>
      <c r="B11" s="19" t="s">
        <v>7</v>
      </c>
      <c r="C11" s="19" t="s">
        <v>26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>
        <v>1.0</v>
      </c>
      <c r="BB11" s="22">
        <v>1.0</v>
      </c>
      <c r="BC11" s="22">
        <v>1.0</v>
      </c>
      <c r="BD11" s="22">
        <v>1.0</v>
      </c>
      <c r="BE11" s="22">
        <v>1.0</v>
      </c>
      <c r="BF11" s="22">
        <v>0.0</v>
      </c>
      <c r="BG11" s="22">
        <v>0.0</v>
      </c>
      <c r="BH11" s="68">
        <v>0.0</v>
      </c>
      <c r="BI11" s="22">
        <v>0.0</v>
      </c>
      <c r="BJ11" s="22">
        <v>0.0</v>
      </c>
      <c r="BK11" s="22">
        <v>0.0</v>
      </c>
      <c r="BL11" s="22">
        <v>1.0</v>
      </c>
      <c r="BM11" s="22">
        <v>1.0</v>
      </c>
      <c r="BN11" s="22">
        <v>1.0</v>
      </c>
      <c r="BO11" s="22"/>
      <c r="BP11" s="22"/>
      <c r="BQ11" s="22"/>
      <c r="BR11" s="22"/>
    </row>
    <row r="12">
      <c r="A12" s="22" t="s">
        <v>536</v>
      </c>
      <c r="B12" s="19" t="s">
        <v>7</v>
      </c>
      <c r="C12" s="19" t="s">
        <v>538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>
        <v>1.0</v>
      </c>
      <c r="BB12" s="22">
        <v>1.0</v>
      </c>
      <c r="BC12" s="22">
        <v>1.0</v>
      </c>
      <c r="BD12" s="22">
        <v>1.0</v>
      </c>
      <c r="BE12" s="22">
        <v>1.0</v>
      </c>
      <c r="BF12" s="22">
        <v>0.0</v>
      </c>
      <c r="BG12" s="22">
        <v>0.0</v>
      </c>
      <c r="BH12" s="68">
        <v>0.0</v>
      </c>
      <c r="BI12" s="22">
        <v>0.0</v>
      </c>
      <c r="BJ12" s="22">
        <v>0.0</v>
      </c>
      <c r="BK12" s="22">
        <v>0.0</v>
      </c>
      <c r="BL12" s="22">
        <v>1.0</v>
      </c>
      <c r="BM12" s="22">
        <v>1.0</v>
      </c>
      <c r="BN12" s="22">
        <v>0.0</v>
      </c>
      <c r="BO12" s="22"/>
      <c r="BP12" s="22"/>
      <c r="BQ12" s="22"/>
      <c r="BR12" s="22"/>
    </row>
    <row r="13">
      <c r="A13" s="39" t="s">
        <v>536</v>
      </c>
      <c r="B13" s="69" t="s">
        <v>7</v>
      </c>
      <c r="C13" s="69" t="s">
        <v>12</v>
      </c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 t="s">
        <v>21</v>
      </c>
      <c r="BB13" s="32" t="s">
        <v>21</v>
      </c>
      <c r="BC13" s="32" t="s">
        <v>21</v>
      </c>
      <c r="BD13" s="32" t="s">
        <v>21</v>
      </c>
      <c r="BE13" s="32" t="s">
        <v>21</v>
      </c>
      <c r="BF13" s="32" t="s">
        <v>21</v>
      </c>
      <c r="BG13" s="32" t="s">
        <v>21</v>
      </c>
      <c r="BH13" s="71" t="s">
        <v>21</v>
      </c>
      <c r="BI13" s="32" t="s">
        <v>21</v>
      </c>
      <c r="BJ13" s="32" t="s">
        <v>21</v>
      </c>
      <c r="BK13" s="32"/>
      <c r="BL13" s="22">
        <v>0.0</v>
      </c>
      <c r="BM13" s="22">
        <v>0.0</v>
      </c>
      <c r="BN13" s="22">
        <v>0.0</v>
      </c>
      <c r="BO13" s="22"/>
      <c r="BP13" s="22"/>
      <c r="BQ13" s="22"/>
      <c r="BR13" s="22"/>
    </row>
    <row r="14">
      <c r="A14" s="22" t="s">
        <v>536</v>
      </c>
      <c r="B14" s="26" t="s">
        <v>13</v>
      </c>
      <c r="C14" s="26" t="s">
        <v>20</v>
      </c>
      <c r="Q14" s="22" t="s">
        <v>21</v>
      </c>
      <c r="R14" s="22" t="s">
        <v>21</v>
      </c>
      <c r="S14" s="22" t="s">
        <v>21</v>
      </c>
      <c r="T14" s="22" t="s">
        <v>21</v>
      </c>
      <c r="U14" s="22" t="s">
        <v>21</v>
      </c>
      <c r="V14" s="22" t="s">
        <v>21</v>
      </c>
      <c r="W14" s="22" t="s">
        <v>21</v>
      </c>
      <c r="X14" s="22" t="s">
        <v>21</v>
      </c>
      <c r="Y14" s="22" t="s">
        <v>21</v>
      </c>
      <c r="Z14" s="22" t="s">
        <v>21</v>
      </c>
      <c r="AA14" s="22">
        <v>2.0</v>
      </c>
      <c r="AB14" s="22">
        <v>2.0</v>
      </c>
      <c r="AC14" s="22">
        <v>2.0</v>
      </c>
      <c r="AD14" s="22">
        <v>2.0</v>
      </c>
      <c r="AE14" s="22">
        <v>2.0</v>
      </c>
      <c r="AF14" s="22">
        <v>1.0</v>
      </c>
      <c r="AG14" s="22">
        <v>1.0</v>
      </c>
      <c r="AH14" s="22">
        <v>1.0</v>
      </c>
      <c r="AI14" s="22">
        <v>1.0</v>
      </c>
      <c r="AJ14" s="22">
        <v>1.0</v>
      </c>
      <c r="AK14" s="22">
        <v>1.0</v>
      </c>
      <c r="AL14" s="22">
        <v>1.0</v>
      </c>
      <c r="AM14" s="22">
        <v>2.0</v>
      </c>
      <c r="AN14" s="22">
        <v>2.0</v>
      </c>
      <c r="AO14" s="22">
        <v>2.0</v>
      </c>
      <c r="AP14" s="22">
        <v>2.0</v>
      </c>
      <c r="AQ14" s="22">
        <v>2.0</v>
      </c>
      <c r="AR14" s="22">
        <v>2.0</v>
      </c>
      <c r="AS14" s="22">
        <v>2.0</v>
      </c>
      <c r="AT14" s="22">
        <v>2.0</v>
      </c>
      <c r="AU14" s="22">
        <v>2.0</v>
      </c>
      <c r="AV14" s="22">
        <v>2.0</v>
      </c>
      <c r="AW14" s="22">
        <v>1.0</v>
      </c>
      <c r="AX14" s="22">
        <v>9.0</v>
      </c>
      <c r="AY14" s="22">
        <v>1.0</v>
      </c>
      <c r="AZ14" s="22">
        <v>1.0</v>
      </c>
      <c r="BA14" s="22">
        <v>1.0</v>
      </c>
      <c r="BB14" s="22">
        <v>1.0</v>
      </c>
      <c r="BC14" s="22">
        <v>1.0</v>
      </c>
      <c r="BD14" s="22">
        <v>1.0</v>
      </c>
      <c r="BE14" s="22">
        <v>1.0</v>
      </c>
      <c r="BF14" s="22">
        <v>1.0</v>
      </c>
      <c r="BG14" s="22">
        <v>1.0</v>
      </c>
      <c r="BH14" s="22">
        <v>1.0</v>
      </c>
      <c r="BI14" s="22">
        <v>1.0</v>
      </c>
      <c r="BJ14" s="22">
        <v>1.0</v>
      </c>
      <c r="BK14" s="22">
        <v>1.0</v>
      </c>
      <c r="BL14" s="22">
        <v>0.0</v>
      </c>
      <c r="BM14" s="22">
        <v>0.0</v>
      </c>
      <c r="BN14" s="22">
        <v>0.0</v>
      </c>
      <c r="BO14" s="22"/>
      <c r="BP14" s="22"/>
      <c r="BQ14" s="22"/>
      <c r="BR14" s="22"/>
    </row>
    <row r="15">
      <c r="A15" s="22" t="s">
        <v>536</v>
      </c>
      <c r="B15" s="26" t="s">
        <v>13</v>
      </c>
      <c r="C15" s="26" t="s">
        <v>22</v>
      </c>
      <c r="Q15" s="22" t="s">
        <v>21</v>
      </c>
      <c r="R15" s="22" t="s">
        <v>21</v>
      </c>
      <c r="S15" s="22" t="s">
        <v>21</v>
      </c>
      <c r="T15" s="22" t="s">
        <v>21</v>
      </c>
      <c r="U15" s="22" t="s">
        <v>21</v>
      </c>
      <c r="V15" s="22" t="s">
        <v>21</v>
      </c>
      <c r="W15" s="22" t="s">
        <v>21</v>
      </c>
      <c r="X15" s="22" t="s">
        <v>21</v>
      </c>
      <c r="Y15" s="22" t="s">
        <v>21</v>
      </c>
      <c r="Z15" s="22" t="s">
        <v>21</v>
      </c>
      <c r="AA15" s="22">
        <v>0.0</v>
      </c>
      <c r="AB15" s="22">
        <v>0.0</v>
      </c>
      <c r="AC15" s="22">
        <v>0.0</v>
      </c>
      <c r="AD15" s="22">
        <v>0.0</v>
      </c>
      <c r="AE15" s="22">
        <v>0.0</v>
      </c>
      <c r="AF15" s="22">
        <v>1.0</v>
      </c>
      <c r="AG15" s="22">
        <v>1.0</v>
      </c>
      <c r="AH15" s="22">
        <v>1.0</v>
      </c>
      <c r="AI15" s="22">
        <v>1.0</v>
      </c>
      <c r="AJ15" s="22">
        <v>1.0</v>
      </c>
      <c r="AK15" s="22">
        <v>1.0</v>
      </c>
      <c r="AL15" s="22">
        <v>1.0</v>
      </c>
      <c r="AM15" s="22">
        <v>1.0</v>
      </c>
      <c r="AN15" s="22">
        <v>1.0</v>
      </c>
      <c r="AO15" s="22">
        <v>1.0</v>
      </c>
      <c r="AP15" s="22">
        <v>1.0</v>
      </c>
      <c r="AQ15" s="22">
        <v>1.0</v>
      </c>
      <c r="AR15" s="22">
        <v>1.0</v>
      </c>
      <c r="AS15" s="22">
        <v>1.0</v>
      </c>
      <c r="AT15" s="22">
        <v>1.0</v>
      </c>
      <c r="AU15" s="22">
        <v>1.0</v>
      </c>
      <c r="AV15" s="22">
        <v>1.0</v>
      </c>
      <c r="AW15" s="22">
        <v>1.0</v>
      </c>
      <c r="AX15" s="22">
        <v>8.0</v>
      </c>
      <c r="AY15" s="22">
        <v>1.0</v>
      </c>
      <c r="AZ15" s="22">
        <v>1.0</v>
      </c>
      <c r="BA15" s="22">
        <v>1.0</v>
      </c>
      <c r="BB15" s="22">
        <v>1.0</v>
      </c>
      <c r="BC15" s="22">
        <v>1.0</v>
      </c>
      <c r="BD15" s="22">
        <v>1.0</v>
      </c>
      <c r="BE15" s="22">
        <v>1.0</v>
      </c>
      <c r="BF15" s="22">
        <v>1.0</v>
      </c>
      <c r="BG15" s="22">
        <v>1.0</v>
      </c>
      <c r="BH15" s="22">
        <v>1.0</v>
      </c>
      <c r="BI15" s="22">
        <v>1.0</v>
      </c>
      <c r="BJ15" s="22">
        <v>1.0</v>
      </c>
      <c r="BK15" s="22">
        <v>1.0</v>
      </c>
      <c r="BL15" s="22">
        <v>0.0</v>
      </c>
      <c r="BM15" s="22">
        <v>0.0</v>
      </c>
      <c r="BN15" s="22">
        <v>0.0</v>
      </c>
      <c r="BO15" s="22"/>
      <c r="BP15" s="22"/>
      <c r="BQ15" s="22"/>
      <c r="BR15" s="22"/>
    </row>
    <row r="16">
      <c r="A16" s="22" t="s">
        <v>536</v>
      </c>
      <c r="B16" s="26" t="s">
        <v>13</v>
      </c>
      <c r="C16" s="26" t="s">
        <v>134</v>
      </c>
      <c r="Q16" s="22" t="s">
        <v>21</v>
      </c>
      <c r="R16" s="22" t="s">
        <v>21</v>
      </c>
      <c r="S16" s="22" t="s">
        <v>21</v>
      </c>
      <c r="T16" s="22" t="s">
        <v>21</v>
      </c>
      <c r="U16" s="22" t="s">
        <v>21</v>
      </c>
      <c r="V16" s="22" t="s">
        <v>21</v>
      </c>
      <c r="W16" s="22" t="s">
        <v>21</v>
      </c>
      <c r="X16" s="22" t="s">
        <v>21</v>
      </c>
      <c r="Y16" s="22" t="s">
        <v>21</v>
      </c>
      <c r="Z16" s="22" t="s">
        <v>21</v>
      </c>
      <c r="AA16" s="22" t="s">
        <v>21</v>
      </c>
      <c r="AB16" s="22">
        <v>31.0</v>
      </c>
      <c r="AC16" s="22">
        <v>30.0</v>
      </c>
      <c r="AD16" s="22">
        <v>30.0</v>
      </c>
      <c r="AE16" s="22">
        <v>25.0</v>
      </c>
      <c r="AF16" s="22">
        <v>25.0</v>
      </c>
      <c r="AG16" s="22">
        <v>23.0</v>
      </c>
      <c r="AH16" s="22">
        <v>21.0</v>
      </c>
      <c r="AI16" s="22">
        <v>20.0</v>
      </c>
      <c r="AJ16" s="22">
        <v>15.0</v>
      </c>
      <c r="AK16" s="22">
        <v>14.0</v>
      </c>
      <c r="AL16" s="22">
        <v>14.0</v>
      </c>
      <c r="AM16" s="22">
        <v>39.0</v>
      </c>
      <c r="AN16" s="22">
        <v>36.0</v>
      </c>
      <c r="AO16" s="22">
        <v>33.0</v>
      </c>
      <c r="AP16" s="22">
        <v>31.0</v>
      </c>
      <c r="AQ16" s="22">
        <v>28.0</v>
      </c>
      <c r="AR16" s="22">
        <v>26.0</v>
      </c>
      <c r="AS16" s="22">
        <v>24.0</v>
      </c>
      <c r="AT16" s="22">
        <v>24.0</v>
      </c>
      <c r="AU16" s="22">
        <v>15.0</v>
      </c>
      <c r="AV16" s="22">
        <v>15.0</v>
      </c>
      <c r="AW16" s="22">
        <v>14.0</v>
      </c>
      <c r="AX16" s="22">
        <v>14.0</v>
      </c>
      <c r="AY16" s="22">
        <v>13.0</v>
      </c>
      <c r="AZ16" s="22">
        <v>10.0</v>
      </c>
      <c r="BA16" s="22">
        <v>5.0</v>
      </c>
      <c r="BB16" s="22">
        <v>5.0</v>
      </c>
      <c r="BC16" s="22">
        <v>5.0</v>
      </c>
      <c r="BD16" s="22">
        <v>2.0</v>
      </c>
      <c r="BE16" s="22">
        <v>0.0</v>
      </c>
      <c r="BF16" s="22">
        <v>7.0</v>
      </c>
      <c r="BG16" s="22">
        <v>5.0</v>
      </c>
      <c r="BH16" s="22">
        <v>3.0</v>
      </c>
      <c r="BI16" s="22">
        <v>3.0</v>
      </c>
      <c r="BJ16" s="22">
        <v>3.0</v>
      </c>
      <c r="BK16" s="22">
        <v>1.0</v>
      </c>
      <c r="BL16" s="22">
        <v>8.0</v>
      </c>
      <c r="BM16" s="22">
        <v>6.0</v>
      </c>
      <c r="BN16" s="22">
        <v>4.0</v>
      </c>
      <c r="BO16" s="22"/>
      <c r="BP16" s="22"/>
      <c r="BQ16" s="22"/>
      <c r="BR16" s="22"/>
    </row>
    <row r="17">
      <c r="A17" s="22" t="s">
        <v>536</v>
      </c>
      <c r="B17" s="26" t="s">
        <v>13</v>
      </c>
      <c r="C17" s="26" t="s">
        <v>148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>
        <v>0.0</v>
      </c>
      <c r="AP17" s="22">
        <v>0.0</v>
      </c>
      <c r="AQ17" s="22">
        <v>0.0</v>
      </c>
      <c r="AR17" s="22">
        <v>0.0</v>
      </c>
      <c r="AS17" s="22">
        <v>0.0</v>
      </c>
      <c r="AT17" s="22">
        <v>0.0</v>
      </c>
      <c r="AU17" s="22">
        <v>0.0</v>
      </c>
      <c r="AV17" s="22">
        <v>0.0</v>
      </c>
      <c r="AW17" s="22">
        <v>0.0</v>
      </c>
      <c r="AX17" s="22">
        <v>0.0</v>
      </c>
      <c r="AY17" s="22">
        <v>0.0</v>
      </c>
      <c r="AZ17" s="22">
        <v>0.0</v>
      </c>
      <c r="BA17" s="22">
        <v>0.0</v>
      </c>
      <c r="BB17" s="22">
        <v>0.0</v>
      </c>
      <c r="BC17" s="22">
        <v>0.0</v>
      </c>
      <c r="BD17" s="22">
        <v>0.0</v>
      </c>
      <c r="BE17" s="22">
        <v>0.0</v>
      </c>
      <c r="BF17" s="22">
        <v>0.0</v>
      </c>
      <c r="BG17" s="22">
        <v>0.0</v>
      </c>
      <c r="BH17" s="22">
        <v>0.0</v>
      </c>
      <c r="BI17" s="22">
        <v>0.0</v>
      </c>
      <c r="BJ17" s="22">
        <v>0.0</v>
      </c>
      <c r="BK17" s="22">
        <v>0.0</v>
      </c>
      <c r="BL17" s="22">
        <v>0.0</v>
      </c>
      <c r="BM17" s="22">
        <v>0.0</v>
      </c>
      <c r="BN17" s="22">
        <v>0.0</v>
      </c>
      <c r="BO17" s="22"/>
      <c r="BP17" s="22"/>
      <c r="BQ17" s="22"/>
      <c r="BR17" s="22"/>
    </row>
    <row r="18">
      <c r="A18" s="22" t="s">
        <v>536</v>
      </c>
      <c r="B18" s="26" t="s">
        <v>13</v>
      </c>
      <c r="C18" s="26" t="s">
        <v>149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>
        <v>0.0</v>
      </c>
      <c r="AP18" s="22">
        <v>0.0</v>
      </c>
      <c r="AQ18" s="22">
        <v>0.0</v>
      </c>
      <c r="AR18" s="22">
        <v>0.0</v>
      </c>
      <c r="AS18" s="22">
        <v>0.0</v>
      </c>
      <c r="AT18" s="22">
        <v>0.0</v>
      </c>
      <c r="AU18" s="22">
        <v>22.0</v>
      </c>
      <c r="AV18" s="22">
        <v>22.0</v>
      </c>
      <c r="AW18" s="22">
        <v>21.0</v>
      </c>
      <c r="AX18" s="22">
        <v>21.0</v>
      </c>
      <c r="AY18" s="22">
        <v>21.0</v>
      </c>
      <c r="AZ18" s="22">
        <v>18.0</v>
      </c>
      <c r="BA18" s="22">
        <v>11.0</v>
      </c>
      <c r="BB18" s="22">
        <v>11.0</v>
      </c>
      <c r="BC18" s="22">
        <v>11.0</v>
      </c>
      <c r="BD18" s="22">
        <v>10.0</v>
      </c>
      <c r="BE18" s="22">
        <v>8.0</v>
      </c>
      <c r="BF18" s="22">
        <v>8.0</v>
      </c>
      <c r="BG18" s="22">
        <v>8.0</v>
      </c>
      <c r="BH18" s="22">
        <v>5.0</v>
      </c>
      <c r="BI18" s="22">
        <v>5.0</v>
      </c>
      <c r="BJ18" s="22">
        <v>5.0</v>
      </c>
      <c r="BK18" s="22">
        <v>4.0</v>
      </c>
      <c r="BL18" s="22">
        <v>2.0</v>
      </c>
      <c r="BM18" s="22">
        <v>1.0</v>
      </c>
      <c r="BN18" s="22">
        <v>1.0</v>
      </c>
      <c r="BO18" s="22"/>
      <c r="BP18" s="22"/>
      <c r="BQ18" s="22"/>
      <c r="BR18" s="22"/>
    </row>
    <row r="19">
      <c r="A19" s="22" t="s">
        <v>536</v>
      </c>
      <c r="B19" s="26" t="s">
        <v>13</v>
      </c>
      <c r="C19" s="26" t="s">
        <v>23</v>
      </c>
      <c r="Q19" s="22" t="s">
        <v>21</v>
      </c>
      <c r="R19" s="22" t="s">
        <v>21</v>
      </c>
      <c r="S19" s="22" t="s">
        <v>21</v>
      </c>
      <c r="T19" s="22" t="s">
        <v>21</v>
      </c>
      <c r="U19" s="22" t="s">
        <v>21</v>
      </c>
      <c r="V19" s="22" t="s">
        <v>21</v>
      </c>
      <c r="W19" s="22" t="s">
        <v>21</v>
      </c>
      <c r="X19" s="22" t="s">
        <v>21</v>
      </c>
      <c r="Y19" s="22" t="s">
        <v>21</v>
      </c>
      <c r="Z19" s="22" t="s">
        <v>21</v>
      </c>
      <c r="AA19" s="22">
        <v>1.0</v>
      </c>
      <c r="AB19" s="22">
        <v>6.0</v>
      </c>
      <c r="AC19" s="22">
        <v>5.0</v>
      </c>
      <c r="AD19" s="22">
        <v>5.0</v>
      </c>
      <c r="AE19" s="22">
        <v>4.0</v>
      </c>
      <c r="AF19" s="22">
        <v>8.0</v>
      </c>
      <c r="AG19" s="22">
        <v>8.0</v>
      </c>
      <c r="AH19" s="22">
        <v>7.0</v>
      </c>
      <c r="AI19" s="22">
        <v>7.0</v>
      </c>
      <c r="AJ19" s="22">
        <v>6.0</v>
      </c>
      <c r="AK19" s="22">
        <v>6.0</v>
      </c>
      <c r="AL19" s="22">
        <v>6.0</v>
      </c>
      <c r="AM19" s="22">
        <v>12.0</v>
      </c>
      <c r="AN19" s="22">
        <v>11.0</v>
      </c>
      <c r="AO19" s="22">
        <v>10.0</v>
      </c>
      <c r="AP19" s="22">
        <v>9.0</v>
      </c>
      <c r="AQ19" s="22">
        <v>8.0</v>
      </c>
      <c r="AR19" s="22">
        <v>8.0</v>
      </c>
      <c r="AS19" s="22">
        <v>8.0</v>
      </c>
      <c r="AT19" s="22">
        <v>7.0</v>
      </c>
      <c r="AU19" s="22">
        <v>6.0</v>
      </c>
      <c r="AV19" s="22">
        <v>6.0</v>
      </c>
      <c r="AW19" s="22">
        <v>6.0</v>
      </c>
      <c r="AX19" s="22">
        <v>6.0</v>
      </c>
      <c r="AY19" s="22">
        <v>6.0</v>
      </c>
      <c r="AZ19" s="22">
        <v>6.0</v>
      </c>
      <c r="BA19" s="22">
        <v>5.0</v>
      </c>
      <c r="BB19" s="22">
        <v>4.0</v>
      </c>
      <c r="BC19" s="22">
        <v>3.0</v>
      </c>
      <c r="BD19" s="22">
        <v>3.0</v>
      </c>
      <c r="BE19" s="22">
        <v>3.0</v>
      </c>
      <c r="BF19" s="22">
        <v>3.0</v>
      </c>
      <c r="BG19" s="22">
        <v>3.0</v>
      </c>
      <c r="BH19" s="22">
        <v>2.0</v>
      </c>
      <c r="BI19" s="22"/>
      <c r="BJ19" s="22">
        <v>2.0</v>
      </c>
      <c r="BK19" s="22">
        <v>2.0</v>
      </c>
      <c r="BL19" s="22">
        <v>9.0</v>
      </c>
      <c r="BM19" s="22">
        <v>8.0</v>
      </c>
      <c r="BN19" s="22">
        <v>8.0</v>
      </c>
      <c r="BO19" s="22"/>
      <c r="BP19" s="22"/>
      <c r="BQ19" s="22"/>
      <c r="BR19" s="22"/>
    </row>
    <row r="20">
      <c r="A20" s="22" t="s">
        <v>536</v>
      </c>
      <c r="B20" s="26" t="s">
        <v>13</v>
      </c>
      <c r="C20" s="26" t="s">
        <v>539</v>
      </c>
      <c r="Q20" s="22" t="s">
        <v>21</v>
      </c>
      <c r="R20" s="22" t="s">
        <v>21</v>
      </c>
      <c r="S20" s="22" t="s">
        <v>21</v>
      </c>
      <c r="T20" s="22" t="s">
        <v>21</v>
      </c>
      <c r="U20" s="22" t="s">
        <v>21</v>
      </c>
      <c r="V20" s="22" t="s">
        <v>21</v>
      </c>
      <c r="W20" s="22" t="s">
        <v>21</v>
      </c>
      <c r="X20" s="22" t="s">
        <v>21</v>
      </c>
      <c r="Y20" s="22" t="s">
        <v>21</v>
      </c>
      <c r="Z20" s="22" t="s">
        <v>21</v>
      </c>
      <c r="AA20" s="22">
        <v>1.0</v>
      </c>
      <c r="AB20" s="22">
        <v>0.0</v>
      </c>
      <c r="AC20" s="22">
        <v>0.0</v>
      </c>
      <c r="AD20" s="22">
        <v>0.0</v>
      </c>
      <c r="AE20" s="22">
        <v>0.0</v>
      </c>
      <c r="AF20" s="22">
        <v>4.0</v>
      </c>
      <c r="AG20" s="22">
        <v>3.0</v>
      </c>
      <c r="AH20" s="22">
        <v>3.0</v>
      </c>
      <c r="AI20" s="22">
        <v>2.0</v>
      </c>
      <c r="AJ20" s="22">
        <v>2.0</v>
      </c>
      <c r="AK20" s="22">
        <v>2.0</v>
      </c>
      <c r="AL20" s="22">
        <v>2.0</v>
      </c>
      <c r="AM20" s="22">
        <v>6.0</v>
      </c>
      <c r="AN20" s="22">
        <v>5.0</v>
      </c>
      <c r="AO20" s="22">
        <v>5.0</v>
      </c>
      <c r="AP20" s="22">
        <v>4.0</v>
      </c>
      <c r="AQ20" s="22">
        <v>4.0</v>
      </c>
      <c r="AR20" s="22">
        <v>4.0</v>
      </c>
      <c r="AS20" s="22">
        <v>3.0</v>
      </c>
      <c r="AT20" s="22">
        <v>3.0</v>
      </c>
      <c r="AU20" s="22">
        <v>2.0</v>
      </c>
      <c r="AV20" s="22">
        <v>2.0</v>
      </c>
      <c r="AW20" s="22">
        <v>4.0</v>
      </c>
      <c r="AX20" s="22">
        <v>4.0</v>
      </c>
      <c r="AY20" s="22">
        <v>4.0</v>
      </c>
      <c r="AZ20" s="22">
        <v>3.0</v>
      </c>
      <c r="BA20" s="22">
        <v>3.0</v>
      </c>
      <c r="BB20" s="22">
        <v>3.0</v>
      </c>
      <c r="BC20" s="22">
        <v>2.0</v>
      </c>
      <c r="BD20" s="22">
        <v>2.0</v>
      </c>
      <c r="BE20" s="22">
        <v>2.0</v>
      </c>
      <c r="BF20" s="22">
        <v>2.0</v>
      </c>
      <c r="BG20" s="22">
        <v>2.0</v>
      </c>
      <c r="BH20" s="22">
        <v>2.0</v>
      </c>
      <c r="BI20" s="22">
        <v>1.0</v>
      </c>
      <c r="BJ20" s="22">
        <v>1.0</v>
      </c>
      <c r="BK20" s="22">
        <v>1.0</v>
      </c>
      <c r="BL20" s="22">
        <v>3.0</v>
      </c>
      <c r="BM20" s="22">
        <v>3.0</v>
      </c>
      <c r="BN20" s="22">
        <v>3.0</v>
      </c>
      <c r="BO20" s="22"/>
      <c r="BP20" s="22"/>
      <c r="BQ20" s="22"/>
      <c r="BR20" s="22"/>
    </row>
    <row r="21">
      <c r="A21" s="22" t="s">
        <v>536</v>
      </c>
      <c r="B21" s="26" t="s">
        <v>13</v>
      </c>
      <c r="C21" s="26" t="s">
        <v>540</v>
      </c>
      <c r="AS21" s="22" t="s">
        <v>21</v>
      </c>
      <c r="AT21" s="22" t="s">
        <v>21</v>
      </c>
      <c r="AU21" s="22" t="s">
        <v>21</v>
      </c>
      <c r="AV21" s="22" t="s">
        <v>21</v>
      </c>
      <c r="AW21" s="22" t="s">
        <v>21</v>
      </c>
      <c r="AX21" s="22" t="s">
        <v>21</v>
      </c>
      <c r="AY21" s="22" t="s">
        <v>21</v>
      </c>
      <c r="AZ21" s="22" t="s">
        <v>21</v>
      </c>
      <c r="BA21" s="22" t="s">
        <v>21</v>
      </c>
      <c r="BB21" s="22" t="s">
        <v>21</v>
      </c>
      <c r="BC21" s="22" t="s">
        <v>21</v>
      </c>
      <c r="BD21" s="22">
        <v>0.0</v>
      </c>
      <c r="BE21" s="22">
        <v>0.0</v>
      </c>
      <c r="BF21" s="22">
        <v>0.0</v>
      </c>
      <c r="BG21" s="68">
        <v>0.0</v>
      </c>
      <c r="BH21" s="68">
        <v>0.0</v>
      </c>
      <c r="BI21" s="22">
        <v>0.0</v>
      </c>
      <c r="BJ21" s="22">
        <v>0.0</v>
      </c>
      <c r="BK21" s="22">
        <v>0.0</v>
      </c>
      <c r="BL21" s="22">
        <v>1.0</v>
      </c>
      <c r="BM21" s="22">
        <v>1.0</v>
      </c>
      <c r="BN21" s="22">
        <v>1.0</v>
      </c>
      <c r="BO21" s="22"/>
      <c r="BP21" s="22"/>
      <c r="BQ21" s="22"/>
      <c r="BR21" s="22"/>
    </row>
    <row r="22">
      <c r="A22" s="22" t="s">
        <v>536</v>
      </c>
      <c r="B22" s="26" t="s">
        <v>13</v>
      </c>
      <c r="C22" s="19" t="s">
        <v>541</v>
      </c>
      <c r="BA22" s="22" t="s">
        <v>21</v>
      </c>
      <c r="BB22" s="22" t="s">
        <v>21</v>
      </c>
      <c r="BC22" s="22" t="s">
        <v>21</v>
      </c>
      <c r="BD22" s="22" t="s">
        <v>21</v>
      </c>
      <c r="BE22" s="22" t="s">
        <v>21</v>
      </c>
      <c r="BF22" s="22">
        <v>0.0</v>
      </c>
      <c r="BG22" s="68">
        <v>0.0</v>
      </c>
      <c r="BH22" s="68">
        <v>0.0</v>
      </c>
      <c r="BI22" s="22">
        <v>0.0</v>
      </c>
      <c r="BJ22" s="22">
        <v>3.0</v>
      </c>
      <c r="BK22" s="22">
        <v>3.0</v>
      </c>
      <c r="BL22" s="22">
        <v>0.0</v>
      </c>
      <c r="BM22" s="22">
        <v>0.0</v>
      </c>
      <c r="BN22" s="22">
        <v>0.0</v>
      </c>
      <c r="BO22" s="22"/>
      <c r="BP22" s="22"/>
      <c r="BQ22" s="22"/>
      <c r="BR22" s="22"/>
    </row>
  </sheetData>
  <dataValidations>
    <dataValidation type="list" allowBlank="1" showErrorMessage="1" sqref="B5:B22">
      <formula1>"Cafeteria,Aseo"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1.88"/>
    <col customWidth="1" min="3" max="3" width="21.63"/>
    <col customWidth="1" hidden="1" min="4" max="4" width="19.5"/>
    <col customWidth="1" hidden="1" min="5" max="5" width="15.38"/>
    <col hidden="1" min="6" max="44" width="12.63"/>
    <col customWidth="1" hidden="1" min="45" max="46" width="10.38"/>
    <col customWidth="1" min="47" max="53" width="10.38"/>
  </cols>
  <sheetData>
    <row r="1">
      <c r="A1" s="16"/>
      <c r="B1" s="16"/>
      <c r="C1" s="17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</row>
    <row r="2">
      <c r="A2" s="16"/>
      <c r="B2" s="16"/>
      <c r="C2" s="17"/>
      <c r="D2" s="17">
        <v>45811.0</v>
      </c>
      <c r="E2" s="17">
        <f>D2+6</f>
        <v>45817</v>
      </c>
      <c r="F2" s="18">
        <f t="shared" ref="F2:L2" si="1">E2+7</f>
        <v>45824</v>
      </c>
      <c r="G2" s="18">
        <f t="shared" si="1"/>
        <v>45831</v>
      </c>
      <c r="H2" s="17">
        <f t="shared" si="1"/>
        <v>45838</v>
      </c>
      <c r="I2" s="17">
        <f t="shared" si="1"/>
        <v>45845</v>
      </c>
      <c r="J2" s="17">
        <f t="shared" si="1"/>
        <v>45852</v>
      </c>
      <c r="K2" s="17">
        <f t="shared" si="1"/>
        <v>45859</v>
      </c>
      <c r="L2" s="17">
        <f t="shared" si="1"/>
        <v>45866</v>
      </c>
      <c r="M2" s="17">
        <v>45873.0</v>
      </c>
      <c r="N2" s="17">
        <f t="shared" ref="N2:P2" si="2">M2+7</f>
        <v>45880</v>
      </c>
      <c r="O2" s="18">
        <f t="shared" si="2"/>
        <v>45887</v>
      </c>
      <c r="P2" s="18">
        <f t="shared" si="2"/>
        <v>45894</v>
      </c>
      <c r="Q2" s="18">
        <v>45901.0</v>
      </c>
      <c r="R2" s="17">
        <v>45908.0</v>
      </c>
      <c r="S2" s="17">
        <v>45915.0</v>
      </c>
      <c r="T2" s="17">
        <v>45922.0</v>
      </c>
      <c r="U2" s="17">
        <v>45929.0</v>
      </c>
      <c r="V2" s="17">
        <f>U2+7</f>
        <v>45936</v>
      </c>
      <c r="W2" s="17">
        <v>45957.0</v>
      </c>
      <c r="X2" s="17">
        <f>W2+7</f>
        <v>45964</v>
      </c>
      <c r="Y2" s="17">
        <v>45971.0</v>
      </c>
      <c r="Z2" s="17">
        <f>Y2+7</f>
        <v>45978</v>
      </c>
      <c r="AA2" s="17">
        <v>45986.0</v>
      </c>
      <c r="AB2" s="17">
        <v>45988.0</v>
      </c>
      <c r="AC2" s="17">
        <v>45995.0</v>
      </c>
      <c r="AD2" s="17">
        <v>46000.0</v>
      </c>
      <c r="AE2" s="17">
        <v>46002.0</v>
      </c>
      <c r="AF2" s="17">
        <v>46006.0</v>
      </c>
      <c r="AG2" s="17">
        <v>46020.0</v>
      </c>
      <c r="AH2" s="17">
        <v>46027.0</v>
      </c>
      <c r="AI2" s="17">
        <v>46030.0</v>
      </c>
      <c r="AJ2" s="17">
        <v>46034.0</v>
      </c>
      <c r="AK2" s="17">
        <v>46037.0</v>
      </c>
      <c r="AL2" s="17">
        <v>46041.0</v>
      </c>
      <c r="AM2" s="17">
        <v>46044.0</v>
      </c>
      <c r="AN2" s="17">
        <v>46051.0</v>
      </c>
      <c r="AO2" s="17">
        <v>46055.0</v>
      </c>
      <c r="AP2" s="17">
        <v>46062.0</v>
      </c>
      <c r="AQ2" s="17">
        <v>46065.0</v>
      </c>
      <c r="AR2" s="17">
        <v>46069.0</v>
      </c>
      <c r="AS2" s="17">
        <v>46072.0</v>
      </c>
      <c r="AT2" s="17">
        <v>46076.0</v>
      </c>
      <c r="AU2" s="17">
        <v>46083.0</v>
      </c>
      <c r="AV2" s="17">
        <v>46090.0</v>
      </c>
      <c r="AW2" s="17">
        <v>46100.0</v>
      </c>
      <c r="AX2" s="17">
        <v>46104.0</v>
      </c>
      <c r="AY2" s="17"/>
      <c r="AZ2" s="17"/>
      <c r="BA2" s="17"/>
    </row>
    <row r="3">
      <c r="A3" s="16" t="s">
        <v>0</v>
      </c>
      <c r="B3" s="16" t="s">
        <v>1</v>
      </c>
      <c r="C3" s="16" t="s">
        <v>2</v>
      </c>
      <c r="D3" s="16" t="s">
        <v>3</v>
      </c>
      <c r="E3" s="16" t="s">
        <v>3</v>
      </c>
      <c r="F3" s="16" t="s">
        <v>3</v>
      </c>
      <c r="G3" s="16" t="s">
        <v>3</v>
      </c>
      <c r="H3" s="16" t="s">
        <v>3</v>
      </c>
      <c r="I3" s="16" t="s">
        <v>3</v>
      </c>
      <c r="J3" s="16" t="s">
        <v>3</v>
      </c>
      <c r="K3" s="16" t="s">
        <v>3</v>
      </c>
      <c r="L3" s="16" t="s">
        <v>3</v>
      </c>
      <c r="M3" s="72" t="s">
        <v>3</v>
      </c>
      <c r="N3" s="72" t="s">
        <v>3</v>
      </c>
      <c r="O3" s="72" t="s">
        <v>3</v>
      </c>
      <c r="P3" s="72" t="s">
        <v>3</v>
      </c>
      <c r="Q3" s="72" t="s">
        <v>3</v>
      </c>
      <c r="R3" s="16" t="s">
        <v>3</v>
      </c>
      <c r="S3" s="16" t="s">
        <v>3</v>
      </c>
      <c r="T3" s="16" t="s">
        <v>3</v>
      </c>
      <c r="U3" s="16" t="s">
        <v>3</v>
      </c>
      <c r="V3" s="16" t="s">
        <v>3</v>
      </c>
      <c r="W3" s="16" t="s">
        <v>3</v>
      </c>
      <c r="X3" s="16" t="s">
        <v>3</v>
      </c>
      <c r="Y3" s="16" t="s">
        <v>3</v>
      </c>
      <c r="Z3" s="16" t="s">
        <v>3</v>
      </c>
      <c r="AA3" s="16" t="s">
        <v>3</v>
      </c>
      <c r="AB3" s="16" t="s">
        <v>3</v>
      </c>
      <c r="AC3" s="16" t="s">
        <v>3</v>
      </c>
      <c r="AD3" s="16" t="s">
        <v>3</v>
      </c>
      <c r="AE3" s="16" t="s">
        <v>3</v>
      </c>
      <c r="AF3" s="16" t="s">
        <v>3</v>
      </c>
      <c r="AG3" s="16" t="s">
        <v>3</v>
      </c>
      <c r="AH3" s="16" t="s">
        <v>3</v>
      </c>
      <c r="AI3" s="16" t="s">
        <v>3</v>
      </c>
      <c r="AJ3" s="16" t="s">
        <v>3</v>
      </c>
      <c r="AK3" s="16" t="s">
        <v>3</v>
      </c>
      <c r="AL3" s="16" t="s">
        <v>3</v>
      </c>
      <c r="AM3" s="16" t="s">
        <v>3</v>
      </c>
      <c r="AN3" s="16" t="s">
        <v>3</v>
      </c>
      <c r="AO3" s="73" t="s">
        <v>3</v>
      </c>
      <c r="AP3" s="73" t="s">
        <v>3</v>
      </c>
      <c r="AQ3" s="73" t="s">
        <v>3</v>
      </c>
      <c r="AR3" s="73" t="s">
        <v>3</v>
      </c>
      <c r="AS3" s="73" t="s">
        <v>3</v>
      </c>
      <c r="AT3" s="73" t="s">
        <v>3</v>
      </c>
      <c r="AU3" s="73" t="s">
        <v>3</v>
      </c>
      <c r="AV3" s="73" t="s">
        <v>3</v>
      </c>
      <c r="AW3" s="73" t="s">
        <v>3</v>
      </c>
      <c r="AX3" s="16" t="s">
        <v>542</v>
      </c>
      <c r="AY3" s="73"/>
      <c r="AZ3" s="73"/>
      <c r="BA3" s="73"/>
    </row>
    <row r="4">
      <c r="A4" s="19" t="s">
        <v>543</v>
      </c>
      <c r="B4" s="19" t="s">
        <v>45</v>
      </c>
      <c r="C4" s="19" t="s">
        <v>6</v>
      </c>
      <c r="D4" s="19"/>
      <c r="E4" s="26"/>
      <c r="F4" s="26"/>
      <c r="G4" s="19">
        <v>40.0</v>
      </c>
      <c r="H4" s="20"/>
      <c r="M4" s="39" t="s">
        <v>544</v>
      </c>
      <c r="N4" s="39">
        <v>0.0</v>
      </c>
      <c r="O4" s="39">
        <v>21.0</v>
      </c>
      <c r="P4" s="39">
        <v>0.0</v>
      </c>
      <c r="Q4" s="39" t="s">
        <v>545</v>
      </c>
      <c r="R4" s="39" t="s">
        <v>280</v>
      </c>
      <c r="S4" s="39" t="s">
        <v>546</v>
      </c>
      <c r="T4" s="39" t="s">
        <v>547</v>
      </c>
      <c r="U4" s="39" t="s">
        <v>548</v>
      </c>
      <c r="W4" s="39" t="s">
        <v>284</v>
      </c>
      <c r="X4" s="22" t="s">
        <v>549</v>
      </c>
      <c r="Y4" s="32" t="s">
        <v>550</v>
      </c>
      <c r="Z4" s="22">
        <v>2.5</v>
      </c>
      <c r="AA4" s="22">
        <v>15.0</v>
      </c>
      <c r="AB4" s="22">
        <v>8.0</v>
      </c>
      <c r="AC4" s="22" t="s">
        <v>551</v>
      </c>
      <c r="AD4" s="22" t="s">
        <v>552</v>
      </c>
      <c r="AE4" s="32" t="s">
        <v>552</v>
      </c>
      <c r="AF4" s="32" t="s">
        <v>191</v>
      </c>
      <c r="AG4" s="32" t="s">
        <v>553</v>
      </c>
      <c r="AH4" s="32" t="s">
        <v>554</v>
      </c>
      <c r="AI4" s="32" t="s">
        <v>555</v>
      </c>
      <c r="AJ4" s="32" t="s">
        <v>556</v>
      </c>
      <c r="AK4" s="32" t="s">
        <v>557</v>
      </c>
      <c r="AL4" s="32" t="s">
        <v>558</v>
      </c>
      <c r="AM4" s="32" t="s">
        <v>559</v>
      </c>
      <c r="AN4" s="32" t="s">
        <v>560</v>
      </c>
      <c r="AO4" s="74" t="s">
        <v>561</v>
      </c>
      <c r="AP4" s="74" t="s">
        <v>562</v>
      </c>
      <c r="AQ4" s="74" t="s">
        <v>191</v>
      </c>
      <c r="AR4" s="74" t="s">
        <v>563</v>
      </c>
      <c r="AS4" s="74" t="s">
        <v>564</v>
      </c>
      <c r="AT4" s="74" t="s">
        <v>565</v>
      </c>
      <c r="AU4" s="74" t="s">
        <v>566</v>
      </c>
      <c r="AV4" s="74" t="s">
        <v>567</v>
      </c>
      <c r="AW4" s="74" t="s">
        <v>568</v>
      </c>
      <c r="AX4" s="74" t="s">
        <v>569</v>
      </c>
      <c r="AY4" s="74"/>
      <c r="AZ4" s="74"/>
      <c r="BA4" s="74"/>
    </row>
    <row r="5">
      <c r="A5" s="19" t="s">
        <v>543</v>
      </c>
      <c r="B5" s="19" t="s">
        <v>7</v>
      </c>
      <c r="C5" s="19" t="s">
        <v>8</v>
      </c>
      <c r="D5" s="19"/>
      <c r="E5" s="26"/>
      <c r="F5" s="26"/>
      <c r="G5" s="19">
        <v>6.0</v>
      </c>
      <c r="H5" s="20"/>
      <c r="M5" s="39">
        <v>0.0</v>
      </c>
      <c r="N5" s="39">
        <v>0.0</v>
      </c>
      <c r="O5" s="39">
        <v>13.0</v>
      </c>
      <c r="P5" s="39">
        <v>13.0</v>
      </c>
      <c r="Q5" s="39">
        <v>8.0</v>
      </c>
      <c r="R5" s="39">
        <v>19.0</v>
      </c>
      <c r="S5" s="39">
        <v>11.0</v>
      </c>
      <c r="T5" s="39">
        <v>0.0</v>
      </c>
      <c r="U5" s="39">
        <v>0.0</v>
      </c>
      <c r="V5" s="39">
        <v>0.0</v>
      </c>
      <c r="W5" s="39">
        <v>4.0</v>
      </c>
      <c r="X5" s="22">
        <v>0.0</v>
      </c>
      <c r="Y5" s="32">
        <v>17.0</v>
      </c>
      <c r="Z5" s="22">
        <v>2.0</v>
      </c>
      <c r="AA5" s="22">
        <v>2.0</v>
      </c>
      <c r="AB5" s="22">
        <v>0.0</v>
      </c>
      <c r="AC5" s="22">
        <v>4.0</v>
      </c>
      <c r="AD5" s="22">
        <v>0.0</v>
      </c>
      <c r="AE5" s="22">
        <v>0.0</v>
      </c>
      <c r="AF5" s="22">
        <v>0.0</v>
      </c>
      <c r="AG5" s="22">
        <v>6.0</v>
      </c>
      <c r="AH5" s="22">
        <v>0.0</v>
      </c>
      <c r="AI5" s="22">
        <v>0.0</v>
      </c>
      <c r="AJ5" s="22">
        <v>0.0</v>
      </c>
      <c r="AK5" s="22">
        <v>0.0</v>
      </c>
      <c r="AL5" s="22">
        <v>0.0</v>
      </c>
      <c r="AM5" s="22">
        <v>0.0</v>
      </c>
      <c r="AN5" s="22">
        <v>0.0</v>
      </c>
      <c r="AO5" s="74">
        <v>6.0</v>
      </c>
      <c r="AP5" s="74">
        <v>20.0</v>
      </c>
      <c r="AQ5" s="74">
        <v>16.0</v>
      </c>
      <c r="AR5" s="74">
        <v>12.0</v>
      </c>
      <c r="AS5" s="74">
        <v>22.0</v>
      </c>
      <c r="AT5" s="74">
        <v>16.0</v>
      </c>
      <c r="AU5" s="74">
        <v>4.0</v>
      </c>
      <c r="AV5" s="74">
        <v>0.0</v>
      </c>
      <c r="AW5" s="74">
        <v>4.0</v>
      </c>
      <c r="AX5" s="74">
        <v>30.0</v>
      </c>
      <c r="AY5" s="74"/>
      <c r="AZ5" s="74"/>
      <c r="BA5" s="74"/>
    </row>
    <row r="6">
      <c r="A6" s="19" t="s">
        <v>543</v>
      </c>
      <c r="B6" s="19" t="s">
        <v>7</v>
      </c>
      <c r="C6" s="19" t="s">
        <v>9</v>
      </c>
      <c r="D6" s="19"/>
      <c r="E6" s="26"/>
      <c r="F6" s="26"/>
      <c r="G6" s="19">
        <v>16.0</v>
      </c>
      <c r="H6" s="20"/>
      <c r="M6" s="39">
        <v>20.0</v>
      </c>
      <c r="N6" s="39">
        <v>0.0</v>
      </c>
      <c r="O6" s="39">
        <v>20.0</v>
      </c>
      <c r="P6" s="39">
        <v>0.0</v>
      </c>
      <c r="Q6" s="39">
        <v>40.0</v>
      </c>
      <c r="R6" s="39">
        <v>52.0</v>
      </c>
      <c r="S6" s="39">
        <v>42.0</v>
      </c>
      <c r="T6" s="39">
        <v>24.0</v>
      </c>
      <c r="U6" s="39">
        <v>20.0</v>
      </c>
      <c r="V6" s="39">
        <v>0.0</v>
      </c>
      <c r="W6" s="39">
        <v>36.0</v>
      </c>
      <c r="X6" s="22">
        <v>28.0</v>
      </c>
      <c r="Y6" s="32">
        <v>56.0</v>
      </c>
      <c r="Z6" s="22">
        <v>48.0</v>
      </c>
      <c r="AA6" s="22">
        <v>44.0</v>
      </c>
      <c r="AB6" s="22">
        <v>32.0</v>
      </c>
      <c r="AC6" s="22">
        <v>32.0</v>
      </c>
      <c r="AD6" s="22">
        <v>28.0</v>
      </c>
      <c r="AE6" s="22">
        <v>24.0</v>
      </c>
      <c r="AF6" s="22">
        <v>8.0</v>
      </c>
      <c r="AG6" s="22">
        <v>32.0</v>
      </c>
      <c r="AH6" s="22">
        <v>16.0</v>
      </c>
      <c r="AI6" s="22">
        <v>8.0</v>
      </c>
      <c r="AJ6" s="22">
        <v>4.0</v>
      </c>
      <c r="AK6" s="22">
        <v>20.0</v>
      </c>
      <c r="AL6" s="22">
        <v>6.0</v>
      </c>
      <c r="AM6" s="22">
        <v>28.0</v>
      </c>
      <c r="AN6" s="22">
        <v>2.0</v>
      </c>
      <c r="AO6" s="74">
        <v>28.0</v>
      </c>
      <c r="AP6" s="74">
        <v>48.0</v>
      </c>
      <c r="AQ6" s="74">
        <v>42.0</v>
      </c>
      <c r="AR6" s="74">
        <v>28.0</v>
      </c>
      <c r="AS6" s="74">
        <v>44.0</v>
      </c>
      <c r="AT6" s="74">
        <v>32.0</v>
      </c>
      <c r="AU6" s="74">
        <v>22.0</v>
      </c>
      <c r="AV6" s="74">
        <v>0.0</v>
      </c>
      <c r="AW6" s="74">
        <v>5.0</v>
      </c>
      <c r="AX6" s="74">
        <v>36.0</v>
      </c>
      <c r="AY6" s="74"/>
      <c r="AZ6" s="74"/>
      <c r="BA6" s="74"/>
    </row>
    <row r="7" ht="40.5" customHeight="1">
      <c r="A7" s="19" t="s">
        <v>543</v>
      </c>
      <c r="B7" s="19" t="s">
        <v>7</v>
      </c>
      <c r="C7" s="19" t="s">
        <v>10</v>
      </c>
      <c r="D7" s="28">
        <v>0.0</v>
      </c>
      <c r="E7" s="19">
        <v>0.0</v>
      </c>
      <c r="F7" s="19">
        <v>0.0</v>
      </c>
      <c r="G7" s="19">
        <v>0.0</v>
      </c>
      <c r="H7" s="20"/>
      <c r="M7" s="39">
        <v>0.0</v>
      </c>
      <c r="N7" s="39">
        <v>0.0</v>
      </c>
      <c r="O7" s="39" t="s">
        <v>570</v>
      </c>
      <c r="P7" s="39" t="s">
        <v>571</v>
      </c>
      <c r="Q7" s="39" t="s">
        <v>572</v>
      </c>
      <c r="R7" s="39" t="s">
        <v>573</v>
      </c>
      <c r="S7" s="39" t="s">
        <v>574</v>
      </c>
      <c r="T7" s="39" t="s">
        <v>575</v>
      </c>
      <c r="U7" s="39" t="s">
        <v>576</v>
      </c>
      <c r="V7" s="22" t="s">
        <v>577</v>
      </c>
      <c r="W7" s="39" t="s">
        <v>578</v>
      </c>
      <c r="X7" s="39" t="s">
        <v>578</v>
      </c>
      <c r="Y7" s="32" t="s">
        <v>579</v>
      </c>
      <c r="Z7" s="22" t="s">
        <v>580</v>
      </c>
      <c r="AA7" s="32" t="s">
        <v>581</v>
      </c>
      <c r="AB7" s="32" t="s">
        <v>582</v>
      </c>
      <c r="AC7" s="32" t="s">
        <v>582</v>
      </c>
      <c r="AD7" s="32" t="s">
        <v>582</v>
      </c>
      <c r="AE7" s="32" t="s">
        <v>583</v>
      </c>
      <c r="AF7" s="32" t="s">
        <v>583</v>
      </c>
      <c r="AG7" s="32" t="s">
        <v>584</v>
      </c>
      <c r="AH7" s="32" t="s">
        <v>584</v>
      </c>
      <c r="AI7" s="32" t="s">
        <v>584</v>
      </c>
      <c r="AJ7" s="32" t="s">
        <v>584</v>
      </c>
      <c r="AK7" s="32" t="s">
        <v>585</v>
      </c>
      <c r="AL7" s="32" t="s">
        <v>585</v>
      </c>
      <c r="AM7" s="32" t="s">
        <v>585</v>
      </c>
      <c r="AN7" s="32" t="s">
        <v>585</v>
      </c>
      <c r="AO7" s="74" t="s">
        <v>586</v>
      </c>
      <c r="AP7" s="74" t="s">
        <v>586</v>
      </c>
      <c r="AQ7" s="74" t="s">
        <v>586</v>
      </c>
      <c r="AR7" s="74" t="s">
        <v>586</v>
      </c>
      <c r="AS7" s="74" t="s">
        <v>586</v>
      </c>
      <c r="AT7" s="74" t="s">
        <v>586</v>
      </c>
      <c r="AU7" s="74" t="s">
        <v>586</v>
      </c>
      <c r="AV7" s="74" t="s">
        <v>587</v>
      </c>
      <c r="AW7" s="74" t="s">
        <v>588</v>
      </c>
      <c r="AX7" s="74" t="s">
        <v>589</v>
      </c>
      <c r="AY7" s="74"/>
      <c r="AZ7" s="74"/>
      <c r="BA7" s="74"/>
    </row>
    <row r="8">
      <c r="A8" s="19" t="s">
        <v>543</v>
      </c>
      <c r="B8" s="19" t="s">
        <v>7</v>
      </c>
      <c r="C8" s="19" t="s">
        <v>15</v>
      </c>
      <c r="Q8" s="22" t="s">
        <v>21</v>
      </c>
      <c r="R8" s="22" t="s">
        <v>21</v>
      </c>
      <c r="S8" s="22" t="s">
        <v>21</v>
      </c>
      <c r="T8" s="22" t="s">
        <v>21</v>
      </c>
      <c r="U8" s="22" t="s">
        <v>21</v>
      </c>
      <c r="V8" s="22" t="s">
        <v>21</v>
      </c>
      <c r="W8" s="22" t="s">
        <v>21</v>
      </c>
      <c r="X8" s="22">
        <v>0.0</v>
      </c>
      <c r="Y8" s="70"/>
      <c r="Z8" s="22">
        <v>4.0</v>
      </c>
      <c r="AA8" s="22">
        <v>17.0</v>
      </c>
      <c r="AB8" s="22">
        <v>9.0</v>
      </c>
      <c r="AC8" s="22">
        <v>0.0</v>
      </c>
      <c r="AD8" s="22">
        <v>0.0</v>
      </c>
      <c r="AE8" s="22">
        <v>0.0</v>
      </c>
      <c r="AF8" s="22">
        <v>0.0</v>
      </c>
      <c r="AG8" s="22">
        <v>0.0</v>
      </c>
      <c r="AH8" s="22">
        <v>0.0</v>
      </c>
      <c r="AI8" s="22">
        <v>0.0</v>
      </c>
      <c r="AJ8" s="22">
        <v>0.0</v>
      </c>
      <c r="AK8" s="22">
        <v>0.0</v>
      </c>
      <c r="AL8" s="22">
        <v>0.0</v>
      </c>
      <c r="AM8" s="22">
        <v>42.0</v>
      </c>
      <c r="AN8" s="22">
        <v>38.0</v>
      </c>
      <c r="AO8" s="74">
        <v>18.0</v>
      </c>
      <c r="AP8" s="74">
        <v>8.0</v>
      </c>
      <c r="AQ8" s="74">
        <v>0.0</v>
      </c>
      <c r="AR8" s="74">
        <v>0.0</v>
      </c>
      <c r="AS8" s="74">
        <v>16.0</v>
      </c>
      <c r="AT8" s="74">
        <v>7.0</v>
      </c>
      <c r="AU8" s="74"/>
      <c r="AV8" s="74">
        <v>0.0</v>
      </c>
      <c r="AW8" s="74">
        <v>15.0</v>
      </c>
      <c r="AX8" s="74">
        <v>0.0</v>
      </c>
      <c r="AY8" s="74"/>
      <c r="AZ8" s="74"/>
      <c r="BA8" s="74"/>
    </row>
    <row r="9">
      <c r="A9" s="19" t="s">
        <v>543</v>
      </c>
      <c r="B9" s="19" t="s">
        <v>7</v>
      </c>
      <c r="C9" s="19" t="s">
        <v>12</v>
      </c>
      <c r="Q9" s="22"/>
      <c r="R9" s="22"/>
      <c r="S9" s="22"/>
      <c r="T9" s="22"/>
      <c r="U9" s="22"/>
      <c r="V9" s="22"/>
      <c r="W9" s="22"/>
      <c r="X9" s="22"/>
      <c r="Y9" s="70"/>
      <c r="Z9" s="22"/>
      <c r="AA9" s="22"/>
      <c r="AB9" s="22"/>
      <c r="AC9" s="22"/>
      <c r="AD9" s="22"/>
      <c r="AE9" s="22"/>
      <c r="AH9" s="22"/>
      <c r="AI9" s="22"/>
      <c r="AJ9" s="22"/>
      <c r="AK9" s="22"/>
      <c r="AL9" s="22"/>
      <c r="AM9" s="22"/>
      <c r="AN9" s="22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</row>
    <row r="10">
      <c r="A10" s="19" t="s">
        <v>543</v>
      </c>
      <c r="B10" s="19" t="s">
        <v>7</v>
      </c>
      <c r="C10" s="19" t="s">
        <v>18</v>
      </c>
      <c r="Q10" s="22" t="s">
        <v>21</v>
      </c>
      <c r="R10" s="22" t="s">
        <v>21</v>
      </c>
      <c r="S10" s="22" t="s">
        <v>21</v>
      </c>
      <c r="T10" s="22" t="s">
        <v>21</v>
      </c>
      <c r="U10" s="22" t="s">
        <v>21</v>
      </c>
      <c r="V10" s="22" t="s">
        <v>21</v>
      </c>
      <c r="W10" s="22" t="s">
        <v>21</v>
      </c>
      <c r="X10" s="22">
        <v>0.0</v>
      </c>
      <c r="Y10" s="70"/>
      <c r="Z10" s="22">
        <v>0.0</v>
      </c>
      <c r="AA10" s="22">
        <v>4.0</v>
      </c>
      <c r="AB10" s="22">
        <v>3.0</v>
      </c>
      <c r="AC10" s="22">
        <v>4.0</v>
      </c>
      <c r="AD10" s="22">
        <v>2.0</v>
      </c>
      <c r="AE10" s="22">
        <v>2.0</v>
      </c>
      <c r="AH10" s="22">
        <v>3.0</v>
      </c>
      <c r="AI10" s="22">
        <v>3.0</v>
      </c>
      <c r="AJ10" s="22">
        <v>3.0</v>
      </c>
      <c r="AK10" s="22">
        <v>3.0</v>
      </c>
      <c r="AL10" s="22">
        <v>2.0</v>
      </c>
      <c r="AM10" s="22">
        <v>6.0</v>
      </c>
      <c r="AN10" s="22">
        <v>6.0</v>
      </c>
      <c r="AO10" s="74">
        <v>2.0</v>
      </c>
      <c r="AP10" s="74">
        <v>2.0</v>
      </c>
      <c r="AQ10" s="74">
        <v>0.0</v>
      </c>
      <c r="AR10" s="74">
        <v>0.0</v>
      </c>
      <c r="AS10" s="74">
        <v>0.0</v>
      </c>
      <c r="AT10" s="74">
        <v>0.0</v>
      </c>
      <c r="AU10" s="74"/>
      <c r="AV10" s="74">
        <v>0.0</v>
      </c>
      <c r="AW10" s="74">
        <v>6.0</v>
      </c>
      <c r="AX10" s="74">
        <v>1.0</v>
      </c>
      <c r="AY10" s="74"/>
      <c r="AZ10" s="74"/>
      <c r="BA10" s="74"/>
    </row>
    <row r="11">
      <c r="A11" s="19" t="s">
        <v>543</v>
      </c>
      <c r="B11" s="19" t="s">
        <v>7</v>
      </c>
      <c r="C11" s="19" t="s">
        <v>19</v>
      </c>
      <c r="Q11" s="22"/>
      <c r="R11" s="22"/>
      <c r="S11" s="22"/>
      <c r="T11" s="22"/>
      <c r="U11" s="22"/>
      <c r="V11" s="22"/>
      <c r="W11" s="22"/>
      <c r="X11" s="22"/>
      <c r="Y11" s="70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>
        <v>10.0</v>
      </c>
      <c r="AK11" s="22">
        <v>9.0</v>
      </c>
      <c r="AL11" s="22">
        <v>8.0</v>
      </c>
      <c r="AM11" s="22">
        <v>7.0</v>
      </c>
      <c r="AN11" s="22">
        <v>6.0</v>
      </c>
      <c r="AO11" s="74">
        <v>5.0</v>
      </c>
      <c r="AP11" s="74">
        <v>4.0</v>
      </c>
      <c r="AQ11" s="74">
        <v>3.0</v>
      </c>
      <c r="AR11" s="74">
        <v>3.0</v>
      </c>
      <c r="AS11" s="74">
        <v>3.0</v>
      </c>
      <c r="AT11" s="74">
        <v>14.0</v>
      </c>
      <c r="AU11" s="74">
        <v>7.0</v>
      </c>
      <c r="AV11" s="74">
        <v>1.0</v>
      </c>
      <c r="AW11" s="74">
        <v>20.0</v>
      </c>
      <c r="AX11" s="74">
        <v>25.0</v>
      </c>
      <c r="AY11" s="74"/>
      <c r="AZ11" s="74"/>
      <c r="BA11" s="74"/>
    </row>
    <row r="12">
      <c r="A12" s="19" t="s">
        <v>543</v>
      </c>
      <c r="B12" s="19" t="s">
        <v>7</v>
      </c>
      <c r="C12" s="19" t="s">
        <v>590</v>
      </c>
      <c r="Q12" s="22"/>
      <c r="R12" s="22"/>
      <c r="S12" s="22"/>
      <c r="T12" s="22"/>
      <c r="U12" s="22"/>
      <c r="V12" s="22"/>
      <c r="W12" s="22"/>
      <c r="X12" s="22"/>
      <c r="Y12" s="70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>
        <v>0.0</v>
      </c>
      <c r="AK12" s="22">
        <v>0.0</v>
      </c>
      <c r="AL12" s="22">
        <v>0.0</v>
      </c>
      <c r="AM12" s="22">
        <v>0.0</v>
      </c>
      <c r="AN12" s="22">
        <v>0.0</v>
      </c>
      <c r="AO12" s="22">
        <v>0.0</v>
      </c>
      <c r="AP12" s="22">
        <v>0.0</v>
      </c>
      <c r="AQ12" s="22">
        <v>0.0</v>
      </c>
      <c r="AR12" s="22">
        <v>0.0</v>
      </c>
      <c r="AS12" s="74"/>
      <c r="AT12" s="74">
        <v>2.0</v>
      </c>
      <c r="AU12" s="74">
        <v>0.0</v>
      </c>
      <c r="AV12" s="74">
        <v>0.0</v>
      </c>
      <c r="AW12" s="74">
        <v>4.0</v>
      </c>
      <c r="AX12" s="74">
        <v>0.0</v>
      </c>
      <c r="AY12" s="74"/>
      <c r="AZ12" s="74"/>
      <c r="BA12" s="74"/>
    </row>
    <row r="13">
      <c r="A13" s="19" t="s">
        <v>543</v>
      </c>
      <c r="B13" s="26" t="s">
        <v>13</v>
      </c>
      <c r="C13" s="19" t="s">
        <v>20</v>
      </c>
      <c r="Q13" s="22" t="s">
        <v>21</v>
      </c>
      <c r="R13" s="22" t="s">
        <v>21</v>
      </c>
      <c r="S13" s="22" t="s">
        <v>21</v>
      </c>
      <c r="T13" s="22" t="s">
        <v>21</v>
      </c>
      <c r="U13" s="22" t="s">
        <v>21</v>
      </c>
      <c r="V13" s="22" t="s">
        <v>21</v>
      </c>
      <c r="W13" s="22" t="s">
        <v>21</v>
      </c>
      <c r="X13" s="22" t="s">
        <v>21</v>
      </c>
      <c r="Y13" s="70"/>
      <c r="Z13" s="22">
        <v>0.0</v>
      </c>
      <c r="AA13" s="22">
        <v>2.0</v>
      </c>
      <c r="AB13" s="22">
        <v>2.0</v>
      </c>
      <c r="AC13" s="22">
        <v>4.0</v>
      </c>
      <c r="AD13" s="22">
        <v>4.0</v>
      </c>
      <c r="AE13" s="22">
        <v>4.0</v>
      </c>
      <c r="AF13" s="22">
        <v>2.0</v>
      </c>
      <c r="AG13" s="22">
        <v>4.0</v>
      </c>
      <c r="AH13" s="22">
        <v>3.0</v>
      </c>
      <c r="AI13" s="22">
        <v>1.0</v>
      </c>
      <c r="AJ13" s="22">
        <v>0.0</v>
      </c>
      <c r="AK13" s="22">
        <v>0.0</v>
      </c>
      <c r="AL13" s="22">
        <v>0.0</v>
      </c>
      <c r="AM13" s="22">
        <v>0.0</v>
      </c>
      <c r="AN13" s="22">
        <v>0.0</v>
      </c>
      <c r="AO13" s="74">
        <v>0.0</v>
      </c>
      <c r="AP13" s="74">
        <v>2.0</v>
      </c>
      <c r="AQ13" s="74">
        <v>2.0</v>
      </c>
      <c r="AR13" s="74">
        <v>1.0</v>
      </c>
      <c r="AS13" s="74">
        <v>4.0</v>
      </c>
      <c r="AT13" s="74">
        <v>3.0</v>
      </c>
      <c r="AU13" s="74">
        <v>3.0</v>
      </c>
      <c r="AV13" s="74">
        <v>3.0</v>
      </c>
      <c r="AW13" s="74">
        <v>4.0</v>
      </c>
      <c r="AX13" s="74">
        <v>3.0</v>
      </c>
      <c r="AY13" s="74"/>
      <c r="AZ13" s="74"/>
      <c r="BA13" s="74"/>
    </row>
    <row r="14">
      <c r="A14" s="19" t="s">
        <v>543</v>
      </c>
      <c r="B14" s="26" t="s">
        <v>13</v>
      </c>
      <c r="C14" s="19" t="s">
        <v>22</v>
      </c>
      <c r="Q14" s="22" t="s">
        <v>21</v>
      </c>
      <c r="R14" s="22" t="s">
        <v>21</v>
      </c>
      <c r="S14" s="22" t="s">
        <v>21</v>
      </c>
      <c r="T14" s="22" t="s">
        <v>21</v>
      </c>
      <c r="U14" s="22" t="s">
        <v>21</v>
      </c>
      <c r="V14" s="22" t="s">
        <v>21</v>
      </c>
      <c r="W14" s="22" t="s">
        <v>21</v>
      </c>
      <c r="X14" s="22" t="s">
        <v>21</v>
      </c>
      <c r="Y14" s="70"/>
      <c r="Z14" s="22">
        <v>0.0</v>
      </c>
      <c r="AA14" s="22">
        <v>2.0</v>
      </c>
      <c r="AC14" s="22">
        <v>4.0</v>
      </c>
      <c r="AD14" s="22">
        <v>4.0</v>
      </c>
      <c r="AE14" s="22">
        <v>3.0</v>
      </c>
      <c r="AF14" s="22">
        <v>2.0</v>
      </c>
      <c r="AG14" s="22">
        <v>4.0</v>
      </c>
      <c r="AH14" s="22">
        <v>4.0</v>
      </c>
      <c r="AI14" s="22">
        <v>3.0</v>
      </c>
      <c r="AJ14" s="22">
        <v>0.0</v>
      </c>
      <c r="AK14" s="22">
        <v>0.0</v>
      </c>
      <c r="AL14" s="22">
        <v>0.0</v>
      </c>
      <c r="AM14" s="22">
        <v>0.0</v>
      </c>
      <c r="AN14" s="22">
        <v>0.0</v>
      </c>
      <c r="AO14" s="74">
        <v>0.0</v>
      </c>
      <c r="AP14" s="74">
        <v>3.0</v>
      </c>
      <c r="AQ14" s="74">
        <v>3.0</v>
      </c>
      <c r="AR14" s="74">
        <v>2.0</v>
      </c>
      <c r="AS14" s="74">
        <v>5.0</v>
      </c>
      <c r="AT14" s="74">
        <v>0.0</v>
      </c>
      <c r="AU14" s="74">
        <v>0.0</v>
      </c>
      <c r="AV14" s="74">
        <v>0.0</v>
      </c>
      <c r="AW14" s="74">
        <v>4.0</v>
      </c>
      <c r="AX14" s="74">
        <v>2.0</v>
      </c>
      <c r="AY14" s="74"/>
      <c r="AZ14" s="74"/>
      <c r="BA14" s="74"/>
    </row>
    <row r="15">
      <c r="A15" s="19" t="s">
        <v>543</v>
      </c>
      <c r="B15" s="26" t="s">
        <v>13</v>
      </c>
      <c r="C15" s="19" t="s">
        <v>134</v>
      </c>
      <c r="Q15" s="22" t="s">
        <v>21</v>
      </c>
      <c r="R15" s="22" t="s">
        <v>21</v>
      </c>
      <c r="S15" s="22" t="s">
        <v>21</v>
      </c>
      <c r="T15" s="22" t="s">
        <v>21</v>
      </c>
      <c r="U15" s="22" t="s">
        <v>21</v>
      </c>
      <c r="V15" s="22" t="s">
        <v>21</v>
      </c>
      <c r="W15" s="22" t="s">
        <v>21</v>
      </c>
      <c r="X15" s="22" t="s">
        <v>21</v>
      </c>
      <c r="Y15" s="70"/>
      <c r="Z15" s="22">
        <v>7.0</v>
      </c>
      <c r="AA15" s="32" t="s">
        <v>591</v>
      </c>
      <c r="AB15" s="32" t="s">
        <v>592</v>
      </c>
      <c r="AC15" s="32" t="s">
        <v>593</v>
      </c>
      <c r="AD15" s="32" t="s">
        <v>594</v>
      </c>
      <c r="AE15" s="32">
        <v>22.0</v>
      </c>
      <c r="AF15" s="32">
        <v>11.0</v>
      </c>
      <c r="AG15" s="32">
        <v>16.0</v>
      </c>
      <c r="AH15" s="32">
        <v>15.0</v>
      </c>
      <c r="AI15" s="32">
        <v>15.0</v>
      </c>
      <c r="AJ15" s="32">
        <v>0.0</v>
      </c>
      <c r="AK15" s="32">
        <v>0.0</v>
      </c>
      <c r="AL15" s="32">
        <v>0.0</v>
      </c>
      <c r="AM15" s="32">
        <v>12.0</v>
      </c>
      <c r="AN15" s="32">
        <v>5.0</v>
      </c>
      <c r="AO15" s="74">
        <v>10.0</v>
      </c>
      <c r="AP15" s="74">
        <v>16.0</v>
      </c>
      <c r="AQ15" s="74">
        <v>8.0</v>
      </c>
      <c r="AR15" s="74">
        <v>5.0</v>
      </c>
      <c r="AS15" s="74">
        <v>20.0</v>
      </c>
      <c r="AT15" s="74">
        <v>15.0</v>
      </c>
      <c r="AU15" s="74"/>
      <c r="AV15" s="74">
        <v>0.0</v>
      </c>
      <c r="AW15" s="74">
        <v>17.0</v>
      </c>
      <c r="AX15" s="74">
        <v>0.0</v>
      </c>
      <c r="AY15" s="74"/>
      <c r="AZ15" s="74"/>
      <c r="BA15" s="74"/>
    </row>
    <row r="16">
      <c r="A16" s="19" t="s">
        <v>543</v>
      </c>
      <c r="B16" s="26" t="s">
        <v>13</v>
      </c>
      <c r="C16" s="19" t="s">
        <v>148</v>
      </c>
      <c r="Q16" s="22"/>
      <c r="R16" s="22"/>
      <c r="S16" s="22"/>
      <c r="T16" s="22"/>
      <c r="U16" s="22"/>
      <c r="V16" s="22"/>
      <c r="W16" s="22"/>
      <c r="X16" s="22"/>
      <c r="Y16" s="70"/>
      <c r="Z16" s="22"/>
      <c r="AA16" s="32"/>
      <c r="AB16" s="32"/>
      <c r="AC16" s="32"/>
      <c r="AD16" s="32"/>
      <c r="AE16" s="32">
        <v>0.0</v>
      </c>
      <c r="AF16" s="32">
        <v>0.0</v>
      </c>
      <c r="AG16" s="32">
        <v>10.0</v>
      </c>
      <c r="AH16" s="32">
        <v>8.0</v>
      </c>
      <c r="AI16" s="32">
        <v>8.0</v>
      </c>
      <c r="AJ16" s="32">
        <v>0.0</v>
      </c>
      <c r="AK16" s="32">
        <v>0.0</v>
      </c>
      <c r="AL16" s="32">
        <v>0.0</v>
      </c>
      <c r="AM16" s="32">
        <v>11.0</v>
      </c>
      <c r="AN16" s="32">
        <v>8.0</v>
      </c>
      <c r="AO16" s="74">
        <v>1.0</v>
      </c>
      <c r="AP16" s="74">
        <v>0.0</v>
      </c>
      <c r="AQ16" s="74">
        <v>0.0</v>
      </c>
      <c r="AR16" s="74">
        <v>0.0</v>
      </c>
      <c r="AS16" s="74">
        <v>3.0</v>
      </c>
      <c r="AT16" s="74">
        <v>0.0</v>
      </c>
      <c r="AU16" s="74"/>
      <c r="AV16" s="74">
        <v>0.0</v>
      </c>
      <c r="AW16" s="74">
        <v>0.0</v>
      </c>
      <c r="AX16" s="74">
        <v>0.0</v>
      </c>
      <c r="AY16" s="74"/>
      <c r="AZ16" s="74"/>
      <c r="BA16" s="74"/>
    </row>
    <row r="17">
      <c r="A17" s="19" t="s">
        <v>543</v>
      </c>
      <c r="B17" s="26" t="s">
        <v>13</v>
      </c>
      <c r="C17" s="19" t="s">
        <v>149</v>
      </c>
      <c r="Q17" s="22"/>
      <c r="R17" s="22"/>
      <c r="S17" s="22"/>
      <c r="T17" s="22"/>
      <c r="U17" s="22"/>
      <c r="V17" s="22"/>
      <c r="W17" s="22"/>
      <c r="X17" s="22"/>
      <c r="Y17" s="70"/>
      <c r="Z17" s="22"/>
      <c r="AA17" s="32"/>
      <c r="AB17" s="32"/>
      <c r="AC17" s="32"/>
      <c r="AD17" s="32"/>
      <c r="AE17" s="32">
        <v>12.0</v>
      </c>
      <c r="AF17" s="32">
        <v>2.0</v>
      </c>
      <c r="AG17" s="32">
        <v>14.0</v>
      </c>
      <c r="AH17" s="32">
        <v>14.0</v>
      </c>
      <c r="AI17" s="32">
        <v>14.0</v>
      </c>
      <c r="AJ17" s="32">
        <v>4.0</v>
      </c>
      <c r="AK17" s="32">
        <v>1.0</v>
      </c>
      <c r="AL17" s="32">
        <v>1.0</v>
      </c>
      <c r="AM17" s="32">
        <v>7.0</v>
      </c>
      <c r="AN17" s="32">
        <v>7.0</v>
      </c>
      <c r="AO17" s="74">
        <v>12.0</v>
      </c>
      <c r="AP17" s="74">
        <v>18.0</v>
      </c>
      <c r="AQ17" s="74">
        <v>14.0</v>
      </c>
      <c r="AR17" s="74">
        <v>14.0</v>
      </c>
      <c r="AS17" s="74">
        <v>20.0</v>
      </c>
      <c r="AT17" s="74">
        <v>17.0</v>
      </c>
      <c r="AU17" s="74"/>
      <c r="AV17" s="74">
        <v>0.0</v>
      </c>
      <c r="AW17" s="74">
        <v>2.0</v>
      </c>
      <c r="AX17" s="74">
        <v>0.0</v>
      </c>
      <c r="AY17" s="74"/>
      <c r="AZ17" s="74"/>
      <c r="BA17" s="74"/>
    </row>
    <row r="18">
      <c r="A18" s="19" t="s">
        <v>543</v>
      </c>
      <c r="B18" s="26" t="s">
        <v>13</v>
      </c>
      <c r="C18" s="19" t="s">
        <v>23</v>
      </c>
      <c r="Q18" s="22" t="s">
        <v>21</v>
      </c>
      <c r="R18" s="22" t="s">
        <v>21</v>
      </c>
      <c r="S18" s="22" t="s">
        <v>21</v>
      </c>
      <c r="T18" s="22" t="s">
        <v>21</v>
      </c>
      <c r="U18" s="22" t="s">
        <v>21</v>
      </c>
      <c r="V18" s="22" t="s">
        <v>21</v>
      </c>
      <c r="W18" s="22" t="s">
        <v>21</v>
      </c>
      <c r="X18" s="22" t="s">
        <v>21</v>
      </c>
      <c r="Y18" s="70"/>
      <c r="Z18" s="22">
        <v>4.0</v>
      </c>
      <c r="AA18" s="22">
        <v>3.0</v>
      </c>
      <c r="AB18" s="22">
        <v>3.0</v>
      </c>
      <c r="AC18" s="22">
        <v>0.0</v>
      </c>
      <c r="AD18" s="22">
        <v>0.0</v>
      </c>
      <c r="AE18" s="22">
        <v>0.0</v>
      </c>
      <c r="AF18" s="22">
        <v>0.0</v>
      </c>
      <c r="AG18" s="22">
        <v>1.0</v>
      </c>
      <c r="AH18" s="22">
        <v>0.0</v>
      </c>
      <c r="AI18" s="22">
        <v>0.0</v>
      </c>
      <c r="AJ18" s="22">
        <v>0.0</v>
      </c>
      <c r="AK18" s="22">
        <v>0.0</v>
      </c>
      <c r="AL18" s="22">
        <v>0.0</v>
      </c>
      <c r="AM18" s="22">
        <v>0.0</v>
      </c>
      <c r="AN18" s="22">
        <v>0.0</v>
      </c>
      <c r="AO18" s="74">
        <v>0.0</v>
      </c>
      <c r="AP18" s="74">
        <v>0.0</v>
      </c>
      <c r="AQ18" s="74">
        <v>0.0</v>
      </c>
      <c r="AR18" s="74">
        <v>0.0</v>
      </c>
      <c r="AS18" s="74">
        <v>3.0</v>
      </c>
      <c r="AT18" s="74">
        <v>3.0</v>
      </c>
      <c r="AU18" s="74"/>
      <c r="AV18" s="74">
        <v>0.0</v>
      </c>
      <c r="AW18" s="74">
        <v>5.0</v>
      </c>
      <c r="AX18" s="74">
        <v>1.0</v>
      </c>
      <c r="AY18" s="74"/>
      <c r="AZ18" s="74"/>
      <c r="BA18" s="74"/>
    </row>
    <row r="19">
      <c r="A19" s="19" t="s">
        <v>543</v>
      </c>
      <c r="B19" s="26" t="s">
        <v>13</v>
      </c>
      <c r="C19" s="19" t="s">
        <v>24</v>
      </c>
      <c r="Q19" s="22" t="s">
        <v>21</v>
      </c>
      <c r="R19" s="22" t="s">
        <v>21</v>
      </c>
      <c r="S19" s="22" t="s">
        <v>21</v>
      </c>
      <c r="T19" s="22" t="s">
        <v>21</v>
      </c>
      <c r="U19" s="22" t="s">
        <v>21</v>
      </c>
      <c r="V19" s="22" t="s">
        <v>21</v>
      </c>
      <c r="W19" s="22" t="s">
        <v>21</v>
      </c>
      <c r="X19" s="22" t="s">
        <v>21</v>
      </c>
      <c r="Y19" s="70"/>
      <c r="Z19" s="22">
        <v>7.0</v>
      </c>
      <c r="AA19" s="22">
        <v>8.0</v>
      </c>
      <c r="AB19" s="22">
        <v>7.0</v>
      </c>
      <c r="AC19" s="22">
        <v>4.0</v>
      </c>
      <c r="AD19" s="22">
        <v>4.0</v>
      </c>
      <c r="AE19" s="22">
        <v>3.0</v>
      </c>
      <c r="AF19" s="22">
        <v>2.0</v>
      </c>
      <c r="AG19" s="22">
        <v>6.0</v>
      </c>
      <c r="AH19" s="22">
        <v>3.0</v>
      </c>
      <c r="AI19" s="22">
        <v>1.0</v>
      </c>
      <c r="AJ19" s="22">
        <v>0.0</v>
      </c>
      <c r="AK19" s="22">
        <v>0.0</v>
      </c>
      <c r="AL19" s="22">
        <v>0.0</v>
      </c>
      <c r="AM19" s="22">
        <v>6.0</v>
      </c>
      <c r="AN19" s="22">
        <v>4.0</v>
      </c>
      <c r="AO19" s="74">
        <v>7.0</v>
      </c>
      <c r="AP19" s="74">
        <v>9.0</v>
      </c>
      <c r="AQ19" s="74">
        <v>9.0</v>
      </c>
      <c r="AR19" s="74">
        <v>7.0</v>
      </c>
      <c r="AS19" s="74">
        <v>7.0</v>
      </c>
      <c r="AT19" s="74">
        <v>6.0</v>
      </c>
      <c r="AU19" s="74">
        <v>5.0</v>
      </c>
      <c r="AV19" s="74">
        <v>4.0</v>
      </c>
      <c r="AW19" s="74">
        <v>6.0</v>
      </c>
      <c r="AX19" s="74">
        <v>3.0</v>
      </c>
      <c r="AY19" s="74"/>
      <c r="AZ19" s="74"/>
      <c r="BA19" s="74"/>
    </row>
    <row r="20">
      <c r="C20" s="19"/>
      <c r="Y20" s="70"/>
      <c r="Z20" s="22"/>
    </row>
  </sheetData>
  <dataValidations>
    <dataValidation type="list" allowBlank="1" showErrorMessage="1" sqref="B5:B19">
      <formula1>"Cafeteria,Aseo"</formula1>
    </dataValidation>
    <dataValidation type="list" allowBlank="1" showErrorMessage="1" sqref="B4">
      <formula1>"Dimerc,Cafe Caribe"</formula1>
    </dataValidation>
  </dataValidation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6.88"/>
    <col customWidth="1" min="2" max="2" width="26.75"/>
    <col customWidth="1" min="3" max="3" width="23.25"/>
    <col customWidth="1" hidden="1" min="4" max="4" width="14.13"/>
    <col hidden="1" min="5" max="71" width="12.63"/>
    <col hidden="1" min="73" max="73" width="12.63"/>
  </cols>
  <sheetData>
    <row r="1">
      <c r="A1" s="63"/>
      <c r="B1" s="63"/>
      <c r="C1" s="64"/>
      <c r="D1" s="16" t="s">
        <v>43</v>
      </c>
      <c r="E1" s="16" t="s">
        <v>43</v>
      </c>
      <c r="F1" s="16" t="s">
        <v>43</v>
      </c>
      <c r="G1" s="16" t="s">
        <v>43</v>
      </c>
      <c r="H1" s="16" t="s">
        <v>43</v>
      </c>
      <c r="BP1" s="22">
        <v>10.0</v>
      </c>
    </row>
    <row r="2">
      <c r="A2" s="63"/>
      <c r="B2" s="63"/>
      <c r="C2" s="64"/>
      <c r="D2" s="18">
        <v>45811.0</v>
      </c>
      <c r="E2" s="18">
        <f>D2+6</f>
        <v>45817</v>
      </c>
      <c r="F2" s="18">
        <f t="shared" ref="F2:L2" si="1">E2+7</f>
        <v>45824</v>
      </c>
      <c r="G2" s="18">
        <f t="shared" si="1"/>
        <v>45831</v>
      </c>
      <c r="H2" s="18">
        <f t="shared" si="1"/>
        <v>45838</v>
      </c>
      <c r="I2" s="18">
        <f t="shared" si="1"/>
        <v>45845</v>
      </c>
      <c r="J2" s="18">
        <f t="shared" si="1"/>
        <v>45852</v>
      </c>
      <c r="K2" s="18">
        <f t="shared" si="1"/>
        <v>45859</v>
      </c>
      <c r="L2" s="18">
        <f t="shared" si="1"/>
        <v>45866</v>
      </c>
      <c r="M2" s="16" t="s">
        <v>595</v>
      </c>
      <c r="N2" s="17">
        <v>45880.0</v>
      </c>
      <c r="O2" s="18">
        <f t="shared" ref="O2:AA2" si="2">N2+7</f>
        <v>45887</v>
      </c>
      <c r="P2" s="18">
        <f t="shared" si="2"/>
        <v>45894</v>
      </c>
      <c r="Q2" s="18">
        <f t="shared" si="2"/>
        <v>45901</v>
      </c>
      <c r="R2" s="18">
        <f t="shared" si="2"/>
        <v>45908</v>
      </c>
      <c r="S2" s="18">
        <f t="shared" si="2"/>
        <v>45915</v>
      </c>
      <c r="T2" s="18">
        <f t="shared" si="2"/>
        <v>45922</v>
      </c>
      <c r="U2" s="18">
        <f t="shared" si="2"/>
        <v>45929</v>
      </c>
      <c r="V2" s="18">
        <f t="shared" si="2"/>
        <v>45936</v>
      </c>
      <c r="W2" s="18">
        <f t="shared" si="2"/>
        <v>45943</v>
      </c>
      <c r="X2" s="18">
        <f t="shared" si="2"/>
        <v>45950</v>
      </c>
      <c r="Y2" s="18">
        <f t="shared" si="2"/>
        <v>45957</v>
      </c>
      <c r="Z2" s="18">
        <f t="shared" si="2"/>
        <v>45964</v>
      </c>
      <c r="AA2" s="17">
        <f t="shared" si="2"/>
        <v>45971</v>
      </c>
      <c r="AB2" s="17">
        <v>45978.0</v>
      </c>
      <c r="AC2" s="17">
        <v>45980.0</v>
      </c>
      <c r="AD2" s="17">
        <v>45981.0</v>
      </c>
      <c r="AE2" s="17">
        <v>45985.0</v>
      </c>
      <c r="AF2" s="17">
        <v>45986.0</v>
      </c>
      <c r="AG2" s="17">
        <v>45988.0</v>
      </c>
      <c r="AH2" s="17">
        <v>45989.0</v>
      </c>
      <c r="AI2" s="17">
        <v>45992.0</v>
      </c>
      <c r="AJ2" s="17">
        <v>45993.0</v>
      </c>
      <c r="AK2" s="17">
        <v>45994.0</v>
      </c>
      <c r="AL2" s="17">
        <v>3698420.0</v>
      </c>
      <c r="AM2" s="17">
        <v>46000.0</v>
      </c>
      <c r="AN2" s="17">
        <v>46002.0</v>
      </c>
      <c r="AO2" s="17">
        <v>46007.0</v>
      </c>
      <c r="AP2" s="17">
        <v>46009.0</v>
      </c>
      <c r="AQ2" s="17">
        <v>46013.0</v>
      </c>
      <c r="AR2" s="17">
        <v>46020.0</v>
      </c>
      <c r="AS2" s="17">
        <v>46027.0</v>
      </c>
      <c r="AT2" s="17">
        <v>46028.0</v>
      </c>
      <c r="AU2" s="17">
        <v>46030.0</v>
      </c>
      <c r="AV2" s="17">
        <v>46031.0</v>
      </c>
      <c r="AW2" s="17">
        <v>46034.0</v>
      </c>
      <c r="AX2" s="17">
        <v>46037.0</v>
      </c>
      <c r="AY2" s="17">
        <v>46041.0</v>
      </c>
      <c r="AZ2" s="17">
        <v>46043.0</v>
      </c>
      <c r="BA2" s="17">
        <v>46044.0</v>
      </c>
      <c r="BB2" s="17">
        <v>46045.0</v>
      </c>
      <c r="BC2" s="17">
        <v>46048.0</v>
      </c>
      <c r="BD2" s="17">
        <v>46049.0</v>
      </c>
      <c r="BE2" s="17">
        <v>46050.0</v>
      </c>
      <c r="BF2" s="17">
        <v>46051.0</v>
      </c>
      <c r="BG2" s="17">
        <v>46055.0</v>
      </c>
      <c r="BH2" s="17">
        <v>46058.0</v>
      </c>
      <c r="BI2" s="17">
        <v>46059.0</v>
      </c>
      <c r="BJ2" s="17">
        <v>46062.0</v>
      </c>
      <c r="BK2" s="17">
        <v>46065.0</v>
      </c>
      <c r="BL2" s="17">
        <v>46069.0</v>
      </c>
      <c r="BM2" s="17">
        <v>46072.0</v>
      </c>
      <c r="BN2" s="17">
        <v>46076.0</v>
      </c>
      <c r="BO2" s="17">
        <v>46078.0</v>
      </c>
      <c r="BP2" s="17">
        <v>46079.0</v>
      </c>
      <c r="BQ2" s="17">
        <v>46083.0</v>
      </c>
      <c r="BR2" s="17">
        <v>46086.0</v>
      </c>
      <c r="BS2" s="17">
        <v>46087.0</v>
      </c>
      <c r="BT2" s="17">
        <v>46090.0</v>
      </c>
      <c r="BU2" s="17">
        <v>46092.0</v>
      </c>
      <c r="BV2" s="17">
        <v>46093.0</v>
      </c>
      <c r="BW2" s="17">
        <v>46097.0</v>
      </c>
      <c r="BX2" s="17">
        <v>46098.0</v>
      </c>
      <c r="BY2" s="17">
        <v>46100.0</v>
      </c>
      <c r="BZ2" s="17">
        <v>46104.0</v>
      </c>
      <c r="CA2" s="17"/>
    </row>
    <row r="3">
      <c r="A3" s="27" t="s">
        <v>0</v>
      </c>
      <c r="B3" s="27" t="s">
        <v>1</v>
      </c>
      <c r="C3" s="27" t="s">
        <v>2</v>
      </c>
      <c r="D3" s="27" t="s">
        <v>3</v>
      </c>
      <c r="E3" s="27" t="s">
        <v>3</v>
      </c>
      <c r="F3" s="27" t="s">
        <v>3</v>
      </c>
      <c r="G3" s="27" t="s">
        <v>3</v>
      </c>
      <c r="H3" s="27" t="s">
        <v>3</v>
      </c>
      <c r="I3" s="27" t="s">
        <v>3</v>
      </c>
      <c r="J3" s="27" t="s">
        <v>3</v>
      </c>
      <c r="K3" s="27" t="s">
        <v>3</v>
      </c>
      <c r="L3" s="27" t="s">
        <v>3</v>
      </c>
      <c r="M3" s="27" t="s">
        <v>3</v>
      </c>
      <c r="N3" s="27" t="s">
        <v>3</v>
      </c>
      <c r="O3" s="27" t="s">
        <v>3</v>
      </c>
      <c r="P3" s="27" t="s">
        <v>3</v>
      </c>
      <c r="Q3" s="27" t="s">
        <v>3</v>
      </c>
      <c r="R3" s="27" t="s">
        <v>3</v>
      </c>
      <c r="S3" s="27" t="s">
        <v>3</v>
      </c>
      <c r="T3" s="27" t="s">
        <v>3</v>
      </c>
      <c r="U3" s="27" t="s">
        <v>3</v>
      </c>
      <c r="V3" s="27" t="s">
        <v>3</v>
      </c>
      <c r="W3" s="27" t="s">
        <v>3</v>
      </c>
      <c r="X3" s="27" t="s">
        <v>3</v>
      </c>
      <c r="Y3" s="27" t="s">
        <v>3</v>
      </c>
      <c r="Z3" s="27" t="s">
        <v>3</v>
      </c>
      <c r="AA3" s="27" t="s">
        <v>3</v>
      </c>
      <c r="AB3" s="27" t="s">
        <v>3</v>
      </c>
      <c r="AC3" s="27" t="s">
        <v>3</v>
      </c>
      <c r="AD3" s="27" t="s">
        <v>3</v>
      </c>
      <c r="AE3" s="27" t="s">
        <v>3</v>
      </c>
      <c r="AF3" s="27" t="s">
        <v>3</v>
      </c>
      <c r="AG3" s="27" t="s">
        <v>3</v>
      </c>
      <c r="AH3" s="27" t="s">
        <v>3</v>
      </c>
      <c r="AI3" s="27" t="s">
        <v>3</v>
      </c>
      <c r="AJ3" s="27" t="s">
        <v>3</v>
      </c>
      <c r="AK3" s="27" t="s">
        <v>3</v>
      </c>
      <c r="AL3" s="27" t="s">
        <v>3</v>
      </c>
      <c r="AM3" s="27" t="s">
        <v>3</v>
      </c>
      <c r="AN3" s="27" t="s">
        <v>3</v>
      </c>
      <c r="AO3" s="27" t="s">
        <v>3</v>
      </c>
      <c r="AP3" s="27" t="s">
        <v>3</v>
      </c>
      <c r="AQ3" s="27" t="s">
        <v>3</v>
      </c>
      <c r="AR3" s="27" t="s">
        <v>3</v>
      </c>
      <c r="AS3" s="16" t="s">
        <v>3</v>
      </c>
      <c r="AT3" s="16" t="s">
        <v>3</v>
      </c>
      <c r="AU3" s="16" t="s">
        <v>3</v>
      </c>
      <c r="AV3" s="16" t="s">
        <v>3</v>
      </c>
      <c r="AW3" s="16" t="s">
        <v>3</v>
      </c>
      <c r="AX3" s="16" t="s">
        <v>3</v>
      </c>
      <c r="AY3" s="16" t="s">
        <v>3</v>
      </c>
      <c r="AZ3" s="16" t="s">
        <v>3</v>
      </c>
      <c r="BA3" s="16" t="s">
        <v>3</v>
      </c>
      <c r="BB3" s="16" t="s">
        <v>3</v>
      </c>
      <c r="BC3" s="16" t="s">
        <v>3</v>
      </c>
      <c r="BD3" s="16" t="s">
        <v>3</v>
      </c>
      <c r="BE3" s="16" t="s">
        <v>3</v>
      </c>
      <c r="BF3" s="16" t="s">
        <v>3</v>
      </c>
      <c r="BG3" s="16" t="s">
        <v>3</v>
      </c>
      <c r="BH3" s="16" t="s">
        <v>3</v>
      </c>
      <c r="BI3" s="16" t="s">
        <v>3</v>
      </c>
      <c r="BJ3" s="16" t="s">
        <v>3</v>
      </c>
      <c r="BK3" s="16" t="s">
        <v>3</v>
      </c>
      <c r="BL3" s="16" t="s">
        <v>3</v>
      </c>
      <c r="BM3" s="16" t="s">
        <v>3</v>
      </c>
      <c r="BN3" s="16" t="s">
        <v>3</v>
      </c>
      <c r="BO3" s="16" t="s">
        <v>3</v>
      </c>
      <c r="BP3" s="16" t="s">
        <v>3</v>
      </c>
      <c r="BQ3" s="16" t="s">
        <v>3</v>
      </c>
      <c r="BR3" s="16" t="s">
        <v>3</v>
      </c>
      <c r="BS3" s="16" t="s">
        <v>3</v>
      </c>
      <c r="BT3" s="16" t="s">
        <v>3</v>
      </c>
      <c r="BU3" s="16" t="s">
        <v>3</v>
      </c>
      <c r="BV3" s="16" t="s">
        <v>3</v>
      </c>
      <c r="BW3" s="16" t="s">
        <v>3</v>
      </c>
      <c r="BX3" s="16" t="s">
        <v>3</v>
      </c>
      <c r="BY3" s="16" t="s">
        <v>3</v>
      </c>
      <c r="BZ3" s="16" t="s">
        <v>3</v>
      </c>
      <c r="CA3" s="16"/>
    </row>
    <row r="4">
      <c r="A4" s="26" t="s">
        <v>596</v>
      </c>
      <c r="B4" s="19" t="s">
        <v>597</v>
      </c>
      <c r="C4" s="26" t="s">
        <v>6</v>
      </c>
      <c r="D4" s="67">
        <v>0.0</v>
      </c>
      <c r="E4" s="67">
        <v>0.0</v>
      </c>
      <c r="F4" s="67">
        <v>10.0</v>
      </c>
      <c r="G4" s="67">
        <v>4.0</v>
      </c>
      <c r="H4" s="67">
        <v>0.0</v>
      </c>
      <c r="I4" s="75">
        <v>2.0</v>
      </c>
      <c r="J4" s="75">
        <v>1.0</v>
      </c>
      <c r="K4" s="75">
        <v>5.0</v>
      </c>
      <c r="L4" s="16">
        <v>1.0</v>
      </c>
      <c r="M4" s="75">
        <v>2.0</v>
      </c>
      <c r="N4" s="75">
        <v>2.0</v>
      </c>
      <c r="O4" s="75">
        <v>5.0</v>
      </c>
      <c r="P4" s="16">
        <v>2.0</v>
      </c>
      <c r="Q4" s="22">
        <v>1.0</v>
      </c>
      <c r="R4" s="22">
        <v>2.0</v>
      </c>
      <c r="S4" s="22">
        <v>1.0</v>
      </c>
      <c r="T4" s="22">
        <v>3.0</v>
      </c>
      <c r="U4" s="22">
        <v>4.0</v>
      </c>
      <c r="V4" s="22">
        <v>2.0</v>
      </c>
      <c r="W4" s="22">
        <v>5.0</v>
      </c>
      <c r="X4" s="22">
        <v>2.0</v>
      </c>
      <c r="Y4" s="22">
        <v>3.0</v>
      </c>
      <c r="Z4" s="22">
        <v>1.0</v>
      </c>
      <c r="AA4" s="22">
        <v>3.0</v>
      </c>
      <c r="AB4" s="22">
        <v>1.0</v>
      </c>
      <c r="AC4" s="22">
        <v>3.0</v>
      </c>
      <c r="AD4" s="22">
        <v>3.0</v>
      </c>
      <c r="AE4" s="22">
        <v>2.0</v>
      </c>
      <c r="AF4" s="22"/>
      <c r="AG4" s="22">
        <v>2.0</v>
      </c>
      <c r="AI4" s="22">
        <v>6.0</v>
      </c>
      <c r="AJ4" s="22"/>
      <c r="AK4" s="22"/>
      <c r="AL4" s="22">
        <v>5.0</v>
      </c>
      <c r="AM4" s="22">
        <v>4.0</v>
      </c>
      <c r="AN4" s="22">
        <v>3.0</v>
      </c>
      <c r="AO4" s="22">
        <v>2.0</v>
      </c>
      <c r="AP4" s="22">
        <v>1.0</v>
      </c>
      <c r="AQ4" s="22">
        <v>1.0</v>
      </c>
      <c r="AR4" s="22">
        <v>0.0</v>
      </c>
      <c r="AS4" s="22">
        <v>0.0</v>
      </c>
      <c r="AT4" s="22">
        <v>4.0</v>
      </c>
      <c r="AU4" s="22">
        <v>2.0</v>
      </c>
      <c r="AV4" s="22"/>
      <c r="AW4" s="22">
        <v>1.0</v>
      </c>
      <c r="AX4" s="22">
        <v>1.0</v>
      </c>
      <c r="AY4" s="22">
        <v>0.0</v>
      </c>
      <c r="AZ4" s="22">
        <v>3.0</v>
      </c>
      <c r="BA4" s="22">
        <v>2.0</v>
      </c>
      <c r="BC4" s="22">
        <v>1.0</v>
      </c>
      <c r="BD4" s="22">
        <v>3.0</v>
      </c>
      <c r="BE4" s="22">
        <v>3.0</v>
      </c>
      <c r="BF4" s="22">
        <v>3.0</v>
      </c>
      <c r="BG4" s="22">
        <v>3.0</v>
      </c>
      <c r="BH4" s="22">
        <v>2.0</v>
      </c>
      <c r="BI4" s="22">
        <v>5.0</v>
      </c>
      <c r="BJ4" s="22">
        <v>7.0</v>
      </c>
      <c r="BK4" s="22">
        <v>6.0</v>
      </c>
      <c r="BL4" s="22">
        <v>6.0</v>
      </c>
      <c r="BM4" s="22">
        <v>10.0</v>
      </c>
      <c r="BN4" s="22">
        <v>10.0</v>
      </c>
      <c r="BO4" s="22">
        <v>5.0</v>
      </c>
      <c r="BP4" s="22">
        <v>14.0</v>
      </c>
      <c r="BQ4" s="22">
        <v>13.0</v>
      </c>
      <c r="BR4" s="22">
        <v>12.0</v>
      </c>
      <c r="BS4" s="22"/>
      <c r="BT4" s="22">
        <v>11.0</v>
      </c>
      <c r="BU4" s="22"/>
      <c r="BV4" s="22">
        <v>10.0</v>
      </c>
      <c r="BW4" s="22">
        <v>9.0</v>
      </c>
      <c r="BX4" s="22">
        <v>5.0</v>
      </c>
      <c r="BY4" s="22">
        <v>12.0</v>
      </c>
      <c r="BZ4" s="22">
        <v>12.0</v>
      </c>
      <c r="CA4" s="22"/>
    </row>
    <row r="5">
      <c r="A5" s="19" t="s">
        <v>596</v>
      </c>
      <c r="B5" s="19" t="s">
        <v>597</v>
      </c>
      <c r="C5" s="26" t="s">
        <v>598</v>
      </c>
      <c r="D5" s="67"/>
      <c r="E5" s="67"/>
      <c r="F5" s="67"/>
      <c r="G5" s="67"/>
      <c r="H5" s="67"/>
      <c r="I5" s="31"/>
      <c r="J5" s="31"/>
      <c r="K5" s="31"/>
      <c r="L5" s="37"/>
      <c r="M5" s="31"/>
      <c r="N5" s="31"/>
      <c r="O5" s="31"/>
      <c r="P5" s="37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>
        <v>2.0</v>
      </c>
      <c r="AD5" s="22">
        <v>1.0</v>
      </c>
      <c r="AE5" s="22">
        <v>0.0</v>
      </c>
      <c r="AF5" s="22"/>
      <c r="AG5" s="22">
        <v>0.0</v>
      </c>
      <c r="AH5" s="22">
        <v>4.0</v>
      </c>
      <c r="AI5" s="22">
        <v>8.0</v>
      </c>
      <c r="AJ5" s="22"/>
      <c r="AK5" s="22"/>
      <c r="AL5" s="22">
        <v>7.5</v>
      </c>
      <c r="AM5" s="22">
        <v>6.5</v>
      </c>
      <c r="AN5" s="22">
        <v>5.5</v>
      </c>
      <c r="AO5" s="22">
        <v>4.5</v>
      </c>
      <c r="AP5" s="22">
        <v>4.5</v>
      </c>
      <c r="AQ5" s="22">
        <v>3.5</v>
      </c>
      <c r="AR5" s="22">
        <v>2.5</v>
      </c>
      <c r="AS5" s="22">
        <v>2.5</v>
      </c>
      <c r="AT5" s="22">
        <v>4.5</v>
      </c>
      <c r="AU5" s="22">
        <v>3.5</v>
      </c>
      <c r="AV5" s="22"/>
      <c r="AW5" s="22">
        <v>2.0</v>
      </c>
      <c r="AX5" s="22">
        <v>1.0</v>
      </c>
      <c r="AY5" s="22">
        <v>0.0</v>
      </c>
      <c r="AZ5" s="22">
        <v>3.0</v>
      </c>
      <c r="BA5" s="22">
        <v>2.0</v>
      </c>
      <c r="BC5" s="22">
        <v>1.5</v>
      </c>
      <c r="BD5" s="22">
        <v>2.0</v>
      </c>
      <c r="BE5" s="22">
        <v>2.5</v>
      </c>
      <c r="BF5" s="22">
        <v>2.5</v>
      </c>
      <c r="BG5" s="22">
        <v>1.5</v>
      </c>
      <c r="BH5" s="22">
        <v>1.5</v>
      </c>
      <c r="BI5" s="22">
        <v>2.0</v>
      </c>
      <c r="BJ5" s="76">
        <v>46145.0</v>
      </c>
      <c r="BK5" s="22">
        <v>2.5</v>
      </c>
      <c r="BL5" s="22">
        <v>2.5</v>
      </c>
      <c r="BM5" s="22">
        <v>4.5</v>
      </c>
      <c r="BN5" s="22">
        <v>3.5</v>
      </c>
      <c r="BO5" s="22">
        <v>5.0</v>
      </c>
      <c r="BP5" s="22">
        <v>8.5</v>
      </c>
      <c r="BQ5" s="22">
        <v>7.5</v>
      </c>
      <c r="BR5" s="22">
        <v>6.5</v>
      </c>
      <c r="BS5" s="22"/>
      <c r="BT5" s="22">
        <v>5.5</v>
      </c>
      <c r="BU5" s="22"/>
      <c r="BV5" s="22">
        <v>4.5</v>
      </c>
      <c r="BW5" s="22">
        <v>3.5</v>
      </c>
      <c r="BX5" s="22">
        <v>5.0</v>
      </c>
      <c r="BY5" s="22">
        <v>6.5</v>
      </c>
      <c r="BZ5" s="22">
        <v>6.5</v>
      </c>
      <c r="CA5" s="22"/>
    </row>
    <row r="6">
      <c r="A6" s="19" t="s">
        <v>596</v>
      </c>
      <c r="B6" s="19" t="s">
        <v>597</v>
      </c>
      <c r="C6" s="26" t="s">
        <v>599</v>
      </c>
      <c r="D6" s="67"/>
      <c r="E6" s="67"/>
      <c r="F6" s="67"/>
      <c r="G6" s="67"/>
      <c r="H6" s="67"/>
      <c r="I6" s="31"/>
      <c r="J6" s="31"/>
      <c r="K6" s="31"/>
      <c r="L6" s="37"/>
      <c r="M6" s="31"/>
      <c r="N6" s="31"/>
      <c r="O6" s="31"/>
      <c r="P6" s="37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>
        <v>2.0</v>
      </c>
      <c r="AD6" s="22">
        <v>4.0</v>
      </c>
      <c r="AE6" s="22">
        <v>4.0</v>
      </c>
      <c r="AF6" s="22"/>
      <c r="AG6" s="22">
        <v>4.0</v>
      </c>
      <c r="AI6" s="22">
        <v>9.0</v>
      </c>
      <c r="AJ6" s="22"/>
      <c r="AK6" s="22"/>
      <c r="AL6" s="22">
        <v>9.0</v>
      </c>
      <c r="AM6" s="22">
        <v>9.0</v>
      </c>
      <c r="AN6" s="22">
        <v>8.0</v>
      </c>
      <c r="AO6" s="22">
        <v>8.0</v>
      </c>
      <c r="AP6" s="22">
        <v>8.0</v>
      </c>
      <c r="AQ6" s="22">
        <v>8.0</v>
      </c>
      <c r="AR6" s="22">
        <v>8.0</v>
      </c>
      <c r="AS6" s="22">
        <v>8.0</v>
      </c>
      <c r="AT6" s="22">
        <v>10.0</v>
      </c>
      <c r="AU6" s="22">
        <v>8.0</v>
      </c>
      <c r="AV6" s="22"/>
      <c r="AW6" s="22">
        <v>8.0</v>
      </c>
      <c r="AX6" s="22">
        <v>8.0</v>
      </c>
      <c r="AY6" s="22">
        <v>8.0</v>
      </c>
      <c r="AZ6" s="22">
        <v>3.0</v>
      </c>
      <c r="BA6" s="22">
        <v>11.0</v>
      </c>
      <c r="BC6" s="22">
        <v>11.0</v>
      </c>
      <c r="BD6" s="22"/>
      <c r="BE6" s="22">
        <v>11.0</v>
      </c>
      <c r="BF6" s="22">
        <v>11.0</v>
      </c>
      <c r="BG6" s="22">
        <v>11.0</v>
      </c>
      <c r="BH6" s="22">
        <v>11.0</v>
      </c>
      <c r="BI6" s="22"/>
      <c r="BJ6" s="22">
        <v>11.0</v>
      </c>
      <c r="BK6" s="22">
        <v>11.0</v>
      </c>
      <c r="BL6" s="22">
        <v>11.0</v>
      </c>
      <c r="BM6" s="22">
        <v>10.0</v>
      </c>
      <c r="BN6" s="22">
        <v>10.0</v>
      </c>
      <c r="BO6" s="22"/>
      <c r="BP6" s="22">
        <v>10.0</v>
      </c>
      <c r="BQ6" s="22">
        <v>10.0</v>
      </c>
      <c r="BR6" s="22">
        <v>10.0</v>
      </c>
      <c r="BS6" s="22"/>
      <c r="BT6" s="22">
        <v>10.0</v>
      </c>
      <c r="BU6" s="22"/>
      <c r="BV6" s="22">
        <v>9.0</v>
      </c>
      <c r="BW6" s="22">
        <v>9.0</v>
      </c>
      <c r="BX6" s="22">
        <v>5.0</v>
      </c>
      <c r="BY6" s="22">
        <v>14.0</v>
      </c>
      <c r="BZ6" s="22">
        <v>14.0</v>
      </c>
      <c r="CA6" s="22"/>
    </row>
    <row r="7">
      <c r="A7" s="19" t="s">
        <v>596</v>
      </c>
      <c r="B7" s="19" t="s">
        <v>597</v>
      </c>
      <c r="C7" s="26" t="s">
        <v>600</v>
      </c>
      <c r="D7" s="67"/>
      <c r="E7" s="67"/>
      <c r="F7" s="67"/>
      <c r="G7" s="67"/>
      <c r="H7" s="67"/>
      <c r="I7" s="31"/>
      <c r="J7" s="31"/>
      <c r="K7" s="31"/>
      <c r="L7" s="37"/>
      <c r="M7" s="31"/>
      <c r="N7" s="31"/>
      <c r="O7" s="31"/>
      <c r="P7" s="37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>
        <v>3.0</v>
      </c>
      <c r="AD7" s="22">
        <v>4.0</v>
      </c>
      <c r="AE7" s="22">
        <v>4.0</v>
      </c>
      <c r="AF7" s="22"/>
      <c r="AG7" s="22">
        <v>4.0</v>
      </c>
      <c r="AI7" s="22">
        <v>10.0</v>
      </c>
      <c r="AJ7" s="22"/>
      <c r="AK7" s="22"/>
      <c r="AL7" s="22">
        <v>9.5</v>
      </c>
      <c r="AM7" s="22">
        <v>9.0</v>
      </c>
      <c r="AN7" s="22">
        <v>9.0</v>
      </c>
      <c r="AO7" s="22">
        <v>8.5</v>
      </c>
      <c r="AP7" s="22">
        <v>8.5</v>
      </c>
      <c r="AQ7" s="76">
        <v>45784.0</v>
      </c>
      <c r="AR7" s="22">
        <v>6.5</v>
      </c>
      <c r="AS7" s="22">
        <v>6.5</v>
      </c>
      <c r="AT7" s="22">
        <v>11.5</v>
      </c>
      <c r="AU7" s="22">
        <v>11.0</v>
      </c>
      <c r="AV7" s="22"/>
      <c r="AW7" s="22">
        <v>11.0</v>
      </c>
      <c r="AX7" s="22">
        <v>9.0</v>
      </c>
      <c r="AY7" s="22">
        <v>9.0</v>
      </c>
      <c r="AZ7" s="22">
        <v>3.0</v>
      </c>
      <c r="BA7" s="22">
        <v>11.0</v>
      </c>
      <c r="BC7" s="22">
        <v>10.0</v>
      </c>
      <c r="BD7" s="22"/>
      <c r="BE7" s="22">
        <v>10.0</v>
      </c>
      <c r="BF7" s="22">
        <v>10.0</v>
      </c>
      <c r="BG7" s="22">
        <v>10.0</v>
      </c>
      <c r="BH7" s="22">
        <v>10.0</v>
      </c>
      <c r="BI7" s="22">
        <v>2.0</v>
      </c>
      <c r="BJ7" s="22">
        <v>12.0</v>
      </c>
      <c r="BK7" s="22">
        <v>11.0</v>
      </c>
      <c r="BL7" s="22">
        <v>11.0</v>
      </c>
      <c r="BM7" s="22">
        <v>10.0</v>
      </c>
      <c r="BN7" s="22">
        <v>9.0</v>
      </c>
      <c r="BO7" s="22"/>
      <c r="BP7" s="22">
        <v>9.0</v>
      </c>
      <c r="BQ7" s="22">
        <v>9.0</v>
      </c>
      <c r="BR7" s="22">
        <v>9.0</v>
      </c>
      <c r="BS7" s="22"/>
      <c r="BT7" s="22">
        <v>9.0</v>
      </c>
      <c r="BU7" s="22"/>
      <c r="BV7" s="22">
        <v>8.0</v>
      </c>
      <c r="BW7" s="22">
        <v>7.0</v>
      </c>
      <c r="BX7" s="22">
        <v>5.0</v>
      </c>
      <c r="BY7" s="22">
        <v>11.0</v>
      </c>
      <c r="BZ7" s="22">
        <v>11.0</v>
      </c>
      <c r="CA7" s="22"/>
    </row>
    <row r="8">
      <c r="A8" s="19" t="s">
        <v>596</v>
      </c>
      <c r="B8" s="19" t="s">
        <v>597</v>
      </c>
      <c r="C8" s="26" t="s">
        <v>601</v>
      </c>
      <c r="D8" s="67"/>
      <c r="E8" s="67"/>
      <c r="F8" s="67"/>
      <c r="G8" s="67"/>
      <c r="H8" s="67"/>
      <c r="I8" s="31"/>
      <c r="J8" s="31"/>
      <c r="K8" s="31"/>
      <c r="L8" s="37"/>
      <c r="M8" s="31"/>
      <c r="N8" s="31"/>
      <c r="O8" s="31"/>
      <c r="P8" s="37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>
        <v>3.0</v>
      </c>
      <c r="AE8" s="22">
        <v>3.0</v>
      </c>
      <c r="AF8" s="22"/>
      <c r="AG8" s="22">
        <v>3.0</v>
      </c>
      <c r="AI8" s="22">
        <v>4.0</v>
      </c>
      <c r="AJ8" s="22"/>
      <c r="AK8" s="22"/>
      <c r="AL8" s="22">
        <v>4.0</v>
      </c>
      <c r="AM8" s="22">
        <v>4.0</v>
      </c>
      <c r="AN8" s="22">
        <v>4.0</v>
      </c>
      <c r="AO8" s="22">
        <v>4.0</v>
      </c>
      <c r="AP8" s="22">
        <v>4.0</v>
      </c>
      <c r="AQ8" s="22">
        <v>4.0</v>
      </c>
      <c r="AR8" s="22">
        <v>4.0</v>
      </c>
      <c r="AS8" s="22">
        <v>4.0</v>
      </c>
      <c r="AT8" s="22">
        <v>5.0</v>
      </c>
      <c r="AU8" s="22">
        <v>5.0</v>
      </c>
      <c r="AV8" s="22"/>
      <c r="AW8" s="22">
        <v>5.0</v>
      </c>
      <c r="AX8" s="22">
        <v>5.0</v>
      </c>
      <c r="AY8" s="22">
        <v>5.0</v>
      </c>
      <c r="AZ8" s="22"/>
      <c r="BA8" s="22">
        <v>5.0</v>
      </c>
      <c r="BC8" s="22">
        <v>5.0</v>
      </c>
      <c r="BD8" s="22"/>
      <c r="BE8" s="22">
        <v>5.0</v>
      </c>
      <c r="BF8" s="22">
        <v>5.0</v>
      </c>
      <c r="BG8" s="22">
        <v>5.0</v>
      </c>
      <c r="BH8" s="22">
        <v>5.0</v>
      </c>
      <c r="BI8" s="22"/>
      <c r="BJ8" s="22">
        <v>5.0</v>
      </c>
      <c r="BK8" s="22">
        <v>5.0</v>
      </c>
      <c r="BL8" s="22">
        <v>5.0</v>
      </c>
      <c r="BM8" s="22">
        <v>5.0</v>
      </c>
      <c r="BN8" s="22">
        <v>5.0</v>
      </c>
      <c r="BO8" s="22"/>
      <c r="BP8" s="22">
        <v>5.0</v>
      </c>
      <c r="BQ8" s="22">
        <v>5.0</v>
      </c>
      <c r="BR8" s="22">
        <v>5.0</v>
      </c>
      <c r="BS8" s="22"/>
      <c r="BT8" s="22">
        <v>5.0</v>
      </c>
      <c r="BU8" s="22"/>
      <c r="BV8" s="22">
        <v>5.0</v>
      </c>
      <c r="BW8" s="22">
        <v>5.0</v>
      </c>
      <c r="BX8" s="22">
        <v>2.0</v>
      </c>
      <c r="BY8" s="22">
        <v>7.0</v>
      </c>
      <c r="BZ8" s="22">
        <v>7.0</v>
      </c>
      <c r="CA8" s="22"/>
    </row>
    <row r="9">
      <c r="A9" s="19" t="s">
        <v>596</v>
      </c>
      <c r="B9" s="19" t="s">
        <v>597</v>
      </c>
      <c r="C9" s="26" t="s">
        <v>602</v>
      </c>
      <c r="D9" s="67"/>
      <c r="E9" s="67"/>
      <c r="F9" s="67"/>
      <c r="G9" s="67"/>
      <c r="H9" s="67"/>
      <c r="I9" s="31"/>
      <c r="J9" s="31"/>
      <c r="K9" s="31"/>
      <c r="L9" s="37"/>
      <c r="M9" s="31"/>
      <c r="N9" s="31"/>
      <c r="O9" s="31"/>
      <c r="P9" s="37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>
        <v>1.0</v>
      </c>
      <c r="AD9" s="22">
        <v>1.0</v>
      </c>
      <c r="AE9" s="22">
        <v>1.0</v>
      </c>
      <c r="AF9" s="22"/>
      <c r="AG9" s="22">
        <v>1.0</v>
      </c>
      <c r="AI9" s="22">
        <v>2.0</v>
      </c>
      <c r="AJ9" s="22"/>
      <c r="AK9" s="22"/>
      <c r="AL9" s="22">
        <v>2.0</v>
      </c>
      <c r="AM9" s="22">
        <v>2.0</v>
      </c>
      <c r="AN9" s="22">
        <v>2.0</v>
      </c>
      <c r="AO9" s="22">
        <v>2.0</v>
      </c>
      <c r="AP9" s="22">
        <v>2.0</v>
      </c>
      <c r="AQ9" s="22">
        <v>3.0</v>
      </c>
      <c r="AR9" s="22">
        <v>3.0</v>
      </c>
      <c r="AS9" s="22">
        <v>3.0</v>
      </c>
      <c r="AT9" s="22"/>
      <c r="AU9" s="22">
        <v>3.0</v>
      </c>
      <c r="AV9" s="22"/>
      <c r="AW9" s="22">
        <v>3.0</v>
      </c>
      <c r="AX9" s="22">
        <v>3.0</v>
      </c>
      <c r="AY9" s="22">
        <v>3.0</v>
      </c>
      <c r="AZ9" s="22">
        <v>1.0</v>
      </c>
      <c r="BA9" s="22">
        <v>4.0</v>
      </c>
      <c r="BC9" s="22">
        <v>4.0</v>
      </c>
      <c r="BD9" s="22">
        <v>1.0</v>
      </c>
      <c r="BE9" s="22">
        <v>5.0</v>
      </c>
      <c r="BF9" s="22">
        <v>5.0</v>
      </c>
      <c r="BG9" s="22">
        <v>5.0</v>
      </c>
      <c r="BH9" s="22">
        <v>3.0</v>
      </c>
      <c r="BI9" s="22">
        <v>1.0</v>
      </c>
      <c r="BJ9" s="22">
        <v>4.0</v>
      </c>
      <c r="BK9" s="22">
        <v>3.0</v>
      </c>
      <c r="BL9" s="22">
        <v>3.0</v>
      </c>
      <c r="BM9" s="22">
        <v>3.0</v>
      </c>
      <c r="BN9" s="22">
        <v>3.0</v>
      </c>
      <c r="BO9" s="22">
        <v>1.0</v>
      </c>
      <c r="BP9" s="22">
        <v>4.0</v>
      </c>
      <c r="BQ9" s="22">
        <v>4.0</v>
      </c>
      <c r="BR9" s="22">
        <v>4.0</v>
      </c>
      <c r="BS9" s="22"/>
      <c r="BT9" s="22">
        <v>4.0</v>
      </c>
      <c r="BU9" s="22"/>
      <c r="BV9" s="22">
        <v>3.0</v>
      </c>
      <c r="BW9" s="22">
        <v>3.0</v>
      </c>
      <c r="BX9" s="22"/>
      <c r="BY9" s="22">
        <v>2.0</v>
      </c>
      <c r="BZ9" s="22">
        <v>2.0</v>
      </c>
      <c r="CA9" s="22"/>
    </row>
    <row r="10">
      <c r="A10" s="19" t="s">
        <v>596</v>
      </c>
      <c r="B10" s="19" t="s">
        <v>597</v>
      </c>
      <c r="C10" s="26" t="s">
        <v>603</v>
      </c>
      <c r="D10" s="67"/>
      <c r="E10" s="67"/>
      <c r="F10" s="67"/>
      <c r="G10" s="67"/>
      <c r="H10" s="67"/>
      <c r="I10" s="31"/>
      <c r="J10" s="31"/>
      <c r="K10" s="31"/>
      <c r="L10" s="37"/>
      <c r="M10" s="31"/>
      <c r="N10" s="31"/>
      <c r="O10" s="31"/>
      <c r="P10" s="37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>
        <v>1.0</v>
      </c>
      <c r="AD10" s="22">
        <v>1.0</v>
      </c>
      <c r="AE10" s="22">
        <v>0.0</v>
      </c>
      <c r="AF10" s="22"/>
      <c r="AG10" s="22">
        <v>0.0</v>
      </c>
      <c r="AI10" s="22">
        <v>2.0</v>
      </c>
      <c r="AJ10" s="22"/>
      <c r="AK10" s="22"/>
      <c r="AL10" s="22">
        <v>2.0</v>
      </c>
      <c r="AM10" s="22">
        <v>2.0</v>
      </c>
      <c r="AN10" s="22">
        <v>2.0</v>
      </c>
      <c r="AO10" s="22">
        <v>2.0</v>
      </c>
      <c r="AP10" s="22">
        <v>2.0</v>
      </c>
      <c r="AQ10" s="22">
        <v>2.0</v>
      </c>
      <c r="AR10" s="22">
        <v>2.0</v>
      </c>
      <c r="AS10" s="22">
        <v>2.0</v>
      </c>
      <c r="AT10" s="22"/>
      <c r="AU10" s="22">
        <v>2.0</v>
      </c>
      <c r="AV10" s="22"/>
      <c r="AW10" s="22">
        <v>2.0</v>
      </c>
      <c r="AX10" s="22">
        <v>2.0</v>
      </c>
      <c r="AY10" s="22">
        <v>2.0</v>
      </c>
      <c r="AZ10" s="22">
        <v>1.0</v>
      </c>
      <c r="BA10" s="22">
        <v>3.0</v>
      </c>
      <c r="BC10" s="22">
        <v>3.0</v>
      </c>
      <c r="BD10" s="22">
        <v>1.0</v>
      </c>
      <c r="BE10" s="22">
        <v>3.0</v>
      </c>
      <c r="BF10" s="22">
        <v>3.0</v>
      </c>
      <c r="BG10" s="22">
        <v>3.0</v>
      </c>
      <c r="BH10" s="22">
        <v>3.0</v>
      </c>
      <c r="BI10" s="22">
        <v>1.0</v>
      </c>
      <c r="BJ10" s="22">
        <v>4.0</v>
      </c>
      <c r="BK10" s="22">
        <v>3.0</v>
      </c>
      <c r="BL10" s="22">
        <v>3.0</v>
      </c>
      <c r="BM10" s="22">
        <v>4.0</v>
      </c>
      <c r="BN10" s="22">
        <v>4.0</v>
      </c>
      <c r="BO10" s="22">
        <v>1.0</v>
      </c>
      <c r="BP10" s="22">
        <v>5.0</v>
      </c>
      <c r="BQ10" s="22">
        <v>4.0</v>
      </c>
      <c r="BR10" s="22">
        <v>4.0</v>
      </c>
      <c r="BS10" s="22"/>
      <c r="BT10" s="22">
        <v>4.0</v>
      </c>
      <c r="BU10" s="22"/>
      <c r="BV10" s="22">
        <v>4.0</v>
      </c>
      <c r="BW10" s="22">
        <v>4.0</v>
      </c>
      <c r="BX10" s="22"/>
      <c r="BY10" s="22">
        <v>4.0</v>
      </c>
      <c r="BZ10" s="22">
        <v>4.0</v>
      </c>
      <c r="CA10" s="22"/>
    </row>
    <row r="11">
      <c r="A11" s="19" t="s">
        <v>596</v>
      </c>
      <c r="B11" s="19" t="s">
        <v>597</v>
      </c>
      <c r="C11" s="26" t="s">
        <v>604</v>
      </c>
      <c r="D11" s="67"/>
      <c r="E11" s="67"/>
      <c r="F11" s="67"/>
      <c r="G11" s="67"/>
      <c r="H11" s="67"/>
      <c r="I11" s="31"/>
      <c r="J11" s="31"/>
      <c r="K11" s="31"/>
      <c r="L11" s="37"/>
      <c r="M11" s="31"/>
      <c r="N11" s="31"/>
      <c r="O11" s="31"/>
      <c r="P11" s="37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>
        <v>1.0</v>
      </c>
      <c r="AD11" s="22">
        <v>1.0</v>
      </c>
      <c r="AE11" s="22">
        <v>0.0</v>
      </c>
      <c r="AF11" s="22"/>
      <c r="AG11" s="22">
        <v>1.0</v>
      </c>
      <c r="AI11" s="22">
        <v>7.0</v>
      </c>
      <c r="AJ11" s="22"/>
      <c r="AK11" s="22"/>
      <c r="AL11" s="22">
        <v>7.0</v>
      </c>
      <c r="AM11" s="22">
        <v>6.0</v>
      </c>
      <c r="AN11" s="22">
        <v>6.0</v>
      </c>
      <c r="AO11" s="22">
        <v>6.0</v>
      </c>
      <c r="AP11" s="22">
        <v>6.0</v>
      </c>
      <c r="AQ11" s="22">
        <v>6.0</v>
      </c>
      <c r="AR11" s="22">
        <v>6.0</v>
      </c>
      <c r="AS11" s="22">
        <v>6.0</v>
      </c>
      <c r="AT11" s="22">
        <v>7.0</v>
      </c>
      <c r="AU11" s="22">
        <v>7.0</v>
      </c>
      <c r="AV11" s="22"/>
      <c r="AW11" s="22">
        <v>7.0</v>
      </c>
      <c r="AX11" s="22">
        <v>7.0</v>
      </c>
      <c r="AY11" s="22">
        <v>7.0</v>
      </c>
      <c r="AZ11" s="22">
        <v>1.0</v>
      </c>
      <c r="BA11" s="22">
        <v>8.0</v>
      </c>
      <c r="BB11" s="22"/>
      <c r="BC11" s="22">
        <v>8.0</v>
      </c>
      <c r="BD11" s="22">
        <v>1.0</v>
      </c>
      <c r="BE11" s="22">
        <v>9.0</v>
      </c>
      <c r="BF11" s="22">
        <v>9.0</v>
      </c>
      <c r="BG11" s="22">
        <v>9.0</v>
      </c>
      <c r="BH11" s="22">
        <v>9.0</v>
      </c>
      <c r="BI11" s="22">
        <v>1.0</v>
      </c>
      <c r="BJ11" s="22">
        <v>10.0</v>
      </c>
      <c r="BK11" s="22">
        <v>9.0</v>
      </c>
      <c r="BL11" s="22">
        <v>9.0</v>
      </c>
      <c r="BM11" s="22">
        <v>10.0</v>
      </c>
      <c r="BN11" s="22">
        <v>10.0</v>
      </c>
      <c r="BO11" s="22">
        <v>1.0</v>
      </c>
      <c r="BP11" s="22">
        <v>11.0</v>
      </c>
      <c r="BQ11" s="22">
        <v>11.0</v>
      </c>
      <c r="BR11" s="22">
        <v>10.0</v>
      </c>
      <c r="BS11" s="22"/>
      <c r="BT11" s="22">
        <v>10.0</v>
      </c>
      <c r="BU11" s="22"/>
      <c r="BV11" s="22">
        <v>9.0</v>
      </c>
      <c r="BW11" s="22">
        <v>8.0</v>
      </c>
      <c r="BX11" s="22">
        <v>1.0</v>
      </c>
      <c r="BY11" s="22">
        <v>7.0</v>
      </c>
      <c r="BZ11" s="22">
        <v>7.0</v>
      </c>
      <c r="CA11" s="22"/>
    </row>
    <row r="12">
      <c r="A12" s="26" t="s">
        <v>596</v>
      </c>
      <c r="B12" s="19" t="s">
        <v>7</v>
      </c>
      <c r="C12" s="26" t="s">
        <v>8</v>
      </c>
      <c r="D12" s="67">
        <v>4.0</v>
      </c>
      <c r="E12" s="67">
        <v>3.0</v>
      </c>
      <c r="F12" s="67">
        <v>2.0</v>
      </c>
      <c r="G12" s="67">
        <v>0.0</v>
      </c>
      <c r="H12" s="67">
        <v>0.0</v>
      </c>
      <c r="I12" s="31">
        <v>4.0</v>
      </c>
      <c r="J12" s="31">
        <v>2.0</v>
      </c>
      <c r="K12" s="31">
        <v>1.0</v>
      </c>
      <c r="L12" s="37">
        <v>7.0</v>
      </c>
      <c r="M12" s="31">
        <v>4.0</v>
      </c>
      <c r="N12" s="31">
        <v>2.0</v>
      </c>
      <c r="O12" s="31">
        <v>3.0</v>
      </c>
      <c r="P12" s="37">
        <v>1.0</v>
      </c>
      <c r="Q12" s="22">
        <v>5.0</v>
      </c>
      <c r="R12" s="22">
        <v>5.0</v>
      </c>
      <c r="S12" s="22">
        <v>5.0</v>
      </c>
      <c r="T12" s="22">
        <v>4.0</v>
      </c>
      <c r="U12" s="22">
        <v>2.0</v>
      </c>
      <c r="V12" s="22">
        <v>0.0</v>
      </c>
      <c r="W12" s="22">
        <v>0.0</v>
      </c>
      <c r="X12" s="22">
        <v>0.0</v>
      </c>
      <c r="Y12" s="22">
        <v>3.0</v>
      </c>
      <c r="Z12" s="22">
        <v>3.0</v>
      </c>
      <c r="AA12" s="22">
        <v>6.0</v>
      </c>
      <c r="AB12" s="22">
        <v>6.0</v>
      </c>
      <c r="AC12" s="22"/>
      <c r="AD12" s="22">
        <v>0.0</v>
      </c>
      <c r="AE12" s="22">
        <v>0.0</v>
      </c>
      <c r="AF12" s="22">
        <v>3.0</v>
      </c>
      <c r="AG12" s="22">
        <v>2.0</v>
      </c>
      <c r="AI12" s="22">
        <v>2.0</v>
      </c>
      <c r="AJ12" s="22"/>
      <c r="AK12" s="22">
        <v>8.0</v>
      </c>
      <c r="AL12" s="22">
        <v>14.0</v>
      </c>
      <c r="AM12" s="22">
        <v>14.0</v>
      </c>
      <c r="AN12" s="22">
        <v>12.0</v>
      </c>
      <c r="AO12" s="22">
        <v>8.0</v>
      </c>
      <c r="AP12" s="22">
        <v>6.0</v>
      </c>
      <c r="AQ12" s="22">
        <v>20.0</v>
      </c>
      <c r="AR12" s="22">
        <v>16.0</v>
      </c>
      <c r="AS12" s="22">
        <v>12.0</v>
      </c>
      <c r="AT12" s="22"/>
      <c r="AU12" s="22">
        <v>10.0</v>
      </c>
      <c r="AV12" s="22"/>
      <c r="AW12" s="22">
        <v>8.0</v>
      </c>
      <c r="AX12" s="22">
        <v>8.0</v>
      </c>
      <c r="AY12" s="22">
        <v>4.0</v>
      </c>
      <c r="AZ12" s="22"/>
      <c r="BA12" s="22">
        <v>2.0</v>
      </c>
      <c r="BB12" s="22">
        <v>2.0</v>
      </c>
      <c r="BC12" s="22">
        <v>1.0</v>
      </c>
      <c r="BD12" s="22">
        <v>1.0</v>
      </c>
      <c r="BE12" s="22">
        <v>1.0</v>
      </c>
      <c r="BF12" s="22">
        <v>1.0</v>
      </c>
      <c r="BG12" s="22">
        <v>1.0</v>
      </c>
      <c r="BH12" s="22">
        <v>0.0</v>
      </c>
      <c r="BI12" s="22">
        <v>20.0</v>
      </c>
      <c r="BJ12" s="22">
        <v>20.0</v>
      </c>
      <c r="BK12" s="22">
        <v>12.0</v>
      </c>
      <c r="BL12" s="22">
        <v>12.0</v>
      </c>
      <c r="BM12" s="22">
        <v>22.0</v>
      </c>
      <c r="BN12" s="22">
        <v>20.0</v>
      </c>
      <c r="BO12" s="22"/>
      <c r="BP12" s="22">
        <v>16.0</v>
      </c>
      <c r="BQ12" s="22">
        <v>16.0</v>
      </c>
      <c r="BR12" s="22">
        <v>12.0</v>
      </c>
      <c r="BS12" s="22"/>
      <c r="BT12" s="22">
        <v>12.0</v>
      </c>
      <c r="BU12" s="22"/>
      <c r="BV12" s="22">
        <v>6.0</v>
      </c>
      <c r="BW12" s="22">
        <v>6.0</v>
      </c>
      <c r="BX12" s="22"/>
      <c r="BY12" s="22">
        <v>0.0</v>
      </c>
      <c r="BZ12" s="22">
        <v>0.0</v>
      </c>
      <c r="CA12" s="22"/>
    </row>
    <row r="13">
      <c r="A13" s="26" t="s">
        <v>596</v>
      </c>
      <c r="B13" s="19" t="s">
        <v>7</v>
      </c>
      <c r="C13" s="26" t="s">
        <v>9</v>
      </c>
      <c r="D13" s="67">
        <v>5.0</v>
      </c>
      <c r="E13" s="67">
        <v>4.0</v>
      </c>
      <c r="F13" s="67">
        <v>3.0</v>
      </c>
      <c r="G13" s="67">
        <v>2.0</v>
      </c>
      <c r="H13" s="67">
        <v>1.0</v>
      </c>
      <c r="I13" s="31">
        <v>4.0</v>
      </c>
      <c r="J13" s="31">
        <v>3.0</v>
      </c>
      <c r="K13" s="31">
        <v>3.0</v>
      </c>
      <c r="L13" s="37">
        <v>9.0</v>
      </c>
      <c r="M13" s="31">
        <v>8.0</v>
      </c>
      <c r="N13" s="31">
        <v>6.0</v>
      </c>
      <c r="O13" s="31">
        <v>4.0</v>
      </c>
      <c r="P13" s="37">
        <v>3.0</v>
      </c>
      <c r="Q13" s="22">
        <v>8.0</v>
      </c>
      <c r="R13" s="22">
        <v>7.0</v>
      </c>
      <c r="S13" s="22">
        <v>6.0</v>
      </c>
      <c r="T13" s="22">
        <v>5.0</v>
      </c>
      <c r="U13" s="22">
        <v>3.0</v>
      </c>
      <c r="V13" s="22">
        <v>3.0</v>
      </c>
      <c r="W13" s="22">
        <v>1.0</v>
      </c>
      <c r="X13" s="22">
        <v>0.0</v>
      </c>
      <c r="Y13" s="22">
        <v>3.0</v>
      </c>
      <c r="Z13" s="22">
        <v>1.0</v>
      </c>
      <c r="AA13" s="22">
        <v>6.0</v>
      </c>
      <c r="AB13" s="22">
        <v>20.0</v>
      </c>
      <c r="AC13" s="22"/>
      <c r="AD13" s="22">
        <v>20.0</v>
      </c>
      <c r="AE13" s="22">
        <v>20.0</v>
      </c>
      <c r="AF13" s="22"/>
      <c r="AG13" s="22">
        <v>5.0</v>
      </c>
      <c r="AI13" s="22">
        <v>5.0</v>
      </c>
      <c r="AJ13" s="22"/>
      <c r="AK13" s="22">
        <v>2.0</v>
      </c>
      <c r="AL13" s="22">
        <v>28.0</v>
      </c>
      <c r="AM13" s="22">
        <v>28.0</v>
      </c>
      <c r="AN13" s="22">
        <v>28.0</v>
      </c>
      <c r="AO13" s="22">
        <v>20.0</v>
      </c>
      <c r="AP13" s="22">
        <v>20.0</v>
      </c>
      <c r="AQ13" s="22">
        <v>32.0</v>
      </c>
      <c r="AR13" s="22">
        <v>28.0</v>
      </c>
      <c r="AS13" s="22">
        <v>24.0</v>
      </c>
      <c r="AT13" s="22"/>
      <c r="AU13" s="22">
        <v>24.0</v>
      </c>
      <c r="AV13" s="22"/>
      <c r="AW13" s="22">
        <v>24.0</v>
      </c>
      <c r="AX13" s="22">
        <v>20.0</v>
      </c>
      <c r="AY13" s="22">
        <v>20.0</v>
      </c>
      <c r="AZ13" s="22"/>
      <c r="BA13" s="22">
        <v>16.0</v>
      </c>
      <c r="BB13" s="22"/>
      <c r="BC13" s="22">
        <v>16.0</v>
      </c>
      <c r="BD13" s="22"/>
      <c r="BE13" s="22">
        <v>12.0</v>
      </c>
      <c r="BF13" s="22">
        <v>12.0</v>
      </c>
      <c r="BG13" s="22">
        <v>12.0</v>
      </c>
      <c r="BH13" s="22">
        <v>12.0</v>
      </c>
      <c r="BI13" s="22"/>
      <c r="BJ13" s="22">
        <v>8.0</v>
      </c>
      <c r="BK13" s="22">
        <v>8.0</v>
      </c>
      <c r="BL13" s="22">
        <v>4.0</v>
      </c>
      <c r="BM13" s="22">
        <v>28.0</v>
      </c>
      <c r="BN13" s="22">
        <v>28.0</v>
      </c>
      <c r="BO13" s="22"/>
      <c r="BP13" s="22">
        <v>28.0</v>
      </c>
      <c r="BQ13" s="22">
        <v>24.0</v>
      </c>
      <c r="BR13" s="22">
        <v>20.0</v>
      </c>
      <c r="BS13" s="22">
        <v>4.0</v>
      </c>
      <c r="BT13" s="22">
        <v>16.0</v>
      </c>
      <c r="BU13" s="22"/>
      <c r="BV13" s="22">
        <v>12.0</v>
      </c>
      <c r="BW13" s="22">
        <v>12.0</v>
      </c>
      <c r="BX13" s="22"/>
      <c r="BY13" s="22">
        <v>12.0</v>
      </c>
      <c r="BZ13" s="22">
        <v>8.0</v>
      </c>
      <c r="CA13" s="22"/>
    </row>
    <row r="14">
      <c r="A14" s="26" t="s">
        <v>596</v>
      </c>
      <c r="B14" s="19" t="s">
        <v>7</v>
      </c>
      <c r="C14" s="26" t="s">
        <v>10</v>
      </c>
      <c r="D14" s="67">
        <v>0.0</v>
      </c>
      <c r="E14" s="67">
        <v>0.0</v>
      </c>
      <c r="F14" s="67">
        <v>0.0</v>
      </c>
      <c r="G14" s="67">
        <v>0.0</v>
      </c>
      <c r="H14" s="67">
        <v>0.0</v>
      </c>
      <c r="I14" s="31">
        <v>0.0</v>
      </c>
      <c r="J14" s="31">
        <v>0.0</v>
      </c>
      <c r="K14" s="31">
        <v>0.0</v>
      </c>
      <c r="L14" s="37">
        <v>2.0</v>
      </c>
      <c r="M14" s="31">
        <v>2.0</v>
      </c>
      <c r="N14" s="31">
        <v>1.0</v>
      </c>
      <c r="O14" s="31">
        <v>1.0</v>
      </c>
      <c r="P14" s="37">
        <v>1.0</v>
      </c>
      <c r="Q14" s="22">
        <v>1.0</v>
      </c>
      <c r="R14" s="22">
        <v>2.0</v>
      </c>
      <c r="S14" s="22">
        <v>2.0</v>
      </c>
      <c r="T14" s="22">
        <v>2.0</v>
      </c>
      <c r="U14" s="22">
        <v>2.0</v>
      </c>
      <c r="V14" s="22">
        <v>2.0</v>
      </c>
      <c r="W14" s="22">
        <v>1.0</v>
      </c>
      <c r="X14" s="22">
        <v>1.0</v>
      </c>
      <c r="Y14" s="22">
        <v>0.0</v>
      </c>
      <c r="Z14" s="22">
        <v>0.0</v>
      </c>
      <c r="AA14" s="22">
        <v>0.0</v>
      </c>
      <c r="AB14" s="22">
        <v>0.0</v>
      </c>
      <c r="AC14" s="22"/>
      <c r="AD14" s="22">
        <v>0.0</v>
      </c>
      <c r="AE14" s="22">
        <v>0.0</v>
      </c>
      <c r="AF14" s="22"/>
      <c r="AG14" s="22">
        <v>0.0</v>
      </c>
      <c r="AI14" s="22">
        <v>0.0</v>
      </c>
      <c r="AJ14" s="22"/>
      <c r="AK14" s="22"/>
      <c r="AL14" s="22">
        <v>0.0</v>
      </c>
      <c r="AM14" s="22">
        <v>0.0</v>
      </c>
      <c r="AN14" s="22">
        <v>0.0</v>
      </c>
      <c r="AO14" s="22">
        <v>0.0</v>
      </c>
      <c r="AP14" s="22">
        <v>0.0</v>
      </c>
      <c r="AQ14" s="22">
        <v>0.0</v>
      </c>
      <c r="AR14" s="22">
        <v>0.0</v>
      </c>
      <c r="AS14" s="22">
        <v>0.0</v>
      </c>
      <c r="AT14" s="22"/>
      <c r="AU14" s="22">
        <v>0.0</v>
      </c>
      <c r="AV14" s="22"/>
      <c r="AW14" s="22">
        <v>0.0</v>
      </c>
      <c r="AX14" s="22">
        <v>0.0</v>
      </c>
      <c r="AY14" s="22">
        <v>0.0</v>
      </c>
      <c r="AZ14" s="22"/>
      <c r="BA14" s="22">
        <v>0.0</v>
      </c>
      <c r="BB14" s="22"/>
      <c r="BC14" s="22">
        <v>0.0</v>
      </c>
      <c r="BD14" s="22"/>
      <c r="BE14" s="22">
        <v>0.0</v>
      </c>
      <c r="BF14" s="22">
        <v>0.0</v>
      </c>
      <c r="BG14" s="22">
        <v>0.0</v>
      </c>
      <c r="BH14" s="22">
        <v>0.0</v>
      </c>
      <c r="BI14" s="22"/>
      <c r="BJ14" s="22">
        <v>0.0</v>
      </c>
      <c r="BK14" s="22">
        <v>0.0</v>
      </c>
      <c r="BL14" s="22">
        <v>0.0</v>
      </c>
      <c r="BM14" s="22">
        <v>0.0</v>
      </c>
      <c r="BN14" s="22">
        <v>0.0</v>
      </c>
      <c r="BO14" s="22"/>
      <c r="BP14" s="22">
        <v>0.0</v>
      </c>
      <c r="BQ14" s="22">
        <v>0.0</v>
      </c>
      <c r="BR14" s="22">
        <v>0.0</v>
      </c>
      <c r="BS14" s="22"/>
      <c r="BT14" s="22">
        <v>0.0</v>
      </c>
      <c r="BU14" s="22"/>
      <c r="BV14" s="22">
        <v>4.0</v>
      </c>
      <c r="BW14" s="22">
        <v>4.0</v>
      </c>
      <c r="BX14" s="22"/>
      <c r="BY14" s="22">
        <v>4.0</v>
      </c>
      <c r="BZ14" s="22">
        <v>4.0</v>
      </c>
      <c r="CA14" s="22"/>
    </row>
    <row r="15">
      <c r="A15" s="22" t="s">
        <v>596</v>
      </c>
      <c r="B15" s="19" t="s">
        <v>7</v>
      </c>
      <c r="C15" s="26" t="s">
        <v>15</v>
      </c>
      <c r="D15" s="22" t="s">
        <v>605</v>
      </c>
      <c r="E15" s="22" t="s">
        <v>606</v>
      </c>
      <c r="F15" s="22">
        <v>2.0</v>
      </c>
      <c r="G15" s="22">
        <v>2.0</v>
      </c>
      <c r="H15" s="22">
        <v>1.0</v>
      </c>
      <c r="I15" s="31">
        <v>1.5</v>
      </c>
      <c r="J15" s="31">
        <v>1.0</v>
      </c>
      <c r="K15" s="31" t="s">
        <v>607</v>
      </c>
      <c r="L15" s="37">
        <v>30.0</v>
      </c>
      <c r="M15" s="31">
        <v>24.0</v>
      </c>
      <c r="N15" s="31">
        <v>20.0</v>
      </c>
      <c r="O15" s="31">
        <v>15.0</v>
      </c>
      <c r="P15" s="37">
        <v>12.0</v>
      </c>
      <c r="Q15" s="22">
        <v>17.0</v>
      </c>
      <c r="R15" s="22">
        <v>24.0</v>
      </c>
      <c r="S15" s="22">
        <v>24.0</v>
      </c>
      <c r="T15" s="22">
        <v>20.0</v>
      </c>
      <c r="U15" s="22">
        <v>15.0</v>
      </c>
      <c r="V15" s="22">
        <v>13.0</v>
      </c>
      <c r="W15" s="22">
        <v>10.0</v>
      </c>
      <c r="X15" s="22">
        <v>5.0</v>
      </c>
      <c r="Y15" s="22">
        <v>10.0</v>
      </c>
      <c r="Z15" s="22">
        <v>16.0</v>
      </c>
      <c r="AA15" s="22">
        <v>12.0</v>
      </c>
      <c r="AB15" s="22">
        <v>8.0</v>
      </c>
      <c r="AC15" s="22"/>
      <c r="AD15" s="22">
        <v>6.0</v>
      </c>
      <c r="AE15" s="22">
        <v>4.0</v>
      </c>
      <c r="AF15" s="22"/>
      <c r="AG15" s="22">
        <v>1.0</v>
      </c>
      <c r="AI15" s="22">
        <v>0.0</v>
      </c>
      <c r="AJ15" s="22"/>
      <c r="AK15" s="22">
        <v>12.0</v>
      </c>
      <c r="AL15" s="22">
        <v>11.0</v>
      </c>
      <c r="AM15" s="22">
        <v>10.0</v>
      </c>
      <c r="AN15" s="22">
        <v>7.0</v>
      </c>
      <c r="AO15" s="22">
        <v>4.0</v>
      </c>
      <c r="AP15" s="22">
        <v>3.0</v>
      </c>
      <c r="AQ15" s="22">
        <v>13.0</v>
      </c>
      <c r="AR15" s="22">
        <v>12.0</v>
      </c>
      <c r="AS15" s="22">
        <v>11.0</v>
      </c>
      <c r="AT15" s="22"/>
      <c r="AU15" s="22">
        <v>10.0</v>
      </c>
      <c r="AV15" s="22"/>
      <c r="AW15" s="22">
        <v>6.0</v>
      </c>
      <c r="AX15" s="22">
        <v>4.0</v>
      </c>
      <c r="AY15" s="22">
        <v>2.0</v>
      </c>
      <c r="AZ15" s="22"/>
      <c r="BA15" s="22">
        <v>0.0</v>
      </c>
      <c r="BB15" s="22"/>
      <c r="BC15" s="22">
        <v>0.0</v>
      </c>
      <c r="BD15" s="22">
        <v>2.0</v>
      </c>
      <c r="BE15" s="22">
        <v>1.0</v>
      </c>
      <c r="BF15" s="22">
        <v>2.0</v>
      </c>
      <c r="BG15" s="22">
        <v>1.0</v>
      </c>
      <c r="BH15" s="22">
        <v>0.0</v>
      </c>
      <c r="BI15" s="22">
        <v>12.0</v>
      </c>
      <c r="BJ15" s="22">
        <v>11.0</v>
      </c>
      <c r="BK15" s="22">
        <v>9.0</v>
      </c>
      <c r="BL15" s="22">
        <v>8.0</v>
      </c>
      <c r="BM15" s="22">
        <v>5.0</v>
      </c>
      <c r="BN15" s="22">
        <v>4.0</v>
      </c>
      <c r="BO15" s="22"/>
      <c r="BP15" s="22">
        <v>2.0</v>
      </c>
      <c r="BQ15" s="22">
        <v>1.0</v>
      </c>
      <c r="BR15" s="22">
        <v>0.0</v>
      </c>
      <c r="BS15" s="22"/>
      <c r="BT15" s="22">
        <v>0.0</v>
      </c>
      <c r="BU15" s="22"/>
      <c r="BV15" s="22">
        <v>24.0</v>
      </c>
      <c r="BW15" s="22">
        <v>23.0</v>
      </c>
      <c r="BX15" s="22"/>
      <c r="BY15" s="22">
        <v>20.0</v>
      </c>
      <c r="BZ15" s="22">
        <v>18.0</v>
      </c>
      <c r="CA15" s="22"/>
    </row>
    <row r="16">
      <c r="A16" s="22" t="s">
        <v>596</v>
      </c>
      <c r="B16" s="19" t="s">
        <v>7</v>
      </c>
      <c r="C16" s="26" t="s">
        <v>19</v>
      </c>
      <c r="D16" s="22" t="s">
        <v>151</v>
      </c>
      <c r="E16" s="22">
        <v>0.0</v>
      </c>
      <c r="F16" s="22">
        <v>2.0</v>
      </c>
      <c r="G16" s="22">
        <v>0.0</v>
      </c>
      <c r="H16" s="22">
        <v>0.0</v>
      </c>
      <c r="I16" s="31">
        <v>11.0</v>
      </c>
      <c r="J16" s="31">
        <v>9.0</v>
      </c>
      <c r="K16" s="31">
        <v>7.0</v>
      </c>
      <c r="L16" s="37">
        <v>2.0</v>
      </c>
      <c r="M16" s="31">
        <v>0.0</v>
      </c>
      <c r="N16" s="31">
        <v>0.0</v>
      </c>
      <c r="O16" s="31">
        <v>6.0</v>
      </c>
      <c r="P16" s="37">
        <v>4.0</v>
      </c>
      <c r="Q16" s="22">
        <v>15.0</v>
      </c>
      <c r="R16" s="22">
        <v>8.0</v>
      </c>
      <c r="S16" s="22">
        <v>6.0</v>
      </c>
      <c r="T16" s="22">
        <v>2.0</v>
      </c>
      <c r="U16" s="22">
        <v>0.0</v>
      </c>
      <c r="V16" s="22">
        <v>0.0</v>
      </c>
      <c r="W16" s="22">
        <v>0.0</v>
      </c>
      <c r="X16" s="22">
        <v>0.0</v>
      </c>
      <c r="Y16" s="22">
        <v>10.0</v>
      </c>
      <c r="Z16" s="22">
        <v>9.0</v>
      </c>
      <c r="AA16" s="22">
        <v>8.0</v>
      </c>
      <c r="AB16" s="22">
        <v>4.0</v>
      </c>
      <c r="AC16" s="22"/>
      <c r="AD16" s="22">
        <v>1.0</v>
      </c>
      <c r="AE16" s="22">
        <v>0.0</v>
      </c>
      <c r="AF16" s="22"/>
      <c r="AG16" s="22">
        <v>0.0</v>
      </c>
      <c r="AI16" s="22">
        <v>0.0</v>
      </c>
      <c r="AJ16" s="22"/>
      <c r="AK16" s="22">
        <v>20.0</v>
      </c>
      <c r="AL16" s="22">
        <v>20.0</v>
      </c>
      <c r="AM16" s="22">
        <v>19.0</v>
      </c>
      <c r="AN16" s="22">
        <v>17.0</v>
      </c>
      <c r="AO16" s="22">
        <v>16.0</v>
      </c>
      <c r="AP16" s="22">
        <v>15.0</v>
      </c>
      <c r="AQ16" s="22">
        <v>29.0</v>
      </c>
      <c r="AR16" s="22">
        <v>27.0</v>
      </c>
      <c r="AS16" s="22">
        <v>23.0</v>
      </c>
      <c r="AT16" s="22"/>
      <c r="AU16" s="22">
        <v>23.0</v>
      </c>
      <c r="AV16" s="22"/>
      <c r="AW16" s="22">
        <v>21.0</v>
      </c>
      <c r="AX16" s="22">
        <v>21.0</v>
      </c>
      <c r="AY16" s="22">
        <v>20.0</v>
      </c>
      <c r="AZ16" s="22"/>
      <c r="BA16" s="22">
        <v>20.0</v>
      </c>
      <c r="BB16" s="22"/>
      <c r="BC16" s="22">
        <v>20.0</v>
      </c>
      <c r="BD16" s="22"/>
      <c r="BE16" s="22">
        <v>18.0</v>
      </c>
      <c r="BF16" s="22">
        <v>18.0</v>
      </c>
      <c r="BG16" s="22">
        <v>17.0</v>
      </c>
      <c r="BH16" s="22">
        <v>15.0</v>
      </c>
      <c r="BI16" s="22"/>
      <c r="BJ16" s="22">
        <v>14.0</v>
      </c>
      <c r="BK16" s="22">
        <v>13.0</v>
      </c>
      <c r="BL16" s="22">
        <v>12.0</v>
      </c>
      <c r="BM16" s="22">
        <v>31.0</v>
      </c>
      <c r="BN16" s="22">
        <v>30.0</v>
      </c>
      <c r="BO16" s="22"/>
      <c r="BP16" s="22">
        <v>27.0</v>
      </c>
      <c r="BQ16" s="22">
        <v>26.0</v>
      </c>
      <c r="BR16" s="22">
        <v>25.0</v>
      </c>
      <c r="BS16" s="22"/>
      <c r="BT16" s="22">
        <v>25.0</v>
      </c>
      <c r="BU16" s="22"/>
      <c r="BV16" s="22">
        <v>24.0</v>
      </c>
      <c r="BW16" s="22">
        <v>23.0</v>
      </c>
      <c r="BX16" s="22"/>
      <c r="BY16" s="22">
        <v>21.0</v>
      </c>
      <c r="BZ16" s="22">
        <v>20.0</v>
      </c>
      <c r="CA16" s="22"/>
    </row>
    <row r="17">
      <c r="A17" s="22" t="s">
        <v>596</v>
      </c>
      <c r="B17" s="19" t="s">
        <v>7</v>
      </c>
      <c r="C17" s="26" t="s">
        <v>608</v>
      </c>
      <c r="I17" s="31">
        <v>8.0</v>
      </c>
      <c r="J17" s="31">
        <v>20.0</v>
      </c>
      <c r="K17" s="31">
        <v>16.0</v>
      </c>
      <c r="L17" s="37">
        <v>9.0</v>
      </c>
      <c r="M17" s="31">
        <v>4.0</v>
      </c>
      <c r="N17" s="31">
        <v>2.0</v>
      </c>
      <c r="O17" s="31">
        <v>19.0</v>
      </c>
      <c r="P17" s="37">
        <v>14.0</v>
      </c>
      <c r="Q17" s="22">
        <v>10.0</v>
      </c>
      <c r="R17" s="22">
        <v>8.0</v>
      </c>
      <c r="S17" s="22">
        <v>6.0</v>
      </c>
      <c r="T17" s="22">
        <v>3.0</v>
      </c>
      <c r="U17" s="22">
        <v>0.0</v>
      </c>
      <c r="V17" s="22">
        <v>0.0</v>
      </c>
      <c r="W17" s="22">
        <v>12.0</v>
      </c>
      <c r="X17" s="22">
        <v>11.0</v>
      </c>
      <c r="Y17" s="22">
        <v>4.0</v>
      </c>
      <c r="Z17" s="22">
        <v>0.0</v>
      </c>
      <c r="AA17" s="22">
        <v>15.0</v>
      </c>
      <c r="AB17" s="22">
        <v>11.0</v>
      </c>
      <c r="AC17" s="22"/>
      <c r="AD17" s="22">
        <v>9.0</v>
      </c>
      <c r="AE17" s="22">
        <v>8.0</v>
      </c>
      <c r="AF17" s="22"/>
      <c r="AG17" s="22">
        <v>6.0</v>
      </c>
      <c r="AI17" s="22">
        <v>4.0</v>
      </c>
      <c r="AJ17" s="22">
        <v>11.5</v>
      </c>
      <c r="AK17" s="22"/>
      <c r="AL17" s="22">
        <v>11.0</v>
      </c>
      <c r="AM17" s="22">
        <v>10.0</v>
      </c>
      <c r="AN17" s="22">
        <v>9.5</v>
      </c>
      <c r="AO17" s="22">
        <v>9.5</v>
      </c>
      <c r="AP17" s="22">
        <v>8.0</v>
      </c>
      <c r="AQ17" s="22">
        <v>16.0</v>
      </c>
      <c r="AR17" s="22">
        <v>7.5</v>
      </c>
      <c r="AS17" s="22">
        <v>7.0</v>
      </c>
      <c r="AT17" s="22"/>
      <c r="AU17" s="22">
        <v>13.0</v>
      </c>
      <c r="AV17" s="22"/>
      <c r="AW17" s="22">
        <v>11.5</v>
      </c>
      <c r="AX17" s="22">
        <v>9.5</v>
      </c>
      <c r="AY17" s="22">
        <v>8.5</v>
      </c>
      <c r="AZ17" s="22">
        <v>6.0</v>
      </c>
      <c r="BA17" s="22">
        <v>6.0</v>
      </c>
      <c r="BB17" s="22"/>
      <c r="BC17" s="22">
        <v>4.0</v>
      </c>
      <c r="BD17" s="22">
        <v>1.0</v>
      </c>
      <c r="BE17" s="22">
        <v>2.0</v>
      </c>
      <c r="BF17" s="22">
        <v>8.0</v>
      </c>
      <c r="BG17" s="22">
        <v>9.0</v>
      </c>
      <c r="BH17" s="22">
        <v>9.0</v>
      </c>
      <c r="BI17" s="22"/>
      <c r="BJ17" s="22">
        <v>8.0</v>
      </c>
      <c r="BK17" s="22">
        <v>7.5</v>
      </c>
      <c r="BL17" s="22">
        <v>7.0</v>
      </c>
      <c r="BM17" s="22">
        <v>5.5</v>
      </c>
      <c r="BN17" s="22">
        <v>5.0</v>
      </c>
      <c r="BO17" s="22"/>
      <c r="BP17" s="22">
        <v>4.0</v>
      </c>
      <c r="BQ17" s="22">
        <v>3.5</v>
      </c>
      <c r="BR17" s="22">
        <v>16.6</v>
      </c>
      <c r="BS17" s="22"/>
      <c r="BT17" s="22">
        <v>16.0</v>
      </c>
      <c r="BU17" s="22"/>
      <c r="BV17" s="22">
        <v>14.5</v>
      </c>
      <c r="BW17" s="22">
        <v>13.5</v>
      </c>
      <c r="BX17" s="22"/>
      <c r="BY17" s="22">
        <v>11.5</v>
      </c>
      <c r="BZ17" s="22">
        <v>11.5</v>
      </c>
      <c r="CA17" s="22"/>
    </row>
    <row r="18">
      <c r="A18" s="22" t="s">
        <v>596</v>
      </c>
      <c r="B18" s="19" t="s">
        <v>7</v>
      </c>
      <c r="C18" s="26" t="s">
        <v>392</v>
      </c>
      <c r="Q18" s="32" t="s">
        <v>21</v>
      </c>
      <c r="R18" s="32" t="s">
        <v>21</v>
      </c>
      <c r="S18" s="32" t="s">
        <v>21</v>
      </c>
      <c r="T18" s="32" t="s">
        <v>21</v>
      </c>
      <c r="U18" s="32" t="s">
        <v>21</v>
      </c>
      <c r="V18" s="32" t="s">
        <v>21</v>
      </c>
      <c r="W18" s="32" t="s">
        <v>21</v>
      </c>
      <c r="X18" s="32" t="s">
        <v>21</v>
      </c>
      <c r="Y18" s="22">
        <v>0.0</v>
      </c>
      <c r="Z18" s="22">
        <v>2.0</v>
      </c>
      <c r="AB18" s="22">
        <v>1.0</v>
      </c>
      <c r="AD18" s="22">
        <v>2.0</v>
      </c>
      <c r="AE18" s="22">
        <v>2.0</v>
      </c>
      <c r="AF18" s="22"/>
      <c r="AG18" s="22">
        <v>2.0</v>
      </c>
      <c r="AI18" s="22">
        <v>2.0</v>
      </c>
      <c r="AJ18" s="22"/>
      <c r="AK18" s="22">
        <v>1.0</v>
      </c>
      <c r="AL18" s="22">
        <v>3.0</v>
      </c>
      <c r="AM18" s="22">
        <v>3.0</v>
      </c>
      <c r="AN18" s="22">
        <v>3.0</v>
      </c>
      <c r="AO18" s="22">
        <v>3.0</v>
      </c>
      <c r="AP18" s="22">
        <v>3.0</v>
      </c>
      <c r="AQ18" s="22">
        <v>4.0</v>
      </c>
      <c r="AR18" s="22">
        <v>4.0</v>
      </c>
      <c r="AS18" s="22">
        <v>4.0</v>
      </c>
      <c r="AT18" s="22"/>
      <c r="AU18" s="22">
        <v>4.0</v>
      </c>
      <c r="AV18" s="22"/>
      <c r="AW18" s="22">
        <v>4.0</v>
      </c>
      <c r="AX18" s="22">
        <v>4.0</v>
      </c>
      <c r="AY18" s="22">
        <v>4.0</v>
      </c>
      <c r="AZ18" s="22"/>
      <c r="BA18" s="22">
        <v>4.0</v>
      </c>
      <c r="BB18" s="22"/>
      <c r="BC18" s="22">
        <v>4.0</v>
      </c>
      <c r="BD18" s="22"/>
      <c r="BE18" s="22">
        <v>4.0</v>
      </c>
      <c r="BF18" s="22">
        <v>4.0</v>
      </c>
      <c r="BG18" s="22">
        <v>4.0</v>
      </c>
      <c r="BH18" s="22">
        <v>4.0</v>
      </c>
      <c r="BI18" s="22"/>
      <c r="BJ18" s="22">
        <v>4.0</v>
      </c>
      <c r="BK18" s="22">
        <v>4.0</v>
      </c>
      <c r="BL18" s="22">
        <v>4.0</v>
      </c>
      <c r="BM18" s="22">
        <v>4.0</v>
      </c>
      <c r="BN18" s="22">
        <v>4.0</v>
      </c>
      <c r="BO18" s="22"/>
      <c r="BP18" s="22">
        <v>4.0</v>
      </c>
      <c r="BQ18" s="22">
        <v>4.0</v>
      </c>
      <c r="BR18" s="22">
        <v>4.0</v>
      </c>
      <c r="BS18" s="22"/>
      <c r="BT18" s="22">
        <v>4.0</v>
      </c>
      <c r="BU18" s="22"/>
      <c r="BV18" s="22">
        <v>4.0</v>
      </c>
      <c r="BW18" s="22">
        <v>4.0</v>
      </c>
      <c r="BX18" s="22"/>
      <c r="BY18" s="22">
        <v>4.0</v>
      </c>
      <c r="BZ18" s="22">
        <v>3.0</v>
      </c>
      <c r="CA18" s="22"/>
    </row>
    <row r="19">
      <c r="A19" s="22" t="s">
        <v>596</v>
      </c>
      <c r="B19" s="19" t="s">
        <v>7</v>
      </c>
      <c r="C19" s="19" t="s">
        <v>26</v>
      </c>
      <c r="Q19" s="32"/>
      <c r="R19" s="32"/>
      <c r="S19" s="32"/>
      <c r="T19" s="32"/>
      <c r="U19" s="32"/>
      <c r="V19" s="32"/>
      <c r="W19" s="32"/>
      <c r="X19" s="32"/>
      <c r="Y19" s="22"/>
      <c r="Z19" s="22"/>
      <c r="AB19" s="22"/>
      <c r="AD19" s="22"/>
      <c r="AE19" s="22"/>
      <c r="AF19" s="22"/>
      <c r="AG19" s="22"/>
      <c r="AI19" s="22"/>
      <c r="AJ19" s="22"/>
      <c r="AK19" s="22">
        <v>2.0</v>
      </c>
      <c r="AL19" s="22">
        <v>5.0</v>
      </c>
      <c r="AM19" s="22">
        <v>5.0</v>
      </c>
      <c r="AN19" s="22">
        <v>5.0</v>
      </c>
      <c r="AO19" s="22">
        <v>5.0</v>
      </c>
      <c r="AP19" s="22">
        <v>5.0</v>
      </c>
      <c r="AQ19" s="22">
        <v>7.0</v>
      </c>
      <c r="AR19" s="22">
        <v>7.0</v>
      </c>
      <c r="AS19" s="22">
        <v>7.0</v>
      </c>
      <c r="AT19" s="22"/>
      <c r="AU19" s="22">
        <v>7.0</v>
      </c>
      <c r="AV19" s="22">
        <v>1.0</v>
      </c>
      <c r="AW19" s="22">
        <v>4.0</v>
      </c>
      <c r="AX19" s="22">
        <v>4.0</v>
      </c>
      <c r="AY19" s="22">
        <v>4.0</v>
      </c>
      <c r="AZ19" s="22"/>
      <c r="BA19" s="22">
        <v>4.0</v>
      </c>
      <c r="BB19" s="22"/>
      <c r="BC19" s="22">
        <v>3.0</v>
      </c>
      <c r="BD19" s="22"/>
      <c r="BE19" s="22">
        <v>3.0</v>
      </c>
      <c r="BF19" s="22">
        <v>3.0</v>
      </c>
      <c r="BG19" s="22">
        <v>3.0</v>
      </c>
      <c r="BH19" s="22">
        <v>3.0</v>
      </c>
      <c r="BI19" s="22"/>
      <c r="BJ19" s="22">
        <v>3.0</v>
      </c>
      <c r="BK19" s="22">
        <v>2.0</v>
      </c>
      <c r="BL19" s="22">
        <v>2.0</v>
      </c>
      <c r="BM19" s="22">
        <v>2.0</v>
      </c>
      <c r="BN19" s="22">
        <v>2.0</v>
      </c>
      <c r="BO19" s="22"/>
      <c r="BP19" s="22">
        <v>2.0</v>
      </c>
      <c r="BQ19" s="22">
        <v>2.0</v>
      </c>
      <c r="BR19" s="22">
        <v>1.0</v>
      </c>
      <c r="BS19" s="22"/>
      <c r="BT19" s="22">
        <v>1.0</v>
      </c>
      <c r="BU19" s="22"/>
      <c r="BV19" s="22">
        <v>4.0</v>
      </c>
      <c r="BW19" s="22">
        <v>4.0</v>
      </c>
      <c r="BX19" s="22"/>
      <c r="BY19" s="22">
        <v>4.0</v>
      </c>
      <c r="BZ19" s="22">
        <v>4.0</v>
      </c>
      <c r="CA19" s="22"/>
    </row>
    <row r="20">
      <c r="A20" s="22" t="s">
        <v>596</v>
      </c>
      <c r="B20" s="19" t="s">
        <v>7</v>
      </c>
      <c r="C20" s="26" t="s">
        <v>609</v>
      </c>
      <c r="Q20" s="32" t="s">
        <v>21</v>
      </c>
      <c r="R20" s="32" t="s">
        <v>21</v>
      </c>
      <c r="S20" s="32" t="s">
        <v>21</v>
      </c>
      <c r="T20" s="32" t="s">
        <v>21</v>
      </c>
      <c r="U20" s="32" t="s">
        <v>21</v>
      </c>
      <c r="V20" s="32" t="s">
        <v>21</v>
      </c>
      <c r="W20" s="32" t="s">
        <v>21</v>
      </c>
      <c r="X20" s="32" t="s">
        <v>21</v>
      </c>
      <c r="Y20" s="22">
        <v>0.0</v>
      </c>
      <c r="Z20" s="22">
        <v>7.0</v>
      </c>
      <c r="AB20" s="22">
        <v>0.0</v>
      </c>
      <c r="AD20" s="22">
        <v>0.0</v>
      </c>
      <c r="AE20" s="22">
        <v>0.0</v>
      </c>
      <c r="AF20" s="22"/>
      <c r="AG20" s="22">
        <v>0.0</v>
      </c>
      <c r="AI20" s="22">
        <v>0.0</v>
      </c>
      <c r="AJ20" s="22"/>
      <c r="AK20" s="22">
        <v>3.0</v>
      </c>
      <c r="AL20" s="22">
        <v>2.0</v>
      </c>
      <c r="AM20" s="22">
        <v>2.0</v>
      </c>
      <c r="AN20" s="22">
        <v>2.0</v>
      </c>
      <c r="AO20" s="22">
        <v>2.0</v>
      </c>
      <c r="AP20" s="22">
        <v>2.0</v>
      </c>
      <c r="AQ20" s="22">
        <v>4.0</v>
      </c>
      <c r="AR20" s="22">
        <v>4.0</v>
      </c>
      <c r="AS20" s="22">
        <v>4.0</v>
      </c>
      <c r="AT20" s="22"/>
      <c r="AU20" s="22">
        <v>4.0</v>
      </c>
      <c r="AV20" s="22"/>
      <c r="AW20" s="22">
        <v>4.0</v>
      </c>
      <c r="AX20" s="22">
        <v>4.0</v>
      </c>
      <c r="AY20" s="22">
        <v>4.0</v>
      </c>
      <c r="AZ20" s="22"/>
      <c r="BA20" s="22">
        <v>4.0</v>
      </c>
      <c r="BB20" s="22"/>
      <c r="BC20" s="22">
        <v>4.0</v>
      </c>
      <c r="BD20" s="22"/>
      <c r="BE20" s="22">
        <v>4.0</v>
      </c>
      <c r="BF20" s="22">
        <v>4.0</v>
      </c>
      <c r="BG20" s="22">
        <v>4.0</v>
      </c>
      <c r="BH20" s="22">
        <v>4.0</v>
      </c>
      <c r="BI20" s="22"/>
      <c r="BJ20" s="22">
        <v>4.0</v>
      </c>
      <c r="BK20" s="22">
        <v>3.0</v>
      </c>
      <c r="BL20" s="22">
        <v>3.0</v>
      </c>
      <c r="BM20" s="22">
        <v>3.0</v>
      </c>
      <c r="BN20" s="22">
        <v>3.0</v>
      </c>
      <c r="BO20" s="22"/>
      <c r="BP20" s="22">
        <v>3.0</v>
      </c>
      <c r="BQ20" s="22">
        <v>3.0</v>
      </c>
      <c r="BR20" s="22">
        <v>3.0</v>
      </c>
      <c r="BS20" s="22"/>
      <c r="BT20" s="22">
        <v>3.0</v>
      </c>
      <c r="BU20" s="22"/>
      <c r="BV20" s="22">
        <v>3.0</v>
      </c>
      <c r="BW20" s="22">
        <v>3.0</v>
      </c>
      <c r="BX20" s="22"/>
      <c r="BY20" s="22">
        <v>3.0</v>
      </c>
      <c r="BZ20" s="22">
        <v>2.0</v>
      </c>
      <c r="CA20" s="22"/>
    </row>
    <row r="21">
      <c r="A21" s="22" t="s">
        <v>596</v>
      </c>
      <c r="B21" s="19" t="s">
        <v>7</v>
      </c>
      <c r="C21" s="19" t="s">
        <v>610</v>
      </c>
      <c r="Q21" s="32"/>
      <c r="R21" s="32"/>
      <c r="S21" s="32"/>
      <c r="T21" s="32"/>
      <c r="U21" s="32"/>
      <c r="V21" s="32"/>
      <c r="W21" s="32"/>
      <c r="X21" s="32"/>
      <c r="Y21" s="32"/>
      <c r="Z21" s="22"/>
      <c r="AB21" s="22"/>
      <c r="AD21" s="22"/>
      <c r="AE21" s="22"/>
      <c r="AF21" s="22"/>
      <c r="AG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>
        <v>4.0</v>
      </c>
      <c r="BB21" s="22"/>
      <c r="BC21" s="22">
        <v>4.0</v>
      </c>
      <c r="BD21" s="22"/>
      <c r="BE21" s="22">
        <v>4.0</v>
      </c>
      <c r="BF21" s="22">
        <v>4.0</v>
      </c>
      <c r="BG21" s="22">
        <v>4.0</v>
      </c>
      <c r="BH21" s="22">
        <v>4.0</v>
      </c>
      <c r="BI21" s="22"/>
      <c r="BJ21" s="22">
        <v>4.0</v>
      </c>
      <c r="BK21" s="22">
        <v>4.0</v>
      </c>
      <c r="BL21" s="22">
        <v>4.0</v>
      </c>
      <c r="BM21" s="22">
        <v>4.0</v>
      </c>
      <c r="BN21" s="22">
        <v>4.0</v>
      </c>
      <c r="BO21" s="22"/>
      <c r="BP21" s="22">
        <v>4.0</v>
      </c>
      <c r="BQ21" s="22">
        <v>4.0</v>
      </c>
      <c r="BR21" s="22">
        <v>4.0</v>
      </c>
      <c r="BS21" s="22"/>
      <c r="BT21" s="22">
        <v>4.0</v>
      </c>
      <c r="BU21" s="22"/>
      <c r="BV21" s="22">
        <v>4.0</v>
      </c>
      <c r="BW21" s="22">
        <v>4.0</v>
      </c>
      <c r="BX21" s="22"/>
      <c r="BY21" s="22">
        <v>4.0</v>
      </c>
      <c r="BZ21" s="22">
        <v>4.0</v>
      </c>
      <c r="CA21" s="22"/>
    </row>
    <row r="22">
      <c r="A22" s="22" t="s">
        <v>596</v>
      </c>
      <c r="B22" s="19" t="s">
        <v>7</v>
      </c>
      <c r="C22" s="19" t="s">
        <v>611</v>
      </c>
      <c r="Q22" s="32"/>
      <c r="R22" s="32"/>
      <c r="S22" s="32"/>
      <c r="T22" s="32"/>
      <c r="U22" s="32"/>
      <c r="V22" s="32"/>
      <c r="W22" s="32"/>
      <c r="X22" s="32"/>
      <c r="Y22" s="32"/>
      <c r="Z22" s="22"/>
      <c r="AB22" s="22"/>
      <c r="AD22" s="22"/>
      <c r="AE22" s="22"/>
      <c r="AF22" s="22"/>
      <c r="AG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>
        <v>3.0</v>
      </c>
      <c r="BB22" s="22"/>
      <c r="BC22" s="22">
        <v>3.0</v>
      </c>
      <c r="BD22" s="22"/>
      <c r="BE22" s="22">
        <v>3.0</v>
      </c>
      <c r="BF22" s="22">
        <v>3.0</v>
      </c>
      <c r="BG22" s="22">
        <v>3.0</v>
      </c>
      <c r="BH22" s="22">
        <v>3.0</v>
      </c>
      <c r="BI22" s="22"/>
      <c r="BJ22" s="22">
        <v>3.0</v>
      </c>
      <c r="BK22" s="22">
        <v>2.0</v>
      </c>
      <c r="BL22" s="22">
        <v>2.0</v>
      </c>
      <c r="BM22" s="22">
        <v>2.0</v>
      </c>
      <c r="BN22" s="22">
        <v>2.0</v>
      </c>
      <c r="BO22" s="22"/>
      <c r="BP22" s="22">
        <v>2.0</v>
      </c>
      <c r="BQ22" s="22">
        <v>2.0</v>
      </c>
      <c r="BR22" s="22">
        <v>2.0</v>
      </c>
      <c r="BS22" s="22"/>
      <c r="BT22" s="22">
        <v>2.0</v>
      </c>
      <c r="BU22" s="22"/>
      <c r="BV22" s="22">
        <v>2.0</v>
      </c>
      <c r="BW22" s="22">
        <v>4.0</v>
      </c>
      <c r="BX22" s="22"/>
      <c r="BY22" s="22">
        <v>4.0</v>
      </c>
      <c r="BZ22" s="22">
        <v>4.0</v>
      </c>
      <c r="CA22" s="22"/>
    </row>
    <row r="23">
      <c r="A23" s="22" t="s">
        <v>596</v>
      </c>
      <c r="B23" s="19" t="s">
        <v>7</v>
      </c>
      <c r="C23" s="26" t="s">
        <v>18</v>
      </c>
      <c r="Q23" s="32" t="s">
        <v>21</v>
      </c>
      <c r="R23" s="32" t="s">
        <v>21</v>
      </c>
      <c r="S23" s="32" t="s">
        <v>21</v>
      </c>
      <c r="T23" s="32" t="s">
        <v>21</v>
      </c>
      <c r="U23" s="32" t="s">
        <v>21</v>
      </c>
      <c r="V23" s="32" t="s">
        <v>21</v>
      </c>
      <c r="W23" s="32" t="s">
        <v>21</v>
      </c>
      <c r="X23" s="32" t="s">
        <v>21</v>
      </c>
      <c r="Y23" s="32" t="s">
        <v>21</v>
      </c>
      <c r="Z23" s="22">
        <v>3.0</v>
      </c>
      <c r="AB23" s="22">
        <v>3.0</v>
      </c>
      <c r="AD23" s="22">
        <v>2.0</v>
      </c>
      <c r="AE23" s="22">
        <v>2.0</v>
      </c>
      <c r="AF23" s="22"/>
      <c r="AG23" s="22">
        <v>2.0</v>
      </c>
      <c r="AI23" s="22">
        <v>2.0</v>
      </c>
      <c r="AJ23" s="22"/>
      <c r="AK23" s="22"/>
      <c r="AL23" s="22">
        <v>4.0</v>
      </c>
      <c r="AM23" s="22">
        <v>4.0</v>
      </c>
      <c r="AN23" s="22">
        <v>3.0</v>
      </c>
      <c r="AO23" s="22">
        <v>3.0</v>
      </c>
      <c r="AP23" s="22">
        <v>2.0</v>
      </c>
      <c r="AQ23" s="22">
        <v>2.0</v>
      </c>
      <c r="AR23" s="22">
        <v>2.0</v>
      </c>
      <c r="AS23" s="22">
        <v>2.0</v>
      </c>
      <c r="AT23" s="22"/>
      <c r="AU23" s="22">
        <v>2.0</v>
      </c>
      <c r="AV23" s="22"/>
      <c r="AW23" s="22">
        <v>2.0</v>
      </c>
      <c r="AX23" s="22">
        <v>2.0</v>
      </c>
      <c r="AY23" s="22">
        <v>1.0</v>
      </c>
      <c r="AZ23" s="22"/>
      <c r="BA23" s="22">
        <v>1.0</v>
      </c>
      <c r="BB23" s="22"/>
      <c r="BC23" s="22">
        <v>1.0</v>
      </c>
      <c r="BD23" s="22"/>
      <c r="BE23" s="22">
        <v>1.0</v>
      </c>
      <c r="BF23" s="22">
        <v>1.0</v>
      </c>
      <c r="BG23" s="22">
        <v>0.0</v>
      </c>
      <c r="BH23" s="22">
        <v>0.0</v>
      </c>
      <c r="BI23" s="22">
        <v>2.0</v>
      </c>
      <c r="BJ23" s="22">
        <v>2.0</v>
      </c>
      <c r="BK23" s="22">
        <v>2.0</v>
      </c>
      <c r="BL23" s="22">
        <v>2.0</v>
      </c>
      <c r="BM23" s="22">
        <v>4.0</v>
      </c>
      <c r="BN23" s="22">
        <v>4.0</v>
      </c>
      <c r="BO23" s="22"/>
      <c r="BP23" s="22">
        <v>4.0</v>
      </c>
      <c r="BQ23" s="22">
        <v>4.0</v>
      </c>
      <c r="BR23" s="22">
        <v>4.0</v>
      </c>
      <c r="BS23" s="22"/>
      <c r="BT23" s="22">
        <v>4.0</v>
      </c>
      <c r="BU23" s="22"/>
      <c r="BV23" s="22">
        <v>4.0</v>
      </c>
      <c r="BW23" s="22">
        <v>2.0</v>
      </c>
      <c r="BX23" s="22"/>
      <c r="BY23" s="22">
        <v>2.0</v>
      </c>
      <c r="BZ23" s="22">
        <v>2.0</v>
      </c>
      <c r="CA23" s="22"/>
    </row>
    <row r="24">
      <c r="A24" s="22" t="s">
        <v>596</v>
      </c>
      <c r="B24" s="19" t="s">
        <v>7</v>
      </c>
      <c r="C24" s="26" t="s">
        <v>612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B24" s="22"/>
      <c r="AD24" s="22"/>
      <c r="AE24" s="22"/>
      <c r="AF24" s="22"/>
      <c r="AG24" s="22"/>
      <c r="AI24" s="22"/>
      <c r="AJ24" s="22"/>
      <c r="AK24" s="22"/>
      <c r="AL24" s="22"/>
      <c r="AM24" s="22"/>
      <c r="AN24" s="22"/>
      <c r="AO24" s="22"/>
      <c r="AP24" s="22">
        <v>0.0</v>
      </c>
      <c r="AQ24" s="22">
        <v>1.0</v>
      </c>
      <c r="AR24" s="22">
        <v>1.0</v>
      </c>
      <c r="AS24" s="22">
        <v>1.0</v>
      </c>
      <c r="AT24" s="22"/>
      <c r="AU24" s="22">
        <v>1.0</v>
      </c>
      <c r="AV24" s="22"/>
      <c r="AW24" s="22">
        <v>1.0</v>
      </c>
      <c r="AX24" s="22">
        <v>1.0</v>
      </c>
      <c r="AY24" s="22">
        <v>1.0</v>
      </c>
      <c r="AZ24" s="22"/>
      <c r="BA24" s="22">
        <v>1.0</v>
      </c>
      <c r="BC24" s="22">
        <v>1.0</v>
      </c>
      <c r="BD24" s="22"/>
      <c r="BE24" s="22">
        <v>0.0</v>
      </c>
      <c r="BF24" s="22">
        <v>0.0</v>
      </c>
      <c r="BG24" s="22">
        <v>0.0</v>
      </c>
      <c r="BH24" s="22">
        <v>0.0</v>
      </c>
      <c r="BI24" s="22">
        <v>2.0</v>
      </c>
      <c r="BJ24" s="22">
        <v>2.0</v>
      </c>
      <c r="BK24" s="22">
        <v>1.0</v>
      </c>
      <c r="BL24" s="22">
        <v>2.0</v>
      </c>
      <c r="BM24" s="22">
        <v>1.0</v>
      </c>
      <c r="BN24" s="22">
        <v>1.0</v>
      </c>
      <c r="BO24" s="22"/>
      <c r="BP24" s="22">
        <v>1.0</v>
      </c>
      <c r="BQ24" s="22">
        <v>1.0</v>
      </c>
      <c r="BR24" s="22">
        <v>1.0</v>
      </c>
      <c r="BS24" s="22"/>
      <c r="BT24" s="22">
        <v>1.0</v>
      </c>
      <c r="BU24" s="22"/>
      <c r="BV24" s="22">
        <v>3.0</v>
      </c>
      <c r="BW24" s="22">
        <v>3.0</v>
      </c>
      <c r="BX24" s="22"/>
      <c r="BY24" s="22">
        <v>1.0</v>
      </c>
      <c r="BZ24" s="22">
        <v>1.0</v>
      </c>
      <c r="CA24" s="22"/>
    </row>
    <row r="25">
      <c r="A25" s="22" t="s">
        <v>596</v>
      </c>
      <c r="B25" s="19" t="s">
        <v>7</v>
      </c>
      <c r="C25" s="26" t="s">
        <v>613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B25" s="22"/>
      <c r="AD25" s="22"/>
      <c r="AE25" s="22"/>
      <c r="AF25" s="22"/>
      <c r="AG25" s="22"/>
      <c r="AI25" s="22"/>
      <c r="AJ25" s="22"/>
      <c r="AK25" s="22"/>
      <c r="AL25" s="22"/>
      <c r="AM25" s="22"/>
      <c r="AN25" s="22"/>
      <c r="AO25" s="22"/>
      <c r="AP25" s="22">
        <v>0.0</v>
      </c>
      <c r="AQ25" s="22">
        <v>2.0</v>
      </c>
      <c r="AR25" s="22">
        <v>2.0</v>
      </c>
      <c r="AS25" s="22">
        <v>2.0</v>
      </c>
      <c r="AT25" s="22"/>
      <c r="AU25" s="22">
        <v>2.0</v>
      </c>
      <c r="AV25" s="22"/>
      <c r="AW25" s="22">
        <v>1.0</v>
      </c>
      <c r="AX25" s="22">
        <v>1.0</v>
      </c>
      <c r="AY25" s="22">
        <v>1.0</v>
      </c>
      <c r="AZ25" s="22"/>
      <c r="BA25" s="22">
        <v>1.0</v>
      </c>
      <c r="BB25" s="22"/>
      <c r="BC25" s="22">
        <v>1.0</v>
      </c>
      <c r="BD25" s="22"/>
      <c r="BE25" s="22">
        <v>0.0</v>
      </c>
      <c r="BF25" s="22">
        <v>0.0</v>
      </c>
      <c r="BG25" s="22">
        <v>0.0</v>
      </c>
      <c r="BH25" s="22">
        <v>0.0</v>
      </c>
      <c r="BI25" s="22">
        <v>2.0</v>
      </c>
      <c r="BJ25" s="22">
        <v>2.0</v>
      </c>
      <c r="BK25" s="22">
        <v>2.0</v>
      </c>
      <c r="BL25" s="22">
        <v>2.0</v>
      </c>
      <c r="BM25" s="22">
        <v>2.0</v>
      </c>
      <c r="BN25" s="22">
        <v>2.0</v>
      </c>
      <c r="BO25" s="22"/>
      <c r="BP25" s="22">
        <v>2.0</v>
      </c>
      <c r="BQ25" s="22">
        <v>2.0</v>
      </c>
      <c r="BR25" s="22">
        <v>2.0</v>
      </c>
      <c r="BS25" s="22"/>
      <c r="BT25" s="22">
        <v>2.0</v>
      </c>
      <c r="BU25" s="22"/>
      <c r="BV25" s="22">
        <v>3.0</v>
      </c>
      <c r="BW25" s="22">
        <v>3.0</v>
      </c>
      <c r="BX25" s="22"/>
      <c r="BY25" s="22">
        <v>1.0</v>
      </c>
      <c r="BZ25" s="22">
        <v>1.0</v>
      </c>
      <c r="CA25" s="22"/>
    </row>
    <row r="26">
      <c r="A26" s="22" t="s">
        <v>596</v>
      </c>
      <c r="B26" s="19" t="s">
        <v>7</v>
      </c>
      <c r="C26" s="26" t="s">
        <v>614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B26" s="22"/>
      <c r="AD26" s="22"/>
      <c r="AE26" s="22"/>
      <c r="AF26" s="22"/>
      <c r="AG26" s="22"/>
      <c r="AI26" s="22"/>
      <c r="AJ26" s="22"/>
      <c r="AK26" s="22"/>
      <c r="AL26" s="22"/>
      <c r="AM26" s="22"/>
      <c r="AN26" s="22"/>
      <c r="AO26" s="22"/>
      <c r="AP26" s="22">
        <v>3.0</v>
      </c>
      <c r="AQ26" s="22">
        <v>5.0</v>
      </c>
      <c r="AR26" s="22">
        <v>5.0</v>
      </c>
      <c r="AS26" s="22">
        <v>5.0</v>
      </c>
      <c r="AT26" s="22"/>
      <c r="AU26" s="22">
        <v>5.0</v>
      </c>
      <c r="AV26" s="22"/>
      <c r="AW26" s="22">
        <v>4.0</v>
      </c>
      <c r="AX26" s="22">
        <v>4.0</v>
      </c>
      <c r="AY26" s="22">
        <v>4.0</v>
      </c>
      <c r="AZ26" s="22"/>
      <c r="BA26" s="22">
        <v>4.0</v>
      </c>
      <c r="BB26" s="22"/>
      <c r="BC26" s="22">
        <v>4.0</v>
      </c>
      <c r="BD26" s="22"/>
      <c r="BE26" s="22">
        <v>3.0</v>
      </c>
      <c r="BF26" s="22">
        <v>3.0</v>
      </c>
      <c r="BG26" s="22">
        <v>2.0</v>
      </c>
      <c r="BH26" s="22">
        <v>2.0</v>
      </c>
      <c r="BI26" s="22"/>
      <c r="BJ26" s="22">
        <v>2.0</v>
      </c>
      <c r="BK26" s="22">
        <v>2.0</v>
      </c>
      <c r="BL26" s="22">
        <v>2.0</v>
      </c>
      <c r="BM26" s="22">
        <v>2.0</v>
      </c>
      <c r="BN26" s="22">
        <v>2.0</v>
      </c>
      <c r="BO26" s="22"/>
      <c r="BP26" s="22">
        <v>2.0</v>
      </c>
      <c r="BQ26" s="22">
        <v>2.0</v>
      </c>
      <c r="BR26" s="22">
        <v>1.0</v>
      </c>
      <c r="BS26" s="22"/>
      <c r="BT26" s="22">
        <v>1.0</v>
      </c>
      <c r="BU26" s="22"/>
      <c r="BV26" s="22">
        <v>3.0</v>
      </c>
      <c r="BW26" s="22">
        <v>3.0</v>
      </c>
      <c r="BX26" s="22"/>
      <c r="BY26" s="22">
        <v>1.0</v>
      </c>
      <c r="BZ26" s="22">
        <v>1.0</v>
      </c>
      <c r="CA26" s="22"/>
    </row>
    <row r="27">
      <c r="A27" s="22" t="s">
        <v>596</v>
      </c>
      <c r="B27" s="26" t="s">
        <v>13</v>
      </c>
      <c r="C27" s="26" t="s">
        <v>20</v>
      </c>
      <c r="Q27" s="32" t="s">
        <v>21</v>
      </c>
      <c r="R27" s="32" t="s">
        <v>21</v>
      </c>
      <c r="S27" s="32" t="s">
        <v>21</v>
      </c>
      <c r="T27" s="32" t="s">
        <v>21</v>
      </c>
      <c r="U27" s="32" t="s">
        <v>21</v>
      </c>
      <c r="V27" s="32" t="s">
        <v>21</v>
      </c>
      <c r="W27" s="32" t="s">
        <v>21</v>
      </c>
      <c r="X27" s="32" t="s">
        <v>21</v>
      </c>
      <c r="Y27" s="32" t="s">
        <v>21</v>
      </c>
      <c r="Z27" s="32" t="s">
        <v>21</v>
      </c>
      <c r="AB27" s="22">
        <v>1.0</v>
      </c>
      <c r="AD27" s="22">
        <v>2.0</v>
      </c>
      <c r="AE27" s="22">
        <v>2.0</v>
      </c>
      <c r="AF27" s="22"/>
      <c r="AG27" s="22">
        <v>2.0</v>
      </c>
      <c r="AI27" s="22">
        <v>2.0</v>
      </c>
      <c r="AJ27" s="22"/>
      <c r="AK27" s="22"/>
      <c r="AL27" s="22">
        <v>2.0</v>
      </c>
      <c r="AM27" s="22">
        <v>2.0</v>
      </c>
      <c r="AN27" s="22">
        <v>2.0</v>
      </c>
      <c r="AO27" s="22">
        <v>2.0</v>
      </c>
      <c r="AP27" s="22">
        <v>1.0</v>
      </c>
      <c r="AQ27" s="22">
        <v>2.0</v>
      </c>
      <c r="AR27" s="22">
        <v>2.0</v>
      </c>
      <c r="AS27" s="22">
        <v>2.0</v>
      </c>
      <c r="AT27" s="22"/>
      <c r="AU27" s="22">
        <v>2.0</v>
      </c>
      <c r="AV27" s="22"/>
      <c r="AW27" s="22">
        <v>2.0</v>
      </c>
      <c r="AX27" s="22">
        <v>2.0</v>
      </c>
      <c r="AY27" s="22">
        <v>2.0</v>
      </c>
      <c r="AZ27" s="22"/>
      <c r="BA27" s="22">
        <v>2.0</v>
      </c>
      <c r="BB27" s="22"/>
      <c r="BC27" s="22">
        <v>2.0</v>
      </c>
      <c r="BD27" s="22"/>
      <c r="BE27" s="22">
        <v>2.0</v>
      </c>
      <c r="BF27" s="22">
        <v>2.0</v>
      </c>
      <c r="BG27" s="22">
        <v>2.0</v>
      </c>
      <c r="BH27" s="22">
        <v>2.0</v>
      </c>
      <c r="BI27" s="22"/>
      <c r="BJ27" s="22">
        <v>2.0</v>
      </c>
      <c r="BK27" s="22">
        <v>2.0</v>
      </c>
      <c r="BL27" s="22">
        <v>2.0</v>
      </c>
      <c r="BM27" s="22">
        <v>2.0</v>
      </c>
      <c r="BN27" s="22">
        <v>2.0</v>
      </c>
      <c r="BO27" s="22"/>
      <c r="BP27" s="22">
        <v>2.0</v>
      </c>
      <c r="BQ27" s="22">
        <v>2.0</v>
      </c>
      <c r="BR27" s="22">
        <v>1.0</v>
      </c>
      <c r="BS27" s="22"/>
      <c r="BT27" s="22">
        <v>1.0</v>
      </c>
      <c r="BU27" s="22">
        <v>1.0</v>
      </c>
      <c r="BV27" s="22">
        <v>2.0</v>
      </c>
      <c r="BW27" s="22">
        <v>2.0</v>
      </c>
      <c r="BX27" s="22"/>
      <c r="BY27" s="22">
        <v>2.0</v>
      </c>
      <c r="BZ27" s="22">
        <v>2.0</v>
      </c>
      <c r="CA27" s="22"/>
    </row>
    <row r="28">
      <c r="A28" s="22" t="s">
        <v>596</v>
      </c>
      <c r="B28" s="26" t="s">
        <v>13</v>
      </c>
      <c r="C28" s="26" t="s">
        <v>22</v>
      </c>
      <c r="Q28" s="32" t="s">
        <v>21</v>
      </c>
      <c r="R28" s="32" t="s">
        <v>21</v>
      </c>
      <c r="S28" s="32" t="s">
        <v>21</v>
      </c>
      <c r="T28" s="32" t="s">
        <v>21</v>
      </c>
      <c r="U28" s="32" t="s">
        <v>21</v>
      </c>
      <c r="V28" s="32" t="s">
        <v>21</v>
      </c>
      <c r="W28" s="32" t="s">
        <v>21</v>
      </c>
      <c r="X28" s="32" t="s">
        <v>21</v>
      </c>
      <c r="Y28" s="32" t="s">
        <v>21</v>
      </c>
      <c r="Z28" s="32" t="s">
        <v>21</v>
      </c>
      <c r="AB28" s="22">
        <v>3.0</v>
      </c>
      <c r="AD28" s="22">
        <v>3.0</v>
      </c>
      <c r="AE28" s="22">
        <v>3.0</v>
      </c>
      <c r="AF28" s="22"/>
      <c r="AG28" s="22">
        <v>3.0</v>
      </c>
      <c r="AI28" s="22">
        <v>2.0</v>
      </c>
      <c r="AJ28" s="22"/>
      <c r="AK28" s="22"/>
      <c r="AL28" s="22">
        <v>2.0</v>
      </c>
      <c r="AM28" s="22">
        <v>2.0</v>
      </c>
      <c r="AN28" s="22">
        <v>2.0</v>
      </c>
      <c r="AO28" s="22">
        <v>2.0</v>
      </c>
      <c r="AP28" s="22">
        <v>2.0</v>
      </c>
      <c r="AQ28" s="22">
        <v>3.0</v>
      </c>
      <c r="AR28" s="22">
        <v>3.0</v>
      </c>
      <c r="AS28" s="22">
        <v>3.0</v>
      </c>
      <c r="AT28" s="22"/>
      <c r="AU28" s="22">
        <v>3.0</v>
      </c>
      <c r="AV28" s="22"/>
      <c r="AW28" s="22">
        <v>2.0</v>
      </c>
      <c r="AX28" s="22">
        <v>2.0</v>
      </c>
      <c r="AY28" s="22">
        <v>2.0</v>
      </c>
      <c r="AZ28" s="22"/>
      <c r="BA28" s="22">
        <v>2.0</v>
      </c>
      <c r="BB28" s="22"/>
      <c r="BC28" s="22">
        <v>2.0</v>
      </c>
      <c r="BD28" s="22"/>
      <c r="BE28" s="22">
        <v>2.0</v>
      </c>
      <c r="BF28" s="22">
        <v>2.0</v>
      </c>
      <c r="BG28" s="22">
        <v>2.0</v>
      </c>
      <c r="BH28" s="22">
        <v>2.0</v>
      </c>
      <c r="BI28" s="22"/>
      <c r="BJ28" s="22">
        <v>1.0</v>
      </c>
      <c r="BK28" s="22">
        <v>1.0</v>
      </c>
      <c r="BL28" s="22">
        <v>1.0</v>
      </c>
      <c r="BM28" s="22">
        <v>1.0</v>
      </c>
      <c r="BN28" s="22">
        <v>1.0</v>
      </c>
      <c r="BO28" s="22"/>
      <c r="BP28" s="22">
        <v>0.0</v>
      </c>
      <c r="BQ28" s="22">
        <v>0.0</v>
      </c>
      <c r="BR28" s="22">
        <v>0.0</v>
      </c>
      <c r="BS28" s="22"/>
      <c r="BT28" s="22">
        <v>0.0</v>
      </c>
      <c r="BU28" s="22">
        <v>2.0</v>
      </c>
      <c r="BV28" s="22">
        <v>2.0</v>
      </c>
      <c r="BW28" s="22">
        <v>2.0</v>
      </c>
      <c r="BX28" s="22"/>
      <c r="BY28" s="22">
        <v>2.0</v>
      </c>
      <c r="BZ28" s="22">
        <v>2.0</v>
      </c>
      <c r="CA28" s="22"/>
    </row>
    <row r="29">
      <c r="A29" s="22" t="s">
        <v>596</v>
      </c>
      <c r="B29" s="26" t="s">
        <v>13</v>
      </c>
      <c r="C29" s="19" t="s">
        <v>134</v>
      </c>
      <c r="Q29" s="32" t="s">
        <v>21</v>
      </c>
      <c r="R29" s="32" t="s">
        <v>21</v>
      </c>
      <c r="S29" s="32" t="s">
        <v>21</v>
      </c>
      <c r="T29" s="32" t="s">
        <v>21</v>
      </c>
      <c r="U29" s="32" t="s">
        <v>21</v>
      </c>
      <c r="V29" s="32" t="s">
        <v>21</v>
      </c>
      <c r="W29" s="32" t="s">
        <v>21</v>
      </c>
      <c r="X29" s="32" t="s">
        <v>21</v>
      </c>
      <c r="Y29" s="32" t="s">
        <v>21</v>
      </c>
      <c r="Z29" s="32" t="s">
        <v>21</v>
      </c>
      <c r="AB29" s="22">
        <v>8.0</v>
      </c>
      <c r="AD29" s="22" t="s">
        <v>615</v>
      </c>
      <c r="AE29" s="22" t="s">
        <v>616</v>
      </c>
      <c r="AF29" s="22"/>
      <c r="AG29" s="22" t="s">
        <v>616</v>
      </c>
      <c r="AI29" s="22" t="s">
        <v>617</v>
      </c>
      <c r="AJ29" s="22"/>
      <c r="AK29" s="22" t="s">
        <v>618</v>
      </c>
      <c r="AL29" s="22" t="s">
        <v>619</v>
      </c>
      <c r="AM29" s="22" t="s">
        <v>620</v>
      </c>
      <c r="AN29" s="22" t="s">
        <v>621</v>
      </c>
      <c r="AO29" s="22" t="s">
        <v>622</v>
      </c>
      <c r="AP29" s="22" t="s">
        <v>623</v>
      </c>
      <c r="AQ29" s="22" t="s">
        <v>624</v>
      </c>
      <c r="AR29" s="22">
        <v>18.0</v>
      </c>
      <c r="AS29" s="22">
        <v>18.0</v>
      </c>
      <c r="AT29" s="22"/>
      <c r="AU29" s="22">
        <v>14.0</v>
      </c>
      <c r="AV29" s="22"/>
      <c r="AW29" s="22">
        <v>14.0</v>
      </c>
      <c r="AX29" s="22">
        <v>14.0</v>
      </c>
      <c r="AY29" s="22">
        <v>7.0</v>
      </c>
      <c r="AZ29" s="22"/>
      <c r="BA29" s="22">
        <v>12.0</v>
      </c>
      <c r="BB29" s="22"/>
      <c r="BC29" s="22">
        <v>12.0</v>
      </c>
      <c r="BD29" s="22"/>
      <c r="BE29" s="22">
        <v>6.0</v>
      </c>
      <c r="BF29" s="22">
        <v>6.0</v>
      </c>
      <c r="BG29" s="22">
        <v>6.0</v>
      </c>
      <c r="BH29" s="22">
        <v>6.0</v>
      </c>
      <c r="BI29" s="22"/>
      <c r="BJ29" s="22">
        <v>6.0</v>
      </c>
      <c r="BK29" s="22">
        <v>4.0</v>
      </c>
      <c r="BL29" s="22">
        <v>4.0</v>
      </c>
      <c r="BM29" s="22">
        <v>14.0</v>
      </c>
      <c r="BN29" s="22">
        <v>14.0</v>
      </c>
      <c r="BO29" s="22"/>
      <c r="BP29" s="22">
        <v>11.0</v>
      </c>
      <c r="BQ29" s="22">
        <v>11.0</v>
      </c>
      <c r="BR29" s="22">
        <v>6.0</v>
      </c>
      <c r="BS29" s="22"/>
      <c r="BT29" s="22">
        <v>5.0</v>
      </c>
      <c r="BU29" s="22">
        <v>20.0</v>
      </c>
      <c r="BV29" s="22">
        <v>20.0</v>
      </c>
      <c r="BW29" s="22">
        <v>20.0</v>
      </c>
      <c r="BX29" s="22"/>
      <c r="BY29" s="22">
        <v>14.0</v>
      </c>
      <c r="BZ29" s="22">
        <v>14.0</v>
      </c>
      <c r="CA29" s="22"/>
    </row>
    <row r="30">
      <c r="A30" s="22" t="s">
        <v>596</v>
      </c>
      <c r="B30" s="26" t="s">
        <v>13</v>
      </c>
      <c r="C30" s="19" t="s">
        <v>148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B30" s="22"/>
      <c r="AD30" s="22"/>
      <c r="AE30" s="22"/>
      <c r="AF30" s="22"/>
      <c r="AG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>
        <v>16.0</v>
      </c>
      <c r="AS30" s="22">
        <v>16.0</v>
      </c>
      <c r="AT30" s="22"/>
      <c r="AU30" s="22">
        <v>10.0</v>
      </c>
      <c r="AV30" s="22"/>
      <c r="AW30" s="22">
        <v>10.0</v>
      </c>
      <c r="AX30" s="22">
        <v>7.0</v>
      </c>
      <c r="AY30" s="22">
        <v>14.0</v>
      </c>
      <c r="AZ30" s="22"/>
      <c r="BA30" s="22">
        <v>17.0</v>
      </c>
      <c r="BB30" s="22"/>
      <c r="BC30" s="22">
        <v>16.0</v>
      </c>
      <c r="BD30" s="22"/>
      <c r="BE30" s="22">
        <v>16.0</v>
      </c>
      <c r="BF30" s="22">
        <v>16.0</v>
      </c>
      <c r="BG30" s="22">
        <v>16.0</v>
      </c>
      <c r="BH30" s="22">
        <v>16.0</v>
      </c>
      <c r="BI30" s="22"/>
      <c r="BJ30" s="22">
        <v>16.0</v>
      </c>
      <c r="BK30" s="22">
        <v>16.0</v>
      </c>
      <c r="BL30" s="22">
        <v>16.0</v>
      </c>
      <c r="BM30" s="22">
        <v>25.0</v>
      </c>
      <c r="BN30" s="22">
        <v>25.0</v>
      </c>
      <c r="BO30" s="22"/>
      <c r="BP30" s="22">
        <v>22.0</v>
      </c>
      <c r="BQ30" s="22">
        <v>22.0</v>
      </c>
      <c r="BR30" s="22">
        <v>22.0</v>
      </c>
      <c r="BS30" s="22"/>
      <c r="BT30" s="22">
        <v>22.0</v>
      </c>
      <c r="BU30" s="22"/>
      <c r="BV30" s="22">
        <v>22.0</v>
      </c>
      <c r="BW30" s="22">
        <v>22.0</v>
      </c>
      <c r="BX30" s="22"/>
      <c r="BY30" s="22">
        <v>17.0</v>
      </c>
      <c r="BZ30" s="22">
        <v>14.0</v>
      </c>
      <c r="CA30" s="22"/>
    </row>
    <row r="31">
      <c r="A31" s="22" t="s">
        <v>596</v>
      </c>
      <c r="B31" s="26" t="s">
        <v>13</v>
      </c>
      <c r="C31" s="19" t="s">
        <v>149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B31" s="22"/>
      <c r="AD31" s="22"/>
      <c r="AE31" s="22"/>
      <c r="AF31" s="22"/>
      <c r="AG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>
        <v>19.0</v>
      </c>
      <c r="AS31" s="22">
        <v>19.0</v>
      </c>
      <c r="AT31" s="22"/>
      <c r="AU31" s="22">
        <v>17.0</v>
      </c>
      <c r="AV31" s="22"/>
      <c r="AW31" s="22">
        <v>17.0</v>
      </c>
      <c r="AX31" s="22">
        <v>17.0</v>
      </c>
      <c r="AY31" s="22">
        <v>15.0</v>
      </c>
      <c r="AZ31" s="22"/>
      <c r="BA31" s="22">
        <v>12.0</v>
      </c>
      <c r="BB31" s="22"/>
      <c r="BC31" s="22">
        <v>12.0</v>
      </c>
      <c r="BD31" s="22"/>
      <c r="BE31" s="22">
        <v>6.0</v>
      </c>
      <c r="BF31" s="22">
        <v>6.0</v>
      </c>
      <c r="BG31" s="22">
        <v>6.0</v>
      </c>
      <c r="BH31" s="22">
        <v>6.0</v>
      </c>
      <c r="BI31" s="22"/>
      <c r="BJ31" s="22">
        <v>6.0</v>
      </c>
      <c r="BK31" s="22">
        <v>5.0</v>
      </c>
      <c r="BL31" s="22">
        <v>5.0</v>
      </c>
      <c r="BM31" s="22">
        <v>24.0</v>
      </c>
      <c r="BN31" s="22">
        <v>21.0</v>
      </c>
      <c r="BO31" s="22"/>
      <c r="BP31" s="22">
        <v>10.0</v>
      </c>
      <c r="BQ31" s="22">
        <v>10.0</v>
      </c>
      <c r="BR31" s="22">
        <v>10.0</v>
      </c>
      <c r="BS31" s="22"/>
      <c r="BT31" s="22">
        <v>9.0</v>
      </c>
      <c r="BU31" s="22">
        <v>15.0</v>
      </c>
      <c r="BV31" s="22">
        <v>22.0</v>
      </c>
      <c r="BW31" s="22">
        <v>22.0</v>
      </c>
      <c r="BX31" s="22"/>
      <c r="BY31" s="22">
        <v>18.0</v>
      </c>
      <c r="BZ31" s="22">
        <v>18.0</v>
      </c>
      <c r="CA31" s="22"/>
    </row>
    <row r="32">
      <c r="A32" s="22" t="s">
        <v>596</v>
      </c>
      <c r="B32" s="26" t="s">
        <v>13</v>
      </c>
      <c r="C32" s="26" t="s">
        <v>23</v>
      </c>
      <c r="Q32" s="32" t="s">
        <v>21</v>
      </c>
      <c r="R32" s="32" t="s">
        <v>21</v>
      </c>
      <c r="S32" s="32" t="s">
        <v>21</v>
      </c>
      <c r="T32" s="32" t="s">
        <v>21</v>
      </c>
      <c r="U32" s="32" t="s">
        <v>21</v>
      </c>
      <c r="V32" s="32" t="s">
        <v>21</v>
      </c>
      <c r="W32" s="32" t="s">
        <v>21</v>
      </c>
      <c r="X32" s="32" t="s">
        <v>21</v>
      </c>
      <c r="Y32" s="32" t="s">
        <v>21</v>
      </c>
      <c r="Z32" s="32" t="s">
        <v>21</v>
      </c>
      <c r="AB32" s="22">
        <v>9.0</v>
      </c>
      <c r="AD32" s="22">
        <v>8.0</v>
      </c>
      <c r="AE32" s="22">
        <v>7.0</v>
      </c>
      <c r="AF32" s="22"/>
      <c r="AG32" s="22">
        <v>1.5</v>
      </c>
      <c r="AI32" s="22">
        <v>1.2</v>
      </c>
      <c r="AJ32" s="22"/>
      <c r="AK32" s="22"/>
      <c r="AL32" s="22">
        <v>5.0</v>
      </c>
      <c r="AM32" s="22">
        <v>4.0</v>
      </c>
      <c r="AN32" s="22">
        <v>4.0</v>
      </c>
      <c r="AO32" s="22">
        <v>3.0</v>
      </c>
      <c r="AP32" s="22">
        <v>3.0</v>
      </c>
      <c r="AQ32" s="22">
        <v>10.0</v>
      </c>
      <c r="AR32" s="22">
        <v>10.0</v>
      </c>
      <c r="AS32" s="22">
        <v>6.0</v>
      </c>
      <c r="AT32" s="22"/>
      <c r="AU32" s="22">
        <v>6.0</v>
      </c>
      <c r="AV32" s="22"/>
      <c r="AW32" s="22">
        <v>6.0</v>
      </c>
      <c r="AX32" s="22">
        <v>6.0</v>
      </c>
      <c r="AY32" s="22">
        <v>4.0</v>
      </c>
      <c r="AZ32" s="22"/>
      <c r="BA32" s="22">
        <v>4.0</v>
      </c>
      <c r="BB32" s="22"/>
      <c r="BC32" s="22">
        <v>4.0</v>
      </c>
      <c r="BD32" s="22"/>
      <c r="BE32" s="22">
        <v>4.0</v>
      </c>
      <c r="BF32" s="22">
        <v>4.0</v>
      </c>
      <c r="BG32" s="22">
        <v>3.0</v>
      </c>
      <c r="BH32" s="22">
        <v>1.0</v>
      </c>
      <c r="BI32" s="22">
        <v>8.0</v>
      </c>
      <c r="BJ32" s="22">
        <v>9.0</v>
      </c>
      <c r="BK32" s="22">
        <v>9.0</v>
      </c>
      <c r="BL32" s="22">
        <v>8.0</v>
      </c>
      <c r="BM32" s="22">
        <v>7.0</v>
      </c>
      <c r="BN32" s="22">
        <v>7.0</v>
      </c>
      <c r="BO32" s="22"/>
      <c r="BP32" s="22">
        <v>5.0</v>
      </c>
      <c r="BQ32" s="22">
        <v>5.0</v>
      </c>
      <c r="BR32" s="22">
        <v>4.0</v>
      </c>
      <c r="BS32" s="22"/>
      <c r="BT32" s="22">
        <v>4.0</v>
      </c>
      <c r="BU32" s="22"/>
      <c r="BV32" s="22">
        <v>3.0</v>
      </c>
      <c r="BW32" s="22">
        <v>2.0</v>
      </c>
      <c r="BX32" s="22"/>
      <c r="BY32" s="22">
        <v>1.0</v>
      </c>
      <c r="BZ32" s="22">
        <v>1.0</v>
      </c>
      <c r="CA32" s="22"/>
    </row>
    <row r="33">
      <c r="A33" s="22" t="s">
        <v>596</v>
      </c>
      <c r="B33" s="26" t="s">
        <v>13</v>
      </c>
      <c r="C33" s="26" t="s">
        <v>539</v>
      </c>
      <c r="Q33" s="32" t="s">
        <v>21</v>
      </c>
      <c r="R33" s="32" t="s">
        <v>21</v>
      </c>
      <c r="S33" s="32" t="s">
        <v>21</v>
      </c>
      <c r="T33" s="32" t="s">
        <v>21</v>
      </c>
      <c r="U33" s="32" t="s">
        <v>21</v>
      </c>
      <c r="V33" s="32" t="s">
        <v>21</v>
      </c>
      <c r="W33" s="32" t="s">
        <v>21</v>
      </c>
      <c r="X33" s="32" t="s">
        <v>21</v>
      </c>
      <c r="Y33" s="32" t="s">
        <v>21</v>
      </c>
      <c r="Z33" s="32" t="s">
        <v>21</v>
      </c>
      <c r="AB33" s="22">
        <v>4.0</v>
      </c>
      <c r="AD33" s="22">
        <v>3.0</v>
      </c>
      <c r="AE33" s="22">
        <v>3.0</v>
      </c>
      <c r="AF33" s="22"/>
      <c r="AG33" s="22">
        <v>3.0</v>
      </c>
      <c r="AI33" s="22">
        <v>3.0</v>
      </c>
      <c r="AJ33" s="22"/>
      <c r="AK33" s="22"/>
      <c r="AL33" s="22">
        <v>3.0</v>
      </c>
      <c r="AM33" s="22">
        <v>3.0</v>
      </c>
      <c r="AN33" s="22">
        <v>3.0</v>
      </c>
      <c r="AO33" s="22">
        <v>3.0</v>
      </c>
      <c r="AP33" s="22">
        <v>3.0</v>
      </c>
      <c r="AQ33" s="22">
        <v>7.0</v>
      </c>
      <c r="AR33" s="22">
        <v>7.0</v>
      </c>
      <c r="AS33" s="22">
        <v>7.0</v>
      </c>
      <c r="AT33" s="22"/>
      <c r="AU33" s="22">
        <v>7.0</v>
      </c>
      <c r="AV33" s="22"/>
      <c r="AW33" s="22">
        <v>7.0</v>
      </c>
      <c r="AX33" s="22">
        <v>7.0</v>
      </c>
      <c r="AY33" s="22">
        <v>7.0</v>
      </c>
      <c r="AZ33" s="22"/>
      <c r="BA33" s="22">
        <v>7.0</v>
      </c>
      <c r="BB33" s="22"/>
      <c r="BC33" s="22">
        <v>7.0</v>
      </c>
      <c r="BD33" s="22"/>
      <c r="BE33" s="22">
        <v>7.0</v>
      </c>
      <c r="BF33" s="22">
        <v>7.0</v>
      </c>
      <c r="BG33" s="22">
        <v>7.0</v>
      </c>
      <c r="BH33" s="22">
        <v>6.0</v>
      </c>
      <c r="BI33" s="22"/>
      <c r="BJ33" s="22">
        <v>6.0</v>
      </c>
      <c r="BK33" s="22">
        <v>6.0</v>
      </c>
      <c r="BL33" s="22">
        <v>6.0</v>
      </c>
      <c r="BM33" s="22">
        <v>6.0</v>
      </c>
      <c r="BN33" s="22">
        <v>6.0</v>
      </c>
      <c r="BO33" s="22"/>
      <c r="BP33" s="22">
        <v>5.0</v>
      </c>
      <c r="BQ33" s="22">
        <v>5.0</v>
      </c>
      <c r="BR33" s="22">
        <v>5.0</v>
      </c>
      <c r="BS33" s="22"/>
      <c r="BT33" s="22">
        <v>5.0</v>
      </c>
      <c r="BU33" s="22"/>
      <c r="BV33" s="22">
        <v>5.0</v>
      </c>
      <c r="BW33" s="22">
        <v>5.0</v>
      </c>
      <c r="BX33" s="22"/>
      <c r="BY33" s="22">
        <v>5.0</v>
      </c>
      <c r="BZ33" s="22">
        <v>5.0</v>
      </c>
      <c r="CA33" s="22"/>
    </row>
    <row r="34">
      <c r="A34" s="22" t="s">
        <v>596</v>
      </c>
      <c r="B34" s="26" t="s">
        <v>13</v>
      </c>
      <c r="C34" s="19" t="s">
        <v>625</v>
      </c>
      <c r="AD34" s="22">
        <v>0.0</v>
      </c>
      <c r="AE34" s="22">
        <v>0.0</v>
      </c>
      <c r="AF34" s="22"/>
      <c r="AG34" s="22">
        <v>0.0</v>
      </c>
      <c r="AI34" s="22">
        <v>0.0</v>
      </c>
      <c r="AJ34" s="22"/>
      <c r="AK34" s="22">
        <v>2.0</v>
      </c>
      <c r="AL34" s="22">
        <v>2.0</v>
      </c>
      <c r="AM34" s="22">
        <v>2.0</v>
      </c>
      <c r="AN34" s="22">
        <v>2.0</v>
      </c>
      <c r="AO34" s="22">
        <v>2.0</v>
      </c>
      <c r="AP34" s="22">
        <v>2.0</v>
      </c>
      <c r="AQ34" s="22">
        <v>3.0</v>
      </c>
      <c r="AR34" s="22">
        <v>3.0</v>
      </c>
      <c r="AS34" s="22">
        <v>3.0</v>
      </c>
      <c r="AT34" s="22"/>
      <c r="AU34" s="22">
        <v>3.0</v>
      </c>
      <c r="AV34" s="22"/>
      <c r="AW34" s="22">
        <v>3.0</v>
      </c>
      <c r="AX34" s="22">
        <v>3.0</v>
      </c>
      <c r="AY34" s="22">
        <v>3.0</v>
      </c>
      <c r="AZ34" s="22"/>
      <c r="BA34" s="22">
        <v>2.0</v>
      </c>
      <c r="BB34" s="22"/>
      <c r="BC34" s="22">
        <v>2.0</v>
      </c>
      <c r="BD34" s="22"/>
      <c r="BE34" s="22">
        <v>2.0</v>
      </c>
      <c r="BF34" s="22">
        <v>2.0</v>
      </c>
      <c r="BG34" s="22">
        <v>2.0</v>
      </c>
      <c r="BH34" s="22">
        <v>2.0</v>
      </c>
      <c r="BI34" s="22"/>
      <c r="BJ34" s="22">
        <v>2.0</v>
      </c>
      <c r="BK34" s="22">
        <v>2.0</v>
      </c>
      <c r="BL34" s="22">
        <v>2.0</v>
      </c>
      <c r="BM34" s="22">
        <v>2.0</v>
      </c>
      <c r="BN34" s="22">
        <v>2.0</v>
      </c>
      <c r="BO34" s="22"/>
      <c r="BP34" s="22">
        <v>2.0</v>
      </c>
      <c r="BQ34" s="22">
        <v>1.0</v>
      </c>
      <c r="BR34" s="22">
        <v>1.0</v>
      </c>
      <c r="BS34" s="22"/>
      <c r="BT34" s="22">
        <v>1.0</v>
      </c>
      <c r="BU34" s="22">
        <v>1.0</v>
      </c>
      <c r="BV34" s="22">
        <v>2.0</v>
      </c>
      <c r="BW34" s="22">
        <v>2.0</v>
      </c>
      <c r="BX34" s="22"/>
      <c r="BY34" s="22">
        <v>2.0</v>
      </c>
      <c r="BZ34" s="22">
        <v>2.0</v>
      </c>
      <c r="CA34" s="22"/>
    </row>
    <row r="35">
      <c r="A35" s="22" t="s">
        <v>596</v>
      </c>
      <c r="B35" s="26" t="s">
        <v>13</v>
      </c>
      <c r="C35" s="19" t="s">
        <v>626</v>
      </c>
      <c r="AD35" s="22">
        <v>0.0</v>
      </c>
      <c r="AE35" s="22">
        <v>0.0</v>
      </c>
      <c r="AF35" s="22"/>
      <c r="AG35" s="22">
        <v>0.0</v>
      </c>
      <c r="AI35" s="22">
        <v>0.0</v>
      </c>
      <c r="AJ35" s="22"/>
      <c r="AK35" s="22"/>
      <c r="AL35" s="22">
        <v>0.0</v>
      </c>
      <c r="AM35" s="22">
        <v>0.0</v>
      </c>
      <c r="AN35" s="22">
        <v>0.0</v>
      </c>
      <c r="AO35" s="22">
        <v>0.0</v>
      </c>
      <c r="AP35" s="22">
        <v>0.0</v>
      </c>
      <c r="AQ35" s="22">
        <v>4.0</v>
      </c>
      <c r="AR35" s="22">
        <v>4.0</v>
      </c>
      <c r="AS35" s="22">
        <v>2.0</v>
      </c>
      <c r="AT35" s="22"/>
      <c r="AU35" s="22">
        <v>2.0</v>
      </c>
      <c r="AV35" s="22"/>
      <c r="AW35" s="22">
        <v>2.0</v>
      </c>
      <c r="AX35" s="22">
        <v>0.0</v>
      </c>
      <c r="AY35" s="22">
        <v>0.0</v>
      </c>
      <c r="AZ35" s="22"/>
      <c r="BA35" s="22">
        <v>8.0</v>
      </c>
      <c r="BB35" s="22"/>
      <c r="BC35" s="22">
        <v>7.0</v>
      </c>
      <c r="BD35" s="22"/>
      <c r="BE35" s="22">
        <v>2.0</v>
      </c>
      <c r="BF35" s="22">
        <v>2.0</v>
      </c>
      <c r="BG35" s="22">
        <v>2.0</v>
      </c>
      <c r="BH35" s="22">
        <v>1.0</v>
      </c>
      <c r="BI35" s="22">
        <v>10.0</v>
      </c>
      <c r="BJ35" s="22">
        <v>10.0</v>
      </c>
      <c r="BK35" s="22">
        <v>8.0</v>
      </c>
      <c r="BL35" s="22">
        <v>8.0</v>
      </c>
      <c r="BM35" s="22">
        <v>6.0</v>
      </c>
      <c r="BN35" s="22">
        <v>6.0</v>
      </c>
      <c r="BO35" s="22"/>
      <c r="BP35" s="22">
        <v>3.0</v>
      </c>
      <c r="BQ35" s="22">
        <v>3.0</v>
      </c>
      <c r="BR35" s="22">
        <v>2.0</v>
      </c>
      <c r="BS35" s="22"/>
      <c r="BT35" s="22">
        <v>2.0</v>
      </c>
      <c r="BU35" s="22">
        <v>8.0</v>
      </c>
      <c r="BV35" s="22">
        <v>2.0</v>
      </c>
      <c r="BW35" s="22">
        <v>7.0</v>
      </c>
      <c r="BX35" s="22"/>
      <c r="BY35" s="22">
        <v>7.0</v>
      </c>
      <c r="BZ35" s="22">
        <v>4.0</v>
      </c>
      <c r="CA35" s="22"/>
    </row>
    <row r="36">
      <c r="A36" s="22" t="s">
        <v>596</v>
      </c>
      <c r="B36" s="26" t="s">
        <v>13</v>
      </c>
      <c r="C36" s="19" t="s">
        <v>627</v>
      </c>
      <c r="AK36" s="22">
        <v>4.0</v>
      </c>
      <c r="AL36" s="22">
        <v>4.0</v>
      </c>
      <c r="AM36" s="22">
        <v>3.0</v>
      </c>
      <c r="AN36" s="22">
        <v>3.0</v>
      </c>
      <c r="AO36" s="22">
        <v>2.0</v>
      </c>
      <c r="AP36" s="22">
        <v>2.0</v>
      </c>
      <c r="AQ36" s="22">
        <v>4.0</v>
      </c>
      <c r="AR36" s="22">
        <v>4.0</v>
      </c>
      <c r="AS36" s="22">
        <v>4.0</v>
      </c>
      <c r="AT36" s="22"/>
      <c r="AU36" s="22">
        <v>4.0</v>
      </c>
      <c r="AV36" s="22"/>
      <c r="AW36" s="22">
        <v>4.0</v>
      </c>
      <c r="AX36" s="22">
        <v>4.0</v>
      </c>
      <c r="AY36" s="22">
        <v>4.0</v>
      </c>
      <c r="AZ36" s="22"/>
      <c r="BA36" s="22">
        <v>4.0</v>
      </c>
      <c r="BB36" s="22"/>
      <c r="BC36" s="22">
        <v>4.0</v>
      </c>
      <c r="BD36" s="22"/>
      <c r="BE36" s="22">
        <v>4.0</v>
      </c>
      <c r="BF36" s="22">
        <v>4.0</v>
      </c>
      <c r="BG36" s="22">
        <v>4.0</v>
      </c>
      <c r="BH36" s="22">
        <v>4.0</v>
      </c>
      <c r="BI36" s="22"/>
      <c r="BJ36" s="22">
        <v>4.0</v>
      </c>
      <c r="BK36" s="22">
        <v>4.0</v>
      </c>
      <c r="BL36" s="22">
        <v>4.0</v>
      </c>
      <c r="BM36" s="22">
        <v>4.0</v>
      </c>
      <c r="BN36" s="22">
        <v>4.0</v>
      </c>
      <c r="BO36" s="22"/>
      <c r="BP36" s="22">
        <v>4.0</v>
      </c>
      <c r="BQ36" s="22">
        <v>4.0</v>
      </c>
      <c r="BR36" s="22">
        <v>4.0</v>
      </c>
      <c r="BS36" s="22"/>
      <c r="BT36" s="22">
        <v>4.0</v>
      </c>
      <c r="BU36" s="22"/>
      <c r="BV36" s="22">
        <v>9.0</v>
      </c>
      <c r="BW36" s="22">
        <v>4.0</v>
      </c>
      <c r="BX36" s="22"/>
      <c r="BY36" s="22">
        <v>4.0</v>
      </c>
      <c r="BZ36" s="22">
        <v>4.0</v>
      </c>
      <c r="CA36" s="22"/>
    </row>
    <row r="37">
      <c r="A37" s="22" t="s">
        <v>596</v>
      </c>
      <c r="B37" s="26" t="s">
        <v>13</v>
      </c>
      <c r="C37" s="19" t="s">
        <v>628</v>
      </c>
      <c r="AL37" s="22">
        <v>2.0</v>
      </c>
      <c r="AM37" s="22">
        <v>2.0</v>
      </c>
      <c r="AN37" s="22">
        <v>2.0</v>
      </c>
      <c r="AO37" s="22">
        <v>2.0</v>
      </c>
      <c r="AP37" s="22">
        <v>2.0</v>
      </c>
      <c r="AQ37" s="22">
        <v>3.0</v>
      </c>
      <c r="AR37" s="22">
        <v>3.0</v>
      </c>
      <c r="AS37" s="22">
        <v>3.0</v>
      </c>
      <c r="AT37" s="22"/>
      <c r="AU37" s="22">
        <v>3.0</v>
      </c>
      <c r="AV37" s="22"/>
      <c r="AW37" s="22">
        <v>3.0</v>
      </c>
      <c r="AX37" s="22">
        <v>3.0</v>
      </c>
      <c r="AY37" s="22">
        <v>3.0</v>
      </c>
      <c r="AZ37" s="22"/>
      <c r="BA37" s="22">
        <v>3.0</v>
      </c>
      <c r="BB37" s="22"/>
      <c r="BC37" s="22">
        <v>3.0</v>
      </c>
      <c r="BD37" s="22"/>
      <c r="BE37" s="22">
        <v>3.0</v>
      </c>
      <c r="BF37" s="22">
        <v>3.0</v>
      </c>
      <c r="BG37" s="22">
        <v>3.0</v>
      </c>
      <c r="BH37" s="22">
        <v>3.0</v>
      </c>
      <c r="BI37" s="22">
        <v>1.0</v>
      </c>
      <c r="BJ37" s="22">
        <v>4.0</v>
      </c>
      <c r="BK37" s="22">
        <v>3.0</v>
      </c>
      <c r="BL37" s="22">
        <v>3.0</v>
      </c>
      <c r="BM37" s="22">
        <v>3.0</v>
      </c>
      <c r="BN37" s="22">
        <v>3.0</v>
      </c>
      <c r="BO37" s="22"/>
      <c r="BP37" s="22">
        <v>3.0</v>
      </c>
      <c r="BQ37" s="22">
        <v>3.0</v>
      </c>
      <c r="BR37" s="22">
        <v>3.0</v>
      </c>
      <c r="BS37" s="22"/>
      <c r="BT37" s="22">
        <v>3.0</v>
      </c>
      <c r="BU37" s="22"/>
      <c r="BV37" s="22">
        <v>3.0</v>
      </c>
      <c r="BW37" s="22">
        <v>3.0</v>
      </c>
      <c r="BX37" s="22"/>
      <c r="BY37" s="22">
        <v>3.0</v>
      </c>
      <c r="BZ37" s="22">
        <v>3.0</v>
      </c>
      <c r="CA37" s="22"/>
    </row>
    <row r="38">
      <c r="A38" s="22" t="s">
        <v>596</v>
      </c>
      <c r="B38" s="26" t="s">
        <v>13</v>
      </c>
      <c r="C38" s="19" t="s">
        <v>629</v>
      </c>
      <c r="BI38" s="22">
        <v>2.0</v>
      </c>
      <c r="BJ38" s="22">
        <v>2.0</v>
      </c>
      <c r="BK38" s="22">
        <v>0.0</v>
      </c>
      <c r="BL38" s="22">
        <v>0.0</v>
      </c>
      <c r="BM38" s="22">
        <v>0.0</v>
      </c>
      <c r="BN38" s="22">
        <v>0.0</v>
      </c>
      <c r="BO38" s="22"/>
      <c r="BP38" s="22">
        <v>0.0</v>
      </c>
      <c r="BQ38" s="22">
        <v>0.0</v>
      </c>
      <c r="BR38" s="22">
        <v>0.0</v>
      </c>
      <c r="BS38" s="22"/>
      <c r="BT38" s="22">
        <v>0.0</v>
      </c>
      <c r="BU38" s="22">
        <v>3.0</v>
      </c>
      <c r="BV38" s="22">
        <v>3.0</v>
      </c>
      <c r="BW38" s="22">
        <v>3.0</v>
      </c>
      <c r="BX38" s="22"/>
      <c r="BY38" s="22">
        <v>3.0</v>
      </c>
      <c r="BZ38" s="22">
        <v>3.0</v>
      </c>
      <c r="CA38" s="22"/>
    </row>
    <row r="39">
      <c r="A39" s="22" t="s">
        <v>596</v>
      </c>
      <c r="B39" s="26" t="s">
        <v>13</v>
      </c>
      <c r="C39" s="19" t="s">
        <v>630</v>
      </c>
      <c r="BR39" s="22">
        <v>2.0</v>
      </c>
      <c r="BT39" s="22">
        <v>2.0</v>
      </c>
      <c r="BV39" s="22">
        <v>2.0</v>
      </c>
      <c r="BW39" s="22">
        <v>2.0</v>
      </c>
      <c r="BX39" s="22"/>
      <c r="BY39" s="22">
        <v>2.0</v>
      </c>
      <c r="BZ39" s="22">
        <v>2.0</v>
      </c>
      <c r="CA39" s="22"/>
    </row>
    <row r="40">
      <c r="A40" s="22" t="s">
        <v>596</v>
      </c>
      <c r="B40" s="26" t="s">
        <v>13</v>
      </c>
      <c r="C40" s="19" t="s">
        <v>31</v>
      </c>
      <c r="BR40" s="22">
        <v>3.0</v>
      </c>
      <c r="BT40" s="22">
        <v>3.0</v>
      </c>
      <c r="BV40" s="22">
        <v>3.0</v>
      </c>
      <c r="BW40" s="22">
        <v>3.0</v>
      </c>
      <c r="BX40" s="22"/>
      <c r="BY40" s="22">
        <v>3.0</v>
      </c>
      <c r="BZ40" s="22">
        <v>3.0</v>
      </c>
      <c r="CA40" s="22"/>
    </row>
  </sheetData>
  <dataValidations>
    <dataValidation type="list" allowBlank="1" showErrorMessage="1" sqref="B12:B40">
      <formula1>"Cafeteria,Aseo"</formula1>
    </dataValidation>
    <dataValidation type="list" allowBlank="1" showErrorMessage="1" sqref="B4:B11">
      <formula1>"Dimerc,Corporate Coffe"</formula1>
    </dataValidation>
  </dataValidations>
  <drawing r:id="rId4"/>
  <legacyDrawing r:id="rId5"/>
</worksheet>
</file>