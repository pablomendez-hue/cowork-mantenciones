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" sheetId="1" r:id="rId5"/>
    <sheet state="visible" name="SANTA LUCIA" sheetId="2" r:id="rId6"/>
    <sheet state="visible" name="SANTA ROSA " sheetId="3" r:id="rId7"/>
    <sheet state="visible" name="PLAZA EGAÑA" sheetId="4" r:id="rId8"/>
    <sheet state="visible" name="NEOHAUS" sheetId="5" r:id="rId9"/>
    <sheet state="hidden" name="MANUEL MONTT 2 &amp; 5" sheetId="6" r:id="rId10"/>
    <sheet state="visible" name="SUECIA 7 &amp; 8" sheetId="7" r:id="rId11"/>
    <sheet state="visible" name="FLORIDA CENTER" sheetId="8" r:id="rId12"/>
    <sheet state="visible" name="TOBALABA 3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tc={0528c1fc-5d47-4165-b033-595b6a771c3f}</author>
    <author>tc={140b31f4-922d-4503-b5cd-36aed8546025}</author>
    <author>tc={32ed1e97-4f4a-46ea-9b13-4bf905a88255}</author>
    <author>tc={33d2d8c1-37f0-4598-bf32-30f6ff69a10d}</author>
    <author>tc={397b03b2-ace7-4486-a4f1-e7984a54ef33}</author>
    <author>tc={3f5dd7e1-ad0d-4b68-b708-ac91011b7b3d}</author>
    <author>tc={4314a0aa-c15d-42a1-a908-06a5f421e7fe}</author>
    <author>tc={5c950c27-6b1f-4c83-861b-f6f22dd91ffc}</author>
    <author>tc={6e38ffc6-cbf4-438e-88b1-e4825072e084}</author>
    <author>tc={8533880f-0970-4f10-be14-92b4698730f7}</author>
    <author>tc={9441ed3a-c02f-4b24-907b-62e576e8e120}</author>
    <author>tc={996213ab-caa8-47b1-a701-8cb2260e4a0b}</author>
    <author>tc={b7090783-d084-4fb4-a7a7-5ebdd4ed5ab6}</author>
    <author>tc={c0956277-1230-477e-b11c-7fedf03c5db1}</author>
    <author>tc={c8cbf017-e342-4984-b2bc-be6eb63af924}</author>
    <author>tc={ca554870-5e56-401f-a412-319b0f87cd0d}</author>
    <author>tc={d3f2deeb-27e5-4889-a3ab-5bf846739573}</author>
    <author>tc={e76961a2-7d08-4510-ae22-e49f9ec81bea}</author>
  </authors>
  <commentList>
    <comment authorId="0" xr:uid="{0528c1fc-5d47-4165-b033-595b6a771c3f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Berta me trajo una resma el día de ayer
</t>
      </text>
    </comment>
    <comment authorId="1" xr:uid="{140b31f4-922d-4503-b5cd-36aed854602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Desde noviembre Kiber ya no tiene cafetera
Reply:
	Gracias Lesnard por la información!
</t>
      </text>
    </comment>
    <comment authorId="2" xr:uid="{32ed1e97-4f4a-46ea-9b13-4bf905a88255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16
70X90: 28
</t>
      </text>
    </comment>
    <comment authorId="3" xr:uid="{33d2d8c1-37f0-4598-bf32-30f6ff69a1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16
70x90: 28
</t>
      </text>
    </comment>
    <comment authorId="4" xr:uid="{397b03b2-ace7-4486-a4f1-e7984a54ef3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19 paq
50x70: 7 paq
80x110: 2 paq
</t>
      </text>
    </comment>
    <comment authorId="5" xr:uid="{3f5dd7e1-ad0d-4b68-b708-ac91011b7b3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19 paq
50x70: 7 paq
80x110: 2 paq
</t>
      </text>
    </comment>
    <comment authorId="6" xr:uid="{4314a0aa-c15d-42a1-a908-06a5f421e7f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19 paq
50x70: 7 paq
80x110: 2 paq
</t>
      </text>
    </comment>
    <comment authorId="7" xr:uid="{5c950c27-6b1f-4c83-861b-f6f22dd91ff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17
70X90: 28
</t>
      </text>
    </comment>
    <comment authorId="8" xr:uid="{6e38ffc6-cbf4-438e-88b1-e4825072e08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7
70x90: 24
50x70: 15
</t>
      </text>
    </comment>
    <comment authorId="9" xr:uid="{8533880f-0970-4f10-be14-92b4698730f7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70x90: 23
80x110: 4
</t>
      </text>
    </comment>
    <comment authorId="10" xr:uid="{9441ed3a-c02f-4b24-907b-62e576e8e120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80x110: 4
70x90: 20
</t>
      </text>
    </comment>
    <comment authorId="11" xr:uid="{996213ab-caa8-47b1-a701-8cb2260e4a0b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4
70x90: 10
50x70: 8
</t>
      </text>
    </comment>
    <comment authorId="12" xr:uid="{b7090783-d084-4fb4-a7a7-5ebdd4ed5ab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8
80x110: 3
50x70: 6
</t>
      </text>
    </comment>
    <comment authorId="13" xr:uid="{c0956277-1230-477e-b11c-7fedf03c5db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14
80x110: 0
70x90: 19
</t>
      </text>
    </comment>
    <comment authorId="14" xr:uid="{c8cbf017-e342-4984-b2bc-be6eb63af924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24
80x110: 5
50x70: 14
</t>
      </text>
    </comment>
    <comment authorId="15" xr:uid="{ca554870-5e56-401f-a412-319b0f87cd0d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17
70x90: 26
</t>
      </text>
    </comment>
    <comment authorId="16" xr:uid="{d3f2deeb-27e5-4889-a3ab-5bf846739573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80x110: 0
70x90: 20
</t>
      </text>
    </comment>
    <comment authorId="17" xr:uid="{e76961a2-7d08-4510-ae22-e49f9ec81be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70x90: 23
80x110: 4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tc={20a4e379-12ea-4982-8ca8-3d5504cf0694}</author>
    <author>tc={34df70bb-1658-4f46-8eac-98f27394cf10}</author>
    <author>tc={7751354a-d388-4fa9-84a2-33dcab5d5675}</author>
    <author>tc={784c25ac-9e66-4cd4-8e88-59973dc6e919}</author>
    <author>tc={85e01984-6aca-40f2-85b7-45e037787617}</author>
    <author>tc={8cbb349f-d3bb-478f-9f9c-f2901502baff}</author>
    <author>tc={8fa90d7d-911b-4fcb-a051-c204008a0654}</author>
    <author>tc={a6f16128-313b-45f8-8faf-1545ebc19ff9}</author>
    <author>tc={c3b412da-a7fc-468f-89a1-63851749737e}</author>
    <author>tc={de28cea1-951a-415f-bce8-1d740295c398}</author>
  </authors>
  <commentList>
    <comment authorId="0" xr:uid="{20a4e379-12ea-4982-8ca8-3d5504cf0694}" ref="A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prestaron 2 paquetes a londres
</t>
      </text>
    </comment>
    <comment authorId="1" xr:uid="{34df70bb-1658-4f46-8eac-98f27394cf10}" ref="AZ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Berta se lleva 2 toallas para la Florida
</t>
      </text>
    </comment>
    <comment authorId="2" xr:uid="{7751354a-d388-4fa9-84a2-33dcab5d5675}" ref="Q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
</t>
      </text>
    </comment>
    <comment authorId="3" xr:uid="{784c25ac-9e66-4cd4-8e88-59973dc6e919}" ref="AH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prestaron 2 paquetes a londres
</t>
      </text>
    </comment>
    <comment authorId="4" xr:uid="{85e01984-6aca-40f2-85b7-45e037787617}" ref="P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
</t>
      </text>
    </comment>
    <comment authorId="5" xr:uid="{8cbb349f-d3bb-478f-9f9c-f2901502baff}" ref="AH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la caja de las resma venía mojada, por lo que rechace ese bulto
</t>
      </text>
    </comment>
    <comment authorId="6" xr:uid="{8fa90d7d-911b-4fcb-a051-c204008a0654}" ref="AQ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
</t>
      </text>
    </comment>
    <comment authorId="7" xr:uid="{a6f16128-313b-45f8-8faf-1545ebc19ff9}" ref="BH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18/02
</t>
      </text>
    </comment>
    <comment authorId="8" xr:uid="{c3b412da-a7fc-468f-89a1-63851749737e}" ref="T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
Asignada a pablo.mendez@co-work.cl
Reply:
	Gracias Jacque ya estan iniciando pedido de insumos
Reply:
	gracia Mafe!
</t>
      </text>
    </comment>
    <comment authorId="9" xr:uid="{de28cea1-951a-415f-bce8-1d740295c398}" ref="AH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prestaron 2 paquetes a londres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tc={d2793a1b-2f91-461a-ad63-7394f1f7f7a2}</author>
  </authors>
  <commentList>
    <comment authorId="0" xr:uid="{d2793a1b-2f91-461a-ad63-7394f1f7f7a2}" ref="E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@luisana.pulido@co-work.cl  Holaa Luisana! porfavor actulizar con lo tengas disponible, gracias!!!
Asignada a luisana.pulido@co-work.cl
Reply:
	Hola @maria.fernanda@co-work.cl listado actualizado, Saludos !!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tc={1758c057-6c28-4715-9d33-4157256f2e37}</author>
    <author>tc={55d47337-70e1-491d-801e-cf2b5c5df7fa}</author>
    <author>tc={a346d2df-c0a0-496d-bd39-96c3e58da411}</author>
  </authors>
  <commentList>
    <comment authorId="0" ref="AC14">
      <text>
        <t xml:space="preserve">paquete de 50*70</t>
      </text>
    </comment>
    <comment authorId="0" ref="AE14">
      <text>
        <t xml:space="preserve">paquete de 50*70</t>
      </text>
    </comment>
    <comment authorId="0" ref="AF14">
      <text>
        <t xml:space="preserve">paquete de 50*70</t>
      </text>
    </comment>
    <comment authorId="0" ref="AG14">
      <text>
        <t xml:space="preserve">paquete de 50*70</t>
      </text>
    </comment>
    <comment authorId="1" xr:uid="{1758c057-6c28-4715-9d33-4157256f2e37}" ref="C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Hola! favor empezar a separar por tamaño. Gracias!
</t>
      </text>
    </comment>
    <comment authorId="2" xr:uid="{55d47337-70e1-491d-801e-cf2b5c5df7fa}" ref="A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@milecsy.blanco@coworklatam.com  Hola Milecsy! mañana hacen despacho de café e insumos!
Asignada a milecsy.blanco@coworklatam.com
Reply:
	hola maria fernanda como estas 
hoy llego insumo de papeleria
Reply:
	@milecsy.blanco@coworklatam.com  super! mañana deberia llegar lo restante entonces
</t>
      </text>
    </comment>
    <comment authorId="3" xr:uid="{a346d2df-c0a0-496d-bd39-96c3e58da411}" ref="AF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@milecsy.blanco@coworklatam.com  Hola Milecsy! recordatorio para completar! graciass
Asignada a milecsy.blanco@coworklatam.com
Reply:
	hola maria fernanda como estas el dia de ayer estuve de dia administrativo en el transcurso de la mañana te dejo actualizada la planilla
Reply:
	super  gracias!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tc={2a09b5c8-980f-4e55-bb89-c9d24f3939ba}</author>
    <author>tc={2b528a4b-3f3d-4a48-a2c5-56f0acb6427e}</author>
    <author>tc={9495e0ef-94a6-4f1d-bcff-06a8c16ae3b0}</author>
  </authors>
  <commentList>
    <comment authorId="0" xr:uid="{2a09b5c8-980f-4e55-bb89-c9d24f3939ba}" ref="A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@armando.gutierrez@co-work.cl  Hola Armando porfis actualizar con las cosas de ayer! graciass
Asignada a armando.gutierrez@co-work.cl
Reply:
	Listo.
</t>
      </text>
    </comment>
    <comment authorId="1" xr:uid="{2b528a4b-3f3d-4a48-a2c5-56f0acb6427e}" ref="AB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@armando.gutierrez@co-work.cl  Hola Armando! porfavorr recordatorio para actulizar. gracias!
Asignada a armando.gutierrez@co-work.cl
</t>
      </text>
    </comment>
    <comment authorId="2" xr:uid="{9495e0ef-94a6-4f1d-bcff-06a8c16ae3b0}" ref="A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@armando.gutierrez@co-work.cl   Hola Armando! porfis actulizar, gracias!!!
Asignada a armando.gutierrez@co-work.cl
Reply:
	listo
Reply:
	Listo
Reply:
	Marcado como completado
Reply:
	Listo
Reabierto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tc={0b29f910-5d40-412c-bf9b-718b07f45027}</author>
    <author>tc={0d95cfa4-45f8-4d09-9e74-f18baa2198e5}</author>
    <author>tc={16b1eac9-25e9-4c60-894e-48abea178492}</author>
    <author>tc={2972c4b9-d885-41c4-b0e7-10724543cf34}</author>
    <author>tc={4a0daf8b-272c-4b8a-a380-86fdf7cfe309}</author>
    <author>tc={51fbc66f-fdb9-4fca-babe-c3e1a12653d9}</author>
    <author>tc={85c998d2-dd5f-4cdd-a9a7-a9540e3af603}</author>
    <author>tc={aa2ffceb-de1b-4271-8fa8-6c4992e141ab}</author>
    <author>tc={b60f92d1-0d8d-4951-937d-6b9a70122873}</author>
    <author>tc={d44b517e-41e3-4e70-9fe4-e0dfb51e89c6}</author>
    <author>tc={d513fe46-dddd-4a90-98cc-10aa0858633b}</author>
    <author>tc={de131759-b732-4eae-93f1-545561a17e78}</author>
  </authors>
  <commentList>
    <comment authorId="0" xr:uid="{0b29f910-5d40-412c-bf9b-718b07f45027}" ref="U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 hola, pronto a agotarse
</t>
      </text>
    </comment>
    <comment authorId="1" xr:uid="{0d95cfa4-45f8-4d09-9e74-f18baa2198e5}" ref="AT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tomaron del piso 5
</t>
      </text>
    </comment>
    <comment authorId="2" xr:uid="{16b1eac9-25e9-4c60-894e-48abea178492}" ref="AR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Hoy llegaron 5 Kg p/2
</t>
      </text>
    </comment>
    <comment authorId="3" xr:uid="{2972c4b9-d885-41c4-b0e7-10724543cf34}" ref="AD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el 19/11
</t>
      </text>
    </comment>
    <comment authorId="4" xr:uid="{4a0daf8b-272c-4b8a-a380-86fdf7cfe309}" ref="AC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Operaciones envió 2 kilos y medio. Se repartió 1KG para cada piso y 500 grs se coloxcaron en la cafetera
Reply:
	@ysabel.villarroel@co-work.cl  Hola Ysa! , les llegaron solo 2,5kg entonces??
Reply:
	No, eso fue por la emergencia. En este momento estoy recibiendo 8 KG de Café Caribe
Reply:
	Allí te actualicé. Es para que puedan comprender porque de 0 pasó a 1 y luego a 5KG
Reply:
	Listo gracias!
Reply:
	A ti
</t>
      </text>
    </comment>
    <comment authorId="5" xr:uid="{51fbc66f-fdb9-4fca-babe-c3e1a12653d9}" ref="AD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el 19/11
</t>
      </text>
    </comment>
    <comment authorId="6" xr:uid="{85c998d2-dd5f-4cdd-a9a7-a9540e3af603}" ref="AC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@ysabel.villarroel@co-work.cl  Hola Ysa! mañana 18/11 llegan los insumos y cafeteria!
Asignada a ysabel.villarroel@co-work.cl
Reply:
	Hola Mary. Muchísimas gracias 😊 linda tarde
</t>
      </text>
    </comment>
    <comment authorId="7" xr:uid="{aa2ffceb-de1b-4271-8fa8-6c4992e141ab}" ref="AJ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café 2/12
</t>
      </text>
    </comment>
    <comment authorId="8" xr:uid="{b60f92d1-0d8d-4951-937d-6b9a70122873}" ref="AD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el 19/11
</t>
      </text>
    </comment>
    <comment authorId="9" xr:uid="{d44b517e-41e3-4e70-9fe4-e0dfb51e89c6}" ref="AD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el 19/11
</t>
      </text>
    </comment>
    <comment authorId="10" xr:uid="{d513fe46-dddd-4a90-98cc-10aa0858633b}" ref="AR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07/01/26 Operaciones se llevó 4 Kg. Hoy 08/01/26 llegaron 5 KG
</t>
      </text>
    </comment>
    <comment authorId="11" xr:uid="{de131759-b732-4eae-93f1-545561a17e78}" ref="AO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Llegó el viernes 19/12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tc={03487904-be03-4764-853f-e2ccb4a8864c}</author>
    <author>tc={0b487c48-0cd7-48c8-a144-76f5d1c1322c}</author>
    <author>tc={10443ae0-a904-45a3-98cd-ca8fc87a2ea5}</author>
    <author>tc={149cafb0-856a-423a-9396-e33af85be5bb}</author>
    <author>tc={4f7fa5d1-d5f3-4a41-865c-d612ec69a261}</author>
    <author>tc={5386aa75-99e5-4c3e-8da8-d60345f12a4a}</author>
    <author>tc={562ea895-e174-4c16-b20c-7ddb59cbc870}</author>
    <author>tc={6d3ecbb4-30ad-481a-91c6-1eb73db0b93a}</author>
    <author>tc={75096ea5-630e-4ec2-8a58-70249c1f7bdf}</author>
    <author>tc={83ae7670-4824-4ef7-a3c1-0dc45b41300a}</author>
    <author>tc={c0060661-e039-4ef9-90c4-7e12eee2c45c}</author>
    <author>tc={cb203843-8401-4d38-bf23-e4cac1999de1}</author>
    <author>tc={e139f19a-c8ad-465f-b4cd-920389adbc27}</author>
    <author>tc={e1b1fcc3-c8c4-4730-ba5f-11106207a783}</author>
    <author>tc={e8d1457a-5bd0-42d7-b8ba-a029710f9649}</author>
    <author>tc={f531a5bb-0767-4831-a6b1-aec2130f011a}</author>
    <author>tc={f8040c73-2ed1-48d1-89c5-a54493abeb30}</author>
  </authors>
  <commentList>
    <comment authorId="0" xr:uid="{03487904-be03-4764-853f-e2ccb4a8864c}" ref="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hola! por favor empezar a separa por tamaño, gracias!
</t>
      </text>
    </comment>
    <comment authorId="1" xr:uid="{0b487c48-0cd7-48c8-a144-76f5d1c1322c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martes 06 di 2 kilos para Tobalaba, a la fecha quedo con 7 kilos en piso 8
Reply:
	Gracias! gestionamos para reponer!
</t>
      </text>
    </comment>
    <comment authorId="2" xr:uid="{10443ae0-a904-45a3-98cd-ca8fc87a2ea5}" ref="AS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3" xr:uid="{149cafb0-856a-423a-9396-e33af85be5bb}" ref="AQ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22/01: llegó pedido, todo fue sumado para piso 8 pero voy resolviendo con eso para los dos pisos cuando necesito
Reply:
	Gracias por la info!!
</t>
      </text>
    </comment>
    <comment authorId="4" xr:uid="{4f7fa5d1-d5f3-4a41-865c-d612ec69a261}" ref="A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Tenía 22 paquetes al día de hoy, pero, operaciones se llevó 2 paquetes para Kennedy
</t>
      </text>
    </comment>
    <comment authorId="5" xr:uid="{5386aa75-99e5-4c3e-8da8-d60345f12a4a}" ref="AS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6" xr:uid="{562ea895-e174-4c16-b20c-7ddb59cbc870}" ref="AT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7" xr:uid="{6d3ecbb4-30ad-481a-91c6-1eb73db0b93a}" ref="AT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8" xr:uid="{75096ea5-630e-4ec2-8a58-70249c1f7bdf}" ref="AS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9" xr:uid="{83ae7670-4824-4ef7-a3c1-0dc45b41300a}" ref="A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10" xr:uid="{c0060661-e039-4ef9-90c4-7e12eee2c45c}" ref="AR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Operaciones tomó 2 paquetes para poder cubrir en otra sede (
</t>
      </text>
    </comment>
    <comment authorId="11" xr:uid="{cb203843-8401-4d38-bf23-e4cac1999de1}" ref="AM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llegaron 5 kilos hoy para piso 8
</t>
      </text>
    </comment>
    <comment authorId="12" xr:uid="{e139f19a-c8ad-465f-b4cd-920389adbc27}" ref="A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13" xr:uid="{e1b1fcc3-c8c4-4730-ba5f-11106207a783}" ref="AS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14" xr:uid="{e8d1457a-5bd0-42d7-b8ba-a029710f9649}" ref="BA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los dos son de piso 8
</t>
      </text>
    </comment>
    <comment authorId="15" xr:uid="{f531a5bb-0767-4831-a6b1-aec2130f011a}" ref="AS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paquetes de 10
</t>
      </text>
    </comment>
    <comment authorId="16" xr:uid="{f8040c73-2ed1-48d1-89c5-a54493abeb30}" ref="AM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llegaron 3 kilos hoy para piso 7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tc={0fa884de-358b-4e1b-8df9-17306099c9b9}</author>
    <author>tc={199cb409-c715-4b5b-8d73-6e843438f692}</author>
    <author>tc={1c320892-d515-4548-ac68-21aab52bbf73}</author>
    <author>tc={31143fc6-0c53-4865-9acf-c46f48c557cc}</author>
    <author>tc={451bf166-a7da-46d2-930b-2ad860775561}</author>
    <author>tc={67b2b0c8-8851-4a97-9169-1fcf80ba2885}</author>
    <author>tc={7952491a-d2e6-4137-baad-13bd3b35b782}</author>
    <author>tc={79ade9fd-6294-4db8-83b5-230d4938a2f5}</author>
    <author>tc={8861197d-4ca3-4a9a-bbc2-f84fc28e35af}</author>
  </authors>
  <commentList>
    <comment authorId="0" xr:uid="{0fa884de-358b-4e1b-8df9-17306099c9b9}" ref="AL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El día de ayer me quede sin vasos por lo que tuve que comprar 100 más. Esta semana tuve muchas visitas en salas de reunión a externos + coworker y sus invitados
</t>
      </text>
    </comment>
    <comment authorId="1" xr:uid="{199cb409-c715-4b5b-8d73-6e843438f692}" ref="AD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@maria.fernanda@co-work.cl Berta se llevo 4 bolsitas para Plaza Egaña 26/11
Asignada a maria.fernanda@co-work.cl
</t>
      </text>
    </comment>
    <comment authorId="2" xr:uid="{1c320892-d515-4548-ac68-21aab52bbf73}" ref="AG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Berta. trajo el día 11
</t>
      </text>
    </comment>
    <comment authorId="3" xr:uid="{31143fc6-0c53-4865-9acf-c46f48c557cc}" ref="AD1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@maria.fernanda@co-work.cl El papel higiénico, lo repone Mall por ahora
Asignada a maria.fernanda@co-work.cl
Reply:
	listo gracias lenn!
</t>
      </text>
    </comment>
    <comment authorId="4" xr:uid="{451bf166-a7da-46d2-930b-2ad860775561}" ref="AR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Berta trajo dos paquetes de Dos unidades C/U
</t>
      </text>
    </comment>
    <comment authorId="5" xr:uid="{67b2b0c8-8851-4a97-9169-1fcf80ba2885}" ref="A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@lennis@co-work.cl  hola Lenn! recordatorio jeje gracias!
Asignada a lennis@co-work.cl
Reply:
	Hola Mafe, si lo de esta semana te lo lleno el miercoles que salgo de vacaciones, te parece? y luego el lunes sigueinte dejo actualizado
Reply:
	Ahh yapi super ningun problema , gracias!!
</t>
      </text>
    </comment>
    <comment authorId="6" xr:uid="{7952491a-d2e6-4137-baad-13bd3b35b782}" ref="AB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@lennis@co-work.cl  Hola Lenn! mañana llega cafe e insumos! porfis, si gustas la puedes completar mañana que llegan las cosas!
Asignada a lennis@co-work.cl
Reply:
	Hola mi Mafe, super mañana te lo dejo actualizado
</t>
      </text>
    </comment>
    <comment authorId="7" xr:uid="{79ade9fd-6294-4db8-83b5-230d4938a2f5}" ref="A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compraron con caja chica hoy @maria.fernanda@co-work.cl
</t>
      </text>
    </comment>
    <comment authorId="8" xr:uid="{8861197d-4ca3-4a9a-bbc2-f84fc28e35af}" ref="AJ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@lennis@co-work.cl  Hola Lenn! porfavor actulizar , gracias!!
Reply:
	Hola Mafe, si hoy actualizo olvide subirlo ayer. Perdona
Reply:
	Tranquii gracias!!!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tc={107e76a4-a81c-4474-8c4f-049982e5c54e}</author>
    <author>tc={197a3db1-aea4-411e-af2b-7927b4a5afd9}</author>
    <author>tc={25fd131f-ed0e-43d4-abcc-7d5096507daf}</author>
    <author>tc={2c969aba-7f8c-4fc9-bc56-870fd82167f8}</author>
    <author>tc={2cf49cae-e79f-415a-b804-b8e853fa4e1e}</author>
    <author>tc={2e7fc400-2d53-4053-b7d2-e401407a5674}</author>
    <author>tc={31a15c60-041a-4e41-b9c9-98457cec9cbc}</author>
    <author>tc={418e21a8-7253-4ce5-94e8-0afcfd639779}</author>
    <author>tc={43fcb02b-9d06-4445-9fcf-1ba19368a4fc}</author>
    <author>tc={45eb83fb-f609-4599-b7dd-7364ff64f6df}</author>
    <author>tc={46a3bbe2-e76f-4745-ac07-dd369ebade74}</author>
    <author>tc={473c2936-98dd-4a2f-bead-27a9438f3b8b}</author>
    <author>tc={4f17215b-1497-407e-9567-8fa0845e7039}</author>
    <author>tc={52908377-cec2-4b63-9dff-fe057179fc26}</author>
    <author>tc={577cdb4f-ea0b-4a1d-8dd3-ec872e30e3b7}</author>
    <author>tc={5df2b4af-40ce-4ad0-a21a-8b7361eda36e}</author>
    <author>tc={5e3bf1c8-d501-4ca6-905e-b9b55040bac3}</author>
    <author>tc={612ff1b6-037f-42f4-ad32-1c0e4d8e4a30}</author>
    <author>tc={696b423d-5839-413c-8fe5-e9a78776d2d0}</author>
    <author>tc={6c6820b5-76b8-4707-a33b-c67fd5d5f64d}</author>
    <author>tc={72e20257-e3c9-4db4-b16c-dad03b21fb2f}</author>
    <author>tc={756f092a-be85-4702-8ec1-00c9de3205ee}</author>
    <author>tc={76481432-ca08-4b23-9fd9-892b3aed8e23}</author>
    <author>tc={796e2d19-d244-4634-be05-7d1a55390062}</author>
    <author>tc={7a934f60-dbbb-480b-8248-2175db55860e}</author>
    <author>tc={7ad26c49-c7f0-486b-96de-f9bbd363f6dc}</author>
    <author>tc={961b1cce-bca1-4004-8c28-7ea46625bfa7}</author>
    <author>tc={99a2b9ea-6600-4f04-a95d-9f54a4d40e80}</author>
    <author>tc={9bfad79f-e37b-438e-81cb-0d12a66cc595}</author>
    <author>tc={a0d6d10e-4501-4350-a49c-e28d54c6bb33}</author>
    <author>tc={a9201ea9-ed13-4dc2-ab54-efad53147ae1}</author>
    <author>tc={aa3b7d67-d81d-4621-88dc-e1759f067388}</author>
    <author>tc={afd8e843-780e-485b-a524-679163a79952}</author>
    <author>tc={b3500688-70d0-432d-aa33-2b81d59ffb42}</author>
    <author>tc={b3b60b8c-0541-4968-a67a-e5ffb81fd5f6}</author>
    <author>tc={b5da4fbb-040a-4e5c-9eaa-b4b463d7caf8}</author>
    <author>tc={b862e557-10e6-4295-a3e5-3fb747932f58}</author>
    <author>tc={bb64c093-9116-4199-976c-8f2db661691f}</author>
    <author>tc={c186a1e7-50b5-498e-b7c9-0773d0449eb5}</author>
    <author>tc={c19994d9-7630-4f36-9226-9d76f2040bda}</author>
    <author>tc={c4ae35c0-3011-4f16-9f68-26af4fb5bb2f}</author>
    <author>tc={df003898-36b4-473d-8c6c-befe959344b9}</author>
    <author>tc={e16be74c-9e38-4c76-bc80-ac0bfb1db2a8}</author>
    <author>tc={e893dcf7-3cf5-40d4-8a48-e3fb58819264}</author>
    <author>tc={eb5fbab4-01d6-4539-a162-f16d91878953}</author>
    <author>tc={eea7c6c2-9df1-4db0-8752-19fda537c3fb}</author>
    <author>tc={f1d037c9-24f7-48e2-8073-c39a6aee702b}</author>
    <author>tc={f623ef3e-1576-48cc-9770-3d401904e725}</author>
    <author>tc={f7535fcc-e579-40d3-ab83-a7ea7e6ac521}</author>
    <author>tc={f7bc6861-a401-48d7-8c41-9e01eeca0284}</author>
    <author>tc={f95ec18f-8b33-4a8c-94af-efa28378dad6}</author>
    <author>tc={fb8a17ab-a5b5-4358-8707-6612e8f634f4}</author>
    <author>tc={fd820cf9-b07a-4be5-9435-198f9cb60da3}</author>
    <author>tc={fe2adc10-c72c-4603-835f-d5e001a34c2c}</author>
  </authors>
  <commentList>
    <comment authorId="0" xr:uid="{107e76a4-a81c-4474-8c4f-049982e5c54e}" ref="AU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3
70x90: 13
80x110: 8
</t>
      </text>
    </comment>
    <comment authorId="1" xr:uid="{197a3db1-aea4-411e-af2b-7927b4a5afd9}" ref="AO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80x110: 2
70x90: 22
</t>
      </text>
    </comment>
    <comment authorId="2" xr:uid="{25fd131f-ed0e-43d4-abcc-7d5096507daf}" ref="AE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paquete
</t>
      </text>
    </comment>
    <comment authorId="3" xr:uid="{2c969aba-7f8c-4fc9-bc56-870fd82167f8}" ref="B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Se llevaron hoy 3 paquetes para santa Lucia
</t>
      </text>
    </comment>
    <comment authorId="4" xr:uid="{2cf49cae-e79f-415a-b804-b8e853fa4e1e}" ref="AF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 1 kg al piso 3
@pablo.mendez@co-work.cl 25-11 traspaso 1 kg al piso 3
</t>
      </text>
    </comment>
    <comment authorId="5" xr:uid="{2e7fc400-2d53-4053-b7d2-e401407a5674}" ref="AM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 
80x110: 4
70x90: 28
</t>
      </text>
    </comment>
    <comment authorId="6" xr:uid="{31a15c60-041a-4e41-b9c9-98457cec9cbc}" ref="AF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5
50x70: 8
70x90: 18
</t>
      </text>
    </comment>
    <comment authorId="7" xr:uid="{418e21a8-7253-4ce5-94e8-0afcfd639779}" ref="AY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2
70x90: 1
</t>
      </text>
    </comment>
    <comment authorId="8" xr:uid="{43fcb02b-9d06-4445-9fcf-1ba19368a4fc}" ref="AF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4 unidades
</t>
      </text>
    </comment>
    <comment authorId="9" xr:uid="{45eb83fb-f609-4599-b7dd-7364ff64f6df}" ref="U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 sin cafe 01-10
</t>
      </text>
    </comment>
    <comment authorId="10" xr:uid="{46a3bbe2-e76f-4745-ac07-dd369ebade74}" ref="BA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10
50x70: 9
70x90: 8
</t>
      </text>
    </comment>
    <comment authorId="11" xr:uid="{473c2936-98dd-4a2f-bead-27a9438f3b8b}" ref="B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50*70: 4  / 70*90:5 / 80*110:7
</t>
      </text>
    </comment>
    <comment authorId="12" xr:uid="{4f17215b-1497-407e-9567-8fa0845e7039}" ref="AI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11
80x110: 7
70x90: 22
</t>
      </text>
    </comment>
    <comment authorId="13" xr:uid="{52908377-cec2-4b63-9dff-fe057179fc26}" ref="AL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 1Kg del piso 3
</t>
      </text>
    </comment>
    <comment authorId="14" xr:uid="{577cdb4f-ea0b-4a1d-8dd3-ec872e30e3b7}" ref="AD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2 und a piso 3
</t>
      </text>
    </comment>
    <comment authorId="15" xr:uid="{5df2b4af-40ce-4ad0-a21a-8b7361eda36e}" ref="AF1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 unidades
</t>
      </text>
    </comment>
    <comment authorId="16" xr:uid="{5e3bf1c8-d501-4ca6-905e-b9b55040bac3}" ref="AD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 paquete
</t>
      </text>
    </comment>
    <comment authorId="17" xr:uid="{612ff1b6-037f-42f4-ad32-1c0e4d8e4a30}" ref="AH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del piso 3 de 2und para colocar en ambas cocinas
</t>
      </text>
    </comment>
    <comment authorId="18" xr:uid="{696b423d-5839-413c-8fe5-e9a78776d2d0}" ref="AH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Berta saca 1paq 50x70
50x70: 11
80x110: 8
70x90: 22
</t>
      </text>
    </comment>
    <comment authorId="19" xr:uid="{6c6820b5-76b8-4707-a33b-c67fd5d5f64d}" ref="AL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15-12: Traspaso de 4 und a piso 4
17-12: Traspaso de 4 und a piso 4
</t>
      </text>
    </comment>
    <comment authorId="20" xr:uid="{72e20257-e3c9-4db4-b16c-dad03b21fb2f}" ref="AD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4.5 k a piso 3 @pablo.mendez@co-work.cl
</t>
      </text>
    </comment>
    <comment authorId="21" xr:uid="{756f092a-be85-4702-8ec1-00c9de3205ee}" ref="U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@pablo.mendez@co-work.cl Sin cafe 01.10
</t>
      </text>
    </comment>
    <comment authorId="22" xr:uid="{76481432-ca08-4b23-9fd9-892b3aed8e23}" ref="AK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del piso 3: 1
</t>
      </text>
    </comment>
    <comment authorId="23" xr:uid="{796e2d19-d244-4634-be05-7d1a55390062}" ref="AK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a piso 4: 2 und
</t>
      </text>
    </comment>
    <comment authorId="24" xr:uid="{7a934f60-dbbb-480b-8248-2175db55860e}" ref="AL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15-12:  Traspaso de 4 und del piso 3: Se colocaron en los baños.
17-12: Traspaso de 4 und del piso 3
</t>
      </text>
    </comment>
    <comment authorId="25" xr:uid="{7ad26c49-c7f0-486b-96de-f9bbd363f6dc}" ref="AT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6
80x110: 9
70x90: 13
</t>
      </text>
    </comment>
    <comment authorId="26" xr:uid="{961b1cce-bca1-4004-8c28-7ea46625bfa7}" ref="AW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7
70x90: 6
50x70: 6
</t>
      </text>
    </comment>
    <comment authorId="27" xr:uid="{99a2b9ea-6600-4f04-a95d-9f54a4d40e80}" ref="AS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Jesu se lleva 3 paquetes a Santa Lucia
</t>
      </text>
    </comment>
    <comment authorId="28" xr:uid="{9bfad79f-e37b-438e-81cb-0d12a66cc595}" ref="AS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0
70 X 90: 23
50 X 70: 8
</t>
      </text>
    </comment>
    <comment authorId="29" xr:uid="{a0d6d10e-4501-4350-a49c-e28d54c6bb33}" ref="AV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8
70x90: 10
80x110: 8
</t>
      </text>
    </comment>
    <comment authorId="30" xr:uid="{a9201ea9-ed13-4dc2-ab54-efad53147ae1}" ref="AL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 1kg al piso 3
</t>
      </text>
    </comment>
    <comment authorId="31" xr:uid="{aa3b7d67-d81d-4621-88dc-e1759f067388}" ref="AQ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1
70x90: 29
50x70: 15
</t>
      </text>
    </comment>
    <comment authorId="32" xr:uid="{afd8e843-780e-485b-a524-679163a79952}" ref="AM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05-01: 01 resma entregada a Antonieta
</t>
      </text>
    </comment>
    <comment authorId="33" xr:uid="{b3500688-70d0-432d-aa33-2b81d59ffb42}" ref="AR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1
70x90: 26
50x70: 10
</t>
      </text>
    </comment>
    <comment authorId="34" xr:uid="{b3b60b8c-0541-4968-a67a-e5ffb81fd5f6}" ref="AX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
50x70: 4
70x90: 4
</t>
      </text>
    </comment>
    <comment authorId="35" xr:uid="{b5da4fbb-040a-4e5c-9eaa-b4b463d7caf8}" ref="AP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3
70x90: 28
50x70: 17
</t>
      </text>
    </comment>
    <comment authorId="36" xr:uid="{b862e557-10e6-4295-a3e5-3fb747932f58}" ref="Q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Aviso informativo: hola @pablo.mendez@co-work.cl ya en toba 3 y 4 no hay café
</t>
      </text>
    </comment>
    <comment authorId="37" xr:uid="{bb64c093-9116-4199-976c-8f2db661691f}" ref="AD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Recibido del piso 4 @pablo.mendez@co-work.cl
</t>
      </text>
    </comment>
    <comment authorId="38" xr:uid="{c186a1e7-50b5-498e-b7c9-0773d0449eb5}" ref="AD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19 paq
50x70: 10 paq
80x110: 6 paq
</t>
      </text>
    </comment>
    <comment authorId="39" xr:uid="{c19994d9-7630-4f36-9226-9d76f2040bda}" ref="AK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a piso 4: 1 und
</t>
      </text>
    </comment>
    <comment authorId="40" xr:uid="{c4ae35c0-3011-4f16-9f68-26af4fb5bb2f}" ref="AJ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 11
80x110: 7
70x90: 22
</t>
      </text>
    </comment>
    <comment authorId="41" xr:uid="{df003898-36b4-473d-8c6c-befe959344b9}" ref="AD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 piso 4: 2
</t>
      </text>
    </comment>
    <comment authorId="42" xr:uid="{e16be74c-9e38-4c76-bc80-ac0bfb1db2a8}" ref="BB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70x80: 7 / 80*110:8 / 50*70:8
</t>
      </text>
    </comment>
    <comment authorId="43" xr:uid="{e893dcf7-3cf5-40d4-8a48-e3fb58819264}" ref="AG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18
80x110: 4
50x70: 8
</t>
      </text>
    </comment>
    <comment authorId="44" xr:uid="{eb5fbab4-01d6-4539-a162-f16d91878953}" ref="AF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 1 kg del piso 4
@pablo.mendez@co-work.cl 25-11 traspaso de 1 kg del piso 4
</t>
      </text>
    </comment>
    <comment authorId="45" xr:uid="{eea7c6c2-9df1-4db0-8752-19fda537c3fb}" ref="Q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04-09: 0,5 kg
</t>
      </text>
    </comment>
    <comment authorId="46" xr:uid="{f1d037c9-24f7-48e2-8073-c39a6aee702b}" ref="AL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9
80x110: 5
70x90: 20
</t>
      </text>
    </comment>
    <comment authorId="47" xr:uid="{f623ef3e-1576-48cc-9770-3d401904e725}" ref="AK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 10
80x110: 6
70x90: 20
</t>
      </text>
    </comment>
    <comment authorId="48" xr:uid="{f7535fcc-e579-40d3-ab83-a7ea7e6ac521}" ref="AZ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4
50x70: 0
70x90: 0
</t>
      </text>
    </comment>
    <comment authorId="49" xr:uid="{f7bc6861-a401-48d7-8c41-9e01eeca0284}" ref="AN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50x70: 15
70x90: 25
80x110: 3
</t>
      </text>
    </comment>
    <comment authorId="50" xr:uid="{f95ec18f-8b33-4a8c-94af-efa28378dad6}" ref="AH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2und  al piso 3
Berta saca 2und
</t>
      </text>
    </comment>
    <comment authorId="51" xr:uid="{fb8a17ab-a5b5-4358-8707-6612e8f634f4}" ref="AK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Traspaso del piso 3: 2 und
</t>
      </text>
    </comment>
    <comment authorId="52" xr:uid="{fd820cf9-b07a-4be5-9435-198f9cb60da3}" ref="AC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70x90: 19 paq
50x70: 10 paq
80x110: 6 paq
</t>
      </text>
    </comment>
    <comment authorId="53" xr:uid="{fe2adc10-c72c-4603-835f-d5e001a34c2c}" ref="AE1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80x110: 6 
50x70: 10
70x90: 17
</t>
      </text>
    </comment>
  </commentList>
</comments>
</file>

<file path=xl/sharedStrings.xml><?xml version="1.0" encoding="utf-8"?>
<sst xmlns="http://schemas.openxmlformats.org/spreadsheetml/2006/main" count="2567" uniqueCount="374">
  <si>
    <t>Insumos</t>
  </si>
  <si>
    <t>Cafe</t>
  </si>
  <si>
    <t>JUNIO</t>
  </si>
  <si>
    <t>LLEGÓ PEDIDO</t>
  </si>
  <si>
    <t>LLEGÓ CAFÉ</t>
  </si>
  <si>
    <t>LLEGO PEDIDO EL VIERNES 6</t>
  </si>
  <si>
    <t>se compro nova y servilletas con caja chica</t>
  </si>
  <si>
    <t>27/02-2026</t>
  </si>
  <si>
    <t>Sede</t>
  </si>
  <si>
    <t>Proveedor</t>
  </si>
  <si>
    <t>Producto</t>
  </si>
  <si>
    <t>Stock Actual</t>
  </si>
  <si>
    <t>stock Actual</t>
  </si>
  <si>
    <t>stock actual</t>
  </si>
  <si>
    <t>Santa Lucia</t>
  </si>
  <si>
    <t>Cafeteria</t>
  </si>
  <si>
    <t>Cafe Grano (KG)</t>
  </si>
  <si>
    <t>13k</t>
  </si>
  <si>
    <t>12 (bolsas)</t>
  </si>
  <si>
    <t>3K</t>
  </si>
  <si>
    <t>13K</t>
  </si>
  <si>
    <t>Toalla de Papel Jumbo (UN)</t>
  </si>
  <si>
    <t>Papel Higienico (UN)</t>
  </si>
  <si>
    <t>Resma Papel Fotocopia (UN)</t>
  </si>
  <si>
    <t>Servilletas</t>
  </si>
  <si>
    <t>Leche Liquida</t>
  </si>
  <si>
    <t>Cafe Granulado</t>
  </si>
  <si>
    <t xml:space="preserve">Endulzante </t>
  </si>
  <si>
    <t>Sin nova 12/09</t>
  </si>
  <si>
    <t>sin servilletas ni café instantaneo 02/10</t>
  </si>
  <si>
    <t>Azucar kg</t>
  </si>
  <si>
    <t>1 caja</t>
  </si>
  <si>
    <t>1/2 caja</t>
  </si>
  <si>
    <t>Aseo</t>
  </si>
  <si>
    <t xml:space="preserve">Cloro Gel </t>
  </si>
  <si>
    <t>-</t>
  </si>
  <si>
    <t xml:space="preserve">Limpia Piso </t>
  </si>
  <si>
    <t>Bolsas Basura 50x70</t>
  </si>
  <si>
    <t>3 grandes  / 0 chicas</t>
  </si>
  <si>
    <t>80x110: 10</t>
  </si>
  <si>
    <t>Bolsas Basura 70x90</t>
  </si>
  <si>
    <t>70X90:10</t>
  </si>
  <si>
    <t>70X90: 8</t>
  </si>
  <si>
    <t>Bolsas Basura 80x110</t>
  </si>
  <si>
    <t>50x70:17</t>
  </si>
  <si>
    <t>50x70: 2</t>
  </si>
  <si>
    <t xml:space="preserve">Esponja 4U </t>
  </si>
  <si>
    <t xml:space="preserve">Mopa Redonda </t>
  </si>
  <si>
    <t>Microfribra azul</t>
  </si>
  <si>
    <t>PD: Berta trajo algunos insumos desde Manuel Montt</t>
  </si>
  <si>
    <t>Microfribra verde</t>
  </si>
  <si>
    <t>Microfribra amarillo</t>
  </si>
  <si>
    <t>LLEGO PEDIDO</t>
  </si>
  <si>
    <t>piso 5 () -  piso 6 ()</t>
  </si>
  <si>
    <t xml:space="preserve">Stock Actual </t>
  </si>
  <si>
    <t>Santa Rosa</t>
  </si>
  <si>
    <t>6 - 6</t>
  </si>
  <si>
    <t>3 - 3</t>
  </si>
  <si>
    <t>piso 5 (2) -  piso 6 (2)</t>
  </si>
  <si>
    <t>piso 5 (2) -  piso 6 (1)</t>
  </si>
  <si>
    <t>piso 5 (1) -  piso 6 (0)</t>
  </si>
  <si>
    <t>piso 5 (0) -  piso 6 (0)</t>
  </si>
  <si>
    <t>piso 5 (1) -  piso 6 (2)</t>
  </si>
  <si>
    <t>piso 5 (4) -  piso 6 (5)</t>
  </si>
  <si>
    <t>piso 5 (3) -  piso 6 (4)</t>
  </si>
  <si>
    <t>piso 5 (2) -  piso 6 (4)</t>
  </si>
  <si>
    <t>piso 5 (4) -  piso 6 (3)</t>
  </si>
  <si>
    <t>piso 5 (3) -  piso 6 (2)</t>
  </si>
  <si>
    <t>piso 5 (9) -  piso 6 (9)</t>
  </si>
  <si>
    <t>piso 3 (3)- piso 5 (2) -  piso 6 (3)</t>
  </si>
  <si>
    <t>Vainilla 500gr</t>
  </si>
  <si>
    <t>12 - 12</t>
  </si>
  <si>
    <t>6 - 8</t>
  </si>
  <si>
    <t>piso 5 (6) - piso 6 (8)</t>
  </si>
  <si>
    <t>piso 5 (5) -  piso 6 (6)</t>
  </si>
  <si>
    <t>piso 5 (5) -  piso 6 (5)</t>
  </si>
  <si>
    <t>piso 5 (3) -  piso 6 (3)</t>
  </si>
  <si>
    <t>piso 5 (6) -  piso 6 (6)</t>
  </si>
  <si>
    <t>piso 5 (8) -  piso 6 (8)</t>
  </si>
  <si>
    <t>piso 5 (7) -  piso 6 (7)</t>
  </si>
  <si>
    <t>piso 5 (10) -  piso 6 (11)</t>
  </si>
  <si>
    <t>piso 5 (9) -  piso 6 (10)</t>
  </si>
  <si>
    <t>piso 5 (8) -  piso 6 (9)</t>
  </si>
  <si>
    <t>piso 5 (6) -  piso 6 (9)</t>
  </si>
  <si>
    <t>piso 5 (10) -  piso 6 (8)</t>
  </si>
  <si>
    <t>piso 5 (10) -  piso 6 (7)</t>
  </si>
  <si>
    <t>piso 5 (9) -  piso 6 (6)</t>
  </si>
  <si>
    <t>piso 5 (7) -  piso 6 (4)</t>
  </si>
  <si>
    <t>piso 5 (15) -  piso 6 (14)</t>
  </si>
  <si>
    <t>piso 3 (6)- piso 5 (6) -  piso 6 (6)</t>
  </si>
  <si>
    <t>Chocolate</t>
  </si>
  <si>
    <t>4 - 4</t>
  </si>
  <si>
    <t>piso 5 (3) - piso 6 (4)</t>
  </si>
  <si>
    <t>piso 5 (2) -  piso 6 (3)</t>
  </si>
  <si>
    <t>piso 5 (5) -  piso 6 (1)</t>
  </si>
  <si>
    <t>piso 5 (3) -  piso 6 (5)</t>
  </si>
  <si>
    <t>piso 5 (10) -  piso 6 (15)</t>
  </si>
  <si>
    <t>piso 3 (6)- piso 5 (4) -  piso 6 (6)</t>
  </si>
  <si>
    <t>Te Natural</t>
  </si>
  <si>
    <t>1 - 1</t>
  </si>
  <si>
    <t>en uso maq</t>
  </si>
  <si>
    <t>en maquina</t>
  </si>
  <si>
    <t xml:space="preserve">en maquina </t>
  </si>
  <si>
    <t>1 bolsa</t>
  </si>
  <si>
    <t xml:space="preserve">1 bolsa </t>
  </si>
  <si>
    <t>2 bolsas</t>
  </si>
  <si>
    <t xml:space="preserve">2 bolsas </t>
  </si>
  <si>
    <t xml:space="preserve">1 bolsas </t>
  </si>
  <si>
    <t>2ud</t>
  </si>
  <si>
    <t>2 ud</t>
  </si>
  <si>
    <t>1ud</t>
  </si>
  <si>
    <t xml:space="preserve">Santa Rosa </t>
  </si>
  <si>
    <t>4 ud</t>
  </si>
  <si>
    <t>16ud</t>
  </si>
  <si>
    <t xml:space="preserve">Leche en polvo </t>
  </si>
  <si>
    <t>6 - 7</t>
  </si>
  <si>
    <t>piso 5 (4) - piso 6 (6)</t>
  </si>
  <si>
    <t>piso 5 (4) -  piso 6 (4)</t>
  </si>
  <si>
    <t>piso 5 (1) -  piso 6 (1)</t>
  </si>
  <si>
    <t>piso 5 (5) -  piso 6 (4)</t>
  </si>
  <si>
    <t>piso 5 (6) -  piso 6 (7)</t>
  </si>
  <si>
    <t>piso 5 (3) -  piso 6 (6)</t>
  </si>
  <si>
    <t>piso 5 (16) -  piso 6 (15)</t>
  </si>
  <si>
    <t>80x110</t>
  </si>
  <si>
    <t>70x90</t>
  </si>
  <si>
    <t>50x70</t>
  </si>
  <si>
    <t>JULIO</t>
  </si>
  <si>
    <t xml:space="preserve">AGOSTO </t>
  </si>
  <si>
    <t>SEPTIEMBRE</t>
  </si>
  <si>
    <t>OCTUBRE</t>
  </si>
  <si>
    <t xml:space="preserve">NOVIEMBRE </t>
  </si>
  <si>
    <t>DICIEMBRE</t>
  </si>
  <si>
    <t>ENERO</t>
  </si>
  <si>
    <t xml:space="preserve">FEBRERO </t>
  </si>
  <si>
    <t>MARZO</t>
  </si>
  <si>
    <t>Plaza Egaña</t>
  </si>
  <si>
    <t>9KG</t>
  </si>
  <si>
    <t xml:space="preserve">7 kg </t>
  </si>
  <si>
    <t xml:space="preserve">3 kg </t>
  </si>
  <si>
    <t xml:space="preserve">8 kg </t>
  </si>
  <si>
    <t xml:space="preserve">5 KG </t>
  </si>
  <si>
    <t>3kg</t>
  </si>
  <si>
    <t xml:space="preserve">2 kg </t>
  </si>
  <si>
    <t>10 kg</t>
  </si>
  <si>
    <t xml:space="preserve">9kg </t>
  </si>
  <si>
    <t>6 kig</t>
  </si>
  <si>
    <t xml:space="preserve">3/ sin papel </t>
  </si>
  <si>
    <t xml:space="preserve">esto alcanza para esta semana </t>
  </si>
  <si>
    <t>10 paq</t>
  </si>
  <si>
    <t>19 LTS</t>
  </si>
  <si>
    <t>15 lts</t>
  </si>
  <si>
    <t xml:space="preserve">11 lts </t>
  </si>
  <si>
    <t xml:space="preserve">13 lts </t>
  </si>
  <si>
    <t>Neohaus</t>
  </si>
  <si>
    <t>Corporate Coffe</t>
  </si>
  <si>
    <t>1 KG</t>
  </si>
  <si>
    <t>1 kg</t>
  </si>
  <si>
    <t>1 kilo</t>
  </si>
  <si>
    <t>3 kilos</t>
  </si>
  <si>
    <t>2 kilos</t>
  </si>
  <si>
    <t>Sin stock</t>
  </si>
  <si>
    <t>sin stock</t>
  </si>
  <si>
    <t>1 kilos</t>
  </si>
  <si>
    <t>8 paquetes</t>
  </si>
  <si>
    <t>4 paquetes</t>
  </si>
  <si>
    <t>3 paquetes</t>
  </si>
  <si>
    <t>1 paquete</t>
  </si>
  <si>
    <t>2 paquetes</t>
  </si>
  <si>
    <t>5 paquetes</t>
  </si>
  <si>
    <t>6 paquetes</t>
  </si>
  <si>
    <t>1 paquetes</t>
  </si>
  <si>
    <t>14 paquetes</t>
  </si>
  <si>
    <t>10 paquetes</t>
  </si>
  <si>
    <t>9 paquetes</t>
  </si>
  <si>
    <t>7 paquetes</t>
  </si>
  <si>
    <t>12 paquetes</t>
  </si>
  <si>
    <t>4 unidades</t>
  </si>
  <si>
    <t>Papelería</t>
  </si>
  <si>
    <t>8 unidades</t>
  </si>
  <si>
    <t>5 unidades</t>
  </si>
  <si>
    <t>3 unidades</t>
  </si>
  <si>
    <t>2 unidades</t>
  </si>
  <si>
    <t>1 unidad</t>
  </si>
  <si>
    <t>1.5 paquetes</t>
  </si>
  <si>
    <t>3 unidad</t>
  </si>
  <si>
    <t>1 unidades</t>
  </si>
  <si>
    <t xml:space="preserve">Vasos de cartón </t>
  </si>
  <si>
    <t>10 paquete</t>
  </si>
  <si>
    <t xml:space="preserve">Aceite de oliva </t>
  </si>
  <si>
    <t xml:space="preserve"> 2 unidades</t>
  </si>
  <si>
    <t>1 bidón</t>
  </si>
  <si>
    <t>medio bidón (2.5 litros)</t>
  </si>
  <si>
    <t>2 bidones</t>
  </si>
  <si>
    <t xml:space="preserve">Bolsas Basura </t>
  </si>
  <si>
    <t>2 paquetes de las pequñas, 4 paquetes de las medianas</t>
  </si>
  <si>
    <t>1 paquete de las pequeñas, 3 paquetes de las medianas</t>
  </si>
  <si>
    <t>1 paquete de las pequeñas, 2 paquetes de las medianas</t>
  </si>
  <si>
    <t>5 paquetes de cada tamaño</t>
  </si>
  <si>
    <t>4 paquetes de cada tamaño</t>
  </si>
  <si>
    <t>35 paquetes entre todos los tamaños</t>
  </si>
  <si>
    <t>22 paquetes entre todos los tamaños</t>
  </si>
  <si>
    <t>3 paquetes pequeñas, 5 paquetes medianas, 6 paquetes grandes.</t>
  </si>
  <si>
    <t>2 paquetes pequeñas, 3 paquetes medianas, 4 paquetes grandes.</t>
  </si>
  <si>
    <t>4paquetes pequeñas, 5 paquetes medianas, 6paquetes grandes.</t>
  </si>
  <si>
    <t>2 paquetes pequeñas, 3 paquetes medianas, 3 paquetes grandes.</t>
  </si>
  <si>
    <t>6 paquetes pequeñas, 7 paquetes medianas, 7 paquetes grandes.</t>
  </si>
  <si>
    <t>3 unidades de esponja</t>
  </si>
  <si>
    <t>Papel interfoliado</t>
  </si>
  <si>
    <t>37 unidades</t>
  </si>
  <si>
    <t>28 unidades</t>
  </si>
  <si>
    <t>21 unidades</t>
  </si>
  <si>
    <t>16 unidades</t>
  </si>
  <si>
    <t>30 unidades</t>
  </si>
  <si>
    <t>25 unidades</t>
  </si>
  <si>
    <t>18 unidades</t>
  </si>
  <si>
    <t>10 unidades</t>
  </si>
  <si>
    <t>7 unidades</t>
  </si>
  <si>
    <t>20 unidades</t>
  </si>
  <si>
    <t>47 unidades</t>
  </si>
  <si>
    <t>6 unidades</t>
  </si>
  <si>
    <t xml:space="preserve"> </t>
  </si>
  <si>
    <t>MES</t>
  </si>
  <si>
    <t>AGOSTO</t>
  </si>
  <si>
    <t>Manuel Montt piso 2</t>
  </si>
  <si>
    <t>3 Kg</t>
  </si>
  <si>
    <t>500 grs</t>
  </si>
  <si>
    <t>2 KG</t>
  </si>
  <si>
    <t>1 1/2</t>
  </si>
  <si>
    <t>4 1/2</t>
  </si>
  <si>
    <t>8 1/2</t>
  </si>
  <si>
    <t>6 1/2</t>
  </si>
  <si>
    <t>2,5P</t>
  </si>
  <si>
    <t>4U</t>
  </si>
  <si>
    <t>4,5P</t>
  </si>
  <si>
    <t>16U</t>
  </si>
  <si>
    <t>Leche Líquida</t>
  </si>
  <si>
    <t>Endulzante</t>
  </si>
  <si>
    <t>Servilleta</t>
  </si>
  <si>
    <t>Cloro Gel</t>
  </si>
  <si>
    <t>Limpia piso</t>
  </si>
  <si>
    <t>50x70=12 70x90=15 80x110=16</t>
  </si>
  <si>
    <t>50x70=37 70x90=15 80x110=16</t>
  </si>
  <si>
    <t>50x70= 36 70x90= 14 80x110= 16</t>
  </si>
  <si>
    <t>50x70= 25 70x90= 14 80x110= 12</t>
  </si>
  <si>
    <t>50x70= 22  70x90=  80x110= 11</t>
  </si>
  <si>
    <t>50x70= 16  70x90= 0  80x110= 10</t>
  </si>
  <si>
    <t>50x70= 14  70x90= 0  80x110= 8</t>
  </si>
  <si>
    <t xml:space="preserve">50x70=15   70x90= 0   80x110= 7 </t>
  </si>
  <si>
    <t>50x70=  12 70x90= 0   80x110= 6</t>
  </si>
  <si>
    <t xml:space="preserve">50x70=   70x90= 0   80x110= </t>
  </si>
  <si>
    <t>Bolsas Basura  70x90</t>
  </si>
  <si>
    <t>Bolsas Basura  80x110</t>
  </si>
  <si>
    <t>Esponja 4U</t>
  </si>
  <si>
    <t>8U</t>
  </si>
  <si>
    <t>7U</t>
  </si>
  <si>
    <t>3U</t>
  </si>
  <si>
    <t>6U</t>
  </si>
  <si>
    <t>Mopa Redonda</t>
  </si>
  <si>
    <t>Manuel Montt piso 5</t>
  </si>
  <si>
    <t>4 Kg</t>
  </si>
  <si>
    <t>1 Kg</t>
  </si>
  <si>
    <t>2.5 KG</t>
  </si>
  <si>
    <t>5 1/2</t>
  </si>
  <si>
    <t>7 1/2</t>
  </si>
  <si>
    <t>2,5 P</t>
  </si>
  <si>
    <t>3,5P</t>
  </si>
  <si>
    <t>12U</t>
  </si>
  <si>
    <t>Limpia Piso</t>
  </si>
  <si>
    <t>50x70=2 70x90=3 80x110=8</t>
  </si>
  <si>
    <t>50x70=5 70x90=3 80x110=8</t>
  </si>
  <si>
    <t>50x70=5 70x90= 3 80x110= 8</t>
  </si>
  <si>
    <t>50x70= 5 70x90= 2 80x110= 8</t>
  </si>
  <si>
    <t>50x70= 5 70x90= 1 80x110= 8</t>
  </si>
  <si>
    <t>50x70= 5  70x90= 0 80x110= 8</t>
  </si>
  <si>
    <t>50x70= 3  70x90= 0 80x110= 8</t>
  </si>
  <si>
    <t>50x70= 2   70x90= 0  80x110= 8</t>
  </si>
  <si>
    <t xml:space="preserve">50x70= 3   70x90= 0  80x110= 7 </t>
  </si>
  <si>
    <t>5U</t>
  </si>
  <si>
    <t>Suecia piso 7</t>
  </si>
  <si>
    <t>Suecia piso 8</t>
  </si>
  <si>
    <t xml:space="preserve">LLEGÓ INSUMOS </t>
  </si>
  <si>
    <t xml:space="preserve">LLEGÓ CAFETERÍA </t>
  </si>
  <si>
    <t xml:space="preserve">Llego insumo </t>
  </si>
  <si>
    <t>Llego insumo de cafetería</t>
  </si>
  <si>
    <t>Llego insumo de cafetería y Aseo</t>
  </si>
  <si>
    <t>Llego insumo de Aseo</t>
  </si>
  <si>
    <t xml:space="preserve">Llego insumo de cafetería </t>
  </si>
  <si>
    <t>NOVIEMBRE</t>
  </si>
  <si>
    <t>Enero</t>
  </si>
  <si>
    <t>Febrero</t>
  </si>
  <si>
    <t>Marzo</t>
  </si>
  <si>
    <t>Florida Center</t>
  </si>
  <si>
    <r>
      <rPr>
        <rFont val="Arial"/>
        <color theme="1"/>
      </rPr>
      <t xml:space="preserve">19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</si>
  <si>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18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</si>
  <si>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16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</si>
  <si>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15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</si>
  <si>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13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</si>
  <si>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13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</si>
  <si>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12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</si>
  <si>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11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</si>
  <si>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10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</si>
  <si>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9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</si>
  <si>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7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</si>
  <si>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7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</si>
  <si>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5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</si>
  <si>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5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</si>
  <si>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4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</si>
  <si>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20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</si>
  <si>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19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</si>
  <si>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18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</si>
  <si>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17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</si>
  <si>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16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</si>
  <si>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15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</si>
  <si>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14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</si>
  <si>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14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</si>
  <si>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13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</si>
  <si>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12
 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</si>
  <si>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10
</t>
    </r>
    <r>
      <rPr>
        <rFont val="Arial"/>
        <color theme="1"/>
        <sz val="8.0"/>
      </rPr>
      <t>(bolsas de 500gr)</t>
    </r>
  </si>
  <si>
    <r>
      <rPr>
        <rFont val="Arial"/>
        <color theme="1"/>
      </rPr>
      <t xml:space="preserve">33
</t>
    </r>
    <r>
      <rPr>
        <rFont val="Arial"/>
        <color theme="1"/>
        <sz val="8.0"/>
      </rPr>
      <t>(bolsas de 500gr)</t>
    </r>
  </si>
  <si>
    <r>
      <rPr>
        <rFont val="Arial"/>
        <color theme="1"/>
        <sz val="10.0"/>
      </rPr>
      <t>31</t>
    </r>
    <r>
      <rPr>
        <rFont val="Arial"/>
        <color theme="1"/>
        <sz val="8.0"/>
      </rPr>
      <t xml:space="preserve">
(bolsas de 500gr)</t>
    </r>
  </si>
  <si>
    <r>
      <rPr>
        <rFont val="Arial"/>
        <color theme="1"/>
        <sz val="10.0"/>
      </rPr>
      <t>31</t>
    </r>
    <r>
      <rPr>
        <rFont val="Arial"/>
        <color theme="1"/>
        <sz val="8.0"/>
      </rPr>
      <t xml:space="preserve">
(bolsas de 500gr)</t>
    </r>
  </si>
  <si>
    <r>
      <rPr>
        <rFont val="Arial"/>
        <color theme="1"/>
        <sz val="10.0"/>
      </rPr>
      <t>31</t>
    </r>
    <r>
      <rPr>
        <rFont val="Arial"/>
        <color theme="1"/>
        <sz val="8.0"/>
      </rPr>
      <t xml:space="preserve">
(bolsas de 500gr)</t>
    </r>
  </si>
  <si>
    <r>
      <rPr>
        <rFont val="Arial"/>
        <color theme="1"/>
        <sz val="10.0"/>
      </rPr>
      <t>29</t>
    </r>
    <r>
      <rPr>
        <rFont val="Arial"/>
        <color theme="1"/>
        <sz val="8.0"/>
      </rPr>
      <t xml:space="preserve">
(bolsas de 500gr)</t>
    </r>
  </si>
  <si>
    <r>
      <rPr>
        <rFont val="Arial"/>
        <color theme="1"/>
        <sz val="10.0"/>
      </rPr>
      <t>28</t>
    </r>
    <r>
      <rPr>
        <rFont val="Arial"/>
        <color theme="1"/>
        <sz val="8.0"/>
      </rPr>
      <t xml:space="preserve">
(bolsas de 500gr)</t>
    </r>
  </si>
  <si>
    <r>
      <rPr>
        <rFont val="Arial"/>
        <color theme="1"/>
        <sz val="10.0"/>
      </rPr>
      <t>27</t>
    </r>
    <r>
      <rPr>
        <rFont val="Arial"/>
        <color theme="1"/>
        <sz val="8.0"/>
      </rPr>
      <t xml:space="preserve">
(bolsas de 500gr)</t>
    </r>
  </si>
  <si>
    <t>Café soluble</t>
  </si>
  <si>
    <t>Té Negro</t>
  </si>
  <si>
    <t>Té Premium</t>
  </si>
  <si>
    <t>Supremo de Hierbas</t>
  </si>
  <si>
    <t xml:space="preserve">- </t>
  </si>
  <si>
    <t>Azucar</t>
  </si>
  <si>
    <t>1Caja</t>
  </si>
  <si>
    <t>1caja</t>
  </si>
  <si>
    <t>Aceite de Oliva</t>
  </si>
  <si>
    <t>Aceto Balsámico</t>
  </si>
  <si>
    <t>Vinagre</t>
  </si>
  <si>
    <t xml:space="preserve">Ensencia de Limón </t>
  </si>
  <si>
    <t>Removedores</t>
  </si>
  <si>
    <t>Vasos Polipapel</t>
  </si>
  <si>
    <t>10 Paquetes</t>
  </si>
  <si>
    <t>4 Paquetes</t>
  </si>
  <si>
    <t>3 Paquetes</t>
  </si>
  <si>
    <t>1 Paquete</t>
  </si>
  <si>
    <t>5 Paquetes</t>
  </si>
  <si>
    <t>1 Paquetes</t>
  </si>
  <si>
    <t>250 U</t>
  </si>
  <si>
    <t>239 U</t>
  </si>
  <si>
    <t>189 U</t>
  </si>
  <si>
    <t>189U</t>
  </si>
  <si>
    <t>Limpia vidrio</t>
  </si>
  <si>
    <t>11U</t>
  </si>
  <si>
    <t>15U</t>
  </si>
  <si>
    <t>14U</t>
  </si>
  <si>
    <t>18U</t>
  </si>
  <si>
    <t>17U</t>
  </si>
  <si>
    <t>13U</t>
  </si>
  <si>
    <t>10U</t>
  </si>
  <si>
    <t>9U</t>
  </si>
  <si>
    <t>Paño Esponja</t>
  </si>
  <si>
    <t>Mopa Avión</t>
  </si>
  <si>
    <t>Lavalozas</t>
  </si>
  <si>
    <t>Desodorante Ambiental</t>
  </si>
  <si>
    <t>Igenix</t>
  </si>
  <si>
    <t>CIF</t>
  </si>
  <si>
    <t>Lustra Mueble</t>
  </si>
  <si>
    <t>Guantes Multiuso</t>
  </si>
  <si>
    <t>Paños Multiuso Azul</t>
  </si>
  <si>
    <t>Paños Multiuso Verde</t>
  </si>
  <si>
    <t>Paños Multiuso Amarillo</t>
  </si>
  <si>
    <t>Papeleria</t>
  </si>
  <si>
    <t>Tobalaba 3</t>
  </si>
  <si>
    <t>Azucar (caja)</t>
  </si>
  <si>
    <t>Bolsas Basura</t>
  </si>
  <si>
    <t>Tobalaba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</si>
</sst>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-m"/>
    <numFmt numFmtId="165" formatCode="dd/mm/yyyy"/>
    <numFmt numFmtId="166" formatCode="d/m/yyyy"/>
    <numFmt numFmtId="167" formatCode="d/m"/>
    <numFmt numFmtId="168" formatCode="d.m"/>
  </numFmts>
  <fonts count="15">
    <font>
      <sz val="10.0"/>
      <color rgb="FF000000"/>
      <name val="Arial"/>
      <scheme val="minor"/>
    </font>
    <font>
      <color theme="1"/>
      <name val="Consolas"/>
    </font>
    <font>
      <color rgb="FFFF0000"/>
      <name val="Consolas"/>
    </font>
    <font>
      <b/>
      <color theme="1"/>
      <name val="Consolas"/>
    </font>
    <font>
      <color theme="1"/>
      <name val="Arial"/>
    </font>
    <font>
      <b/>
      <sz val="11.0"/>
      <color theme="1"/>
      <name val="Calibri"/>
    </font>
    <font>
      <color theme="1"/>
      <name val="Arial"/>
      <scheme val="minor"/>
    </font>
    <font>
      <sz val="11.0"/>
      <color theme="1"/>
      <name val="Calibri"/>
    </font>
    <font>
      <b/>
      <color theme="1"/>
      <name val="Arial"/>
      <scheme val="minor"/>
    </font>
    <font>
      <b/>
      <sz val="12.0"/>
      <color theme="1"/>
      <name val="Calibri"/>
    </font>
    <font>
      <color rgb="FF000000"/>
      <name val="Arial"/>
      <scheme val="minor"/>
    </font>
    <font>
      <b/>
      <sz val="13.0"/>
      <color theme="1"/>
      <name val="Calibri"/>
    </font>
    <font>
      <sz val="8.0"/>
      <color theme="1"/>
      <name val="Arial"/>
      <scheme val="minor"/>
    </font>
    <font>
      <sz val="11.0"/>
      <color rgb="FF000000"/>
      <name val="Calibri"/>
    </font>
    <font>
      <b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F3F3F3"/>
        <bgColor rgb="FFF3F3F3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4">
    <border/>
    <border>
      <bottom style="thin">
        <color rgb="FF000000"/>
      </bottom>
    </border>
    <border>
      <left style="dotted">
        <color rgb="FFB7B7B7"/>
      </left>
      <right style="dotted">
        <color rgb="FFB7B7B7"/>
      </right>
      <top style="dotted">
        <color rgb="FFB7B7B7"/>
      </top>
      <bottom style="dotted">
        <color rgb="FFB7B7B7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right" readingOrder="0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horizontal="right" vertical="bottom"/>
    </xf>
    <xf borderId="0" fillId="4" fontId="2" numFmtId="0" xfId="0" applyAlignment="1" applyFill="1" applyFont="1">
      <alignment readingOrder="0" vertical="bottom"/>
    </xf>
    <xf borderId="0" fillId="4" fontId="2" numFmtId="0" xfId="0" applyAlignment="1" applyFont="1">
      <alignment vertical="bottom"/>
    </xf>
    <xf borderId="1" fillId="0" fontId="3" numFmtId="0" xfId="0" applyAlignment="1" applyBorder="1" applyFont="1">
      <alignment shrinkToFit="0" vertical="bottom" wrapText="1"/>
    </xf>
    <xf borderId="1" fillId="5" fontId="3" numFmtId="0" xfId="0" applyAlignment="1" applyBorder="1" applyFill="1" applyFont="1">
      <alignment horizontal="right" shrinkToFit="0" vertical="bottom" wrapText="1"/>
    </xf>
    <xf borderId="1" fillId="0" fontId="3" numFmtId="0" xfId="0" applyAlignment="1" applyBorder="1" applyFon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2" fillId="0" fontId="1" numFmtId="0" xfId="0" applyAlignment="1" applyBorder="1" applyFont="1">
      <alignment vertical="bottom"/>
    </xf>
    <xf borderId="2" fillId="0" fontId="1" numFmtId="3" xfId="0" applyAlignment="1" applyBorder="1" applyFont="1" applyNumberFormat="1">
      <alignment horizontal="right"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shrinkToFit="0" vertical="bottom" wrapText="1"/>
    </xf>
    <xf borderId="2" fillId="6" fontId="1" numFmtId="0" xfId="0" applyAlignment="1" applyBorder="1" applyFill="1" applyFont="1">
      <alignment horizontal="right" vertical="bottom"/>
    </xf>
    <xf borderId="2" fillId="6" fontId="1" numFmtId="3" xfId="0" applyAlignment="1" applyBorder="1" applyFont="1" applyNumberFormat="1">
      <alignment horizontal="right" vertical="bottom"/>
    </xf>
    <xf borderId="0" fillId="7" fontId="1" numFmtId="0" xfId="0" applyAlignment="1" applyFill="1" applyFont="1">
      <alignment vertical="bottom"/>
    </xf>
    <xf borderId="2" fillId="7" fontId="1" numFmtId="0" xfId="0" applyAlignment="1" applyBorder="1" applyFont="1">
      <alignment vertical="bottom"/>
    </xf>
    <xf borderId="2" fillId="6" fontId="1" numFmtId="0" xfId="0" applyAlignment="1" applyBorder="1" applyFont="1">
      <alignment horizontal="right" shrinkToFit="0" vertical="bottom" wrapText="1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shrinkToFit="0" vertical="bottom" wrapText="1"/>
    </xf>
    <xf borderId="0" fillId="0" fontId="1" numFmtId="165" xfId="0" applyAlignment="1" applyFont="1" applyNumberFormat="1">
      <alignment vertical="bottom"/>
    </xf>
    <xf borderId="0" fillId="0" fontId="1" numFmtId="166" xfId="0" applyAlignment="1" applyFont="1" applyNumberFormat="1">
      <alignment vertical="bottom"/>
    </xf>
    <xf borderId="0" fillId="0" fontId="1" numFmtId="167" xfId="0" applyAlignment="1" applyFont="1" applyNumberFormat="1">
      <alignment vertical="bottom"/>
    </xf>
    <xf borderId="0" fillId="0" fontId="1" numFmtId="168" xfId="0" applyAlignment="1" applyFont="1" applyNumberFormat="1">
      <alignment vertical="bottom"/>
    </xf>
    <xf borderId="0" fillId="0" fontId="4" numFmtId="0" xfId="0" applyAlignment="1" applyFont="1">
      <alignment vertical="top"/>
    </xf>
    <xf borderId="0" fillId="0" fontId="4" numFmtId="165" xfId="0" applyAlignment="1" applyFont="1" applyNumberFormat="1">
      <alignment vertical="top"/>
    </xf>
    <xf borderId="0" fillId="0" fontId="5" numFmtId="0" xfId="0" applyAlignment="1" applyFont="1">
      <alignment horizontal="center" readingOrder="0" vertical="top"/>
    </xf>
    <xf borderId="0" fillId="0" fontId="6" numFmtId="0" xfId="0" applyAlignment="1" applyFont="1">
      <alignment horizontal="center"/>
    </xf>
    <xf borderId="0" fillId="6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7" fontId="6" numFmtId="0" xfId="0" applyAlignment="1" applyFont="1">
      <alignment readingOrder="0"/>
    </xf>
    <xf borderId="0" fillId="0" fontId="5" numFmtId="165" xfId="0" applyAlignment="1" applyFont="1" applyNumberFormat="1">
      <alignment horizontal="center" readingOrder="0" vertical="top"/>
    </xf>
    <xf borderId="0" fillId="0" fontId="5" numFmtId="165" xfId="0" applyAlignment="1" applyFont="1" applyNumberFormat="1">
      <alignment horizontal="center" vertical="top"/>
    </xf>
    <xf borderId="0" fillId="0" fontId="5" numFmtId="0" xfId="0" applyAlignment="1" applyFont="1">
      <alignment horizontal="center" vertical="top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7" fontId="6" numFmtId="0" xfId="0" applyAlignment="1" applyFont="1">
      <alignment horizontal="center" readingOrder="0"/>
    </xf>
    <xf borderId="0" fillId="8" fontId="4" numFmtId="0" xfId="0" applyAlignment="1" applyFont="1">
      <alignment horizontal="center" readingOrder="0" vertical="bottom"/>
    </xf>
    <xf borderId="0" fillId="6" fontId="6" numFmtId="0" xfId="0" applyAlignment="1" applyFont="1">
      <alignment horizontal="center" readingOrder="0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8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0" fillId="9" fontId="6" numFmtId="0" xfId="0" applyAlignment="1" applyFill="1" applyFont="1">
      <alignment readingOrder="0"/>
    </xf>
    <xf borderId="0" fillId="0" fontId="4" numFmtId="0" xfId="0" applyAlignment="1" applyFont="1">
      <alignment horizontal="center" vertical="bottom"/>
    </xf>
    <xf borderId="0" fillId="7" fontId="5" numFmtId="0" xfId="0" applyAlignment="1" applyFont="1">
      <alignment horizontal="center" readingOrder="0" vertical="top"/>
    </xf>
    <xf borderId="0" fillId="7" fontId="8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horizontal="right" readingOrder="0"/>
    </xf>
    <xf borderId="0" fillId="0" fontId="5" numFmtId="165" xfId="0" applyAlignment="1" applyFont="1" applyNumberFormat="1">
      <alignment horizontal="right" readingOrder="0" vertical="top"/>
    </xf>
    <xf borderId="0" fillId="0" fontId="8" numFmtId="166" xfId="0" applyAlignment="1" applyFont="1" applyNumberFormat="1">
      <alignment horizontal="right" readingOrder="0"/>
    </xf>
    <xf borderId="0" fillId="0" fontId="5" numFmtId="0" xfId="0" applyAlignment="1" applyFont="1">
      <alignment horizontal="right" vertical="top"/>
    </xf>
    <xf borderId="0" fillId="0" fontId="4" numFmtId="0" xfId="0" applyAlignment="1" applyFont="1">
      <alignment readingOrder="0" vertical="bottom"/>
    </xf>
    <xf borderId="0" fillId="0" fontId="6" numFmtId="0" xfId="0" applyAlignment="1" applyFont="1">
      <alignment horizontal="right" readingOrder="0"/>
    </xf>
    <xf borderId="0" fillId="10" fontId="6" numFmtId="0" xfId="0" applyFill="1" applyFont="1"/>
    <xf borderId="0" fillId="10" fontId="8" numFmtId="0" xfId="0" applyAlignment="1" applyFont="1">
      <alignment readingOrder="0"/>
    </xf>
    <xf borderId="0" fillId="7" fontId="6" numFmtId="0" xfId="0" applyFont="1"/>
    <xf borderId="0" fillId="7" fontId="6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7" fontId="8" numFmtId="0" xfId="0" applyAlignment="1" applyFont="1">
      <alignment readingOrder="0"/>
    </xf>
    <xf borderId="0" fillId="7" fontId="6" numFmtId="0" xfId="0" applyAlignment="1" applyFont="1">
      <alignment horizontal="right"/>
    </xf>
    <xf borderId="0" fillId="10" fontId="6" numFmtId="0" xfId="0" applyAlignment="1" applyFont="1">
      <alignment horizontal="right"/>
    </xf>
    <xf borderId="0" fillId="7" fontId="5" numFmtId="0" xfId="0" applyAlignment="1" applyFont="1">
      <alignment horizontal="center" vertical="top"/>
    </xf>
    <xf borderId="0" fillId="0" fontId="5" numFmtId="165" xfId="0" applyAlignment="1" applyFont="1" applyNumberFormat="1">
      <alignment horizontal="center" readingOrder="0"/>
    </xf>
    <xf borderId="0" fillId="0" fontId="5" numFmtId="165" xfId="0" applyAlignment="1" applyFont="1" applyNumberForma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left" readingOrder="0" vertical="bottom"/>
    </xf>
    <xf borderId="1" fillId="0" fontId="7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/>
    </xf>
    <xf borderId="3" fillId="0" fontId="6" numFmtId="0" xfId="0" applyAlignment="1" applyBorder="1" applyFont="1">
      <alignment horizontal="right" readingOrder="0"/>
    </xf>
    <xf borderId="0" fillId="10" fontId="6" numFmtId="0" xfId="0" applyAlignment="1" applyFont="1">
      <alignment horizontal="center"/>
    </xf>
    <xf borderId="0" fillId="10" fontId="9" numFmtId="0" xfId="0" applyAlignment="1" applyFont="1">
      <alignment horizontal="center" readingOrder="0" vertical="top"/>
    </xf>
    <xf borderId="0" fillId="7" fontId="7" numFmtId="0" xfId="0" applyAlignment="1" applyFont="1">
      <alignment readingOrder="0" vertical="bottom"/>
    </xf>
    <xf borderId="0" fillId="7" fontId="7" numFmtId="0" xfId="0" applyAlignment="1" applyFont="1">
      <alignment vertical="bottom"/>
    </xf>
    <xf borderId="0" fillId="0" fontId="4" numFmtId="0" xfId="0" applyAlignment="1" applyFont="1">
      <alignment readingOrder="0" vertical="top"/>
    </xf>
    <xf borderId="0" fillId="0" fontId="5" numFmtId="165" xfId="0" applyAlignment="1" applyFont="1" applyNumberFormat="1">
      <alignment horizontal="right" vertical="bottom"/>
    </xf>
    <xf borderId="0" fillId="0" fontId="5" numFmtId="165" xfId="0" applyAlignment="1" applyFont="1" applyNumberFormat="1">
      <alignment horizontal="right" readingOrder="0" vertical="bottom"/>
    </xf>
    <xf borderId="0" fillId="7" fontId="4" numFmtId="0" xfId="0" applyAlignment="1" applyFont="1">
      <alignment readingOrder="0" vertical="bottom"/>
    </xf>
    <xf borderId="0" fillId="7" fontId="4" numFmtId="0" xfId="0" applyAlignment="1" applyFont="1">
      <alignment horizontal="right" readingOrder="0" vertical="bottom"/>
    </xf>
    <xf borderId="0" fillId="8" fontId="10" numFmtId="0" xfId="0" applyAlignment="1" applyFont="1">
      <alignment readingOrder="0"/>
    </xf>
    <xf borderId="0" fillId="7" fontId="10" numFmtId="0" xfId="0" applyAlignment="1" applyFont="1">
      <alignment readingOrder="0"/>
    </xf>
    <xf borderId="0" fillId="7" fontId="10" numFmtId="0" xfId="0" applyAlignment="1" applyFont="1">
      <alignment horizontal="right" readingOrder="0"/>
    </xf>
    <xf borderId="0" fillId="8" fontId="4" numFmtId="0" xfId="0" applyAlignment="1" applyFont="1">
      <alignment horizontal="right" readingOrder="0" vertical="bottom"/>
    </xf>
    <xf borderId="0" fillId="0" fontId="6" numFmtId="167" xfId="0" applyAlignment="1" applyFont="1" applyNumberFormat="1">
      <alignment horizontal="right" readingOrder="0"/>
    </xf>
    <xf borderId="0" fillId="8" fontId="6" numFmtId="0" xfId="0" applyAlignment="1" applyFont="1">
      <alignment horizontal="right" readingOrder="0"/>
    </xf>
    <xf borderId="0" fillId="7" fontId="4" numFmtId="0" xfId="0" applyAlignment="1" applyFont="1">
      <alignment horizontal="right" vertical="bottom"/>
    </xf>
    <xf borderId="0" fillId="8" fontId="6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7" numFmtId="0" xfId="0" applyAlignment="1" applyFont="1">
      <alignment readingOrder="0" vertical="center"/>
    </xf>
    <xf borderId="0" fillId="7" fontId="6" numFmtId="0" xfId="0" applyAlignment="1" applyFont="1">
      <alignment horizontal="right" readingOrder="0" shrinkToFit="0" wrapText="1"/>
    </xf>
    <xf borderId="0" fillId="7" fontId="4" numFmtId="0" xfId="0" applyAlignment="1" applyFont="1">
      <alignment horizontal="right" readingOrder="0" shrinkToFit="0" vertical="bottom" wrapText="1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horizontal="right" readingOrder="0" vertical="bottom"/>
    </xf>
    <xf borderId="1" fillId="7" fontId="4" numFmtId="0" xfId="0" applyAlignment="1" applyBorder="1" applyFont="1">
      <alignment readingOrder="0" vertical="bottom"/>
    </xf>
    <xf borderId="1" fillId="7" fontId="6" numFmtId="0" xfId="0" applyAlignment="1" applyBorder="1" applyFont="1">
      <alignment readingOrder="0"/>
    </xf>
    <xf borderId="1" fillId="8" fontId="6" numFmtId="0" xfId="0" applyAlignment="1" applyBorder="1" applyFont="1">
      <alignment readingOrder="0"/>
    </xf>
    <xf borderId="1" fillId="7" fontId="4" numFmtId="0" xfId="0" applyAlignment="1" applyBorder="1" applyFont="1">
      <alignment horizontal="right" readingOrder="0" vertical="bottom"/>
    </xf>
    <xf borderId="3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horizontal="right" vertical="bottom"/>
    </xf>
    <xf borderId="0" fillId="7" fontId="11" numFmtId="0" xfId="0" applyAlignment="1" applyFont="1">
      <alignment horizontal="center" readingOrder="0"/>
    </xf>
    <xf borderId="0" fillId="7" fontId="5" numFmtId="165" xfId="0" applyAlignment="1" applyFont="1" applyNumberFormat="1">
      <alignment horizontal="center" vertical="top"/>
    </xf>
    <xf borderId="0" fillId="7" fontId="5" numFmtId="165" xfId="0" applyAlignment="1" applyFont="1" applyNumberFormat="1">
      <alignment horizontal="center" readingOrder="0"/>
    </xf>
    <xf borderId="0" fillId="7" fontId="4" numFmtId="0" xfId="0" applyAlignment="1" applyFont="1">
      <alignment horizontal="right" shrinkToFit="0" vertical="bottom" wrapText="1"/>
    </xf>
    <xf borderId="0" fillId="0" fontId="4" numFmtId="0" xfId="0" applyAlignment="1" applyFont="1">
      <alignment vertical="bottom"/>
    </xf>
    <xf borderId="0" fillId="7" fontId="4" numFmtId="0" xfId="0" applyAlignment="1" applyFont="1">
      <alignment vertical="bottom"/>
    </xf>
    <xf borderId="1" fillId="0" fontId="7" numFmtId="0" xfId="0" applyAlignment="1" applyBorder="1" applyFont="1">
      <alignment vertical="bottom"/>
    </xf>
    <xf borderId="0" fillId="7" fontId="6" numFmtId="0" xfId="0" applyAlignment="1" applyFont="1">
      <alignment horizontal="center"/>
    </xf>
    <xf borderId="0" fillId="7" fontId="9" numFmtId="0" xfId="0" applyAlignment="1" applyFont="1">
      <alignment horizontal="center" readingOrder="0" vertical="top"/>
    </xf>
    <xf borderId="0" fillId="6" fontId="5" numFmtId="0" xfId="0" applyAlignment="1" applyFont="1">
      <alignment horizontal="center" readingOrder="0" vertical="top"/>
    </xf>
    <xf borderId="0" fillId="6" fontId="5" numFmtId="0" xfId="0" applyAlignment="1" applyFont="1">
      <alignment horizontal="center" readingOrder="0" shrinkToFit="0" vertical="top" wrapText="1"/>
    </xf>
    <xf borderId="0" fillId="0" fontId="6" numFmtId="0" xfId="0" applyAlignment="1" applyFont="1">
      <alignment horizontal="center" readingOrder="0" shrinkToFit="0" wrapText="1"/>
    </xf>
    <xf borderId="0" fillId="0" fontId="12" numFmtId="0" xfId="0" applyAlignment="1" applyFont="1">
      <alignment horizontal="center" readingOrder="0" shrinkToFit="0" wrapText="1"/>
    </xf>
    <xf borderId="0" fillId="7" fontId="7" numFmtId="0" xfId="0" applyAlignment="1" applyFont="1">
      <alignment readingOrder="0" vertical="center"/>
    </xf>
    <xf borderId="0" fillId="0" fontId="4" numFmtId="168" xfId="0" applyAlignment="1" applyFont="1" applyNumberFormat="1">
      <alignment readingOrder="0" vertical="bottom"/>
    </xf>
    <xf borderId="0" fillId="0" fontId="13" numFmtId="3" xfId="0" applyAlignment="1" applyFont="1" applyNumberFormat="1">
      <alignment horizontal="right" readingOrder="0" shrinkToFit="0" vertical="bottom" wrapText="0"/>
    </xf>
    <xf borderId="0" fillId="7" fontId="1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d218d36a-ad72-41db-afb4-927a75e80233}">
    <Anchor>
      <Comment id="{c3b412da-a7fc-468f-89a1-63851749737e}"/>
    </Anchor>
    <History>
      <Event time="2025-10-02T19:01:05.00" id="{ac32d260-c5a3-45ca-a68b-8b5cb488147f}">
        <Attribution userId="placeholder@email.com" userName="Jacqueline Pulgar" userProvider="google-sheets"/>
        <Anchor>
          <Comment id="{c3b412da-a7fc-468f-89a1-63851749737e}"/>
        </Anchor>
        <Create/>
      </Event>
      <Event time="2025-10-02T19:01:05.00" id="{f6c067b3-32a3-441c-874b-0ffce9149688}">
        <Attribution userId="placeholder@email.com" userName="Jacqueline Pulgar" userProvider="google-sheets"/>
        <Anchor>
          <Comment id="{c3b412da-a7fc-468f-89a1-63851749737e}"/>
        </Anchor>
        <Assign userId="pablo.mendez@co-work.cl" userName="pablo.mendez@co-work.cl" userProvider="google-sheets"/>
      </Event>
    </History>
  </Task>
</Tasks>
</file>

<file path=xl/documenttasks/documenttask3.xml><?xml version="1.0" encoding="utf-8"?>
<Tasks xmlns="http://schemas.microsoft.com/office/tasks/2019/documenttasks">
  <Task id="{41249e92-d70c-4838-bcda-c16f4d09eb64}">
    <Anchor>
      <Comment id="{d2793a1b-2f91-461a-ad63-7394f1f7f7a2}"/>
    </Anchor>
    <History>
      <Event time="2025-12-30T13:37:36.00" id="{0fd9429c-4afe-4039-bef8-1a829b712bc2}">
        <Attribution userId="placeholder@email.com" userName="Maria Fernanda Retamales" userProvider="google-sheets"/>
        <Anchor>
          <Comment id="{d2793a1b-2f91-461a-ad63-7394f1f7f7a2}"/>
        </Anchor>
        <Create/>
      </Event>
      <Event time="2025-12-30T13:37:36.00" id="{4cc08e39-14c1-4d75-a18c-548c0834362e}">
        <Attribution userId="placeholder@email.com" userName="Maria Fernanda Retamales" userProvider="google-sheets"/>
        <Anchor>
          <Comment id="{d2793a1b-2f91-461a-ad63-7394f1f7f7a2}"/>
        </Anchor>
        <Assign userId="luisana.pulido@co-work.cl" userName="luisana.pulido@co-work.cl" userProvider="google-sheets"/>
      </Event>
    </History>
  </Task>
</Tasks>
</file>

<file path=xl/documenttasks/documenttask4.xml><?xml version="1.0" encoding="utf-8"?>
<Tasks xmlns="http://schemas.microsoft.com/office/tasks/2019/documenttasks">
  <Task id="{7a60485a-ea73-496c-b965-1535114f3446}">
    <Anchor>
      <Comment id="{a346d2df-c0a0-496d-bd39-96c3e58da411}"/>
    </Anchor>
    <History>
      <Event time="2025-11-24T14:41:35.00" id="{f96aa6b6-d63f-400c-b252-cc70f767365c}">
        <Attribution userId="placeholder@email.com" userName="Maria Fernanda Retamales" userProvider="google-sheets"/>
        <Anchor>
          <Comment id="{a346d2df-c0a0-496d-bd39-96c3e58da411}"/>
        </Anchor>
        <Create/>
      </Event>
      <Event time="2025-11-24T14:41:35.00" id="{ad171961-3e28-42a1-9e38-d0cfbfc657ac}">
        <Attribution userId="placeholder@email.com" userName="Maria Fernanda Retamales" userProvider="google-sheets"/>
        <Anchor>
          <Comment id="{a346d2df-c0a0-496d-bd39-96c3e58da411}"/>
        </Anchor>
        <Assign userId="milecsy.blanco@coworklatam.com" userName="milecsy.blanco@coworklatam.com" userProvider="google-sheets"/>
      </Event>
    </History>
  </Task>
  <Task id="{b57cce48-7307-4f22-83fc-a7f546365b98}">
    <Anchor>
      <Comment id="{55d47337-70e1-491d-801e-cf2b5c5df7fa}"/>
    </Anchor>
    <History>
      <Event time="2025-11-17T16:04:20.00" id="{d3555a89-2e40-4b98-b408-a5d977c05efa}">
        <Attribution userId="placeholder@email.com" userName="Maria Fernanda Retamales" userProvider="google-sheets"/>
        <Anchor>
          <Comment id="{55d47337-70e1-491d-801e-cf2b5c5df7fa}"/>
        </Anchor>
        <Create/>
      </Event>
      <Event time="2025-11-17T16:04:20.00" id="{fbfa00c9-3c2f-4c35-b77e-ceec2169a74d}">
        <Attribution userId="placeholder@email.com" userName="Maria Fernanda Retamales" userProvider="google-sheets"/>
        <Anchor>
          <Comment id="{55d47337-70e1-491d-801e-cf2b5c5df7fa}"/>
        </Anchor>
        <Assign userId="milecsy.blanco@coworklatam.com" userName="milecsy.blanco@coworklatam.com" userProvider="google-sheets"/>
      </Event>
    </History>
  </Task>
</Tasks>
</file>

<file path=xl/documenttasks/documenttask5.xml><?xml version="1.0" encoding="utf-8"?>
<Tasks xmlns="http://schemas.microsoft.com/office/tasks/2019/documenttasks">
  <Task id="{cdd8d504-e07d-4ed1-8810-6b7374da931b}">
    <Anchor>
      <Comment id="{2a09b5c8-980f-4e55-bb89-c9d24f3939ba}"/>
    </Anchor>
    <History>
      <Event time="2026-01-09T12:57:14.00" id="{35eee701-f3bf-402c-a1f2-94aad8c2d94b}">
        <Attribution userId="placeholder@email.com" userName="Maria Fernanda Retamales" userProvider="google-sheets"/>
        <Anchor>
          <Comment id="{2a09b5c8-980f-4e55-bb89-c9d24f3939ba}"/>
        </Anchor>
        <Create/>
      </Event>
      <Event time="2026-01-09T12:57:14.00" id="{7e6150e9-0061-43e7-97bf-2aa75cdf8e6d}">
        <Attribution userId="placeholder@email.com" userName="Maria Fernanda Retamales" userProvider="google-sheets"/>
        <Anchor>
          <Comment id="{2a09b5c8-980f-4e55-bb89-c9d24f3939ba}"/>
        </Anchor>
        <Assign userId="armando.gutierrez@co-work.cl" userName="armando.gutierrez@co-work.cl" userProvider="google-sheets"/>
      </Event>
    </History>
  </Task>
  <Task id="{868cf15c-9148-4b3b-88b9-8a12cb1367fe}">
    <Anchor>
      <Comment id="{9495e0ef-94a6-4f1d-bcff-06a8c16ae3b0}"/>
    </Anchor>
    <History>
      <Event time="2025-12-30T13:38:39.00" id="{387ee4e7-a914-44da-9717-e038f91c2041}">
        <Attribution userId="placeholder@email.com" userName="Maria Fernanda Retamales" userProvider="google-sheets"/>
        <Anchor>
          <Comment id="{9495e0ef-94a6-4f1d-bcff-06a8c16ae3b0}"/>
        </Anchor>
        <Create/>
      </Event>
      <Event time="2025-12-30T13:38:39.00" id="{05682515-1ed1-4def-829d-18b18e0bf656}">
        <Attribution userId="placeholder@email.com" userName="Maria Fernanda Retamales" userProvider="google-sheets"/>
        <Anchor>
          <Comment id="{9495e0ef-94a6-4f1d-bcff-06a8c16ae3b0}"/>
        </Anchor>
        <Assign userId="armando.gutierrez@co-work.cl" userName="armando.gutierrez@co-work.cl" userProvider="google-sheets"/>
      </Event>
    </History>
  </Task>
  <Task id="{db70d3c6-98a3-42e0-880e-817a323cd5fc}">
    <Anchor>
      <Comment id="{2b528a4b-3f3d-4a48-a2c5-56f0acb6427e}"/>
    </Anchor>
    <History>
      <Event time="2025-11-24T14:30:12.00" id="{d7496aab-0870-4da2-bce9-950ec9ed151a}">
        <Attribution userId="placeholder@email.com" userName="Maria Fernanda Retamales" userProvider="google-sheets"/>
        <Anchor>
          <Comment id="{2b528a4b-3f3d-4a48-a2c5-56f0acb6427e}"/>
        </Anchor>
        <Create/>
      </Event>
      <Event time="2025-11-24T14:30:12.00" id="{aed14805-ff5d-46e9-abb5-360d892d7ff6}">
        <Attribution userId="placeholder@email.com" userName="Maria Fernanda Retamales" userProvider="google-sheets"/>
        <Anchor>
          <Comment id="{2b528a4b-3f3d-4a48-a2c5-56f0acb6427e}"/>
        </Anchor>
        <Assign userId="armando.gutierrez@co-work.cl" userName="armando.gutierrez@co-work.cl" userProvider="google-sheets"/>
      </Event>
    </History>
  </Task>
</Tasks>
</file>

<file path=xl/documenttasks/documenttask6.xml><?xml version="1.0" encoding="utf-8"?>
<Tasks xmlns="http://schemas.microsoft.com/office/tasks/2019/documenttasks">
  <Task id="{a9e11573-428a-40cd-9cc3-2b95a89ff595}">
    <Anchor>
      <Comment id="{85c998d2-dd5f-4cdd-a9a7-a9540e3af603}"/>
    </Anchor>
    <History>
      <Event time="2025-11-17T16:01:21.00" id="{648cc196-acfb-453d-a308-07cafc74ca6f}">
        <Attribution userId="placeholder@email.com" userName="Maria Fernanda Retamales" userProvider="google-sheets"/>
        <Anchor>
          <Comment id="{85c998d2-dd5f-4cdd-a9a7-a9540e3af603}"/>
        </Anchor>
        <Create/>
      </Event>
      <Event time="2025-11-17T16:01:21.00" id="{8e888978-b81a-4dac-b1cb-10d714ad8a51}">
        <Attribution userId="placeholder@email.com" userName="Maria Fernanda Retamales" userProvider="google-sheets"/>
        <Anchor>
          <Comment id="{85c998d2-dd5f-4cdd-a9a7-a9540e3af603}"/>
        </Anchor>
        <Assign userId="ysabel.villarroel@co-work.cl" userName="ysabel.villarroel@co-work.cl" userProvider="google-sheets"/>
      </Event>
    </History>
  </Task>
</Tasks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>
  <Task id="{4ded4404-8e66-41d3-84e1-5532a21e579b}">
    <Anchor>
      <Comment id="{199cb409-c715-4b5b-8d73-6e843438f692}"/>
    </Anchor>
    <History>
      <Event time="2025-11-26T19:50:09.00" id="{2680b6f8-9e2c-41ec-8d94-d2eab4953a94}">
        <Attribution userId="placeholder@email.com" userName="Lennis Pereira" userProvider="google-sheets"/>
        <Anchor>
          <Comment id="{199cb409-c715-4b5b-8d73-6e843438f692}"/>
        </Anchor>
        <Create/>
      </Event>
      <Event time="2025-11-26T19:50:09.00" id="{c24b9986-a4cd-4797-9a5f-7f42b78d637a}">
        <Attribution userId="placeholder@email.com" userName="Lennis Pereira" userProvider="google-sheets"/>
        <Anchor>
          <Comment id="{199cb409-c715-4b5b-8d73-6e843438f692}"/>
        </Anchor>
        <Assign userId="maria.fernanda@co-work.cl" userName="maria.fernanda@co-work.cl" userProvider="google-sheets"/>
      </Event>
    </History>
  </Task>
  <Task id="{b6137a67-b39c-4a44-992e-9290ab462b51}">
    <Anchor>
      <Comment id="{31143fc6-0c53-4865-9acf-c46f48c557cc}"/>
    </Anchor>
    <History>
      <Event time="2025-11-26T19:50:56.00" id="{0a2e8610-5198-4a85-93f5-b4b03c170e8f}">
        <Attribution userId="placeholder@email.com" userName="Lennis Pereira" userProvider="google-sheets"/>
        <Anchor>
          <Comment id="{31143fc6-0c53-4865-9acf-c46f48c557cc}"/>
        </Anchor>
        <Create/>
      </Event>
      <Event time="2025-11-26T19:50:56.00" id="{1a27344f-43c5-4b73-be08-cb2a4a0d9826}">
        <Attribution userId="placeholder@email.com" userName="Lennis Pereira" userProvider="google-sheets"/>
        <Anchor>
          <Comment id="{31143fc6-0c53-4865-9acf-c46f48c557cc}"/>
        </Anchor>
        <Assign userId="maria.fernanda@co-work.cl" userName="maria.fernanda@co-work.cl" userProvider="google-sheets"/>
      </Event>
    </History>
  </Task>
  <Task id="{6c14af4f-eca6-4cac-a9e4-7b97c4f6691e}">
    <Anchor>
      <Comment id="{67b2b0c8-8851-4a97-9169-1fcf80ba2885}"/>
    </Anchor>
    <History>
      <Event time="2025-11-24T14:45:01.00" id="{c808bb21-8e1a-46ed-a267-c2353cf4d362}">
        <Attribution userId="placeholder@email.com" userName="Maria Fernanda Retamales" userProvider="google-sheets"/>
        <Anchor>
          <Comment id="{67b2b0c8-8851-4a97-9169-1fcf80ba2885}"/>
        </Anchor>
        <Create/>
      </Event>
      <Event time="2025-11-24T14:45:01.00" id="{275b19f0-f11a-4c94-806a-d2740184ddaf}">
        <Attribution userId="placeholder@email.com" userName="Maria Fernanda Retamales" userProvider="google-sheets"/>
        <Anchor>
          <Comment id="{67b2b0c8-8851-4a97-9169-1fcf80ba2885}"/>
        </Anchor>
        <Assign userId="lennis@co-work.cl" userName="lennis@co-work.cl" userProvider="google-sheets"/>
      </Event>
    </History>
  </Task>
  <Task id="{6c192556-da74-4734-854a-8c3f373676d1}">
    <Anchor>
      <Comment id="{7952491a-d2e6-4137-baad-13bd3b35b782}"/>
    </Anchor>
    <History>
      <Event time="2025-11-17T16:07:02.00" id="{1eae355d-beaf-4eb6-b272-e3ee28ca1386}">
        <Attribution userId="placeholder@email.com" userName="Maria Fernanda Retamales" userProvider="google-sheets"/>
        <Anchor>
          <Comment id="{7952491a-d2e6-4137-baad-13bd3b35b782}"/>
        </Anchor>
        <Create/>
      </Event>
      <Event time="2025-11-17T16:07:02.00" id="{bde275eb-fa1a-4391-8a9b-b9731d2d9f7e}">
        <Attribution userId="placeholder@email.com" userName="Maria Fernanda Retamales" userProvider="google-sheets"/>
        <Anchor>
          <Comment id="{7952491a-d2e6-4137-baad-13bd3b35b782}"/>
        </Anchor>
        <Assign userId="lennis@co-work.cl" userName="lennis@co-work.cl" userProvider="google-sheets"/>
      </Event>
    </History>
  </Task>
</Tasks>
</file>

<file path=xl/documenttasks/documenttask9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Vito Lacasella" id="{26bd312c-58f6-4f53-9405-1b4e45489e31}" providerId="google-sheets"/>
  <x18tc:person displayName="María Alejandra Soares De Faria" id="{1457278c-1340-4221-9227-d14bc78808d3}" providerId="google-sheets"/>
  <x18tc:person displayName="armando.gutierrez@co-work.cl" id="{57801dad-91ce-4365-b720-9a397c8f08ff}" userId="armando.gutierrez@co-work.cl" providerId="google-sheets"/>
  <x18tc:person displayName="Milecsy Blanco" id="{2f9f9ea6-b536-4a5a-918c-a96cd21e08bf}" providerId="google-sheets"/>
  <x18tc:person displayName="ysabel.villarroel@co-work.cl" id="{4d909d7b-7390-47b3-ac2a-9a9654ab4734}" userId="ysabel.villarroel@co-work.cl" providerId="google-sheets"/>
  <x18tc:person displayName="Ysabel Villarroel" id="{f6525148-1548-486c-9dd8-82e0561923e6}" providerId="google-sheets"/>
  <x18tc:person displayName="milecsy.blanco@coworklatam.com" id="{b79286ad-57d8-46fa-9e5a-c450407586e3}" userId="milecsy.blanco@coworklatam.com" providerId="google-sheets"/>
  <x18tc:person displayName="Lesnard Olivares" id="{c4063cd1-2b74-40f1-9f35-6568c17ddde5}" providerId="google-sheets"/>
  <x18tc:person displayName="Armando Gutiérrez" id="{d25901ec-8177-442b-b349-242096881816}" providerId="google-sheets"/>
  <x18tc:person displayName="Lennis Pereira" id="{7a6c00a6-ff0b-4312-8890-b8a6f7ce07b2}" providerId="google-sheets"/>
  <x18tc:person displayName="Maria Fernanda Retamales" id="{ccae8e60-6708-4e17-81c0-40040e8b3793}" providerId="google-sheets"/>
  <x18tc:person displayName="maria.fernanda@co-work.cl" id="{92be1ba0-ace8-412b-8925-bad90a9b0c2d}" userId="maria.fernanda@co-work.cl" providerId="google-sheets"/>
  <x18tc:person displayName="pablo.mendez@co-work.cl" id="{e79bfae3-3bd1-4db5-b61e-ef4c7ff701bc}" userId="pablo.mendez@co-work.cl" providerId="google-sheets"/>
  <x18tc:person displayName="Jacqueline Pulgar" id="{f97d1f5a-4ee1-42a3-864c-f7cde5b6501f}" providerId="google-sheets"/>
  <x18tc:person displayName="Luisana Pulido" id="{50960ead-9e88-4798-a2e7-6ad98fa22c07}" providerId="google-sheets"/>
  <x18tc:person displayName="lennis@co-work.cl" id="{b9817135-561e-4c66-96d1-e9e3c54840aa}" userId="lennis@co-work.cl" providerId="google-sheets"/>
  <x18tc:person displayName="luisana.pulido@co-work.cl" id="{df682df9-62db-4677-bd66-eca68542af7f}" userId="luisana.pulido@co-work.cl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1-21T11:51:22.00" personId="{c4063cd1-2b74-40f1-9f35-6568c17ddde5}" id="{ca554870-5e56-401f-a412-319b0f87cd0d}" done="1">
    <x18tc:text xml:space="preserve">80x110: 6
50x70: 17
70x90: 26</x18tc:text>
  </x18tc:threadedComment>
  <x18tc:threadedComment ref="A1" dT="2025-12-04T17:58:53.00" personId="{c4063cd1-2b74-40f1-9f35-6568c17ddde5}" id="{e76961a2-7d08-4510-ae22-e49f9ec81bea}" done="0">
    <x18tc:text xml:space="preserve">50x70: 15
70x90: 23
80x110: 4</x18tc:text>
  </x18tc:threadedComment>
  <x18tc:threadedComment ref="A1" dT="2025-12-15T13:21:44.00" personId="{c4063cd1-2b74-40f1-9f35-6568c17ddde5}" id="{c0956277-1230-477e-b11c-7fedf03c5db1}" done="0">
    <x18tc:text xml:space="preserve">50x70: 14
80x110: 0
70x90: 19</x18tc:text>
  </x18tc:threadedComment>
  <x18tc:threadedComment ref="A1" dT="2025-11-24T15:35:19.00" personId="{c4063cd1-2b74-40f1-9f35-6568c17ddde5}" id="{5c950c27-6b1f-4c83-861b-f6f22dd91ffc}" done="0">
    <x18tc:text xml:space="preserve">80X110: 6
50X70: 17
70X90: 28</x18tc:text>
  </x18tc:threadedComment>
  <x18tc:threadedComment ref="A1" dT="2026-01-08T15:47:45.00" personId="{c4063cd1-2b74-40f1-9f35-6568c17ddde5}" id="{996213ab-caa8-47b1-a701-8cb2260e4a0b}" done="0">
    <x18tc:text xml:space="preserve">80x110: 4
70x90: 10
50x70: 8</x18tc:text>
  </x18tc:threadedComment>
  <x18tc:threadedComment ref="A1" dT="2025-11-24T15:36:36.00" personId="{c4063cd1-2b74-40f1-9f35-6568c17ddde5}" id="{32ed1e97-4f4a-46ea-9b13-4bf905a88255}" done="0">
    <x18tc:text xml:space="preserve">80X110: 6
50X70: 16
70X90: 28</x18tc:text>
  </x18tc:threadedComment>
  <x18tc:threadedComment ref="A1" dT="2025-12-02T14:40:05.00" personId="{c4063cd1-2b74-40f1-9f35-6568c17ddde5}" id="{8533880f-0970-4f10-be14-92b4698730f7}" done="0">
    <x18tc:text xml:space="preserve">50x70: 15
70x90: 23
80x110: 4</x18tc:text>
  </x18tc:threadedComment>
  <x18tc:threadedComment ref="A1" dT="2025-11-24T15:29:53.00" personId="{c4063cd1-2b74-40f1-9f35-6568c17ddde5}" id="{33d2d8c1-37f0-4598-bf32-30f6ff69a10d}" done="1">
    <x18tc:text xml:space="preserve">80x110: 6
50x70: 16
70x90: 28</x18tc:text>
  </x18tc:threadedComment>
  <x18tc:threadedComment ref="A1" dT="2026-01-05T16:08:15.00" personId="{c4063cd1-2b74-40f1-9f35-6568c17ddde5}" id="{6e38ffc6-cbf4-438e-88b1-e4825072e084}" done="0">
    <x18tc:text xml:space="preserve">80x110: 7
70x90: 24
50x70: 15</x18tc:text>
  </x18tc:threadedComment>
  <x18tc:threadedComment ref="A1" dT="2025-12-11T21:50:55.00" personId="{c4063cd1-2b74-40f1-9f35-6568c17ddde5}" id="{d3f2deeb-27e5-4889-a3ab-5bf846739573}" done="0">
    <x18tc:text xml:space="preserve">50x70: 15
80x110: 0
70x90: 20</x18tc:text>
  </x18tc:threadedComment>
  <x18tc:threadedComment ref="A1" dT="2025-11-27T15:17:11.00" personId="{c4063cd1-2b74-40f1-9f35-6568c17ddde5}" id="{c8cbf017-e342-4984-b2bc-be6eb63af924}" done="0">
    <x18tc:text xml:space="preserve">70x90: 24
80x110: 5
50x70: 14</x18tc:text>
  </x18tc:threadedComment>
  <x18tc:threadedComment ref="A1" dT="2025-11-03T12:13:37.00" personId="{c4063cd1-2b74-40f1-9f35-6568c17ddde5}" id="{140b31f4-922d-4503-b5cd-36aed8546025}" done="0">
    <x18tc:text xml:space="preserve">Desde noviembre Kiber ya no tiene cafetera</x18tc:text>
  </x18tc:threadedComment>
  <x18tc:threadedComment ref="A1" dT="2025-11-03T12:43:33.00" personId="{ccae8e60-6708-4e17-81c0-40040e8b3793}" id="{0b5032ed-4e9a-4785-a84f-32728beea782}" parentId="{140b31f4-922d-4503-b5cd-36aed8546025}">
    <x18tc:text xml:space="preserve">Gracias Lesnard por la información!</x18tc:text>
  </x18tc:threadedComment>
  <x18tc:threadedComment ref="A1" dT="2025-12-09T14:12:19.00" personId="{c4063cd1-2b74-40f1-9f35-6568c17ddde5}" id="{9441ed3a-c02f-4b24-907b-62e576e8e120}" done="0">
    <x18tc:text xml:space="preserve">50x70: 15
80x110: 4
70x90: 20</x18tc:text>
  </x18tc:threadedComment>
  <x18tc:threadedComment ref="A1" dT="2025-11-17T18:50:48.00" personId="{c4063cd1-2b74-40f1-9f35-6568c17ddde5}" id="{4314a0aa-c15d-42a1-a908-06a5f421e7fe}" done="1">
    <x18tc:text xml:space="preserve">70x90: 19 paq
50x70: 7 paq
80x110: 2 paq</x18tc:text>
  </x18tc:threadedComment>
  <x18tc:threadedComment ref="A1" dT="2025-12-12T14:23:04.00" personId="{7a6c00a6-ff0b-4312-8890-b8a6f7ce07b2}" id="{0528c1fc-5d47-4165-b033-595b6a771c3f}" done="0">
    <x18tc:text xml:space="preserve">Berta me trajo una resma el día de ayer</x18tc:text>
  </x18tc:threadedComment>
  <x18tc:threadedComment ref="A1" dT="2025-11-18T20:17:18.00" personId="{c4063cd1-2b74-40f1-9f35-6568c17ddde5}" id="{3f5dd7e1-ad0d-4b68-b708-ac91011b7b3d}" done="0">
    <x18tc:text xml:space="preserve">70x90: 19 paq
50x70: 7 paq
80x110: 2 paq</x18tc:text>
  </x18tc:threadedComment>
  <x18tc:threadedComment ref="A1" dT="2025-11-18T20:17:11.00" personId="{c4063cd1-2b74-40f1-9f35-6568c17ddde5}" id="{397b03b2-ace7-4486-a4f1-e7984a54ef33}" done="0">
    <x18tc:text xml:space="preserve">70x90: 19 paq
50x70: 7 paq
80x110: 2 paq</x18tc:text>
  </x18tc:threadedComment>
  <x18tc:threadedComment ref="A1" dT="2026-01-12T18:01:02.00" personId="{c4063cd1-2b74-40f1-9f35-6568c17ddde5}" id="{b7090783-d084-4fb4-a7a7-5ebdd4ed5ab6}" done="0">
    <x18tc:text xml:space="preserve">70x90: 8
80x110: 3
50x70: 6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H16" dT="2025-12-04T17:45:20.00" personId="{f97d1f5a-4ee1-42a3-864c-f7cde5b6501f}" id="{de28cea1-951a-415f-bce8-1d740295c398}" done="0">
    <x18tc:text xml:space="preserve">se prestaron 2 paquetes a londres</x18tc:text>
  </x18tc:threadedComment>
  <x18tc:threadedComment ref="AH17" dT="2025-12-04T17:45:14.00" personId="{f97d1f5a-4ee1-42a3-864c-f7cde5b6501f}" id="{20a4e379-12ea-4982-8ca8-3d5504cf0694}" done="0">
    <x18tc:text xml:space="preserve">se prestaron 2 paquetes a londres</x18tc:text>
  </x18tc:threadedComment>
  <x18tc:threadedComment ref="T11" dT="2025-10-02T19:01:05.00" personId="{f97d1f5a-4ee1-42a3-864c-f7cde5b6501f}" id="{c3b412da-a7fc-468f-89a1-63851749737e}" done="0">
    <x18tc:text xml:space="preserve">@pablo.mendez@co-work.cl
Asignada a pablo.mendez@co-work.cl</x18tc:text>
    <x18tc:mentions>
      <x18tc:mention mentionpersonId="{e79bfae3-3bd1-4db5-b61e-ef4c7ff701bc}" mentionId="{058f217f-9495-4f50-80da-a1895d4220aa}" startIndex="0" length="24"/>
    </x18tc:mentions>
  </x18tc:threadedComment>
  <x18tc:threadedComment ref="T11" dT="2025-10-02T19:58:24.00" personId="{ccae8e60-6708-4e17-81c0-40040e8b3793}" id="{ab9729c4-4298-4e28-9582-d8dbc5712a3c}" parentId="{c3b412da-a7fc-468f-89a1-63851749737e}">
    <x18tc:text xml:space="preserve">Gracias Jacque ya estan iniciando pedido de insumos</x18tc:text>
  </x18tc:threadedComment>
  <x18tc:threadedComment ref="T11" dT="2025-10-02T20:26:48.00" personId="{f97d1f5a-4ee1-42a3-864c-f7cde5b6501f}" id="{47b27cdc-b11e-4ef0-abca-41a0bbc0cfe5}" parentId="{c3b412da-a7fc-468f-89a1-63851749737e}">
    <x18tc:text xml:space="preserve">gracia Mafe!</x18tc:text>
  </x18tc:threadedComment>
  <x18tc:threadedComment ref="AZ5" dT="2026-01-26T18:25:38.00" personId="{f97d1f5a-4ee1-42a3-864c-f7cde5b6501f}" id="{34df70bb-1658-4f46-8eac-98f27394cf10}" done="0">
    <x18tc:text xml:space="preserve">Berta se lleva 2 toallas para la Florida</x18tc:text>
  </x18tc:threadedComment>
  <x18tc:threadedComment ref="P4" dT="2025-09-03T15:21:24.00" personId="{f97d1f5a-4ee1-42a3-864c-f7cde5b6501f}" id="{85e01984-6aca-40f2-85b7-45e037787617}" done="0">
    <x18tc:text xml:space="preserve">@pablo.mendez@co-work.cl</x18tc:text>
    <x18tc:mentions>
      <x18tc:mention mentionpersonId="{e79bfae3-3bd1-4db5-b61e-ef4c7ff701bc}" mentionId="{f8bb405b-1932-4fa1-b073-ade9f9bdb866}" startIndex="0" length="24"/>
    </x18tc:mentions>
  </x18tc:threadedComment>
  <x18tc:threadedComment ref="AH15" dT="2025-12-04T17:44:47.00" personId="{f97d1f5a-4ee1-42a3-864c-f7cde5b6501f}" id="{784c25ac-9e66-4cd4-8e88-59973dc6e919}" done="0">
    <x18tc:text xml:space="preserve">se prestaron 2 paquetes a londres</x18tc:text>
  </x18tc:threadedComment>
  <x18tc:threadedComment ref="Q11" dT="2025-09-12T13:58:48.00" personId="{f97d1f5a-4ee1-42a3-864c-f7cde5b6501f}" id="{7751354a-d388-4fa9-84a2-33dcab5d5675}" done="0">
    <x18tc:text xml:space="preserve">@pablo.mendez@co-work.cl</x18tc:text>
    <x18tc:mentions>
      <x18tc:mention mentionpersonId="{e79bfae3-3bd1-4db5-b61e-ef4c7ff701bc}" mentionId="{53eb07ee-d9c2-47cc-9633-e07986b9da83}" startIndex="0" length="24"/>
    </x18tc:mentions>
  </x18tc:threadedComment>
  <x18tc:threadedComment ref="BH1" dT="2026-02-19T19:25:43.00" personId="{ccae8e60-6708-4e17-81c0-40040e8b3793}" id="{a6f16128-313b-45f8-8faf-1545ebc19ff9}" done="0">
    <x18tc:text xml:space="preserve">18/02</x18tc:text>
  </x18tc:threadedComment>
  <x18tc:threadedComment ref="AH7" dT="2025-12-04T17:40:04.00" personId="{f97d1f5a-4ee1-42a3-864c-f7cde5b6501f}" id="{8cbb349f-d3bb-478f-9f9c-f2901502baff}" done="0">
    <x18tc:text xml:space="preserve">la caja de las resma venía mojada, por lo que rechace ese bulto</x18tc:text>
  </x18tc:threadedComment>
  <x18tc:threadedComment ref="AQ5" dT="2026-01-07T19:41:03.00" personId="{f97d1f5a-4ee1-42a3-864c-f7cde5b6501f}" id="{8fa90d7d-911b-4fcb-a051-c204008a0654}" done="0">
    <x18tc:text xml:space="preserve">@pablo.mendez@co-work.cl</x18tc:text>
    <x18tc:mentions>
      <x18tc:mention mentionpersonId="{e79bfae3-3bd1-4db5-b61e-ef4c7ff701bc}" mentionId="{6287fafe-5d57-4a9c-ae62-b0a0454bfea7}" startIndex="0" length="24"/>
    </x18tc:mentions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2" dT="2025-12-30T13:37:36.00" personId="{ccae8e60-6708-4e17-81c0-40040e8b3793}" id="{d2793a1b-2f91-461a-ad63-7394f1f7f7a2}" done="0">
    <x18tc:text xml:space="preserve">@luisana.pulido@co-work.cl  Holaa Luisana! porfavor actulizar con lo tengas disponible, gracias!!!
Asignada a luisana.pulido@co-work.cl</x18tc:text>
    <x18tc:mentions>
      <x18tc:mention mentionpersonId="{df682df9-62db-4677-bd66-eca68542af7f}" mentionId="{e265a9f5-10c5-4dbd-bfed-b72b340bc5c4}" startIndex="0" length="26"/>
    </x18tc:mentions>
  </x18tc:threadedComment>
  <x18tc:threadedComment ref="E2" dT="2025-12-30T14:41:48.00" personId="{50960ead-9e88-4798-a2e7-6ad98fa22c07}" id="{c9c7a7e3-e7e4-46e6-99e4-fbd726e765c8}" parentId="{d2793a1b-2f91-461a-ad63-7394f1f7f7a2}">
    <x18tc:text xml:space="preserve">Hola @maria.fernanda@co-work.cl listado actualizado, Saludos !!</x18tc:text>
    <x18tc:mentions>
      <x18tc:mention mentionpersonId="{92be1ba0-ace8-412b-8925-bad90a9b0c2d}" mentionId="{4165f73f-fd2c-4f09-adf5-701b82edeb95}" startIndex="5" length="26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F2" dT="2025-11-24T14:41:35.00" personId="{ccae8e60-6708-4e17-81c0-40040e8b3793}" id="{a346d2df-c0a0-496d-bd39-96c3e58da411}" done="0">
    <x18tc:text xml:space="preserve">@milecsy.blanco@coworklatam.com  Hola Milecsy! recordatorio para completar! graciass
Asignada a milecsy.blanco@coworklatam.com</x18tc:text>
    <x18tc:mentions>
      <x18tc:mention mentionpersonId="{b79286ad-57d8-46fa-9e5a-c450407586e3}" mentionId="{a3d85afd-afa7-43c4-82b1-a11ec4ae6e59}" startIndex="0" length="31"/>
    </x18tc:mentions>
  </x18tc:threadedComment>
  <x18tc:threadedComment ref="AF2" dT="2025-11-25T14:33:13.00" personId="{2f9f9ea6-b536-4a5a-918c-a96cd21e08bf}" id="{79e8018a-34a0-44c7-9283-de3e43e1a446}" parentId="{a346d2df-c0a0-496d-bd39-96c3e58da411}">
    <x18tc:text xml:space="preserve">hola maria fernanda como estas el dia de ayer estuve de dia administrativo en el transcurso de la mañana te dejo actualizada la planilla</x18tc:text>
  </x18tc:threadedComment>
  <x18tc:threadedComment ref="AF2" dT="2025-11-25T14:43:24.00" personId="{ccae8e60-6708-4e17-81c0-40040e8b3793}" id="{d1c2acf9-808c-48cd-9f9f-05a07be4b901}" parentId="{a346d2df-c0a0-496d-bd39-96c3e58da411}">
    <x18tc:text xml:space="preserve">super  gracias!</x18tc:text>
  </x18tc:threadedComment>
  <x18tc:threadedComment ref="AC2" dT="2025-11-17T16:04:20.00" personId="{ccae8e60-6708-4e17-81c0-40040e8b3793}" id="{55d47337-70e1-491d-801e-cf2b5c5df7fa}" done="1">
    <x18tc:text xml:space="preserve">@milecsy.blanco@coworklatam.com  Hola Milecsy! mañana hacen despacho de café e insumos!
Asignada a milecsy.blanco@coworklatam.com</x18tc:text>
    <x18tc:mentions>
      <x18tc:mention mentionpersonId="{b79286ad-57d8-46fa-9e5a-c450407586e3}" mentionId="{a40aae06-949d-49c6-84ba-825ae07a9eb1}" startIndex="0" length="31"/>
    </x18tc:mentions>
  </x18tc:threadedComment>
  <x18tc:threadedComment ref="AC2" dT="2025-11-17T16:34:45.00" personId="{2f9f9ea6-b536-4a5a-918c-a96cd21e08bf}" id="{9ad1eb1f-9ca5-4b4d-9fb4-eb559d996bac}" parentId="{55d47337-70e1-491d-801e-cf2b5c5df7fa}">
    <x18tc:text xml:space="preserve">hola maria fernanda como estas 
hoy llego insumo de papeleria</x18tc:text>
  </x18tc:threadedComment>
  <x18tc:threadedComment ref="AC2" dT="2025-11-17T16:35:52.00" personId="{ccae8e60-6708-4e17-81c0-40040e8b3793}" id="{201fb140-1b2a-420f-99ea-26a2c2580bc9}" parentId="{55d47337-70e1-491d-801e-cf2b5c5df7fa}">
    <x18tc:text xml:space="preserve">@milecsy.blanco@coworklatam.com  super! mañana deberia llegar lo restante entonces</x18tc:text>
    <x18tc:mentions>
      <x18tc:mention mentionpersonId="{b79286ad-57d8-46fa-9e5a-c450407586e3}" mentionId="{7a7ab85b-af5e-40f5-9a78-f0f35221f12c}" startIndex="0" length="31"/>
    </x18tc:mentions>
  </x18tc:threadedComment>
  <x18tc:threadedComment ref="C14" dT="2026-01-20T16:11:45.00" personId="{ccae8e60-6708-4e17-81c0-40040e8b3793}" id="{1758c057-6c28-4715-9d33-4157256f2e37}" done="0">
    <x18tc:text xml:space="preserve">Hola! favor empezar a separar por tamaño. Gracias!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2" dT="2026-01-09T12:57:14.00" personId="{ccae8e60-6708-4e17-81c0-40040e8b3793}" id="{2a09b5c8-980f-4e55-bb89-c9d24f3939ba}" done="0">
    <x18tc:text xml:space="preserve">@armando.gutierrez@co-work.cl  Hola Armando porfis actualizar con las cosas de ayer! graciass
Asignada a armando.gutierrez@co-work.cl</x18tc:text>
    <x18tc:mentions>
      <x18tc:mention mentionpersonId="{57801dad-91ce-4365-b720-9a397c8f08ff}" mentionId="{dd2700ed-445b-4853-b32a-8e5cf37c95ed}" startIndex="0" length="29"/>
    </x18tc:mentions>
  </x18tc:threadedComment>
  <x18tc:threadedComment ref="AL2" dT="2026-01-09T13:37:32.00" personId="{d25901ec-8177-442b-b349-242096881816}" id="{08e80c4e-d2e3-41f1-b2f7-e3478cba24ee}" parentId="{2a09b5c8-980f-4e55-bb89-c9d24f3939ba}">
    <x18tc:text xml:space="preserve">Listo.</x18tc:text>
  </x18tc:threadedComment>
  <x18tc:threadedComment ref="AJ3" dT="2025-12-30T13:38:39.00" personId="{ccae8e60-6708-4e17-81c0-40040e8b3793}" id="{9495e0ef-94a6-4f1d-bcff-06a8c16ae3b0}" done="1">
    <x18tc:text xml:space="preserve">@armando.gutierrez@co-work.cl   Hola Armando! porfis actulizar, gracias!!!
Asignada a armando.gutierrez@co-work.cl</x18tc:text>
    <x18tc:mentions>
      <x18tc:mention mentionpersonId="{57801dad-91ce-4365-b720-9a397c8f08ff}" mentionId="{7fe2ddcc-6c18-4da0-983e-429680664638}" startIndex="0" length="29"/>
    </x18tc:mentions>
  </x18tc:threadedComment>
  <x18tc:threadedComment ref="AJ3" dT="2025-12-30T14:44:01.00" personId="{d25901ec-8177-442b-b349-242096881816}" id="{ac6230b1-8785-4df3-8a18-3598b184564c}" parentId="{9495e0ef-94a6-4f1d-bcff-06a8c16ae3b0}">
    <x18tc:text xml:space="preserve">listo</x18tc:text>
  </x18tc:threadedComment>
  <x18tc:threadedComment ref="AJ3" dT="2025-12-30T14:44:17.00" personId="{d25901ec-8177-442b-b349-242096881816}" id="{005c6782-cf7f-46fb-a382-887345e0eafd}" parentId="{9495e0ef-94a6-4f1d-bcff-06a8c16ae3b0}">
    <x18tc:text xml:space="preserve">Listo</x18tc:text>
  </x18tc:threadedComment>
  <x18tc:threadedComment ref="AJ3" dT="2026-01-05T12:46:17.00" personId="{ccae8e60-6708-4e17-81c0-40040e8b3793}" id="{a55a2b2c-6933-48b3-b4cb-fac5ee3c6914}" parentId="{9495e0ef-94a6-4f1d-bcff-06a8c16ae3b0}">
    <x18tc:text xml:space="preserve">Marcado como completado</x18tc:text>
  </x18tc:threadedComment>
  <x18tc:threadedComment ref="AJ3" dT="2026-01-05T13:40:31.00" personId="{d25901ec-8177-442b-b349-242096881816}" id="{f8d0f6cf-82cd-41f2-911e-39e83e7891ec}" parentId="{9495e0ef-94a6-4f1d-bcff-06a8c16ae3b0}">
    <x18tc:text xml:space="preserve">Listo
Reabierto</x18tc:text>
  </x18tc:threadedComment>
  <x18tc:threadedComment ref="AB2" dT="2025-11-24T14:30:12.00" personId="{ccae8e60-6708-4e17-81c0-40040e8b3793}" id="{2b528a4b-3f3d-4a48-a2c5-56f0acb6427e}" done="1">
    <x18tc:text xml:space="preserve">@armando.gutierrez@co-work.cl  Hola Armando! porfavorr recordatorio para actulizar. gracias!
Asignada a armando.gutierrez@co-work.cl</x18tc:text>
    <x18tc:mentions>
      <x18tc:mention mentionpersonId="{57801dad-91ce-4365-b720-9a397c8f08ff}" mentionId="{ee84f232-109f-48f8-9f07-a3924ca2f5eb}" startIndex="0" length="29"/>
    </x18tc:mentions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J4" dT="2025-12-04T17:45:54.00" personId="{f6525148-1548-486c-9dd8-82e0561923e6}" id="{aa2ffceb-de1b-4271-8fa8-6c4992e141ab}" done="0">
    <x18tc:text xml:space="preserve">Llegó café 2/12</x18tc:text>
  </x18tc:threadedComment>
  <x18tc:threadedComment ref="AD22" dT="2025-11-19T13:37:03.00" personId="{f6525148-1548-486c-9dd8-82e0561923e6}" id="{d44b517e-41e3-4e70-9fe4-e0dfb51e89c6}" done="0">
    <x18tc:text xml:space="preserve">LLegó el 19/11</x18tc:text>
  </x18tc:threadedComment>
  <x18tc:threadedComment ref="AD23" dT="2025-11-19T13:37:31.00" personId="{f6525148-1548-486c-9dd8-82e0561923e6}" id="{51fbc66f-fdb9-4fca-babe-c3e1a12653d9}" done="0">
    <x18tc:text xml:space="preserve">Llegó el 19/11</x18tc:text>
  </x18tc:threadedComment>
  <x18tc:threadedComment ref="AC4" dT="2025-11-18T18:28:30.00" personId="{f6525148-1548-486c-9dd8-82e0561923e6}" id="{4a0daf8b-272c-4b8a-a380-86fdf7cfe309}" done="0">
    <x18tc:text xml:space="preserve">Operaciones envió 2 kilos y medio. Se repartió 1KG para cada piso y 500 grs se coloxcaron en la cafetera</x18tc:text>
  </x18tc:threadedComment>
  <x18tc:threadedComment ref="AC4" dT="2025-11-18T18:30:47.00" personId="{ccae8e60-6708-4e17-81c0-40040e8b3793}" id="{603308a8-ae68-47f9-a60f-175e8f1786cb}" parentId="{4a0daf8b-272c-4b8a-a380-86fdf7cfe309}">
    <x18tc:text xml:space="preserve">@ysabel.villarroel@co-work.cl  Hola Ysa! , les llegaron solo 2,5kg entonces??</x18tc:text>
    <x18tc:mentions>
      <x18tc:mention mentionpersonId="{4d909d7b-7390-47b3-ac2a-9a9654ab4734}" mentionId="{c5c4c71c-1287-4978-ad48-cb955bd49e97}" startIndex="0" length="29"/>
    </x18tc:mentions>
  </x18tc:threadedComment>
  <x18tc:threadedComment ref="AC4" dT="2025-11-18T19:11:48.00" personId="{f6525148-1548-486c-9dd8-82e0561923e6}" id="{b6d9d03d-3b20-4d3f-bd95-985723f190e2}" parentId="{4a0daf8b-272c-4b8a-a380-86fdf7cfe309}">
    <x18tc:text xml:space="preserve">No, eso fue por la emergencia. En este momento estoy recibiendo 8 KG de Café Caribe</x18tc:text>
  </x18tc:threadedComment>
  <x18tc:threadedComment ref="AC4" dT="2025-11-18T19:12:38.00" personId="{f6525148-1548-486c-9dd8-82e0561923e6}" id="{ddb2ccd6-cc0f-45e0-9334-e979ff6cfb1a}" parentId="{4a0daf8b-272c-4b8a-a380-86fdf7cfe309}">
    <x18tc:text xml:space="preserve">Allí te actualicé. Es para que puedan comprender porque de 0 pasó a 1 y luego a 5KG</x18tc:text>
  </x18tc:threadedComment>
  <x18tc:threadedComment ref="AC4" dT="2025-11-18T20:13:18.00" personId="{ccae8e60-6708-4e17-81c0-40040e8b3793}" id="{2f727803-4346-4b7e-bff1-aee202336f59}" parentId="{4a0daf8b-272c-4b8a-a380-86fdf7cfe309}">
    <x18tc:text xml:space="preserve">Listo gracias!</x18tc:text>
  </x18tc:threadedComment>
  <x18tc:threadedComment ref="AC4" dT="2025-11-18T20:56:16.00" personId="{f6525148-1548-486c-9dd8-82e0561923e6}" id="{9fd8b16d-86af-4607-bc8b-fe00787bdbf9}" parentId="{4a0daf8b-272c-4b8a-a380-86fdf7cfe309}">
    <x18tc:text xml:space="preserve">A ti</x18tc:text>
  </x18tc:threadedComment>
  <x18tc:threadedComment ref="AO4" dT="2025-12-29T12:17:43.00" personId="{f6525148-1548-486c-9dd8-82e0561923e6}" id="{de131759-b732-4eae-93f1-545561a17e78}" done="0">
    <x18tc:text xml:space="preserve">Llegó el viernes 19/12</x18tc:text>
  </x18tc:threadedComment>
  <x18tc:threadedComment ref="AR4" dT="2026-01-08T15:34:27.00" personId="{f6525148-1548-486c-9dd8-82e0561923e6}" id="{16b1eac9-25e9-4c60-894e-48abea178492}" done="0">
    <x18tc:text xml:space="preserve">Hoy llegaron 5 Kg p/2</x18tc:text>
  </x18tc:threadedComment>
  <x18tc:threadedComment ref="U6" dT="2025-09-29T13:30:48.00" personId="{f6525148-1548-486c-9dd8-82e0561923e6}" id="{0b29f910-5d40-412c-bf9b-718b07f45027}" done="0">
    <x18tc:text xml:space="preserve">@pablo.mendez@co-work.cl hola, pronto a agotarse</x18tc:text>
    <x18tc:mentions>
      <x18tc:mention mentionpersonId="{e79bfae3-3bd1-4db5-b61e-ef4c7ff701bc}" mentionId="{87bba94d-41e2-4c08-a3f5-caa7b1155baf}" startIndex="0" length="24"/>
    </x18tc:mentions>
  </x18tc:threadedComment>
  <x18tc:threadedComment ref="AC2" dT="2025-11-17T16:01:21.00" personId="{ccae8e60-6708-4e17-81c0-40040e8b3793}" id="{85c998d2-dd5f-4cdd-a9a7-a9540e3af603}" done="0">
    <x18tc:text xml:space="preserve">@ysabel.villarroel@co-work.cl  Hola Ysa! mañana 18/11 llegan los insumos y cafeteria!
Asignada a ysabel.villarroel@co-work.cl</x18tc:text>
    <x18tc:mentions>
      <x18tc:mention mentionpersonId="{4d909d7b-7390-47b3-ac2a-9a9654ab4734}" mentionId="{374c6274-828e-4bff-bdfe-0731ca4e0ba4}" startIndex="0" length="29"/>
    </x18tc:mentions>
  </x18tc:threadedComment>
  <x18tc:threadedComment ref="AC2" dT="2025-11-17T16:18:14.00" personId="{f6525148-1548-486c-9dd8-82e0561923e6}" id="{dcd8a9e2-3ba2-4085-a094-9a294584f91f}" parentId="{85c998d2-dd5f-4cdd-a9a7-a9540e3af603}">
    <x18tc:text xml:space="preserve">Hola Mary. Muchísimas gracias 😊 linda tarde</x18tc:text>
  </x18tc:threadedComment>
  <x18tc:threadedComment ref="AD9" dT="2025-11-19T13:36:30.00" personId="{f6525148-1548-486c-9dd8-82e0561923e6}" id="{2972c4b9-d885-41c4-b0e7-10724543cf34}" done="0">
    <x18tc:text xml:space="preserve">Llegó el 19/11</x18tc:text>
  </x18tc:threadedComment>
  <x18tc:threadedComment ref="AT5" dT="2026-01-15T15:01:45.00" personId="{f6525148-1548-486c-9dd8-82e0561923e6}" id="{0d95cfa4-45f8-4d09-9e74-f18baa2198e5}" done="0">
    <x18tc:text xml:space="preserve">Se tomaron del piso 5</x18tc:text>
  </x18tc:threadedComment>
  <x18tc:threadedComment ref="AD8" dT="2025-11-19T13:35:38.00" personId="{f6525148-1548-486c-9dd8-82e0561923e6}" id="{b60f92d1-0d8d-4951-937d-6b9a70122873}" done="0">
    <x18tc:text xml:space="preserve">Llegó el 19/11</x18tc:text>
  </x18tc:threadedComment>
  <x18tc:threadedComment ref="AR18" dT="2026-01-08T15:41:12.00" personId="{f6525148-1548-486c-9dd8-82e0561923e6}" id="{d513fe46-dddd-4a90-98cc-10aa0858633b}" done="0">
    <x18tc:text xml:space="preserve">El 07/01/26 Operaciones se llevó 4 Kg. Hoy 08/01/26 llegaron 5 KG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R19" dT="2026-01-26T19:23:50.00" personId="{1457278c-1340-4221-9227-d14bc78808d3}" id="{c0060661-e039-4ef9-90c4-7e12eee2c45c}" done="1">
    <x18tc:text xml:space="preserve">Operaciones tomó 2 paquetes para poder cubrir en otra sede (</x18tc:text>
  </x18tc:threadedComment>
  <x18tc:threadedComment ref="AS27" dT="2026-02-02T13:36:03.00" personId="{1457278c-1340-4221-9227-d14bc78808d3}" id="{f531a5bb-0767-4831-a6b1-aec2130f011a}" done="0">
    <x18tc:text xml:space="preserve">paquetes de 10</x18tc:text>
  </x18tc:threadedComment>
  <x18tc:threadedComment ref="AS28" dT="2026-02-02T13:36:07.00" personId="{1457278c-1340-4221-9227-d14bc78808d3}" id="{e1b1fcc3-c8c4-4730-ba5f-11106207a783}" done="0">
    <x18tc:text xml:space="preserve">paquetes de 10</x18tc:text>
  </x18tc:threadedComment>
  <x18tc:threadedComment ref="AM4" dT="2026-01-08T15:38:37.00" personId="{1457278c-1340-4221-9227-d14bc78808d3}" id="{f8040c73-2ed1-48d1-89c5-a54493abeb30}" done="0">
    <x18tc:text xml:space="preserve">llegaron 3 kilos hoy para piso 7</x18tc:text>
  </x18tc:threadedComment>
  <x18tc:threadedComment ref="AS14" dT="2026-02-02T13:36:57.00" personId="{1457278c-1340-4221-9227-d14bc78808d3}" id="{10443ae0-a904-45a3-98cd-ca8fc87a2ea5}" done="0">
    <x18tc:text xml:space="preserve">paquetes de 10</x18tc:text>
  </x18tc:threadedComment>
  <x18tc:threadedComment ref="AS15" dT="2026-02-02T13:37:12.00" personId="{1457278c-1340-4221-9227-d14bc78808d3}" id="{75096ea5-630e-4ec2-8a58-70249c1f7bdf}" done="0">
    <x18tc:text xml:space="preserve">paquetes de 10</x18tc:text>
  </x18tc:threadedComment>
  <x18tc:threadedComment ref="AS29" dT="2026-02-02T13:36:11.00" personId="{1457278c-1340-4221-9227-d14bc78808d3}" id="{5386aa75-99e5-4c3e-8da8-d60345f12a4a}" done="0">
    <x18tc:text xml:space="preserve">paquetes de 10</x18tc:text>
  </x18tc:threadedComment>
  <x18tc:threadedComment ref="AM18" dT="2026-01-08T15:39:10.00" personId="{1457278c-1340-4221-9227-d14bc78808d3}" id="{cb203843-8401-4d38-bf23-e4cac1999de1}" done="0">
    <x18tc:text xml:space="preserve">llegaron 5 kilos hoy para piso 8</x18tc:text>
  </x18tc:threadedComment>
  <x18tc:threadedComment ref="AS13" dT="2026-02-02T13:36:51.00" personId="{1457278c-1340-4221-9227-d14bc78808d3}" id="{e139f19a-c8ad-465f-b4cd-920389adbc27}" done="0">
    <x18tc:text xml:space="preserve">paquetes de 10</x18tc:text>
  </x18tc:threadedComment>
  <x18tc:threadedComment ref="AT13" dT="2026-02-10T12:55:30.00" personId="{1457278c-1340-4221-9227-d14bc78808d3}" id="{83ae7670-4824-4ef7-a3c1-0dc45b41300a}" done="0">
    <x18tc:text xml:space="preserve">paquetes de 10</x18tc:text>
  </x18tc:threadedComment>
  <x18tc:threadedComment ref="AL18" dT="2026-01-06T12:20:52.00" personId="{1457278c-1340-4221-9227-d14bc78808d3}" id="{0b487c48-0cd7-48c8-a144-76f5d1c1322c}" done="0">
    <x18tc:text xml:space="preserve">el martes 06 di 2 kilos para Tobalaba, a la fecha quedo con 7 kilos en piso 8</x18tc:text>
  </x18tc:threadedComment>
  <x18tc:threadedComment ref="AL18" dT="2026-01-06T13:34:38.00" personId="{ccae8e60-6708-4e17-81c0-40040e8b3793}" id="{8f50e549-f7b7-473a-bfd8-96799c706d56}" parentId="{0b487c48-0cd7-48c8-a144-76f5d1c1322c}">
    <x18tc:text xml:space="preserve">Gracias! gestionamos para reponer!</x18tc:text>
  </x18tc:threadedComment>
  <x18tc:threadedComment ref="AQ19" dT="2026-01-23T14:57:13.00" personId="{1457278c-1340-4221-9227-d14bc78808d3}" id="{149cafb0-856a-423a-9396-e33af85be5bb}" done="0">
    <x18tc:text xml:space="preserve">22/01: llegó pedido, todo fue sumado para piso 8 pero voy resolviendo con eso para los dos pisos cuando necesito</x18tc:text>
  </x18tc:threadedComment>
  <x18tc:threadedComment ref="AQ19" dT="2026-01-23T15:04:16.00" personId="{ccae8e60-6708-4e17-81c0-40040e8b3793}" id="{bae8f25b-bf08-4809-87ef-db8fa1a94aca}" parentId="{149cafb0-856a-423a-9396-e33af85be5bb}">
    <x18tc:text xml:space="preserve">Gracias por la info!!</x18tc:text>
  </x18tc:threadedComment>
  <x18tc:threadedComment ref="AT14" dT="2026-02-10T12:55:41.00" personId="{1457278c-1340-4221-9227-d14bc78808d3}" id="{6d3ecbb4-30ad-481a-91c6-1eb73db0b93a}" done="0">
    <x18tc:text xml:space="preserve">paquetes de 10</x18tc:text>
  </x18tc:threadedComment>
  <x18tc:threadedComment ref="AT15" dT="2026-02-10T12:55:47.00" personId="{1457278c-1340-4221-9227-d14bc78808d3}" id="{562ea895-e174-4c16-b20c-7ddb59cbc870}" done="0">
    <x18tc:text xml:space="preserve">paquetes de 10</x18tc:text>
  </x18tc:threadedComment>
  <x18tc:threadedComment ref="C13" dT="2026-01-20T16:13:17.00" personId="{ccae8e60-6708-4e17-81c0-40040e8b3793}" id="{03487904-be03-4764-853f-e2ccb4a8864c}" done="0">
    <x18tc:text xml:space="preserve">hola! por favor empezar a separa por tamaño, gracias!</x18tc:text>
  </x18tc:threadedComment>
  <x18tc:threadedComment ref="BA8" dT="2026-03-04T20:28:14.00" personId="{1457278c-1340-4221-9227-d14bc78808d3}" id="{e8d1457a-5bd0-42d7-b8ba-a029710f9649}" done="0">
    <x18tc:text xml:space="preserve">los dos son de piso 8</x18tc:text>
  </x18tc:threadedComment>
  <x18tc:threadedComment ref="AR19" dT="2026-01-26T19:24:44.00" personId="{1457278c-1340-4221-9227-d14bc78808d3}" id="{4f7fa5d1-d5f3-4a41-865c-d612ec69a261}" done="0">
    <x18tc:text xml:space="preserve">Tenía 22 paquetes al día de hoy, pero, operaciones se llevó 2 paquetes para Kennedy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L21" dT="2026-01-09T13:24:53.00" personId="{7a6c00a6-ff0b-4312-8890-b8a6f7ce07b2}" id="{0fa884de-358b-4e1b-8df9-17306099c9b9}" done="0">
    <x18tc:text xml:space="preserve">El día de ayer me quede sin vasos por lo que tuve que comprar 100 más. Esta semana tuve muchas visitas en salas de reunión a externos + coworker y sus invitados</x18tc:text>
  </x18tc:threadedComment>
  <x18tc:threadedComment ref="AJ3" dT="2025-12-30T13:39:12.00" personId="{ccae8e60-6708-4e17-81c0-40040e8b3793}" id="{8861197d-4ca3-4a9a-bbc2-f84fc28e35af}" done="0">
    <x18tc:text xml:space="preserve">@lennis@co-work.cl  Hola Lenn! porfavor actulizar , gracias!!</x18tc:text>
    <x18tc:mentions>
      <x18tc:mention mentionpersonId="{b9817135-561e-4c66-96d1-e9e3c54840aa}" mentionId="{4462af10-60fe-49e8-8529-5920e2a91650}" startIndex="0" length="18"/>
    </x18tc:mentions>
  </x18tc:threadedComment>
  <x18tc:threadedComment ref="AJ3" dT="2025-12-30T13:46:48.00" personId="{7a6c00a6-ff0b-4312-8890-b8a6f7ce07b2}" id="{c74938c8-7ed3-4331-bc2c-aaf99c05cb5e}" parentId="{8861197d-4ca3-4a9a-bbc2-f84fc28e35af}">
    <x18tc:text xml:space="preserve">Hola Mafe, si hoy actualizo olvide subirlo ayer. Perdona</x18tc:text>
  </x18tc:threadedComment>
  <x18tc:threadedComment ref="AJ3" dT="2025-12-30T13:52:51.00" personId="{ccae8e60-6708-4e17-81c0-40040e8b3793}" id="{a06a56c9-bac5-438f-90a2-07b308ed6d2c}" parentId="{8861197d-4ca3-4a9a-bbc2-f84fc28e35af}">
    <x18tc:text xml:space="preserve">Tranquii gracias!!!</x18tc:text>
  </x18tc:threadedComment>
  <x18tc:threadedComment ref="AD27" dT="2025-11-26T19:50:09.00" personId="{7a6c00a6-ff0b-4312-8890-b8a6f7ce07b2}" id="{199cb409-c715-4b5b-8d73-6e843438f692}" done="0">
    <x18tc:text xml:space="preserve">@maria.fernanda@co-work.cl Berta se llevo 4 bolsitas para Plaza Egaña 26/11
Asignada a maria.fernanda@co-work.cl</x18tc:text>
    <x18tc:mentions>
      <x18tc:mention mentionpersonId="{92be1ba0-ace8-412b-8925-bad90a9b0c2d}" mentionId="{d70b9981-569d-4cc5-a32e-886858c53dba}" startIndex="0" length="26"/>
    </x18tc:mentions>
  </x18tc:threadedComment>
  <x18tc:threadedComment ref="AD11" dT="2025-11-26T19:50:56.00" personId="{7a6c00a6-ff0b-4312-8890-b8a6f7ce07b2}" id="{31143fc6-0c53-4865-9acf-c46f48c557cc}" done="0">
    <x18tc:text xml:space="preserve">@maria.fernanda@co-work.cl El papel higiénico, lo repone Mall por ahora
Asignada a maria.fernanda@co-work.cl</x18tc:text>
    <x18tc:mentions>
      <x18tc:mention mentionpersonId="{92be1ba0-ace8-412b-8925-bad90a9b0c2d}" mentionId="{21b41cf5-b303-4211-b39c-56d7e4ff6aad}" startIndex="0" length="26"/>
    </x18tc:mentions>
  </x18tc:threadedComment>
  <x18tc:threadedComment ref="AD11" dT="2025-11-26T20:23:02.00" personId="{ccae8e60-6708-4e17-81c0-40040e8b3793}" id="{49adbb6e-8e44-4588-b358-356fdcd81998}" parentId="{31143fc6-0c53-4865-9acf-c46f48c557cc}">
    <x18tc:text xml:space="preserve">listo gracias lenn!</x18tc:text>
  </x18tc:threadedComment>
  <x18tc:threadedComment ref="AD3" dT="2025-11-24T14:45:01.00" personId="{ccae8e60-6708-4e17-81c0-40040e8b3793}" id="{67b2b0c8-8851-4a97-9169-1fcf80ba2885}" done="0">
    <x18tc:text xml:space="preserve">@lennis@co-work.cl  hola Lenn! recordatorio jeje gracias!
Asignada a lennis@co-work.cl</x18tc:text>
    <x18tc:mentions>
      <x18tc:mention mentionpersonId="{b9817135-561e-4c66-96d1-e9e3c54840aa}" mentionId="{5bc2c471-a2db-4248-80bc-3fa3aac4b82c}" startIndex="0" length="18"/>
    </x18tc:mentions>
  </x18tc:threadedComment>
  <x18tc:threadedComment ref="AD3" dT="2025-11-24T14:57:06.00" personId="{7a6c00a6-ff0b-4312-8890-b8a6f7ce07b2}" id="{44abb979-9254-4b08-822d-f34e47fdd920}" parentId="{67b2b0c8-8851-4a97-9169-1fcf80ba2885}">
    <x18tc:text xml:space="preserve">Hola Mafe, si lo de esta semana te lo lleno el miercoles que salgo de vacaciones, te parece? y luego el lunes sigueinte dejo actualizado</x18tc:text>
  </x18tc:threadedComment>
  <x18tc:threadedComment ref="AD3" dT="2025-11-24T14:57:38.00" personId="{ccae8e60-6708-4e17-81c0-40040e8b3793}" id="{094c72c5-8a64-41da-8f28-2b33d77b4cf2}" parentId="{67b2b0c8-8851-4a97-9169-1fcf80ba2885}">
    <x18tc:text xml:space="preserve">Ahh yapi super ningun problema , gracias!!</x18tc:text>
  </x18tc:threadedComment>
  <x18tc:threadedComment ref="AK21" dT="2026-01-05T15:44:08.00" personId="{7a6c00a6-ff0b-4312-8890-b8a6f7ce07b2}" id="{79ade9fd-6294-4db8-83b5-230d4938a2f5}" done="0">
    <x18tc:text xml:space="preserve">se compraron con caja chica hoy @maria.fernanda@co-work.cl</x18tc:text>
    <x18tc:mentions>
      <x18tc:mention mentionpersonId="{92be1ba0-ace8-412b-8925-bad90a9b0c2d}" mentionId="{211ddbb3-04d6-4908-af27-167303fdb9f5}" startIndex="32" length="26"/>
    </x18tc:mentions>
  </x18tc:threadedComment>
  <x18tc:threadedComment ref="AG21" dT="2025-12-15T18:09:03.00" personId="{7a6c00a6-ff0b-4312-8890-b8a6f7ce07b2}" id="{1c320892-d515-4548-ac68-21aab52bbf73}" done="0">
    <x18tc:text xml:space="preserve">Berta. trajo el día 11</x18tc:text>
  </x18tc:threadedComment>
  <x18tc:threadedComment ref="AR10" dT="2026-01-28T17:56:45.00" personId="{7a6c00a6-ff0b-4312-8890-b8a6f7ce07b2}" id="{451bf166-a7da-46d2-930b-2ad860775561}" done="0">
    <x18tc:text xml:space="preserve">Berta trajo dos paquetes de Dos unidades C/U</x18tc:text>
  </x18tc:threadedComment>
  <x18tc:threadedComment ref="AB3" dT="2025-11-17T16:07:02.00" personId="{ccae8e60-6708-4e17-81c0-40040e8b3793}" id="{7952491a-d2e6-4137-baad-13bd3b35b782}" done="1">
    <x18tc:text xml:space="preserve">@lennis@co-work.cl  Hola Lenn! mañana llega cafe e insumos! porfis, si gustas la puedes completar mañana que llegan las cosas!
Asignada a lennis@co-work.cl</x18tc:text>
    <x18tc:mentions>
      <x18tc:mention mentionpersonId="{b9817135-561e-4c66-96d1-e9e3c54840aa}" mentionId="{1dd7ee4d-bb1a-445c-acb9-eb0e9c481456}" startIndex="0" length="18"/>
    </x18tc:mentions>
  </x18tc:threadedComment>
  <x18tc:threadedComment ref="AB3" dT="2025-11-17T19:01:12.00" personId="{7a6c00a6-ff0b-4312-8890-b8a6f7ce07b2}" id="{22379d86-dab4-4e06-a95d-28e5dc8652ac}" parentId="{7952491a-d2e6-4137-baad-13bd3b35b782}">
    <x18tc:text xml:space="preserve">Hola mi Mafe, super mañana te lo dejo actualizado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Y13" dT="2026-03-05T12:04:21.00" personId="{f6525148-1548-486c-9dd8-82e0561923e6}" id="{418e21a8-7253-4ce5-94e8-0afcfd639779}" done="0">
    <x18tc:text xml:space="preserve">80x110: 6
50x70: 2
70x90: 1</x18tc:text>
  </x18tc:threadedComment>
  <x18tc:threadedComment ref="AS6" dT="2026-02-02T17:49:37.00" personId="{c4063cd1-2b74-40f1-9f35-6568c17ddde5}" id="{99a2b9ea-6600-4f04-a95d-9f54a4d40e80}" done="0">
    <x18tc:text xml:space="preserve">Jesu se lleva 3 paquetes a Santa Lucia</x18tc:text>
  </x18tc:threadedComment>
  <x18tc:threadedComment ref="AE13" dT="2025-11-21T11:43:30.00" personId="{c4063cd1-2b74-40f1-9f35-6568c17ddde5}" id="{fe2adc10-c72c-4603-835f-d5e001a34c2c}" done="0">
    <x18tc:text xml:space="preserve">80x110: 6 
50x70: 10
70x90: 17</x18tc:text>
  </x18tc:threadedComment>
  <x18tc:threadedComment ref="AW13" dT="2026-02-26T15:27:04.00" personId="{c4063cd1-2b74-40f1-9f35-6568c17ddde5}" id="{961b1cce-bca1-4004-8c28-7ea46625bfa7}" done="0">
    <x18tc:text xml:space="preserve">80x110: 7
70x90: 6
50x70: 6</x18tc:text>
  </x18tc:threadedComment>
  <x18tc:threadedComment ref="AI13" dT="2025-12-04T18:06:56.00" personId="{c4063cd1-2b74-40f1-9f35-6568c17ddde5}" id="{4f17215b-1497-407e-9567-8fa0845e7039}" done="0">
    <x18tc:text xml:space="preserve">50x70: 11
80x110: 7
70x90: 22</x18tc:text>
  </x18tc:threadedComment>
  <x18tc:threadedComment ref="BB13" dT="2026-03-16T12:38:01.00" personId="{26bd312c-58f6-4f53-9405-1b4e45489e31}" id="{e16be74c-9e38-4c76-bc80-ac0bfb1db2a8}" done="0">
    <x18tc:text xml:space="preserve">70x80: 7 / 80*110:8 / 50*70:8</x18tc:text>
  </x18tc:threadedComment>
  <x18tc:threadedComment ref="AF16" dT="2025-11-24T18:15:01.00" personId="{c4063cd1-2b74-40f1-9f35-6568c17ddde5}" id="{2cf49cae-e79f-415a-b804-b8e853fa4e1e}" done="0">
    <x18tc:text xml:space="preserve">Traspaso de 1 kg al piso 3
@pablo.mendez@co-work.cl 25-11 traspaso 1 kg al piso 3</x18tc:text>
    <x18tc:mentions>
      <x18tc:mention mentionpersonId="{e79bfae3-3bd1-4db5-b61e-ef4c7ff701bc}" mentionId="{47ebb352-9057-4a4e-8977-b98af89b3683}" startIndex="27" length="24"/>
    </x18tc:mentions>
  </x18tc:threadedComment>
  <x18tc:threadedComment ref="AL13" dT="2025-12-15T13:21:28.00" personId="{c4063cd1-2b74-40f1-9f35-6568c17ddde5}" id="{f1d037c9-24f7-48e2-8073-c39a6aee702b}" done="0">
    <x18tc:text xml:space="preserve">50x70: 9
80x110: 5
70x90: 20</x18tc:text>
  </x18tc:threadedComment>
  <x18tc:threadedComment ref="BA13" dT="2026-03-12T12:24:23.00" personId="{f6525148-1548-486c-9dd8-82e0561923e6}" id="{46a3bbe2-e76f-4745-ac07-dd369ebade74}" done="0">
    <x18tc:text xml:space="preserve">80x110: 10
50x70: 9
70x90: 8</x18tc:text>
  </x18tc:threadedComment>
  <x18tc:threadedComment ref="AF13" dT="2025-11-24T18:11:57.00" personId="{c4063cd1-2b74-40f1-9f35-6568c17ddde5}" id="{31a15c60-041a-4e41-b9c9-98457cec9cbc}" done="0">
    <x18tc:text xml:space="preserve">80x110: 5
50x70: 8
70x90: 18</x18tc:text>
  </x18tc:threadedComment>
  <x18tc:threadedComment ref="AX13" dT="2026-03-02T18:53:50.00" personId="{c4063cd1-2b74-40f1-9f35-6568c17ddde5}" id="{b3b60b8c-0541-4968-a67a-e5ffb81fd5f6}" done="0">
    <x18tc:text xml:space="preserve">80x110: 6
50x70: 4
70x90: 4</x18tc:text>
  </x18tc:threadedComment>
  <x18tc:threadedComment ref="AR13" dT="2026-01-26T14:20:41.00" personId="{c4063cd1-2b74-40f1-9f35-6568c17ddde5}" id="{b3500688-70d0-432d-aa33-2b81d59ffb42}" done="0">
    <x18tc:text xml:space="preserve">80x110: 1
70x90: 26
50x70: 10</x18tc:text>
  </x18tc:threadedComment>
  <x18tc:threadedComment ref="AF3" dT="2025-11-24T18:14:46.00" personId="{c4063cd1-2b74-40f1-9f35-6568c17ddde5}" id="{eb5fbab4-01d6-4539-a162-f16d91878953}" done="0">
    <x18tc:text xml:space="preserve">Traspaso de 1 kg del piso 4
@pablo.mendez@co-work.cl 25-11 traspaso de 1 kg del piso 4</x18tc:text>
    <x18tc:mentions>
      <x18tc:mention mentionpersonId="{e79bfae3-3bd1-4db5-b61e-ef4c7ff701bc}" mentionId="{adbe472f-9d10-4279-8168-badf7f22b88f}" startIndex="28" length="24"/>
    </x18tc:mentions>
  </x18tc:threadedComment>
  <x18tc:threadedComment ref="AF14" dT="2025-11-24T18:10:19.00" personId="{c4063cd1-2b74-40f1-9f35-6568c17ddde5}" id="{5df2b4af-40ce-4ad0-a21a-8b7361eda36e}" done="0">
    <x18tc:text xml:space="preserve">7 unidades</x18tc:text>
  </x18tc:threadedComment>
  <x18tc:threadedComment ref="AV13" dT="2026-02-19T13:17:08.00" personId="{c4063cd1-2b74-40f1-9f35-6568c17ddde5}" id="{a0d6d10e-4501-4350-a49c-e28d54c6bb33}" done="0">
    <x18tc:text xml:space="preserve">50x70: 8
70x90: 10
80x110: 8</x18tc:text>
  </x18tc:threadedComment>
  <x18tc:threadedComment ref="AU13" dT="2026-02-16T17:15:39.00" personId="{c4063cd1-2b74-40f1-9f35-6568c17ddde5}" id="{107e76a4-a81c-4474-8c4f-049982e5c54e}" done="0">
    <x18tc:text xml:space="preserve">50x70: 3
70x90: 13
80x110: 8</x18tc:text>
  </x18tc:threadedComment>
  <x18tc:threadedComment ref="AD13" dT="2025-11-19T14:03:02.00" personId="{c4063cd1-2b74-40f1-9f35-6568c17ddde5}" id="{c186a1e7-50b5-498e-b7c9-0773d0449eb5}" done="0">
    <x18tc:text xml:space="preserve">70x90: 19 paq
50x70: 10 paq
80x110: 6 paq</x18tc:text>
  </x18tc:threadedComment>
  <x18tc:threadedComment ref="AD6" dT="2025-11-18T19:04:31.00" personId="{c4063cd1-2b74-40f1-9f35-6568c17ddde5}" id="{df003898-36b4-473d-8c6c-befe959344b9}" done="1">
    <x18tc:text xml:space="preserve">Traspaso de piso 4: 2</x18tc:text>
  </x18tc:threadedComment>
  <x18tc:threadedComment ref="AQ13" dT="2026-01-19T14:46:43.00" personId="{c4063cd1-2b74-40f1-9f35-6568c17ddde5}" id="{aa3b7d67-d81d-4621-88dc-e1759f067388}" done="0">
    <x18tc:text xml:space="preserve">80x110: 1
70x90: 29
50x70: 15</x18tc:text>
  </x18tc:threadedComment>
  <x18tc:threadedComment ref="AH17" dT="2025-12-02T12:47:47.00" personId="{c4063cd1-2b74-40f1-9f35-6568c17ddde5}" id="{f95ec18f-8b33-4a8c-94af-efa28378dad6}" done="0">
    <x18tc:text xml:space="preserve">Traspaso 2und  al piso 3
Berta saca 2und</x18tc:text>
  </x18tc:threadedComment>
  <x18tc:threadedComment ref="AH13" dT="2025-12-02T12:53:35.00" personId="{c4063cd1-2b74-40f1-9f35-6568c17ddde5}" id="{696b423d-5839-413c-8fe5-e9a78776d2d0}" done="0">
    <x18tc:text xml:space="preserve">Berta saca 1paq 50x70
50x70: 11
80x110: 8
70x90: 22</x18tc:text>
  </x18tc:threadedComment>
  <x18tc:threadedComment ref="AL5" dT="2025-12-15T15:37:45.00" personId="{c4063cd1-2b74-40f1-9f35-6568c17ddde5}" id="{6c6820b5-76b8-4707-a33b-c67fd5d5f64d}" done="0">
    <x18tc:text xml:space="preserve">15-12: Traspaso de 4 und a piso 4
17-12: Traspaso de 4 und a piso 4</x18tc:text>
  </x18tc:threadedComment>
  <x18tc:threadedComment ref="AK4" dT="2025-12-11T22:33:25.00" personId="{c4063cd1-2b74-40f1-9f35-6568c17ddde5}" id="{796e2d19-d244-4634-be05-7d1a55390062}" done="0">
    <x18tc:text xml:space="preserve">Traspaso a piso 4: 2 und</x18tc:text>
  </x18tc:threadedComment>
  <x18tc:threadedComment ref="AK8" dT="2025-12-11T22:33:37.00" personId="{c4063cd1-2b74-40f1-9f35-6568c17ddde5}" id="{c19994d9-7630-4f36-9226-9d76f2040bda}" done="0">
    <x18tc:text xml:space="preserve">Traspaso a piso 4: 1 und</x18tc:text>
  </x18tc:threadedComment>
  <x18tc:threadedComment ref="AH4" dT="2025-12-02T12:54:36.00" personId="{c4063cd1-2b74-40f1-9f35-6568c17ddde5}" id="{612ff1b6-037f-42f4-ad32-1c0e4d8e4a30}" done="0">
    <x18tc:text xml:space="preserve">Traspaso del piso 3 de 2und para colocar en ambas cocinas</x18tc:text>
  </x18tc:threadedComment>
  <x18tc:threadedComment ref="AK17" dT="2025-12-11T22:33:55.00" personId="{c4063cd1-2b74-40f1-9f35-6568c17ddde5}" id="{fb8a17ab-a5b5-4358-8707-6612e8f634f4}" done="0">
    <x18tc:text xml:space="preserve">Traspaso del piso 3: 2 und</x18tc:text>
  </x18tc:threadedComment>
  <x18tc:threadedComment ref="AS13" dT="2026-02-02T13:39:34.00" personId="{f6525148-1548-486c-9dd8-82e0561923e6}" id="{9bfad79f-e37b-438e-81cb-0d12a66cc595}" done="0">
    <x18tc:text xml:space="preserve">80X110: 0
70 X 90: 23
50 X 70: 8</x18tc:text>
  </x18tc:threadedComment>
  <x18tc:threadedComment ref="AL18" dT="2025-12-15T15:38:35.00" personId="{c4063cd1-2b74-40f1-9f35-6568c17ddde5}" id="{7a934f60-dbbb-480b-8248-2175db55860e}" done="0">
    <x18tc:text xml:space="preserve">15-12:  Traspaso de 4 und del piso 3: Se colocaron en los baños.
17-12: Traspaso de 4 und del piso 3</x18tc:text>
  </x18tc:threadedComment>
  <x18tc:threadedComment ref="AZ13" dT="2026-03-09T11:59:56.00" personId="{f6525148-1548-486c-9dd8-82e0561923e6}" id="{f7535fcc-e579-40d3-ab83-a7ea7e6ac521}" done="0">
    <x18tc:text xml:space="preserve">80x110: 4
50x70: 0
70x90: 0</x18tc:text>
  </x18tc:threadedComment>
  <x18tc:threadedComment ref="AG13" dT="2025-11-27T15:25:19.00" personId="{c4063cd1-2b74-40f1-9f35-6568c17ddde5}" id="{e893dcf7-3cf5-40d4-8a48-e3fb58819264}" done="0">
    <x18tc:text xml:space="preserve">70x90: 18
80x110: 4
50x70: 8</x18tc:text>
  </x18tc:threadedComment>
  <x18tc:threadedComment ref="BC13" dT="2026-03-23T13:48:00.00" personId="{26bd312c-58f6-4f53-9405-1b4e45489e31}" id="{473c2936-98dd-4a2f-bead-27a9438f3b8b}" done="0">
    <x18tc:text xml:space="preserve">50*70: 4  / 70*90:5 / 80*110:7</x18tc:text>
  </x18tc:threadedComment>
  <x18tc:threadedComment ref="AM13" dT="2026-01-05T15:44:30.00" personId="{c4063cd1-2b74-40f1-9f35-6568c17ddde5}" id="{2e7fc400-2d53-4053-b7d2-e401407a5674}" done="0">
    <x18tc:text xml:space="preserve">50x70: 15 
80x110: 4
70x90: 28</x18tc:text>
  </x18tc:threadedComment>
  <x18tc:threadedComment ref="BC10" dT="2026-03-23T13:46:49.00" personId="{26bd312c-58f6-4f53-9405-1b4e45489e31}" id="{2c969aba-7f8c-4fc9-bc56-870fd82167f8}" done="0">
    <x18tc:text xml:space="preserve">Se llevaron hoy 3 paquetes para santa Lucia</x18tc:text>
  </x18tc:threadedComment>
  <x18tc:threadedComment ref="AP13" dT="2026-01-15T16:18:56.00" personId="{c4063cd1-2b74-40f1-9f35-6568c17ddde5}" id="{b5da4fbb-040a-4e5c-9eaa-b4b463d7caf8}" done="0">
    <x18tc:text xml:space="preserve">80x110: 3
70x90: 28
50x70: 17</x18tc:text>
  </x18tc:threadedComment>
  <x18tc:threadedComment ref="AN13" dT="2026-01-08T15:39:20.00" personId="{c4063cd1-2b74-40f1-9f35-6568c17ddde5}" id="{f7bc6861-a401-48d7-8c41-9e01eeca0284}" done="0">
    <x18tc:text xml:space="preserve">50x70: 15
70x90: 25
80x110: 3</x18tc:text>
  </x18tc:threadedComment>
  <x18tc:threadedComment ref="AL3" dT="2025-12-17T17:53:07.00" personId="{c4063cd1-2b74-40f1-9f35-6568c17ddde5}" id="{a9201ea9-ed13-4dc2-ab54-efad53147ae1}" done="0">
    <x18tc:text xml:space="preserve">Traspaso de 1kg al piso 3</x18tc:text>
  </x18tc:threadedComment>
  <x18tc:threadedComment ref="AK21" dT="2025-12-11T21:54:01.00" personId="{c4063cd1-2b74-40f1-9f35-6568c17ddde5}" id="{76481432-ca08-4b23-9fd9-892b3aed8e23}" done="0">
    <x18tc:text xml:space="preserve">Traspaso del piso 3: 1</x18tc:text>
  </x18tc:threadedComment>
  <x18tc:threadedComment ref="Q3" dT="2025-09-04T14:31:56.00" personId="{26bd312c-58f6-4f53-9405-1b4e45489e31}" id="{b862e557-10e6-4295-a3e5-3fb747932f58}" done="0">
    <x18tc:text xml:space="preserve">Aviso informativo: hola @pablo.mendez@co-work.cl ya en toba 3 y 4 no hay café</x18tc:text>
    <x18tc:mentions>
      <x18tc:mention mentionpersonId="{e79bfae3-3bd1-4db5-b61e-ef4c7ff701bc}" mentionId="{fe1ddacf-6313-423a-b588-d170fb35fce2}" startIndex="24" length="24"/>
    </x18tc:mentions>
  </x18tc:threadedComment>
  <x18tc:threadedComment ref="AL16" dT="2025-12-17T17:51:12.00" personId="{c4063cd1-2b74-40f1-9f35-6568c17ddde5}" id="{52908377-cec2-4b63-9dff-fe057179fc26}" done="0">
    <x18tc:text xml:space="preserve">Traspaso de 1Kg del piso 3</x18tc:text>
  </x18tc:threadedComment>
  <x18tc:threadedComment ref="AK13" dT="2025-12-11T22:26:38.00" personId="{c4063cd1-2b74-40f1-9f35-6568c17ddde5}" id="{f623ef3e-1576-48cc-9770-3d401904e725}" done="0">
    <x18tc:text xml:space="preserve">50x70: 10
80x110: 6
70x90: 20</x18tc:text>
  </x18tc:threadedComment>
  <x18tc:threadedComment ref="AJ13" dT="2025-12-09T14:12:13.00" personId="{c4063cd1-2b74-40f1-9f35-6568c17ddde5}" id="{c4ae35c0-3011-4f16-9f68-26af4fb5bb2f}" done="0">
    <x18tc:text xml:space="preserve">50x70: 11
80x110: 7
70x90: 22</x18tc:text>
  </x18tc:threadedComment>
  <x18tc:threadedComment ref="AC13" dT="2025-11-17T18:27:20.00" personId="{c4063cd1-2b74-40f1-9f35-6568c17ddde5}" id="{fd820cf9-b07a-4be5-9435-198f9cb60da3}" done="0">
    <x18tc:text xml:space="preserve">70x90: 19 paq
50x70: 10 paq
80x110: 6 paq</x18tc:text>
  </x18tc:threadedComment>
  <x18tc:threadedComment ref="Q16" dT="2025-09-04T14:34:52.00" personId="{c4063cd1-2b74-40f1-9f35-6568c17ddde5}" id="{eea7c6c2-9df1-4db0-8752-19fda537c3fb}" done="0">
    <x18tc:text xml:space="preserve">04-09: 0,5 kg</x18tc:text>
  </x18tc:threadedComment>
  <x18tc:threadedComment ref="AT13" dT="2026-02-12T15:53:53.00" personId="{c4063cd1-2b74-40f1-9f35-6568c17ddde5}" id="{7ad26c49-c7f0-486b-96de-f9bbd363f6dc}" done="0">
    <x18tc:text xml:space="preserve">50x70: 6
80x110: 9
70x90: 13</x18tc:text>
  </x18tc:threadedComment>
  <x18tc:threadedComment ref="U3" dT="2025-10-01T18:46:49.00" personId="{c4063cd1-2b74-40f1-9f35-6568c17ddde5}" id="{45eb83fb-f609-4599-b7dd-7364ff64f6df}" done="0">
    <x18tc:text xml:space="preserve">@pablo.mendez@co-work.cl sin cafe 01-10</x18tc:text>
    <x18tc:mentions>
      <x18tc:mention mentionpersonId="{e79bfae3-3bd1-4db5-b61e-ef4c7ff701bc}" mentionId="{f4ff0f90-e5d3-41f4-b100-0d68112f87af}" startIndex="0" length="24"/>
    </x18tc:mentions>
  </x18tc:threadedComment>
  <x18tc:threadedComment ref="U16" dT="2025-10-01T18:46:25.00" personId="{c4063cd1-2b74-40f1-9f35-6568c17ddde5}" id="{756f092a-be85-4702-8ec1-00c9de3205ee}" done="0">
    <x18tc:text xml:space="preserve">@pablo.mendez@co-work.cl Sin cafe 01.10</x18tc:text>
    <x18tc:mentions>
      <x18tc:mention mentionpersonId="{e79bfae3-3bd1-4db5-b61e-ef4c7ff701bc}" mentionId="{5ae48f96-bd7d-48be-b8fb-8d03d9b366dd}" startIndex="0" length="24"/>
    </x18tc:mentions>
  </x18tc:threadedComment>
  <x18tc:threadedComment ref="AD24" dT="2025-11-24T18:09:45.00" personId="{c4063cd1-2b74-40f1-9f35-6568c17ddde5}" id="{5e3bf1c8-d501-4ca6-905e-b9b55040bac3}" done="0">
    <x18tc:text xml:space="preserve">1 paquete</x18tc:text>
  </x18tc:threadedComment>
  <x18tc:threadedComment ref="AF24" dT="2025-11-24T18:09:28.00" personId="{c4063cd1-2b74-40f1-9f35-6568c17ddde5}" id="{43fcb02b-9d06-4445-9fcf-1ba19368a4fc}" done="0">
    <x18tc:text xml:space="preserve">4 unidades</x18tc:text>
  </x18tc:threadedComment>
  <x18tc:threadedComment ref="AD16" dT="2025-11-18T20:13:03.00" personId="{c4063cd1-2b74-40f1-9f35-6568c17ddde5}" id="{72e20257-e3c9-4db4-b16c-dad03b21fb2f}" done="0">
    <x18tc:text xml:space="preserve">Traspaso 4.5 k a piso 3 @pablo.mendez@co-work.cl</x18tc:text>
    <x18tc:mentions>
      <x18tc:mention mentionpersonId="{e79bfae3-3bd1-4db5-b61e-ef4c7ff701bc}" mentionId="{0b39699a-fdee-40ab-bff7-988dc366cd9e}" startIndex="24" length="24"/>
    </x18tc:mentions>
  </x18tc:threadedComment>
  <x18tc:threadedComment ref="AM6" dT="2026-01-05T19:20:45.00" personId="{c4063cd1-2b74-40f1-9f35-6568c17ddde5}" id="{afd8e843-780e-485b-a524-679163a79952}" done="0">
    <x18tc:text xml:space="preserve">05-01: 01 resma entregada a Antonieta</x18tc:text>
  </x18tc:threadedComment>
  <x18tc:threadedComment ref="AE24" dT="2025-11-24T18:09:37.00" personId="{c4063cd1-2b74-40f1-9f35-6568c17ddde5}" id="{25fd131f-ed0e-43d4-abcc-7d5096507daf}" done="0">
    <x18tc:text xml:space="preserve">1 paquete</x18tc:text>
  </x18tc:threadedComment>
  <x18tc:threadedComment ref="AD3" dT="2025-11-18T20:12:51.00" personId="{c4063cd1-2b74-40f1-9f35-6568c17ddde5}" id="{bb64c093-9116-4199-976c-8f2db661691f}" done="0">
    <x18tc:text xml:space="preserve">Recibido del piso 4 @pablo.mendez@co-work.cl</x18tc:text>
    <x18tc:mentions>
      <x18tc:mention mentionpersonId="{e79bfae3-3bd1-4db5-b61e-ef4c7ff701bc}" mentionId="{2b8a3831-6fdb-44af-8332-5b550a7dcc44}" startIndex="20" length="24"/>
    </x18tc:mentions>
  </x18tc:threadedComment>
  <x18tc:threadedComment ref="AO13" dT="2026-01-12T17:19:18.00" personId="{c4063cd1-2b74-40f1-9f35-6568c17ddde5}" id="{197a3db1-aea4-411e-af2b-7927b4a5afd9}" done="0">
    <x18tc:text xml:space="preserve">50x70: 15
80x110: 2
70x90: 22</x18tc:text>
  </x18tc:threadedComment>
  <x18tc:threadedComment ref="AD19" dT="2025-11-18T20:14:14.00" personId="{c4063cd1-2b74-40f1-9f35-6568c17ddde5}" id="{577cdb4f-ea0b-4a1d-8dd3-ec872e30e3b7}" done="1">
    <x18tc:text xml:space="preserve">Traspaso 2 und a piso 3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2" max="2" width="24.88"/>
    <col customWidth="1" min="3" max="3" width="16.25"/>
    <col customWidth="1" min="4" max="4" width="21.63"/>
    <col customWidth="1" min="5" max="5" width="25.63"/>
    <col customWidth="1" min="6" max="6" width="16.25"/>
    <col customWidth="1" hidden="1" min="7" max="8" width="16.25"/>
    <col customWidth="1" min="9" max="11" width="16.25"/>
    <col customWidth="1" hidden="1" min="12" max="12" width="16.25"/>
    <col customWidth="1" min="13" max="13" width="16.25"/>
    <col customWidth="1" min="14" max="14" width="17.75"/>
    <col hidden="1" min="15" max="15" width="12.63"/>
  </cols>
  <sheetData>
    <row r="1">
      <c r="A1" s="1">
        <v>46104.0</v>
      </c>
      <c r="B1" s="2"/>
      <c r="C1" s="3" t="str">
        <f>IFERROR(__xludf.DUMMYFUNCTION("unique(filter($C$68:$C1166,$C$68:$C1166&lt;&gt;""Proveedor"",$B$68:$B1166=C6,$C$68:$C1166&lt;&gt;""""))"),"Cafeteria")</f>
        <v>Cafeteria</v>
      </c>
      <c r="D1" s="3" t="str">
        <f>IFERROR(__xludf.DUMMYFUNCTION("unique(filter($C$68:$C1166,$C$68:$C1166&lt;&gt;""Proveedor"",$B$68:$B1166=D6,$C$68:$C1166&lt;&gt;""""))"),"Cafeteria")</f>
        <v>Cafeteria</v>
      </c>
      <c r="E1" s="3" t="str">
        <f>IFERROR(__xludf.DUMMYFUNCTION("unique(filter($C$68:$C1166,$C$68:$C1166&lt;&gt;""Proveedor"",$B$68:$B1166=E6,$C$68:$C1166&lt;&gt;""""))"),"Corporate Coffe")</f>
        <v>Corporate Coffe</v>
      </c>
      <c r="F1" s="3" t="str">
        <f>IFERROR(__xludf.DUMMYFUNCTION("unique(filter($C$68:$C1166,$C$68:$C1166&lt;&gt;""Proveedor"",$B$68:$B1166=F6,$C$68:$C1166&lt;&gt;""""))"),"Cafeteria")</f>
        <v>Cafeteria</v>
      </c>
      <c r="G1" s="3" t="str">
        <f>IFERROR(__xludf.DUMMYFUNCTION("unique(filter($C$68:$C1166,$C$68:$C1166&lt;&gt;""Proveedor"",$B$68:$B1166=#REF!,$C$68:$C1166&lt;&gt;""""))"),"#N/A")</f>
        <v>#N/A</v>
      </c>
      <c r="H1" s="3" t="str">
        <f>IFERROR(__xludf.DUMMYFUNCTION("unique(filter($C$68:$C1166,$C$68:$C1166&lt;&gt;""Proveedor"",$B$68:$B1166=H6,$C$68:$C1166&lt;&gt;""""))"),"Cafeteria")</f>
        <v>Cafeteria</v>
      </c>
      <c r="I1" s="3" t="str">
        <f>IFERROR(__xludf.DUMMYFUNCTION("unique(filter($C$68:$C1166,$C$68:$C1166&lt;&gt;""Proveedor"",$B$68:$B1166=#REF!,$C$68:$C1166&lt;&gt;""""))"),"#N/A")</f>
        <v>#N/A</v>
      </c>
      <c r="J1" s="3" t="str">
        <f>IFERROR(__xludf.DUMMYFUNCTION("unique(filter($C$68:$C1166,$C$68:$C1166&lt;&gt;""Proveedor"",$B$68:$B1166=J6,$C$68:$C1166&lt;&gt;""""))"),"Cafeteria")</f>
        <v>Cafeteria</v>
      </c>
      <c r="K1" s="3" t="str">
        <f>IFERROR(__xludf.DUMMYFUNCTION("unique(filter($C$68:$C1166,$C$68:$C1166&lt;&gt;""Proveedor"",$B$68:$B1166=K6,$C$68:$C1166&lt;&gt;""""))"),"Cafeteria")</f>
        <v>Cafeteria</v>
      </c>
      <c r="L1" s="3" t="str">
        <f>IFERROR(__xludf.DUMMYFUNCTION("unique(filter($C$68:$C1166,$C$68:$C1166&lt;&gt;""Proveedor"",$B$68:$B1166=L6,$C$68:$C1166&lt;&gt;""""))"),"Cafeteria")</f>
        <v>Cafeteria</v>
      </c>
      <c r="M1" s="3" t="str">
        <f>IFERROR(__xludf.DUMMYFUNCTION("unique(filter($C$68:$C1166,$C$68:$C1166&lt;&gt;""Proveedor"",$B$68:$B1166=M6,$C$68:$C1166&lt;&gt;""""))"),"Aseo")</f>
        <v>Aseo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</row>
    <row r="2">
      <c r="A2" s="1">
        <v>46100.0</v>
      </c>
      <c r="B2" s="2"/>
      <c r="C2" s="3" t="str">
        <f>IFERROR(__xludf.DUMMYFUNCTION("""COMPUTED_VALUE"""),"Aseo")</f>
        <v>Aseo</v>
      </c>
      <c r="D2" s="3" t="str">
        <f>IFERROR(__xludf.DUMMYFUNCTION("""COMPUTED_VALUE"""),"Aseo")</f>
        <v>Aseo</v>
      </c>
      <c r="E2" s="3" t="str">
        <f>IFERROR(__xludf.DUMMYFUNCTION("""COMPUTED_VALUE"""),"Cafeteria")</f>
        <v>Cafeteria</v>
      </c>
      <c r="F2" s="3" t="str">
        <f>IFERROR(__xludf.DUMMYFUNCTION("""COMPUTED_VALUE"""),"Aseo")</f>
        <v>Aseo</v>
      </c>
      <c r="G2" s="3"/>
      <c r="H2" s="3" t="str">
        <f>IFERROR(__xludf.DUMMYFUNCTION("""COMPUTED_VALUE"""),"Aseo")</f>
        <v>Aseo</v>
      </c>
      <c r="I2" s="3"/>
      <c r="J2" s="3" t="str">
        <f>IFERROR(__xludf.DUMMYFUNCTION("""COMPUTED_VALUE"""),"Aseo")</f>
        <v>Aseo</v>
      </c>
      <c r="K2" s="3" t="str">
        <f>IFERROR(__xludf.DUMMYFUNCTION("""COMPUTED_VALUE"""),"Aseo")</f>
        <v>Aseo</v>
      </c>
      <c r="L2" s="3" t="str">
        <f>IFERROR(__xludf.DUMMYFUNCTION("""COMPUTED_VALUE"""),"Aseo")</f>
        <v>Aseo</v>
      </c>
      <c r="M2" s="3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</row>
    <row r="3">
      <c r="A3" s="2"/>
      <c r="B3" s="2"/>
      <c r="C3" s="3"/>
      <c r="D3" s="3"/>
      <c r="E3" s="3" t="str">
        <f>IFERROR(__xludf.DUMMYFUNCTION("""COMPUTED_VALUE"""),"Papelería")</f>
        <v>Papelería</v>
      </c>
      <c r="F3" s="3"/>
      <c r="G3" s="3"/>
      <c r="H3" s="3"/>
      <c r="I3" s="3"/>
      <c r="J3" s="3"/>
      <c r="K3" s="3"/>
      <c r="L3" s="3"/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</row>
    <row r="4">
      <c r="A4" s="4" t="s">
        <v>0</v>
      </c>
      <c r="B4" s="5"/>
      <c r="C4" s="5"/>
      <c r="D4" s="5"/>
      <c r="E4" s="5" t="str">
        <f>IFERROR(__xludf.DUMMYFUNCTION("""COMPUTED_VALUE"""),"Aseo")</f>
        <v>Aseo</v>
      </c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</row>
    <row r="5">
      <c r="A5" s="4" t="s">
        <v>1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</row>
    <row r="6">
      <c r="A6" s="6"/>
      <c r="B6" s="6"/>
      <c r="C6" s="7" t="str">
        <f>IFERROR(__xludf.DUMMYFUNCTION("TRANSPOSE(unique(filter(B68:B1166,B68:B1166&lt;&gt;""Sede"",B68:B1166&lt;&gt;"""")))"),"Santa Lucia")</f>
        <v>Santa Lucia</v>
      </c>
      <c r="D6" s="8" t="str">
        <f>IFERROR(__xludf.DUMMYFUNCTION("""COMPUTED_VALUE"""),"Plaza Egaña")</f>
        <v>Plaza Egaña</v>
      </c>
      <c r="E6" s="8" t="str">
        <f>IFERROR(__xludf.DUMMYFUNCTION("""COMPUTED_VALUE"""),"Neohaus")</f>
        <v>Neohaus</v>
      </c>
      <c r="F6" s="8" t="str">
        <f>IFERROR(__xludf.DUMMYFUNCTION("""COMPUTED_VALUE"""),"Florida Center")</f>
        <v>Florida Center</v>
      </c>
      <c r="G6" s="8" t="str">
        <f>IFERROR(__xludf.DUMMYFUNCTION("""COMPUTED_VALUE"""),"Manuel Montt piso 2")</f>
        <v>Manuel Montt piso 2</v>
      </c>
      <c r="H6" s="8" t="str">
        <f>IFERROR(__xludf.DUMMYFUNCTION("""COMPUTED_VALUE"""),"Manuel Montt piso 5")</f>
        <v>Manuel Montt piso 5</v>
      </c>
      <c r="I6" s="8" t="str">
        <f>IFERROR(__xludf.DUMMYFUNCTION("""COMPUTED_VALUE"""),"Suecia piso 7")</f>
        <v>Suecia piso 7</v>
      </c>
      <c r="J6" s="8" t="str">
        <f>IFERROR(__xludf.DUMMYFUNCTION("""COMPUTED_VALUE"""),"Suecia piso 8")</f>
        <v>Suecia piso 8</v>
      </c>
      <c r="K6" s="8" t="str">
        <f>IFERROR(__xludf.DUMMYFUNCTION("""COMPUTED_VALUE"""),"Tobalaba 3")</f>
        <v>Tobalaba 3</v>
      </c>
      <c r="L6" s="8" t="str">
        <f>IFERROR(__xludf.DUMMYFUNCTION("""COMPUTED_VALUE"""),"Santa Rosa")</f>
        <v>Santa Rosa</v>
      </c>
      <c r="M6" s="8" t="str">
        <f>IFERROR(__xludf.DUMMYFUNCTION("""COMPUTED_VALUE"""),"Santa Rosa ")</f>
        <v>Santa Rosa </v>
      </c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</row>
    <row r="7">
      <c r="A7" s="2"/>
      <c r="B7" s="10" t="str">
        <f>IFERROR(__xludf.DUMMYFUNCTION("unique(filter(D68:D1166,D68:D1166&lt;&gt;""Producto"",D68:D1166&lt;&gt;""""))"),"Cafe Grano (KG)")</f>
        <v>Cafe Grano (KG)</v>
      </c>
      <c r="C7" s="11" t="str">
        <f t="shared" ref="C7:C62" si="4">IFERROR(INDEX($E$70:$BW$85,MATCH($B7,$D$70:$D$85,0),MATCH($A$2,$E$68:$BW$68,0))&amp;" ---&gt; "&amp;INDEX($E$70:$BW$85,MATCH($B7,$D$70:$D$85,0),MATCH($A$1,$E$68:$BW$68,0)),"-")</f>
        <v>20 ---&gt; 17,5</v>
      </c>
      <c r="D7" s="12" t="str">
        <f t="shared" ref="D7:D62" si="5">IFERROR(INDEX($E$89:$BQ$103,MATCH($B7,$D$89:$D$103,0),MATCH($A$2,$E$87:$BQ$87,0))&amp;" ---&gt; "&amp;INDEX($E$89:$BQ$103,MATCH($B7,$D$89:$D$103,0),MATCH($A$1,$E$87:$BQ$87,0)),"-")</f>
        <v>16 ---&gt; 15</v>
      </c>
      <c r="E7" s="12" t="str">
        <f t="shared" ref="E7:E62" si="6">IFERROR(INDEX($E$106:$BK$119,MATCH($B7,$D$106:$D$119,0),MATCH($A$2,$E$104:$BK$104,0))&amp;" ---&gt; "&amp;INDEX($E$106:$BK$119,MATCH($B7,$D$106:$D$119,0),MATCH($A$1,$E$104:$BK$104,0)),"-")</f>
        <v>2 kilos ---&gt; 1 kilos</v>
      </c>
      <c r="F7" s="13" t="str">
        <f t="shared" ref="F7:F62" si="7">IFERROR(INDEX($E$123:$BO$158,MATCH($B7,$D$123:$D$158,0),MATCH($A$2,$E$121:$BO$121,0))&amp;" ---&gt; "&amp;INDEX($E$123:$BO$158,MATCH($B7,$D$123:$D$158,0),MATCH($A$1,$E$121:$BO$121,0)),"-")</f>
        <v>28
(bolsas de 500gr) ---&gt; 27
(bolsas de 500gr)</v>
      </c>
      <c r="G7" s="12" t="str">
        <f t="shared" ref="G7:H7" si="1">IFERROR(INDEX($E$162:$AY$183,MATCH($B7&amp;G$6,$A$162:$A$183,0),MATCH($A$2,$E$160:$AY$160,0))&amp;" ---&gt; "&amp;INDEX($E$162:$AY$183,MATCH($B7&amp;G$6,$A$162:$A$183,0),MATCH($A$1,$E$160:$AY$160,0)),"-")</f>
        <v>-</v>
      </c>
      <c r="H7" s="12" t="str">
        <f t="shared" si="1"/>
        <v>-</v>
      </c>
      <c r="I7" s="12" t="str">
        <f t="shared" ref="I7:J7" si="2">IFERROR(INDEX($E$188:$BK$215,MATCH($B7&amp;I$6,$A$188:$A$215,0),MATCH($A$2,$E$186:$BK$186,0))&amp;" ---&gt; "&amp;INDEX($E$188:$BK$215,MATCH($B7&amp;I$6,$A$188:$A$215,0),MATCH($A$1,$E$186:$BK$186,0)),"-")</f>
        <v>3 ---&gt; 3</v>
      </c>
      <c r="J7" s="12" t="str">
        <f t="shared" si="2"/>
        <v>10 ---&gt; 10</v>
      </c>
      <c r="K7" s="12" t="str">
        <f t="shared" ref="K7:L7" si="3">IFERROR(INDEX($E$219:$BD$231,MATCH($B7&amp;K$6,$A$219:$A$231,0),MATCH($A$2,$E$217:$BD$217,0))&amp;" ---&gt; "&amp;INDEX($E$219:$BD$231,MATCH($B7&amp;K$6,$A$219:$A$231,0),MATCH($A$1,$E$217:$BD$217,0)),"-")</f>
        <v>12,5 ---&gt; 8,5</v>
      </c>
      <c r="L7" s="12" t="str">
        <f t="shared" si="3"/>
        <v>-</v>
      </c>
      <c r="M7" s="12" t="str">
        <f t="shared" ref="M7:M13" si="11">IFERROR(INDEX($E$235:$AY$251,MATCH($B7,$D$235:$D$251,0),MATCH($A$2,$E$233:$AY$233,0))&amp;" ---&gt; "&amp;INDEX($E$235:$AY$251,MATCH($B7,$D$234:$D$251,0),MATCH($A$1,$E$233:$AY$233,0)),"-")</f>
        <v>piso 5 (9) -  piso 6 (9) ---&gt; piso 3 (6)- piso 5 (6) -  piso 6 (6)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</row>
    <row r="8">
      <c r="A8" s="2"/>
      <c r="B8" s="10" t="str">
        <f>IFERROR(__xludf.DUMMYFUNCTION("""COMPUTED_VALUE"""),"Toalla de Papel Jumbo (UN)")</f>
        <v>Toalla de Papel Jumbo (UN)</v>
      </c>
      <c r="C8" s="11" t="str">
        <f t="shared" si="4"/>
        <v>27 ---&gt; 30</v>
      </c>
      <c r="D8" s="14" t="str">
        <f t="shared" si="5"/>
        <v>1 ---&gt; 0</v>
      </c>
      <c r="E8" s="14" t="str">
        <f t="shared" si="6"/>
        <v>sin stock ---&gt; sin stock</v>
      </c>
      <c r="F8" s="13" t="str">
        <f t="shared" si="7"/>
        <v>8 ---&gt; 7</v>
      </c>
      <c r="G8" s="12" t="str">
        <f t="shared" ref="G8:H8" si="8">IFERROR(INDEX($E$162:$AY$183,MATCH($B8&amp;G$6,$A$162:$A$183,0),MATCH($A$2,$E$160:$AY$160,0))&amp;" ---&gt; "&amp;INDEX($E$162:$AY$183,MATCH($B8&amp;G$6,$A$162:$A$183,0),MATCH($A$1,$E$160:$AY$160,0)),"-")</f>
        <v>-</v>
      </c>
      <c r="H8" s="12" t="str">
        <f t="shared" si="8"/>
        <v>-</v>
      </c>
      <c r="I8" s="12" t="str">
        <f t="shared" ref="I8:J8" si="9">IFERROR(INDEX($E$188:$BK$215,MATCH($B8&amp;I$6,$A$188:$A$215,0),MATCH($A$2,$E$186:$BK$186,0))&amp;" ---&gt; "&amp;INDEX($E$188:$BK$215,MATCH($B8&amp;I$6,$A$188:$A$215,0),MATCH($A$1,$E$186:$BK$186,0)),"-")</f>
        <v>4 ---&gt; 4</v>
      </c>
      <c r="J8" s="12" t="str">
        <f t="shared" si="9"/>
        <v>24 ---&gt; 24</v>
      </c>
      <c r="K8" s="12" t="str">
        <f t="shared" ref="K8:L8" si="10">IFERROR(INDEX($E$219:$BD$231,MATCH($B8&amp;K$6,$A$219:$A$231,0),MATCH($A$2,$E$217:$BD$217,0))&amp;" ---&gt; "&amp;INDEX($E$219:$BD$231,MATCH($B8&amp;K$6,$A$219:$A$231,0),MATCH($A$1,$E$217:$BD$217,0)),"-")</f>
        <v>14 ---&gt; 5</v>
      </c>
      <c r="L8" s="12" t="str">
        <f t="shared" si="10"/>
        <v>-</v>
      </c>
      <c r="M8" s="12" t="str">
        <f t="shared" si="11"/>
        <v>26 ---&gt; 36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</row>
    <row r="9">
      <c r="A9" s="2"/>
      <c r="B9" s="10" t="str">
        <f>IFERROR(__xludf.DUMMYFUNCTION("""COMPUTED_VALUE"""),"Papel Higienico (UN)")</f>
        <v>Papel Higienico (UN)</v>
      </c>
      <c r="C9" s="15" t="str">
        <f t="shared" si="4"/>
        <v>20 ---&gt; 9</v>
      </c>
      <c r="D9" s="12" t="str">
        <f t="shared" si="5"/>
        <v>8 ---&gt; 7</v>
      </c>
      <c r="E9" s="12" t="str">
        <f t="shared" si="6"/>
        <v>6 paquetes ---&gt; 4 paquetes</v>
      </c>
      <c r="F9" s="13" t="str">
        <f t="shared" si="7"/>
        <v>- ---&gt; -</v>
      </c>
      <c r="G9" s="12" t="str">
        <f t="shared" ref="G9:H9" si="12">IFERROR(INDEX($E$162:$AY$183,MATCH($B9&amp;G$6,$A$162:$A$183,0),MATCH($A$2,$E$160:$AY$160,0))&amp;" ---&gt; "&amp;INDEX($E$162:$AY$183,MATCH($B9&amp;G$6,$A$162:$A$183,0),MATCH($A$1,$E$160:$AY$160,0)),"-")</f>
        <v>-</v>
      </c>
      <c r="H9" s="12" t="str">
        <f t="shared" si="12"/>
        <v>-</v>
      </c>
      <c r="I9" s="12" t="str">
        <f t="shared" ref="I9:J9" si="13">IFERROR(INDEX($E$188:$BK$215,MATCH($B9&amp;I$6,$A$188:$A$215,0),MATCH($A$2,$E$186:$BK$186,0))&amp;" ---&gt; "&amp;INDEX($E$188:$BK$215,MATCH($B9&amp;I$6,$A$188:$A$215,0),MATCH($A$1,$E$186:$BK$186,0)),"-")</f>
        <v>25 ---&gt; 25</v>
      </c>
      <c r="J9" s="12" t="str">
        <f t="shared" si="13"/>
        <v>15 ---&gt; 15</v>
      </c>
      <c r="K9" s="12" t="str">
        <f t="shared" ref="K9:L9" si="14">IFERROR(INDEX($E$219:$BD$231,MATCH($B9&amp;K$6,$A$219:$A$231,0),MATCH($A$2,$E$217:$BD$217,0))&amp;" ---&gt; "&amp;INDEX($E$219:$BD$231,MATCH($B9&amp;K$6,$A$219:$A$231,0),MATCH($A$1,$E$217:$BD$217,0)),"-")</f>
        <v>24 ---&gt; 20</v>
      </c>
      <c r="L9" s="12" t="str">
        <f t="shared" si="14"/>
        <v>-</v>
      </c>
      <c r="M9" s="12" t="str">
        <f t="shared" si="11"/>
        <v>40 ---&gt; 6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</row>
    <row r="10">
      <c r="A10" s="2"/>
      <c r="B10" s="10" t="str">
        <f>IFERROR(__xludf.DUMMYFUNCTION("""COMPUTED_VALUE"""),"Resma Papel Fotocopia (UN)")</f>
        <v>Resma Papel Fotocopia (UN)</v>
      </c>
      <c r="C10" s="11" t="str">
        <f t="shared" si="4"/>
        <v>6 ---&gt; 9</v>
      </c>
      <c r="D10" s="12" t="str">
        <f t="shared" si="5"/>
        <v>7 ---&gt; 7</v>
      </c>
      <c r="E10" s="12" t="str">
        <f t="shared" si="6"/>
        <v>3 unidades ---&gt; 2 unidades</v>
      </c>
      <c r="F10" s="13" t="str">
        <f t="shared" si="7"/>
        <v>-</v>
      </c>
      <c r="G10" s="12" t="str">
        <f t="shared" ref="G10:H10" si="15">IFERROR(INDEX($E$162:$AY$183,MATCH($B10&amp;G$6,$A$162:$A$183,0),MATCH($A$2,$E$160:$AY$160,0))&amp;" ---&gt; "&amp;INDEX($E$162:$AY$183,MATCH($B10&amp;G$6,$A$162:$A$183,0),MATCH($A$1,$E$160:$AY$160,0)),"-")</f>
        <v>-</v>
      </c>
      <c r="H10" s="12" t="str">
        <f t="shared" si="15"/>
        <v>-</v>
      </c>
      <c r="I10" s="12" t="str">
        <f t="shared" ref="I10:J10" si="16">IFERROR(INDEX($E$188:$BK$215,MATCH($B10&amp;I$6,$A$188:$A$215,0),MATCH($A$2,$E$186:$BK$186,0))&amp;" ---&gt; "&amp;INDEX($E$188:$BK$215,MATCH($B10&amp;I$6,$A$188:$A$215,0),MATCH($A$1,$E$186:$BK$186,0)),"-")</f>
        <v>1 ---&gt; 1</v>
      </c>
      <c r="J10" s="12" t="str">
        <f t="shared" si="16"/>
        <v>5 ---&gt; 5</v>
      </c>
      <c r="K10" s="12" t="str">
        <f t="shared" ref="K10:L10" si="17">IFERROR(INDEX($E$219:$BD$231,MATCH($B10&amp;K$6,$A$219:$A$231,0),MATCH($A$2,$E$217:$BD$217,0))&amp;" ---&gt; "&amp;INDEX($E$219:$BD$231,MATCH($B10&amp;K$6,$A$219:$A$231,0),MATCH($A$1,$E$217:$BD$217,0)),"-")</f>
        <v>7 ---&gt; 6</v>
      </c>
      <c r="L10" s="12" t="str">
        <f t="shared" si="17"/>
        <v>-</v>
      </c>
      <c r="M10" s="12" t="str">
        <f t="shared" si="11"/>
        <v>5 ---&gt; 29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</row>
    <row r="11">
      <c r="A11" s="2"/>
      <c r="B11" s="10" t="str">
        <f>IFERROR(__xludf.DUMMYFUNCTION("""COMPUTED_VALUE"""),"Servilletas")</f>
        <v>Servilletas</v>
      </c>
      <c r="C11" s="11" t="str">
        <f t="shared" si="4"/>
        <v>6 ---&gt; 3</v>
      </c>
      <c r="D11" s="12" t="str">
        <f t="shared" si="5"/>
        <v>12 ---&gt; 10</v>
      </c>
      <c r="E11" s="12" t="str">
        <f t="shared" si="6"/>
        <v>-</v>
      </c>
      <c r="F11" s="13" t="str">
        <f t="shared" si="7"/>
        <v>14 ---&gt; 13</v>
      </c>
      <c r="G11" s="12" t="str">
        <f t="shared" ref="G11:H11" si="18">IFERROR(INDEX($E$162:$AY$183,MATCH($B11&amp;G$6,$A$162:$A$183,0),MATCH($A$2,$E$160:$AY$160,0))&amp;" ---&gt; "&amp;INDEX($E$162:$AY$183,MATCH($B11&amp;G$6,$A$162:$A$183,0),MATCH($A$1,$E$160:$AY$160,0)),"-")</f>
        <v>-</v>
      </c>
      <c r="H11" s="12" t="str">
        <f t="shared" si="18"/>
        <v>-</v>
      </c>
      <c r="I11" s="12" t="str">
        <f t="shared" ref="I11:J11" si="19">IFERROR(INDEX($E$188:$BK$215,MATCH($B11&amp;I$6,$A$188:$A$215,0),MATCH($A$2,$E$186:$BK$186,0))&amp;" ---&gt; "&amp;INDEX($E$188:$BK$215,MATCH($B11&amp;I$6,$A$188:$A$215,0),MATCH($A$1,$E$186:$BK$186,0)),"-")</f>
        <v>-</v>
      </c>
      <c r="J11" s="12" t="str">
        <f t="shared" si="19"/>
        <v>-</v>
      </c>
      <c r="K11" s="12" t="str">
        <f t="shared" ref="K11:L11" si="20">IFERROR(INDEX($E$219:$BD$231,MATCH($B11&amp;K$6,$A$219:$A$231,0),MATCH($A$2,$E$217:$BD$217,0))&amp;" ---&gt; "&amp;INDEX($E$219:$BD$231,MATCH($B11&amp;K$6,$A$219:$A$231,0),MATCH($A$1,$E$217:$BD$217,0)),"-")</f>
        <v>15 ---&gt; 4</v>
      </c>
      <c r="L11" s="12" t="str">
        <f t="shared" si="20"/>
        <v>-</v>
      </c>
      <c r="M11" s="12" t="str">
        <f t="shared" si="11"/>
        <v>29 ---&gt; piso 3 (6)- piso 5 (6) -  piso 6 (6)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</row>
    <row r="12">
      <c r="A12" s="2"/>
      <c r="B12" s="10" t="str">
        <f>IFERROR(__xludf.DUMMYFUNCTION("""COMPUTED_VALUE"""),"Leche Liquida")</f>
        <v>Leche Liquida</v>
      </c>
      <c r="C12" s="11" t="str">
        <f t="shared" si="4"/>
        <v>10 ---&gt; 7</v>
      </c>
      <c r="D12" s="12" t="str">
        <f t="shared" si="5"/>
        <v>11 ---&gt; 8</v>
      </c>
      <c r="E12" s="12" t="str">
        <f t="shared" si="6"/>
        <v>-</v>
      </c>
      <c r="F12" s="13" t="str">
        <f t="shared" si="7"/>
        <v>20 ---&gt; 19</v>
      </c>
      <c r="G12" s="12" t="str">
        <f t="shared" ref="G12:H12" si="21">IFERROR(INDEX($E$162:$AY$183,MATCH($B12&amp;G$6,$A$162:$A$183,0),MATCH($A$2,$E$160:$AY$160,0))&amp;" ---&gt; "&amp;INDEX($E$162:$AY$183,MATCH($B12&amp;G$6,$A$162:$A$183,0),MATCH($A$1,$E$160:$AY$160,0)),"-")</f>
        <v>-</v>
      </c>
      <c r="H12" s="12" t="str">
        <f t="shared" si="21"/>
        <v>-</v>
      </c>
      <c r="I12" s="12" t="str">
        <f t="shared" ref="I12:J12" si="22">IFERROR(INDEX($E$188:$BK$215,MATCH($B12&amp;I$6,$A$188:$A$215,0),MATCH($A$2,$E$186:$BK$186,0))&amp;" ---&gt; "&amp;INDEX($E$188:$BK$215,MATCH($B12&amp;I$6,$A$188:$A$215,0),MATCH($A$1,$E$186:$BK$186,0)),"-")</f>
        <v>0 ---&gt; 0</v>
      </c>
      <c r="J12" s="12" t="str">
        <f t="shared" si="22"/>
        <v>23 ---&gt; 23</v>
      </c>
      <c r="K12" s="12" t="str">
        <f t="shared" ref="K12:L12" si="23">IFERROR(INDEX($E$219:$BD$231,MATCH($B12&amp;K$6,$A$219:$A$231,0),MATCH($A$2,$E$217:$BD$217,0))&amp;" ---&gt; "&amp;INDEX($E$219:$BD$231,MATCH($B12&amp;K$6,$A$219:$A$231,0),MATCH($A$1,$E$217:$BD$217,0)),"-")</f>
        <v>24 ---&gt; 20</v>
      </c>
      <c r="L12" s="12" t="str">
        <f t="shared" si="23"/>
        <v>-</v>
      </c>
      <c r="M12" s="12" t="str">
        <f t="shared" si="11"/>
        <v>-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</row>
    <row r="13">
      <c r="A13" s="2"/>
      <c r="B13" s="10" t="str">
        <f>IFERROR(__xludf.DUMMYFUNCTION("""COMPUTED_VALUE"""),"Cafe Granulado")</f>
        <v>Cafe Granulado</v>
      </c>
      <c r="C13" s="11" t="str">
        <f t="shared" si="4"/>
        <v>2 ---&gt; 2</v>
      </c>
      <c r="D13" s="12" t="str">
        <f t="shared" si="5"/>
        <v>1 ---&gt; 1</v>
      </c>
      <c r="E13" s="14" t="str">
        <f t="shared" si="6"/>
        <v>1 unidad ---&gt; 1 unidad</v>
      </c>
      <c r="F13" s="13" t="str">
        <f t="shared" si="7"/>
        <v>-</v>
      </c>
      <c r="G13" s="12" t="str">
        <f t="shared" ref="G13:H13" si="24">IFERROR(INDEX($E$162:$AY$183,MATCH($B13&amp;G$6,$A$162:$A$183,0),MATCH($A$2,$E$160:$AY$160,0))&amp;" ---&gt; "&amp;INDEX($E$162:$AY$183,MATCH($B13&amp;G$6,$A$162:$A$183,0),MATCH($A$1,$E$160:$AY$160,0)),"-")</f>
        <v>-</v>
      </c>
      <c r="H13" s="12" t="str">
        <f t="shared" si="24"/>
        <v>-</v>
      </c>
      <c r="I13" s="12" t="str">
        <f t="shared" ref="I13:J13" si="25">IFERROR(INDEX($E$188:$BK$215,MATCH($B13&amp;I$6,$A$188:$A$215,0),MATCH($A$2,$E$186:$BK$186,0))&amp;" ---&gt; "&amp;INDEX($E$188:$BK$215,MATCH($B13&amp;I$6,$A$188:$A$215,0),MATCH($A$1,$E$186:$BK$186,0)),"-")</f>
        <v>8 ---&gt; 8</v>
      </c>
      <c r="J13" s="12" t="str">
        <f t="shared" si="25"/>
        <v>4 ---&gt; 4</v>
      </c>
      <c r="K13" s="12" t="str">
        <f t="shared" ref="K13:L13" si="26">IFERROR(INDEX($E$219:$BD$231,MATCH($B13&amp;K$6,$A$219:$A$231,0),MATCH($A$2,$E$217:$BD$217,0))&amp;" ---&gt; "&amp;INDEX($E$219:$BD$231,MATCH($B13&amp;K$6,$A$219:$A$231,0),MATCH($A$1,$E$217:$BD$217,0)),"-")</f>
        <v>-</v>
      </c>
      <c r="L13" s="12" t="str">
        <f t="shared" si="26"/>
        <v>-</v>
      </c>
      <c r="M13" s="12" t="str">
        <f t="shared" si="11"/>
        <v>2 ---&gt; 5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</row>
    <row r="14">
      <c r="A14" s="2"/>
      <c r="B14" s="10" t="str">
        <f>IFERROR(__xludf.DUMMYFUNCTION("""COMPUTED_VALUE"""),"Endulzante ")</f>
        <v>Endulzante </v>
      </c>
      <c r="C14" s="11" t="str">
        <f t="shared" si="4"/>
        <v>3 ---&gt; 2</v>
      </c>
      <c r="D14" s="14" t="str">
        <f t="shared" si="5"/>
        <v>0 ---&gt; 0</v>
      </c>
      <c r="E14" s="14" t="str">
        <f t="shared" si="6"/>
        <v>1 unidad ---&gt; 1 unidad</v>
      </c>
      <c r="F14" s="13" t="str">
        <f t="shared" si="7"/>
        <v>4 ---&gt; 4</v>
      </c>
      <c r="G14" s="12"/>
      <c r="H14" s="12"/>
      <c r="I14" s="12" t="str">
        <f t="shared" ref="I14:J14" si="27">IFERROR(INDEX($E$188:$BK$215,MATCH($B14&amp;I$6,$A$188:$A$215,0),MATCH($A$2,$E$186:$BK$186,0))&amp;" ---&gt; "&amp;INDEX($E$188:$BK$215,MATCH($B14&amp;I$6,$A$188:$A$215,0),MATCH($A$1,$E$186:$BK$186,0)),"-")</f>
        <v>3 ---&gt; 3</v>
      </c>
      <c r="J14" s="12" t="str">
        <f t="shared" si="27"/>
        <v>-</v>
      </c>
      <c r="K14" s="12" t="str">
        <f t="shared" ref="K14:L14" si="28">IFERROR(INDEX($E$219:$BD$231,MATCH($B14&amp;K$6,$A$219:$A$231,0),MATCH($A$2,$E$217:$BD$217,0))&amp;" ---&gt; "&amp;INDEX($E$219:$BD$231,MATCH($B14&amp;K$6,$A$219:$A$231,0),MATCH($A$1,$E$217:$BD$217,0)),"-")</f>
        <v>3 ---&gt; 2</v>
      </c>
      <c r="L14" s="12" t="str">
        <f t="shared" si="28"/>
        <v>-</v>
      </c>
      <c r="M14" s="1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</row>
    <row r="15">
      <c r="A15" s="2"/>
      <c r="B15" s="10" t="str">
        <f>IFERROR(__xludf.DUMMYFUNCTION("""COMPUTED_VALUE"""),"Azucar kg")</f>
        <v>Azucar kg</v>
      </c>
      <c r="C15" s="15" t="str">
        <f t="shared" si="4"/>
        <v>0 ---&gt; 0</v>
      </c>
      <c r="D15" s="12" t="str">
        <f t="shared" si="5"/>
        <v>-</v>
      </c>
      <c r="E15" s="12" t="str">
        <f t="shared" si="6"/>
        <v>-</v>
      </c>
      <c r="F15" s="13" t="str">
        <f t="shared" si="7"/>
        <v>-</v>
      </c>
      <c r="G15" s="12"/>
      <c r="H15" s="12"/>
      <c r="I15" s="12" t="str">
        <f t="shared" ref="I15:J15" si="29">IFERROR(INDEX($E$188:$BK$215,MATCH($B15&amp;I$6,$A$188:$A$215,0),MATCH($A$2,$E$186:$BK$186,0))&amp;" ---&gt; "&amp;INDEX($E$188:$BK$215,MATCH($B15&amp;I$6,$A$188:$A$215,0),MATCH($A$1,$E$186:$BK$186,0)),"-")</f>
        <v>-</v>
      </c>
      <c r="J15" s="12" t="str">
        <f t="shared" si="29"/>
        <v>-</v>
      </c>
      <c r="K15" s="12" t="str">
        <f t="shared" ref="K15:L15" si="30">IFERROR(INDEX($E$219:$BD$231,MATCH($B15&amp;K$6,$A$219:$A$231,0),MATCH($A$2,$E$217:$BD$217,0))&amp;" ---&gt; "&amp;INDEX($E$219:$BD$231,MATCH($B15&amp;K$6,$A$219:$A$231,0),MATCH($A$1,$E$217:$BD$217,0)),"-")</f>
        <v>-</v>
      </c>
      <c r="L15" s="12" t="str">
        <f t="shared" si="30"/>
        <v>-</v>
      </c>
      <c r="M15" s="1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</row>
    <row r="16">
      <c r="A16" s="2"/>
      <c r="B16" s="10" t="str">
        <f>IFERROR(__xludf.DUMMYFUNCTION("""COMPUTED_VALUE"""),"Cloro Gel ")</f>
        <v>Cloro Gel </v>
      </c>
      <c r="C16" s="15" t="str">
        <f t="shared" si="4"/>
        <v>0 ---&gt; 0</v>
      </c>
      <c r="D16" s="14" t="str">
        <f t="shared" si="5"/>
        <v>0 ---&gt; 0</v>
      </c>
      <c r="E16" s="12" t="str">
        <f t="shared" si="6"/>
        <v>1 bidón ---&gt; 1 bidón</v>
      </c>
      <c r="F16" s="13" t="str">
        <f t="shared" si="7"/>
        <v>-</v>
      </c>
      <c r="G16" s="12" t="str">
        <f t="shared" ref="G16:H16" si="31">IFERROR(INDEX($E$162:$AY$183,MATCH($B16&amp;G$6,$A$162:$A$183,0),MATCH($A$2,$E$160:$AY$160,0))&amp;" ---&gt; "&amp;INDEX($E$162:$AY$183,MATCH($B16&amp;G$6,$A$162:$A$183,0),MATCH($A$1,$E$160:$AY$160,0)),"-")</f>
        <v>-</v>
      </c>
      <c r="H16" s="12" t="str">
        <f t="shared" si="31"/>
        <v>-</v>
      </c>
      <c r="I16" s="12" t="str">
        <f t="shared" ref="I16:J16" si="32">IFERROR(INDEX($E$188:$BK$215,MATCH($B16&amp;I$6,$A$188:$A$215,0),MATCH($A$2,$E$186:$BK$186,0))&amp;" ---&gt; "&amp;INDEX($E$188:$BK$215,MATCH($B16&amp;I$6,$A$188:$A$215,0),MATCH($A$1,$E$186:$BK$186,0)),"-")</f>
        <v>-</v>
      </c>
      <c r="J16" s="12" t="str">
        <f t="shared" si="32"/>
        <v>-</v>
      </c>
      <c r="K16" s="12" t="str">
        <f t="shared" ref="K16:L16" si="33">IFERROR(INDEX($E$219:$BD$231,MATCH($B16&amp;K$6,$A$219:$A$231,0),MATCH($A$2,$E$217:$BD$217,0))&amp;" ---&gt; "&amp;INDEX($E$219:$BD$231,MATCH($B16&amp;K$6,$A$219:$A$231,0),MATCH($A$1,$E$217:$BD$217,0)),"-")</f>
        <v>1 ---&gt; 1</v>
      </c>
      <c r="L16" s="12" t="str">
        <f t="shared" si="33"/>
        <v>-</v>
      </c>
      <c r="M16" s="12" t="str">
        <f t="shared" ref="M16:M65" si="37">IFERROR(INDEX($E$235:$AY$251,MATCH($B16,$D$235:$D$251,0),MATCH($A$2,$E$233:$AY$233,0))&amp;" ---&gt; "&amp;INDEX($E$235:$AY$251,MATCH($B16,$D$234:$D$251,0),MATCH($A$1,$E$233:$AY$233,0)),"-")</f>
        <v>1 ---&gt; 3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</row>
    <row r="17">
      <c r="A17" s="16"/>
      <c r="B17" s="17" t="str">
        <f>IFERROR(__xludf.DUMMYFUNCTION("""COMPUTED_VALUE"""),"Limpia Piso ")</f>
        <v>Limpia Piso </v>
      </c>
      <c r="C17" s="15" t="str">
        <f t="shared" si="4"/>
        <v>1 ---&gt; 0</v>
      </c>
      <c r="D17" s="12" t="str">
        <f t="shared" si="5"/>
        <v>1 ---&gt; 1</v>
      </c>
      <c r="E17" s="12" t="str">
        <f t="shared" si="6"/>
        <v>1 bidón ---&gt; 1 bidón</v>
      </c>
      <c r="F17" s="13" t="str">
        <f t="shared" si="7"/>
        <v>-</v>
      </c>
      <c r="G17" s="12" t="str">
        <f t="shared" ref="G17:H17" si="34">IFERROR(INDEX($E$162:$AY$183,MATCH($B17&amp;G$6,$A$162:$A$183,0),MATCH($A$2,$E$160:$AY$160,0))&amp;" ---&gt; "&amp;INDEX($E$162:$AY$183,MATCH($B17&amp;G$6,$A$162:$A$183,0),MATCH($A$1,$E$160:$AY$160,0)),"-")</f>
        <v>-</v>
      </c>
      <c r="H17" s="12" t="str">
        <f t="shared" si="34"/>
        <v>-</v>
      </c>
      <c r="I17" s="12" t="str">
        <f t="shared" ref="I17:J17" si="35">IFERROR(INDEX($E$188:$BK$215,MATCH($B17&amp;I$6,$A$188:$A$215,0),MATCH($A$2,$E$186:$BK$186,0))&amp;" ---&gt; "&amp;INDEX($E$188:$BK$215,MATCH($B17&amp;I$6,$A$188:$A$215,0),MATCH($A$1,$E$186:$BK$186,0)),"-")</f>
        <v>-</v>
      </c>
      <c r="J17" s="12" t="str">
        <f t="shared" si="35"/>
        <v>-</v>
      </c>
      <c r="K17" s="12" t="str">
        <f t="shared" ref="K17:L17" si="36">IFERROR(INDEX($E$219:$BD$231,MATCH($B17&amp;K$6,$A$219:$A$231,0),MATCH($A$2,$E$217:$BD$217,0))&amp;" ---&gt; "&amp;INDEX($E$219:$BD$231,MATCH($B17&amp;K$6,$A$219:$A$231,0),MATCH($A$1,$E$217:$BD$217,0)),"-")</f>
        <v>3 ---&gt; 2</v>
      </c>
      <c r="L17" s="12" t="str">
        <f t="shared" si="36"/>
        <v>-</v>
      </c>
      <c r="M17" s="12" t="str">
        <f t="shared" si="37"/>
        <v>1 ---&gt; 26</v>
      </c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</row>
    <row r="18">
      <c r="A18" s="16"/>
      <c r="B18" s="17" t="str">
        <f>IFERROR(__xludf.DUMMYFUNCTION("""COMPUTED_VALUE"""),"Bolsas Basura 50x70")</f>
        <v>Bolsas Basura 50x70</v>
      </c>
      <c r="C18" s="15" t="str">
        <f t="shared" si="4"/>
        <v>0 ---&gt; 0</v>
      </c>
      <c r="D18" s="12" t="str">
        <f t="shared" si="5"/>
        <v>14 ---&gt; 11</v>
      </c>
      <c r="E18" s="12" t="str">
        <f t="shared" si="6"/>
        <v>-</v>
      </c>
      <c r="F18" s="13" t="str">
        <f t="shared" si="7"/>
        <v>18 ---&gt; 16</v>
      </c>
      <c r="G18" s="12" t="str">
        <f t="shared" ref="G18:H18" si="38">IFERROR(INDEX($E$162:$AY$183,MATCH($B18&amp;G$6,$A$162:$A$183,0),MATCH($A$2,$E$160:$AY$160,0))&amp;" ---&gt; "&amp;INDEX($E$162:$AY$183,MATCH($B18&amp;G$6,$A$162:$A$183,0),MATCH($A$1,$E$160:$AY$160,0)),"-")</f>
        <v>-</v>
      </c>
      <c r="H18" s="12" t="str">
        <f t="shared" si="38"/>
        <v>-</v>
      </c>
      <c r="I18" s="12" t="str">
        <f t="shared" ref="I18:J18" si="39">IFERROR(INDEX($E$188:$BK$215,MATCH($B18&amp;I$6,$A$188:$A$215,0),MATCH($A$2,$E$186:$BK$186,0))&amp;" ---&gt; "&amp;INDEX($E$188:$BK$215,MATCH($B18&amp;I$6,$A$188:$A$215,0),MATCH($A$1,$E$186:$BK$186,0)),"-")</f>
        <v>4 ---&gt; 4</v>
      </c>
      <c r="J18" s="12" t="str">
        <f t="shared" si="39"/>
        <v>4 ---&gt; 4</v>
      </c>
      <c r="K18" s="12" t="str">
        <f t="shared" ref="K18:L18" si="40">IFERROR(INDEX($E$219:$BD$231,MATCH($B18&amp;K$6,$A$219:$A$231,0),MATCH($A$2,$E$217:$BD$217,0))&amp;" ---&gt; "&amp;INDEX($E$219:$BD$231,MATCH($B18&amp;K$6,$A$219:$A$231,0),MATCH($A$1,$E$217:$BD$217,0)),"-")</f>
        <v>-</v>
      </c>
      <c r="L18" s="12" t="str">
        <f t="shared" si="40"/>
        <v>-</v>
      </c>
      <c r="M18" s="12" t="str">
        <f t="shared" si="37"/>
        <v>4 ---&gt; 4</v>
      </c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16"/>
      <c r="AX18" s="16"/>
      <c r="AY18" s="16"/>
      <c r="AZ18" s="16"/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6"/>
      <c r="BQ18" s="16"/>
      <c r="BR18" s="16"/>
      <c r="BS18" s="16"/>
      <c r="BT18" s="16"/>
      <c r="BU18" s="16"/>
      <c r="BV18" s="16"/>
      <c r="BW18" s="16"/>
    </row>
    <row r="19">
      <c r="A19" s="16"/>
      <c r="B19" s="17" t="str">
        <f>IFERROR(__xludf.DUMMYFUNCTION("""COMPUTED_VALUE"""),"Bolsas Basura 70x90")</f>
        <v>Bolsas Basura 70x90</v>
      </c>
      <c r="C19" s="11" t="str">
        <f t="shared" si="4"/>
        <v>2 ---&gt; 1</v>
      </c>
      <c r="D19" s="12" t="str">
        <f t="shared" si="5"/>
        <v>16 ---&gt; 14</v>
      </c>
      <c r="E19" s="12" t="str">
        <f t="shared" si="6"/>
        <v>-</v>
      </c>
      <c r="F19" s="13" t="str">
        <f t="shared" si="7"/>
        <v>5 ---&gt; 4</v>
      </c>
      <c r="G19" s="12" t="str">
        <f t="shared" ref="G19:H19" si="41">IFERROR(INDEX($E$162:$AY$183,MATCH($B19&amp;G$6,$A$162:$A$183,0),MATCH($A$2,$E$160:$AY$160,0))&amp;" ---&gt; "&amp;INDEX($E$162:$AY$183,MATCH($B19&amp;G$6,$A$162:$A$183,0),MATCH($A$1,$E$160:$AY$160,0)),"-")</f>
        <v>-</v>
      </c>
      <c r="H19" s="12" t="str">
        <f t="shared" si="41"/>
        <v>-</v>
      </c>
      <c r="I19" s="12" t="str">
        <f t="shared" ref="I19:J19" si="42">IFERROR(INDEX($E$188:$BK$215,MATCH($B19&amp;I$6,$A$188:$A$215,0),MATCH($A$2,$E$186:$BK$186,0))&amp;" ---&gt; "&amp;INDEX($E$188:$BK$215,MATCH($B19&amp;I$6,$A$188:$A$215,0),MATCH($A$1,$E$186:$BK$186,0)),"-")</f>
        <v>5 ---&gt; 5</v>
      </c>
      <c r="J19" s="12" t="str">
        <f t="shared" si="42"/>
        <v>11 ---&gt; 11</v>
      </c>
      <c r="K19" s="12" t="str">
        <f t="shared" ref="K19:L19" si="43">IFERROR(INDEX($E$219:$BD$231,MATCH($B19&amp;K$6,$A$219:$A$231,0),MATCH($A$2,$E$217:$BD$217,0))&amp;" ---&gt; "&amp;INDEX($E$219:$BD$231,MATCH($B19&amp;K$6,$A$219:$A$231,0),MATCH($A$1,$E$217:$BD$217,0)),"-")</f>
        <v>-</v>
      </c>
      <c r="L19" s="12" t="str">
        <f t="shared" si="43"/>
        <v>-</v>
      </c>
      <c r="M19" s="12" t="str">
        <f t="shared" si="37"/>
        <v>21 ---&gt; 13</v>
      </c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AX19" s="16"/>
      <c r="AY19" s="16"/>
      <c r="AZ19" s="16"/>
      <c r="BA19" s="16"/>
      <c r="BB19" s="16"/>
      <c r="BC19" s="16"/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6"/>
      <c r="BQ19" s="16"/>
      <c r="BR19" s="16"/>
      <c r="BS19" s="16"/>
      <c r="BT19" s="16"/>
      <c r="BU19" s="16"/>
      <c r="BV19" s="16"/>
      <c r="BW19" s="16"/>
    </row>
    <row r="20">
      <c r="A20" s="16"/>
      <c r="B20" s="17" t="str">
        <f>IFERROR(__xludf.DUMMYFUNCTION("""COMPUTED_VALUE"""),"Bolsas Basura 80x110")</f>
        <v>Bolsas Basura 80x110</v>
      </c>
      <c r="C20" s="11" t="str">
        <f t="shared" si="4"/>
        <v>2 ---&gt; 2</v>
      </c>
      <c r="D20" s="12" t="str">
        <f t="shared" si="5"/>
        <v>4 ---&gt; 2</v>
      </c>
      <c r="E20" s="12" t="str">
        <f t="shared" si="6"/>
        <v>-</v>
      </c>
      <c r="F20" s="13" t="str">
        <f t="shared" si="7"/>
        <v>13 ---&gt; 13</v>
      </c>
      <c r="G20" s="12" t="str">
        <f t="shared" ref="G20:H20" si="44">IFERROR(INDEX($E$162:$AY$183,MATCH($B20&amp;G$6,$A$162:$A$183,0),MATCH($A$2,$E$160:$AY$160,0))&amp;" ---&gt; "&amp;INDEX($E$162:$AY$183,MATCH($B20&amp;G$6,$A$162:$A$183,0),MATCH($A$1,$E$160:$AY$160,0)),"-")</f>
        <v>-</v>
      </c>
      <c r="H20" s="12" t="str">
        <f t="shared" si="44"/>
        <v>-</v>
      </c>
      <c r="I20" s="12" t="str">
        <f t="shared" ref="I20:J20" si="45">IFERROR(INDEX($E$188:$BK$215,MATCH($B20&amp;I$6,$A$188:$A$215,0),MATCH($A$2,$E$186:$BK$186,0))&amp;" ---&gt; "&amp;INDEX($E$188:$BK$215,MATCH($B20&amp;I$6,$A$188:$A$215,0),MATCH($A$1,$E$186:$BK$186,0)),"-")</f>
        <v>11 ---&gt; 11</v>
      </c>
      <c r="J20" s="14" t="str">
        <f t="shared" si="45"/>
        <v>0 ---&gt; 0</v>
      </c>
      <c r="K20" s="12" t="str">
        <f t="shared" ref="K20:L20" si="46">IFERROR(INDEX($E$219:$BD$231,MATCH($B20&amp;K$6,$A$219:$A$231,0),MATCH($A$2,$E$217:$BD$217,0))&amp;" ---&gt; "&amp;INDEX($E$219:$BD$231,MATCH($B20&amp;K$6,$A$219:$A$231,0),MATCH($A$1,$E$217:$BD$217,0)),"-")</f>
        <v>-</v>
      </c>
      <c r="L20" s="12" t="str">
        <f t="shared" si="46"/>
        <v>-</v>
      </c>
      <c r="M20" s="12" t="str">
        <f t="shared" si="37"/>
        <v>28 ---&gt; 13</v>
      </c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</row>
    <row r="21">
      <c r="A21" s="16"/>
      <c r="B21" s="17" t="str">
        <f>IFERROR(__xludf.DUMMYFUNCTION("""COMPUTED_VALUE"""),"Esponja 4U ")</f>
        <v>Esponja 4U </v>
      </c>
      <c r="C21" s="11" t="str">
        <f t="shared" si="4"/>
        <v>16 ---&gt; 12</v>
      </c>
      <c r="D21" s="14" t="str">
        <f t="shared" si="5"/>
        <v>0 ---&gt; 0</v>
      </c>
      <c r="E21" s="12" t="str">
        <f t="shared" si="6"/>
        <v>1 paquete ---&gt; 1 paquete</v>
      </c>
      <c r="F21" s="13" t="str">
        <f t="shared" si="7"/>
        <v>-</v>
      </c>
      <c r="G21" s="12" t="str">
        <f t="shared" ref="G21:H21" si="47">IFERROR(INDEX($E$162:$AY$183,MATCH($B21&amp;G$6,$A$162:$A$183,0),MATCH($A$2,$E$160:$AY$160,0))&amp;" ---&gt; "&amp;INDEX($E$162:$AY$183,MATCH($B21&amp;G$6,$A$162:$A$183,0),MATCH($A$1,$E$160:$AY$160,0)),"-")</f>
        <v>-</v>
      </c>
      <c r="H21" s="12" t="str">
        <f t="shared" si="47"/>
        <v>-</v>
      </c>
      <c r="I21" s="12" t="str">
        <f t="shared" ref="I21:J21" si="48">IFERROR(INDEX($E$188:$BK$215,MATCH($B21&amp;I$6,$A$188:$A$215,0),MATCH($A$2,$E$186:$BK$186,0))&amp;" ---&gt; "&amp;INDEX($E$188:$BK$215,MATCH($B21&amp;I$6,$A$188:$A$215,0),MATCH($A$1,$E$186:$BK$186,0)),"-")</f>
        <v>-</v>
      </c>
      <c r="J21" s="12" t="str">
        <f t="shared" si="48"/>
        <v>-</v>
      </c>
      <c r="K21" s="12" t="str">
        <f t="shared" ref="K21:L21" si="49">IFERROR(INDEX($E$219:$BD$231,MATCH($B21&amp;K$6,$A$219:$A$231,0),MATCH($A$2,$E$217:$BD$217,0))&amp;" ---&gt; "&amp;INDEX($E$219:$BD$231,MATCH($B21&amp;K$6,$A$219:$A$231,0),MATCH($A$1,$E$217:$BD$217,0)),"-")</f>
        <v>-</v>
      </c>
      <c r="L21" s="12" t="str">
        <f t="shared" si="49"/>
        <v>-</v>
      </c>
      <c r="M21" s="12" t="str">
        <f t="shared" si="37"/>
        <v>-</v>
      </c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/>
      <c r="BU21" s="16"/>
      <c r="BV21" s="16"/>
      <c r="BW21" s="16"/>
    </row>
    <row r="22">
      <c r="A22" s="16"/>
      <c r="B22" s="17" t="str">
        <f>IFERROR(__xludf.DUMMYFUNCTION("""COMPUTED_VALUE"""),"Mopa Redonda ")</f>
        <v>Mopa Redonda </v>
      </c>
      <c r="C22" s="11" t="str">
        <f t="shared" si="4"/>
        <v>3 ---&gt; 2</v>
      </c>
      <c r="D22" s="12" t="str">
        <f t="shared" si="5"/>
        <v>5 ---&gt; 4</v>
      </c>
      <c r="E22" s="12" t="str">
        <f t="shared" si="6"/>
        <v>2 unidades ---&gt; 2 unidades</v>
      </c>
      <c r="F22" s="13" t="str">
        <f t="shared" si="7"/>
        <v>-</v>
      </c>
      <c r="G22" s="12" t="str">
        <f t="shared" ref="G22:H22" si="50">IFERROR(INDEX($E$162:$AY$183,MATCH($B22&amp;G$6,$A$162:$A$183,0),MATCH($A$2,$E$160:$AY$160,0))&amp;" ---&gt; "&amp;INDEX($E$162:$AY$183,MATCH($B22&amp;G$6,$A$162:$A$183,0),MATCH($A$1,$E$160:$AY$160,0)),"-")</f>
        <v>-</v>
      </c>
      <c r="H22" s="12" t="str">
        <f t="shared" si="50"/>
        <v>-</v>
      </c>
      <c r="I22" s="12" t="str">
        <f t="shared" ref="I22:J22" si="51">IFERROR(INDEX($E$188:$BK$215,MATCH($B22&amp;I$6,$A$188:$A$215,0),MATCH($A$2,$E$186:$BK$186,0))&amp;" ---&gt; "&amp;INDEX($E$188:$BK$215,MATCH($B22&amp;I$6,$A$188:$A$215,0),MATCH($A$1,$E$186:$BK$186,0)),"-")</f>
        <v>-</v>
      </c>
      <c r="J22" s="12" t="str">
        <f t="shared" si="51"/>
        <v>-</v>
      </c>
      <c r="K22" s="12" t="str">
        <f t="shared" ref="K22:L22" si="52">IFERROR(INDEX($E$219:$BD$231,MATCH($B22&amp;K$6,$A$219:$A$231,0),MATCH($A$2,$E$217:$BD$217,0))&amp;" ---&gt; "&amp;INDEX($E$219:$BD$231,MATCH($B22&amp;K$6,$A$219:$A$231,0),MATCH($A$1,$E$217:$BD$217,0)),"-")</f>
        <v>-</v>
      </c>
      <c r="L22" s="12" t="str">
        <f t="shared" si="52"/>
        <v>-</v>
      </c>
      <c r="M22" s="12" t="str">
        <f t="shared" si="37"/>
        <v>-</v>
      </c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AY22" s="16"/>
      <c r="AZ22" s="16"/>
      <c r="BA22" s="16"/>
      <c r="BB22" s="16"/>
      <c r="BC22" s="16"/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6"/>
      <c r="BQ22" s="16"/>
      <c r="BR22" s="16"/>
      <c r="BS22" s="16"/>
      <c r="BT22" s="16"/>
      <c r="BU22" s="16"/>
      <c r="BV22" s="16"/>
      <c r="BW22" s="16"/>
    </row>
    <row r="23">
      <c r="A23" s="16"/>
      <c r="B23" s="17" t="str">
        <f>IFERROR(__xludf.DUMMYFUNCTION("""COMPUTED_VALUE"""),"Vasos de cartón ")</f>
        <v>Vasos de cartón </v>
      </c>
      <c r="C23" s="11" t="str">
        <f t="shared" si="4"/>
        <v>-</v>
      </c>
      <c r="D23" s="12" t="str">
        <f t="shared" si="5"/>
        <v>-</v>
      </c>
      <c r="E23" s="14" t="str">
        <f t="shared" si="6"/>
        <v>3 paquetes ---&gt; sin stock</v>
      </c>
      <c r="F23" s="13" t="str">
        <f t="shared" si="7"/>
        <v>-</v>
      </c>
      <c r="G23" s="12" t="str">
        <f t="shared" ref="G23:H23" si="53">IFERROR(INDEX($E$162:$AY$183,MATCH($B23&amp;G$6,$A$162:$A$183,0),MATCH($A$2,$E$160:$AY$160,0))&amp;" ---&gt; "&amp;INDEX($E$162:$AY$183,MATCH($B23&amp;G$6,$A$162:$A$183,0),MATCH($A$1,$E$160:$AY$160,0)),"-")</f>
        <v>-</v>
      </c>
      <c r="H23" s="12" t="str">
        <f t="shared" si="53"/>
        <v>-</v>
      </c>
      <c r="I23" s="12" t="str">
        <f t="shared" ref="I23:J23" si="54">IFERROR(INDEX($E$188:$BK$215,MATCH($B23&amp;I$6,$A$188:$A$215,0),MATCH($A$2,$E$186:$BK$186,0))&amp;" ---&gt; "&amp;INDEX($E$188:$BK$215,MATCH($B23&amp;I$6,$A$188:$A$215,0),MATCH($A$1,$E$186:$BK$186,0)),"-")</f>
        <v>-</v>
      </c>
      <c r="J23" s="12" t="str">
        <f t="shared" si="54"/>
        <v>-</v>
      </c>
      <c r="K23" s="12" t="str">
        <f t="shared" ref="K23:L23" si="55">IFERROR(INDEX($E$219:$BD$231,MATCH($B23&amp;K$6,$A$219:$A$231,0),MATCH($A$2,$E$217:$BD$217,0))&amp;" ---&gt; "&amp;INDEX($E$219:$BD$231,MATCH($B23&amp;K$6,$A$219:$A$231,0),MATCH($A$1,$E$217:$BD$217,0)),"-")</f>
        <v>-</v>
      </c>
      <c r="L23" s="12" t="str">
        <f t="shared" si="55"/>
        <v>-</v>
      </c>
      <c r="M23" s="12" t="str">
        <f t="shared" si="37"/>
        <v>-</v>
      </c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</row>
    <row r="24">
      <c r="A24" s="16"/>
      <c r="B24" s="17" t="str">
        <f>IFERROR(__xludf.DUMMYFUNCTION("""COMPUTED_VALUE"""),"Aceite de oliva ")</f>
        <v>Aceite de oliva </v>
      </c>
      <c r="C24" s="11" t="str">
        <f t="shared" si="4"/>
        <v>-</v>
      </c>
      <c r="D24" s="12" t="str">
        <f t="shared" si="5"/>
        <v>-</v>
      </c>
      <c r="E24" s="12" t="str">
        <f t="shared" si="6"/>
        <v>3 unidades ---&gt; 2 unidades</v>
      </c>
      <c r="F24" s="13" t="str">
        <f t="shared" si="7"/>
        <v>-</v>
      </c>
      <c r="G24" s="12" t="str">
        <f t="shared" ref="G24:H24" si="56">IFERROR(INDEX($E$162:$AY$183,MATCH($B24&amp;G$6,$A$162:$A$183,0),MATCH($A$2,$E$160:$AY$160,0))&amp;" ---&gt; "&amp;INDEX($E$162:$AY$183,MATCH($B24&amp;G$6,$A$162:$A$183,0),MATCH($A$1,$E$160:$AY$160,0)),"-")</f>
        <v>-</v>
      </c>
      <c r="H24" s="12" t="str">
        <f t="shared" si="56"/>
        <v>-</v>
      </c>
      <c r="I24" s="12" t="str">
        <f t="shared" ref="I24:J24" si="57">IFERROR(INDEX($E$188:$BK$215,MATCH($B24&amp;I$6,$A$188:$A$215,0),MATCH($A$2,$E$186:$BK$186,0))&amp;" ---&gt; "&amp;INDEX($E$188:$BK$215,MATCH($B24&amp;I$6,$A$188:$A$215,0),MATCH($A$1,$E$186:$BK$186,0)),"-")</f>
        <v>-</v>
      </c>
      <c r="J24" s="12" t="str">
        <f t="shared" si="57"/>
        <v>-</v>
      </c>
      <c r="K24" s="12" t="str">
        <f t="shared" ref="K24:L24" si="58">IFERROR(INDEX($E$219:$BD$231,MATCH($B24&amp;K$6,$A$219:$A$231,0),MATCH($A$2,$E$217:$BD$217,0))&amp;" ---&gt; "&amp;INDEX($E$219:$BD$231,MATCH($B24&amp;K$6,$A$219:$A$231,0),MATCH($A$1,$E$217:$BD$217,0)),"-")</f>
        <v>-</v>
      </c>
      <c r="L24" s="12" t="str">
        <f t="shared" si="58"/>
        <v>-</v>
      </c>
      <c r="M24" s="12" t="str">
        <f t="shared" si="37"/>
        <v>-</v>
      </c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</row>
    <row r="25">
      <c r="A25" s="2"/>
      <c r="B25" s="10" t="str">
        <f>IFERROR(__xludf.DUMMYFUNCTION("""COMPUTED_VALUE"""),"Bolsas Basura ")</f>
        <v>Bolsas Basura </v>
      </c>
      <c r="C25" s="11" t="str">
        <f t="shared" si="4"/>
        <v>-</v>
      </c>
      <c r="D25" s="12" t="str">
        <f t="shared" si="5"/>
        <v>-</v>
      </c>
      <c r="E25" s="12" t="str">
        <f t="shared" si="6"/>
        <v>6 paquetes pequeñas, 7 paquetes medianas, 7 paquetes grandes. ---&gt; 6 paquetes pequeñas, 7 paquetes medianas, 7 paquetes grandes.</v>
      </c>
      <c r="F25" s="13" t="str">
        <f t="shared" si="7"/>
        <v>-</v>
      </c>
      <c r="G25" s="12" t="str">
        <f t="shared" ref="G25:H25" si="59">IFERROR(INDEX($E$162:$AY$183,MATCH($B25&amp;G$6,$A$162:$A$183,0),MATCH($A$2,$E$160:$AY$160,0))&amp;" ---&gt; "&amp;INDEX($E$162:$AY$183,MATCH($B25&amp;G$6,$A$162:$A$183,0),MATCH($A$1,$E$160:$AY$160,0)),"-")</f>
        <v>-</v>
      </c>
      <c r="H25" s="12" t="str">
        <f t="shared" si="59"/>
        <v>-</v>
      </c>
      <c r="I25" s="12" t="str">
        <f t="shared" ref="I25:J25" si="60">IFERROR(INDEX($E$188:$BK$215,MATCH($B25&amp;I$6,$A$188:$A$215,0),MATCH($A$2,$E$186:$BK$186,0))&amp;" ---&gt; "&amp;INDEX($E$188:$BK$215,MATCH($B25&amp;I$6,$A$188:$A$215,0),MATCH($A$1,$E$186:$BK$186,0)),"-")</f>
        <v>-</v>
      </c>
      <c r="J25" s="12" t="str">
        <f t="shared" si="60"/>
        <v>-</v>
      </c>
      <c r="K25" s="12" t="str">
        <f t="shared" ref="K25:L25" si="61">IFERROR(INDEX($E$219:$BD$231,MATCH($B25&amp;K$6,$A$219:$A$231,0),MATCH($A$2,$E$217:$BD$217,0))&amp;" ---&gt; "&amp;INDEX($E$219:$BD$231,MATCH($B25&amp;K$6,$A$219:$A$231,0),MATCH($A$1,$E$217:$BD$217,0)),"-")</f>
        <v>-</v>
      </c>
      <c r="L25" s="12" t="str">
        <f t="shared" si="61"/>
        <v>-</v>
      </c>
      <c r="M25" s="12" t="str">
        <f t="shared" si="37"/>
        <v>-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</row>
    <row r="26">
      <c r="A26" s="2"/>
      <c r="B26" s="10" t="str">
        <f>IFERROR(__xludf.DUMMYFUNCTION("""COMPUTED_VALUE"""),"Papel interfoliado")</f>
        <v>Papel interfoliado</v>
      </c>
      <c r="C26" s="11" t="str">
        <f t="shared" si="4"/>
        <v>-</v>
      </c>
      <c r="D26" s="12" t="str">
        <f t="shared" si="5"/>
        <v>-</v>
      </c>
      <c r="E26" s="14" t="str">
        <f t="shared" si="6"/>
        <v>sin stock ---&gt; sin stock</v>
      </c>
      <c r="F26" s="13" t="str">
        <f t="shared" si="7"/>
        <v>-</v>
      </c>
      <c r="G26" s="12" t="str">
        <f t="shared" ref="G26:H26" si="62">IFERROR(INDEX($E$162:$AY$183,MATCH($B26&amp;G$6,$A$162:$A$183,0),MATCH($A$2,$E$160:$AY$160,0))&amp;" ---&gt; "&amp;INDEX($E$162:$AY$183,MATCH($B26&amp;G$6,$A$162:$A$183,0),MATCH($A$1,$E$160:$AY$160,0)),"-")</f>
        <v>-</v>
      </c>
      <c r="H26" s="12" t="str">
        <f t="shared" si="62"/>
        <v>-</v>
      </c>
      <c r="I26" s="12" t="str">
        <f t="shared" ref="I26:J26" si="63">IFERROR(INDEX($E$188:$BK$215,MATCH($B26&amp;I$6,$A$188:$A$215,0),MATCH($A$2,$E$186:$BK$186,0))&amp;" ---&gt; "&amp;INDEX($E$188:$BK$215,MATCH($B26&amp;I$6,$A$188:$A$215,0),MATCH($A$1,$E$186:$BK$186,0)),"-")</f>
        <v>-</v>
      </c>
      <c r="J26" s="12" t="str">
        <f t="shared" si="63"/>
        <v>-</v>
      </c>
      <c r="K26" s="12" t="str">
        <f t="shared" ref="K26:L26" si="64">IFERROR(INDEX($E$219:$BD$231,MATCH($B26&amp;K$6,$A$219:$A$231,0),MATCH($A$2,$E$217:$BD$217,0))&amp;" ---&gt; "&amp;INDEX($E$219:$BD$231,MATCH($B26&amp;K$6,$A$219:$A$231,0),MATCH($A$1,$E$217:$BD$217,0)),"-")</f>
        <v>-</v>
      </c>
      <c r="L26" s="12" t="str">
        <f t="shared" si="64"/>
        <v>-</v>
      </c>
      <c r="M26" s="12" t="str">
        <f t="shared" si="37"/>
        <v>-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</row>
    <row r="27">
      <c r="A27" s="2"/>
      <c r="B27" s="10" t="str">
        <f>IFERROR(__xludf.DUMMYFUNCTION("""COMPUTED_VALUE"""),"Café soluble")</f>
        <v>Café soluble</v>
      </c>
      <c r="C27" s="11" t="str">
        <f t="shared" si="4"/>
        <v>-</v>
      </c>
      <c r="D27" s="12" t="str">
        <f t="shared" si="5"/>
        <v>-</v>
      </c>
      <c r="E27" s="12" t="str">
        <f t="shared" si="6"/>
        <v>-</v>
      </c>
      <c r="F27" s="13" t="str">
        <f t="shared" si="7"/>
        <v>2 ---&gt; 2</v>
      </c>
      <c r="G27" s="12" t="str">
        <f t="shared" ref="G27:H27" si="65">IFERROR(INDEX($E$162:$AY$183,MATCH($B27&amp;G$6,$A$162:$A$183,0),MATCH($A$2,$E$160:$AY$160,0))&amp;" ---&gt; "&amp;INDEX($E$162:$AY$183,MATCH($B27&amp;G$6,$A$162:$A$183,0),MATCH($A$1,$E$160:$AY$160,0)),"-")</f>
        <v>-</v>
      </c>
      <c r="H27" s="12" t="str">
        <f t="shared" si="65"/>
        <v>-</v>
      </c>
      <c r="I27" s="12" t="str">
        <f t="shared" ref="I27:J27" si="66">IFERROR(INDEX($E$188:$BK$215,MATCH($B27&amp;I$6,$A$188:$A$215,0),MATCH($A$2,$E$186:$BK$186,0))&amp;" ---&gt; "&amp;INDEX($E$188:$BK$215,MATCH($B27&amp;I$6,$A$188:$A$215,0),MATCH($A$1,$E$186:$BK$186,0)),"-")</f>
        <v>-</v>
      </c>
      <c r="J27" s="12" t="str">
        <f t="shared" si="66"/>
        <v>-</v>
      </c>
      <c r="K27" s="12" t="str">
        <f t="shared" ref="K27:L27" si="67">IFERROR(INDEX($E$219:$BD$231,MATCH($B27&amp;K$6,$A$219:$A$231,0),MATCH($A$2,$E$217:$BD$217,0))&amp;" ---&gt; "&amp;INDEX($E$219:$BD$231,MATCH($B27&amp;K$6,$A$219:$A$231,0),MATCH($A$1,$E$217:$BD$217,0)),"-")</f>
        <v>-</v>
      </c>
      <c r="L27" s="12" t="str">
        <f t="shared" si="67"/>
        <v>-</v>
      </c>
      <c r="M27" s="12" t="str">
        <f t="shared" si="37"/>
        <v>-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</row>
    <row r="28">
      <c r="A28" s="2"/>
      <c r="B28" s="10" t="str">
        <f>IFERROR(__xludf.DUMMYFUNCTION("""COMPUTED_VALUE"""),"Té Negro")</f>
        <v>Té Negro</v>
      </c>
      <c r="C28" s="11" t="str">
        <f t="shared" si="4"/>
        <v>-</v>
      </c>
      <c r="D28" s="12" t="str">
        <f t="shared" si="5"/>
        <v>-</v>
      </c>
      <c r="E28" s="12" t="str">
        <f t="shared" si="6"/>
        <v>-</v>
      </c>
      <c r="F28" s="13" t="str">
        <f t="shared" si="7"/>
        <v>4 ---&gt; 4</v>
      </c>
      <c r="G28" s="12" t="str">
        <f t="shared" ref="G28:H28" si="68">IFERROR(INDEX($E$162:$AY$183,MATCH($B28&amp;G$6,$A$162:$A$183,0),MATCH($A$2,$E$160:$AY$160,0))&amp;" ---&gt; "&amp;INDEX($E$162:$AY$183,MATCH($B28&amp;G$6,$A$162:$A$183,0),MATCH($A$1,$E$160:$AY$160,0)),"-")</f>
        <v>-</v>
      </c>
      <c r="H28" s="12" t="str">
        <f t="shared" si="68"/>
        <v>-</v>
      </c>
      <c r="I28" s="12" t="str">
        <f t="shared" ref="I28:J28" si="69">IFERROR(INDEX($E$188:$BK$215,MATCH($B28&amp;I$6,$A$188:$A$215,0),MATCH($A$2,$E$186:$BK$186,0))&amp;" ---&gt; "&amp;INDEX($E$188:$BK$215,MATCH($B28&amp;I$6,$A$188:$A$215,0),MATCH($A$1,$E$186:$BK$186,0)),"-")</f>
        <v>-</v>
      </c>
      <c r="J28" s="12" t="str">
        <f t="shared" si="69"/>
        <v>-</v>
      </c>
      <c r="K28" s="12" t="str">
        <f t="shared" ref="K28:L28" si="70">IFERROR(INDEX($E$219:$BD$231,MATCH($B28&amp;K$6,$A$219:$A$231,0),MATCH($A$2,$E$217:$BD$217,0))&amp;" ---&gt; "&amp;INDEX($E$219:$BD$231,MATCH($B28&amp;K$6,$A$219:$A$231,0),MATCH($A$1,$E$217:$BD$217,0)),"-")</f>
        <v>-</v>
      </c>
      <c r="L28" s="12" t="str">
        <f t="shared" si="70"/>
        <v>-</v>
      </c>
      <c r="M28" s="12" t="str">
        <f t="shared" si="37"/>
        <v>-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</row>
    <row r="29">
      <c r="A29" s="2"/>
      <c r="B29" s="10" t="str">
        <f>IFERROR(__xludf.DUMMYFUNCTION("""COMPUTED_VALUE"""),"Té Premium")</f>
        <v>Té Premium</v>
      </c>
      <c r="C29" s="11" t="str">
        <f t="shared" si="4"/>
        <v>-</v>
      </c>
      <c r="D29" s="12" t="str">
        <f t="shared" si="5"/>
        <v>-</v>
      </c>
      <c r="E29" s="12" t="str">
        <f t="shared" si="6"/>
        <v>-</v>
      </c>
      <c r="F29" s="13" t="str">
        <f t="shared" si="7"/>
        <v>2 ---&gt; 2</v>
      </c>
      <c r="G29" s="12" t="str">
        <f t="shared" ref="G29:H29" si="71">IFERROR(INDEX($E$162:$AY$183,MATCH($B29&amp;G$6,$A$162:$A$183,0),MATCH($A$2,$E$160:$AY$160,0))&amp;" ---&gt; "&amp;INDEX($E$162:$AY$183,MATCH($B29&amp;G$6,$A$162:$A$183,0),MATCH($A$1,$E$160:$AY$160,0)),"-")</f>
        <v>-</v>
      </c>
      <c r="H29" s="12" t="str">
        <f t="shared" si="71"/>
        <v>-</v>
      </c>
      <c r="I29" s="12" t="str">
        <f t="shared" ref="I29:J29" si="72">IFERROR(INDEX($E$188:$BK$215,MATCH($B29&amp;I$6,$A$188:$A$215,0),MATCH($A$2,$E$186:$BK$186,0))&amp;" ---&gt; "&amp;INDEX($E$188:$BK$215,MATCH($B29&amp;I$6,$A$188:$A$215,0),MATCH($A$1,$E$186:$BK$186,0)),"-")</f>
        <v>-</v>
      </c>
      <c r="J29" s="12" t="str">
        <f t="shared" si="72"/>
        <v>-</v>
      </c>
      <c r="K29" s="12" t="str">
        <f t="shared" ref="K29:L29" si="73">IFERROR(INDEX($E$219:$BD$231,MATCH($B29&amp;K$6,$A$219:$A$231,0),MATCH($A$2,$E$217:$BD$217,0))&amp;" ---&gt; "&amp;INDEX($E$219:$BD$231,MATCH($B29&amp;K$6,$A$219:$A$231,0),MATCH($A$1,$E$217:$BD$217,0)),"-")</f>
        <v>-</v>
      </c>
      <c r="L29" s="12" t="str">
        <f t="shared" si="73"/>
        <v>-</v>
      </c>
      <c r="M29" s="12" t="str">
        <f t="shared" si="37"/>
        <v>-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</row>
    <row r="30">
      <c r="A30" s="2"/>
      <c r="B30" s="10" t="str">
        <f>IFERROR(__xludf.DUMMYFUNCTION("""COMPUTED_VALUE"""),"Supremo de Hierbas")</f>
        <v>Supremo de Hierbas</v>
      </c>
      <c r="C30" s="11" t="str">
        <f t="shared" si="4"/>
        <v>-</v>
      </c>
      <c r="D30" s="12" t="str">
        <f t="shared" si="5"/>
        <v>-</v>
      </c>
      <c r="E30" s="12" t="str">
        <f t="shared" si="6"/>
        <v>-</v>
      </c>
      <c r="F30" s="13" t="str">
        <f t="shared" si="7"/>
        <v>3 ---&gt; 3</v>
      </c>
      <c r="G30" s="12" t="str">
        <f t="shared" ref="G30:H30" si="74">IFERROR(INDEX($E$162:$AY$183,MATCH($B30&amp;G$6,$A$162:$A$183,0),MATCH($A$2,$E$160:$AY$160,0))&amp;" ---&gt; "&amp;INDEX($E$162:$AY$183,MATCH($B30&amp;G$6,$A$162:$A$183,0),MATCH($A$1,$E$160:$AY$160,0)),"-")</f>
        <v>-</v>
      </c>
      <c r="H30" s="12" t="str">
        <f t="shared" si="74"/>
        <v>-</v>
      </c>
      <c r="I30" s="12" t="str">
        <f t="shared" ref="I30:J30" si="75">IFERROR(INDEX($E$188:$BK$215,MATCH($B30&amp;I$6,$A$188:$A$215,0),MATCH($A$2,$E$186:$BK$186,0))&amp;" ---&gt; "&amp;INDEX($E$188:$BK$215,MATCH($B30&amp;I$6,$A$188:$A$215,0),MATCH($A$1,$E$186:$BK$186,0)),"-")</f>
        <v>-</v>
      </c>
      <c r="J30" s="12" t="str">
        <f t="shared" si="75"/>
        <v>-</v>
      </c>
      <c r="K30" s="12" t="str">
        <f t="shared" ref="K30:L30" si="76">IFERROR(INDEX($E$219:$BD$231,MATCH($B30&amp;K$6,$A$219:$A$231,0),MATCH($A$2,$E$217:$BD$217,0))&amp;" ---&gt; "&amp;INDEX($E$219:$BD$231,MATCH($B30&amp;K$6,$A$219:$A$231,0),MATCH($A$1,$E$217:$BD$217,0)),"-")</f>
        <v>-</v>
      </c>
      <c r="L30" s="12" t="str">
        <f t="shared" si="76"/>
        <v>-</v>
      </c>
      <c r="M30" s="12" t="str">
        <f t="shared" si="37"/>
        <v>-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</row>
    <row r="31">
      <c r="A31" s="2"/>
      <c r="B31" s="10" t="str">
        <f>IFERROR(__xludf.DUMMYFUNCTION("""COMPUTED_VALUE"""),"Azucar")</f>
        <v>Azucar</v>
      </c>
      <c r="C31" s="11" t="str">
        <f t="shared" si="4"/>
        <v>-</v>
      </c>
      <c r="D31" s="12" t="str">
        <f t="shared" si="5"/>
        <v>-</v>
      </c>
      <c r="E31" s="12" t="str">
        <f t="shared" si="6"/>
        <v>-</v>
      </c>
      <c r="F31" s="18" t="str">
        <f t="shared" si="7"/>
        <v>0 ---&gt; 0</v>
      </c>
      <c r="G31" s="12" t="str">
        <f t="shared" ref="G31:H31" si="77">IFERROR(INDEX($E$162:$AY$183,MATCH($B31&amp;G$6,$A$162:$A$183,0),MATCH($A$2,$E$160:$AY$160,0))&amp;" ---&gt; "&amp;INDEX($E$162:$AY$183,MATCH($B31&amp;G$6,$A$162:$A$183,0),MATCH($A$1,$E$160:$AY$160,0)),"-")</f>
        <v>-</v>
      </c>
      <c r="H31" s="12" t="str">
        <f t="shared" si="77"/>
        <v>-</v>
      </c>
      <c r="I31" s="12" t="str">
        <f t="shared" ref="I31:J31" si="78">IFERROR(INDEX($E$188:$BK$215,MATCH($B31&amp;I$6,$A$188:$A$215,0),MATCH($A$2,$E$186:$BK$186,0))&amp;" ---&gt; "&amp;INDEX($E$188:$BK$215,MATCH($B31&amp;I$6,$A$188:$A$215,0),MATCH($A$1,$E$186:$BK$186,0)),"-")</f>
        <v>-</v>
      </c>
      <c r="J31" s="12" t="str">
        <f t="shared" si="78"/>
        <v>-</v>
      </c>
      <c r="K31" s="12" t="str">
        <f t="shared" ref="K31:L31" si="79">IFERROR(INDEX($E$219:$BD$231,MATCH($B31&amp;K$6,$A$219:$A$231,0),MATCH($A$2,$E$217:$BD$217,0))&amp;" ---&gt; "&amp;INDEX($E$219:$BD$231,MATCH($B31&amp;K$6,$A$219:$A$231,0),MATCH($A$1,$E$217:$BD$217,0)),"-")</f>
        <v>-</v>
      </c>
      <c r="L31" s="12" t="str">
        <f t="shared" si="79"/>
        <v>-</v>
      </c>
      <c r="M31" s="12" t="str">
        <f t="shared" si="37"/>
        <v>-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</row>
    <row r="32">
      <c r="A32" s="2"/>
      <c r="B32" s="10" t="str">
        <f>IFERROR(__xludf.DUMMYFUNCTION("""COMPUTED_VALUE"""),"Aceite de Oliva")</f>
        <v>Aceite de Oliva</v>
      </c>
      <c r="C32" s="11" t="str">
        <f t="shared" si="4"/>
        <v>-</v>
      </c>
      <c r="D32" s="12" t="str">
        <f t="shared" si="5"/>
        <v>-</v>
      </c>
      <c r="E32" s="12" t="str">
        <f t="shared" si="6"/>
        <v>-</v>
      </c>
      <c r="F32" s="13" t="str">
        <f t="shared" si="7"/>
        <v>4 ---&gt; 3</v>
      </c>
      <c r="G32" s="12" t="str">
        <f t="shared" ref="G32:H32" si="80">IFERROR(INDEX($E$162:$AY$183,MATCH($B32&amp;G$6,$A$162:$A$183,0),MATCH($A$2,$E$160:$AY$160,0))&amp;" ---&gt; "&amp;INDEX($E$162:$AY$183,MATCH($B32&amp;G$6,$A$162:$A$183,0),MATCH($A$1,$E$160:$AY$160,0)),"-")</f>
        <v>-</v>
      </c>
      <c r="H32" s="12" t="str">
        <f t="shared" si="80"/>
        <v>-</v>
      </c>
      <c r="I32" s="12" t="str">
        <f t="shared" ref="I32:J32" si="81">IFERROR(INDEX($E$188:$BK$215,MATCH($B32&amp;I$6,$A$188:$A$215,0),MATCH($A$2,$E$186:$BK$186,0))&amp;" ---&gt; "&amp;INDEX($E$188:$BK$215,MATCH($B32&amp;I$6,$A$188:$A$215,0),MATCH($A$1,$E$186:$BK$186,0)),"-")</f>
        <v>-</v>
      </c>
      <c r="J32" s="12" t="str">
        <f t="shared" si="81"/>
        <v>-</v>
      </c>
      <c r="K32" s="12" t="str">
        <f t="shared" ref="K32:L32" si="82">IFERROR(INDEX($E$219:$BD$231,MATCH($B32&amp;K$6,$A$219:$A$231,0),MATCH($A$2,$E$217:$BD$217,0))&amp;" ---&gt; "&amp;INDEX($E$219:$BD$231,MATCH($B32&amp;K$6,$A$219:$A$231,0),MATCH($A$1,$E$217:$BD$217,0)),"-")</f>
        <v>-</v>
      </c>
      <c r="L32" s="12" t="str">
        <f t="shared" si="82"/>
        <v>-</v>
      </c>
      <c r="M32" s="12" t="str">
        <f t="shared" si="37"/>
        <v>-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</row>
    <row r="33">
      <c r="A33" s="2"/>
      <c r="B33" s="10" t="str">
        <f>IFERROR(__xludf.DUMMYFUNCTION("""COMPUTED_VALUE"""),"Aceto Balsámico")</f>
        <v>Aceto Balsámico</v>
      </c>
      <c r="C33" s="11" t="str">
        <f t="shared" si="4"/>
        <v>-</v>
      </c>
      <c r="D33" s="12" t="str">
        <f t="shared" si="5"/>
        <v>-</v>
      </c>
      <c r="E33" s="12" t="str">
        <f t="shared" si="6"/>
        <v>-</v>
      </c>
      <c r="F33" s="13" t="str">
        <f t="shared" si="7"/>
        <v>4 ---&gt; 4</v>
      </c>
      <c r="G33" s="12" t="str">
        <f t="shared" ref="G33:H33" si="83">IFERROR(INDEX($E$162:$AY$183,MATCH($B33&amp;G$6,$A$162:$A$183,0),MATCH($A$2,$E$160:$AY$160,0))&amp;" ---&gt; "&amp;INDEX($E$162:$AY$183,MATCH($B33&amp;G$6,$A$162:$A$183,0),MATCH($A$1,$E$160:$AY$160,0)),"-")</f>
        <v>-</v>
      </c>
      <c r="H33" s="12" t="str">
        <f t="shared" si="83"/>
        <v>-</v>
      </c>
      <c r="I33" s="12" t="str">
        <f t="shared" ref="I33:J33" si="84">IFERROR(INDEX($E$188:$BK$215,MATCH($B33&amp;I$6,$A$188:$A$215,0),MATCH($A$2,$E$186:$BK$186,0))&amp;" ---&gt; "&amp;INDEX($E$188:$BK$215,MATCH($B33&amp;I$6,$A$188:$A$215,0),MATCH($A$1,$E$186:$BK$186,0)),"-")</f>
        <v>-</v>
      </c>
      <c r="J33" s="12" t="str">
        <f t="shared" si="84"/>
        <v>-</v>
      </c>
      <c r="K33" s="12" t="str">
        <f t="shared" ref="K33:L33" si="85">IFERROR(INDEX($E$219:$BD$231,MATCH($B33&amp;K$6,$A$219:$A$231,0),MATCH($A$2,$E$217:$BD$217,0))&amp;" ---&gt; "&amp;INDEX($E$219:$BD$231,MATCH($B33&amp;K$6,$A$219:$A$231,0),MATCH($A$1,$E$217:$BD$217,0)),"-")</f>
        <v>-</v>
      </c>
      <c r="L33" s="12" t="str">
        <f t="shared" si="85"/>
        <v>-</v>
      </c>
      <c r="M33" s="12" t="str">
        <f t="shared" si="37"/>
        <v>-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</row>
    <row r="34">
      <c r="A34" s="2"/>
      <c r="B34" s="10" t="str">
        <f>IFERROR(__xludf.DUMMYFUNCTION("""COMPUTED_VALUE"""),"Vinagre")</f>
        <v>Vinagre</v>
      </c>
      <c r="C34" s="11" t="str">
        <f t="shared" si="4"/>
        <v>-</v>
      </c>
      <c r="D34" s="12" t="str">
        <f t="shared" si="5"/>
        <v>-</v>
      </c>
      <c r="E34" s="12" t="str">
        <f t="shared" si="6"/>
        <v>-</v>
      </c>
      <c r="F34" s="13" t="str">
        <f t="shared" si="7"/>
        <v>3 ---&gt; 3</v>
      </c>
      <c r="G34" s="12" t="str">
        <f t="shared" ref="G34:H34" si="86">IFERROR(INDEX($E$162:$AY$183,MATCH($B34&amp;G$6,$A$162:$A$183,0),MATCH($A$2,$E$160:$AY$160,0))&amp;" ---&gt; "&amp;INDEX($E$162:$AY$183,MATCH($B34&amp;G$6,$A$162:$A$183,0),MATCH($A$1,$E$160:$AY$160,0)),"-")</f>
        <v>-</v>
      </c>
      <c r="H34" s="12" t="str">
        <f t="shared" si="86"/>
        <v>-</v>
      </c>
      <c r="I34" s="12" t="str">
        <f t="shared" ref="I34:J34" si="87">IFERROR(INDEX($E$188:$BK$215,MATCH($B34&amp;I$6,$A$188:$A$215,0),MATCH($A$2,$E$186:$BK$186,0))&amp;" ---&gt; "&amp;INDEX($E$188:$BK$215,MATCH($B34&amp;I$6,$A$188:$A$215,0),MATCH($A$1,$E$186:$BK$186,0)),"-")</f>
        <v>-</v>
      </c>
      <c r="J34" s="12" t="str">
        <f t="shared" si="87"/>
        <v>-</v>
      </c>
      <c r="K34" s="12" t="str">
        <f t="shared" ref="K34:L34" si="88">IFERROR(INDEX($E$219:$BD$231,MATCH($B34&amp;K$6,$A$219:$A$231,0),MATCH($A$2,$E$217:$BD$217,0))&amp;" ---&gt; "&amp;INDEX($E$219:$BD$231,MATCH($B34&amp;K$6,$A$219:$A$231,0),MATCH($A$1,$E$217:$BD$217,0)),"-")</f>
        <v>-</v>
      </c>
      <c r="L34" s="12" t="str">
        <f t="shared" si="88"/>
        <v>-</v>
      </c>
      <c r="M34" s="12" t="str">
        <f t="shared" si="37"/>
        <v>-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</row>
    <row r="35">
      <c r="A35" s="2"/>
      <c r="B35" s="10" t="str">
        <f>IFERROR(__xludf.DUMMYFUNCTION("""COMPUTED_VALUE"""),"Ensencia de Limón ")</f>
        <v>Ensencia de Limón </v>
      </c>
      <c r="C35" s="11" t="str">
        <f t="shared" si="4"/>
        <v>-</v>
      </c>
      <c r="D35" s="12" t="str">
        <f t="shared" si="5"/>
        <v>-</v>
      </c>
      <c r="E35" s="12" t="str">
        <f t="shared" si="6"/>
        <v>-</v>
      </c>
      <c r="F35" s="13" t="str">
        <f t="shared" si="7"/>
        <v>3 ---&gt; 3</v>
      </c>
      <c r="G35" s="12" t="str">
        <f t="shared" ref="G35:H35" si="89">IFERROR(INDEX($E$162:$AY$183,MATCH($B35&amp;G$6,$A$162:$A$183,0),MATCH($A$2,$E$160:$AY$160,0))&amp;" ---&gt; "&amp;INDEX($E$162:$AY$183,MATCH($B35&amp;G$6,$A$162:$A$183,0),MATCH($A$1,$E$160:$AY$160,0)),"-")</f>
        <v>-</v>
      </c>
      <c r="H35" s="12" t="str">
        <f t="shared" si="89"/>
        <v>-</v>
      </c>
      <c r="I35" s="12" t="str">
        <f t="shared" ref="I35:J35" si="90">IFERROR(INDEX($E$188:$BK$215,MATCH($B35&amp;I$6,$A$188:$A$215,0),MATCH($A$2,$E$186:$BK$186,0))&amp;" ---&gt; "&amp;INDEX($E$188:$BK$215,MATCH($B35&amp;I$6,$A$188:$A$215,0),MATCH($A$1,$E$186:$BK$186,0)),"-")</f>
        <v>-</v>
      </c>
      <c r="J35" s="12" t="str">
        <f t="shared" si="90"/>
        <v>-</v>
      </c>
      <c r="K35" s="12" t="str">
        <f t="shared" ref="K35:L35" si="91">IFERROR(INDEX($E$219:$BD$231,MATCH($B35&amp;K$6,$A$219:$A$231,0),MATCH($A$2,$E$217:$BD$217,0))&amp;" ---&gt; "&amp;INDEX($E$219:$BD$231,MATCH($B35&amp;K$6,$A$219:$A$231,0),MATCH($A$1,$E$217:$BD$217,0)),"-")</f>
        <v>-</v>
      </c>
      <c r="L35" s="12" t="str">
        <f t="shared" si="91"/>
        <v>-</v>
      </c>
      <c r="M35" s="12" t="str">
        <f t="shared" si="37"/>
        <v>-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</row>
    <row r="36">
      <c r="A36" s="2"/>
      <c r="B36" s="10" t="str">
        <f>IFERROR(__xludf.DUMMYFUNCTION("""COMPUTED_VALUE"""),"Removedores")</f>
        <v>Removedores</v>
      </c>
      <c r="C36" s="11" t="str">
        <f t="shared" si="4"/>
        <v>-</v>
      </c>
      <c r="D36" s="12" t="str">
        <f t="shared" si="5"/>
        <v>-</v>
      </c>
      <c r="E36" s="12" t="str">
        <f t="shared" si="6"/>
        <v>-</v>
      </c>
      <c r="F36" s="13" t="str">
        <f t="shared" si="7"/>
        <v>11 ---&gt; 11</v>
      </c>
      <c r="G36" s="12" t="str">
        <f t="shared" ref="G36:H36" si="92">IFERROR(INDEX($E$162:$AY$183,MATCH($B36&amp;G$6,$A$162:$A$183,0),MATCH($A$2,$E$160:$AY$160,0))&amp;" ---&gt; "&amp;INDEX($E$162:$AY$183,MATCH($B36&amp;G$6,$A$162:$A$183,0),MATCH($A$1,$E$160:$AY$160,0)),"-")</f>
        <v>-</v>
      </c>
      <c r="H36" s="12" t="str">
        <f t="shared" si="92"/>
        <v>-</v>
      </c>
      <c r="I36" s="12" t="str">
        <f t="shared" ref="I36:J36" si="93">IFERROR(INDEX($E$188:$BK$215,MATCH($B36&amp;I$6,$A$188:$A$215,0),MATCH($A$2,$E$186:$BK$186,0))&amp;" ---&gt; "&amp;INDEX($E$188:$BK$215,MATCH($B36&amp;I$6,$A$188:$A$215,0),MATCH($A$1,$E$186:$BK$186,0)),"-")</f>
        <v>-</v>
      </c>
      <c r="J36" s="12" t="str">
        <f t="shared" si="93"/>
        <v>-</v>
      </c>
      <c r="K36" s="12" t="str">
        <f t="shared" ref="K36:L36" si="94">IFERROR(INDEX($E$219:$BD$231,MATCH($B36&amp;K$6,$A$219:$A$231,0),MATCH($A$2,$E$217:$BD$217,0))&amp;" ---&gt; "&amp;INDEX($E$219:$BD$231,MATCH($B36&amp;K$6,$A$219:$A$231,0),MATCH($A$1,$E$217:$BD$217,0)),"-")</f>
        <v>-</v>
      </c>
      <c r="L36" s="12" t="str">
        <f t="shared" si="94"/>
        <v>-</v>
      </c>
      <c r="M36" s="12" t="str">
        <f t="shared" si="37"/>
        <v>-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</row>
    <row r="37">
      <c r="A37" s="2"/>
      <c r="B37" s="10" t="str">
        <f>IFERROR(__xludf.DUMMYFUNCTION("""COMPUTED_VALUE"""),"Vasos Polipapel")</f>
        <v>Vasos Polipapel</v>
      </c>
      <c r="C37" s="11" t="str">
        <f t="shared" si="4"/>
        <v>-</v>
      </c>
      <c r="D37" s="12" t="str">
        <f t="shared" si="5"/>
        <v>-</v>
      </c>
      <c r="E37" s="12" t="str">
        <f t="shared" si="6"/>
        <v>-</v>
      </c>
      <c r="F37" s="13" t="str">
        <f t="shared" si="7"/>
        <v>189U ---&gt; 189U</v>
      </c>
      <c r="G37" s="12" t="str">
        <f t="shared" ref="G37:H37" si="95">IFERROR(INDEX($E$162:$AY$183,MATCH($B37&amp;G$6,$A$162:$A$183,0),MATCH($A$2,$E$160:$AY$160,0))&amp;" ---&gt; "&amp;INDEX($E$162:$AY$183,MATCH($B37&amp;G$6,$A$162:$A$183,0),MATCH($A$1,$E$160:$AY$160,0)),"-")</f>
        <v>-</v>
      </c>
      <c r="H37" s="12" t="str">
        <f t="shared" si="95"/>
        <v>-</v>
      </c>
      <c r="I37" s="12" t="str">
        <f t="shared" ref="I37:J37" si="96">IFERROR(INDEX($E$188:$BK$215,MATCH($B37&amp;I$6,$A$188:$A$215,0),MATCH($A$2,$E$186:$BK$186,0))&amp;" ---&gt; "&amp;INDEX($E$188:$BK$215,MATCH($B37&amp;I$6,$A$188:$A$215,0),MATCH($A$1,$E$186:$BK$186,0)),"-")</f>
        <v>-</v>
      </c>
      <c r="J37" s="12" t="str">
        <f t="shared" si="96"/>
        <v>-</v>
      </c>
      <c r="K37" s="12" t="str">
        <f t="shared" ref="K37:L37" si="97">IFERROR(INDEX($E$219:$BD$231,MATCH($B37&amp;K$6,$A$219:$A$231,0),MATCH($A$2,$E$217:$BD$217,0))&amp;" ---&gt; "&amp;INDEX($E$219:$BD$231,MATCH($B37&amp;K$6,$A$219:$A$231,0),MATCH($A$1,$E$217:$BD$217,0)),"-")</f>
        <v>-</v>
      </c>
      <c r="L37" s="12" t="str">
        <f t="shared" si="97"/>
        <v>-</v>
      </c>
      <c r="M37" s="12" t="str">
        <f t="shared" si="37"/>
        <v>-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</row>
    <row r="38">
      <c r="A38" s="2"/>
      <c r="B38" s="10" t="str">
        <f>IFERROR(__xludf.DUMMYFUNCTION("""COMPUTED_VALUE"""),"Cloro Gel")</f>
        <v>Cloro Gel</v>
      </c>
      <c r="C38" s="11" t="str">
        <f t="shared" si="4"/>
        <v>-</v>
      </c>
      <c r="D38" s="12" t="str">
        <f t="shared" si="5"/>
        <v>-</v>
      </c>
      <c r="E38" s="12" t="str">
        <f t="shared" si="6"/>
        <v>-</v>
      </c>
      <c r="F38" s="13" t="str">
        <f t="shared" si="7"/>
        <v>2 ---&gt; 2</v>
      </c>
      <c r="G38" s="12" t="str">
        <f t="shared" ref="G38:H38" si="98">IFERROR(INDEX($E$162:$AY$183,MATCH($B38&amp;G$6,$A$162:$A$183,0),MATCH($A$2,$E$160:$AY$160,0))&amp;" ---&gt; "&amp;INDEX($E$162:$AY$183,MATCH($B38&amp;G$6,$A$162:$A$183,0),MATCH($A$1,$E$160:$AY$160,0)),"-")</f>
        <v>-</v>
      </c>
      <c r="H38" s="12" t="str">
        <f t="shared" si="98"/>
        <v>-</v>
      </c>
      <c r="I38" s="12" t="str">
        <f t="shared" ref="I38:J38" si="99">IFERROR(INDEX($E$188:$BK$215,MATCH($B38&amp;I$6,$A$188:$A$215,0),MATCH($A$2,$E$186:$BK$186,0))&amp;" ---&gt; "&amp;INDEX($E$188:$BK$215,MATCH($B38&amp;I$6,$A$188:$A$215,0),MATCH($A$1,$E$186:$BK$186,0)),"-")</f>
        <v>1 ---&gt; 1</v>
      </c>
      <c r="J38" s="12" t="str">
        <f t="shared" si="99"/>
        <v>2 ---&gt; 2</v>
      </c>
      <c r="K38" s="12" t="str">
        <f t="shared" ref="K38:L38" si="100">IFERROR(INDEX($E$219:$BD$231,MATCH($B38&amp;K$6,$A$219:$A$231,0),MATCH($A$2,$E$217:$BD$217,0))&amp;" ---&gt; "&amp;INDEX($E$219:$BD$231,MATCH($B38&amp;K$6,$A$219:$A$231,0),MATCH($A$1,$E$217:$BD$217,0)),"-")</f>
        <v>-</v>
      </c>
      <c r="L38" s="12" t="str">
        <f t="shared" si="100"/>
        <v>-</v>
      </c>
      <c r="M38" s="12" t="str">
        <f t="shared" si="37"/>
        <v>-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</row>
    <row r="39">
      <c r="A39" s="2"/>
      <c r="B39" s="10" t="str">
        <f>IFERROR(__xludf.DUMMYFUNCTION("""COMPUTED_VALUE"""),"Limpia Piso")</f>
        <v>Limpia Piso</v>
      </c>
      <c r="C39" s="11" t="str">
        <f t="shared" si="4"/>
        <v>-</v>
      </c>
      <c r="D39" s="12" t="str">
        <f t="shared" si="5"/>
        <v>-</v>
      </c>
      <c r="E39" s="12" t="str">
        <f t="shared" si="6"/>
        <v>-</v>
      </c>
      <c r="F39" s="13" t="str">
        <f t="shared" si="7"/>
        <v>4 ---&gt; 4</v>
      </c>
      <c r="G39" s="12" t="str">
        <f t="shared" ref="G39:H39" si="101">IFERROR(INDEX($E$162:$AY$183,MATCH($B39&amp;G$6,$A$162:$A$183,0),MATCH($A$2,$E$160:$AY$160,0))&amp;" ---&gt; "&amp;INDEX($E$162:$AY$183,MATCH($B39&amp;G$6,$A$162:$A$183,0),MATCH($A$1,$E$160:$AY$160,0)),"-")</f>
        <v>-</v>
      </c>
      <c r="H39" s="12" t="str">
        <f t="shared" si="101"/>
        <v>-</v>
      </c>
      <c r="I39" s="12" t="str">
        <f t="shared" ref="I39:J39" si="102">IFERROR(INDEX($E$188:$BK$215,MATCH($B39&amp;I$6,$A$188:$A$215,0),MATCH($A$2,$E$186:$BK$186,0))&amp;" ---&gt; "&amp;INDEX($E$188:$BK$215,MATCH($B39&amp;I$6,$A$188:$A$215,0),MATCH($A$1,$E$186:$BK$186,0)),"-")</f>
        <v>1 ---&gt; 1</v>
      </c>
      <c r="J39" s="12" t="str">
        <f t="shared" si="102"/>
        <v>7 ---&gt; 7</v>
      </c>
      <c r="K39" s="12" t="str">
        <f t="shared" ref="K39:L39" si="103">IFERROR(INDEX($E$219:$BD$231,MATCH($B39&amp;K$6,$A$219:$A$231,0),MATCH($A$2,$E$217:$BD$217,0))&amp;" ---&gt; "&amp;INDEX($E$219:$BD$231,MATCH($B39&amp;K$6,$A$219:$A$231,0),MATCH($A$1,$E$217:$BD$217,0)),"-")</f>
        <v>-</v>
      </c>
      <c r="L39" s="12" t="str">
        <f t="shared" si="103"/>
        <v>-</v>
      </c>
      <c r="M39" s="12" t="str">
        <f t="shared" si="37"/>
        <v>-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</row>
    <row r="40">
      <c r="A40" s="2"/>
      <c r="B40" s="10" t="str">
        <f>IFERROR(__xludf.DUMMYFUNCTION("""COMPUTED_VALUE"""),"Limpia vidrio")</f>
        <v>Limpia vidrio</v>
      </c>
      <c r="C40" s="11" t="str">
        <f t="shared" si="4"/>
        <v>-</v>
      </c>
      <c r="D40" s="12" t="str">
        <f t="shared" si="5"/>
        <v>-</v>
      </c>
      <c r="E40" s="12" t="str">
        <f t="shared" si="6"/>
        <v>-</v>
      </c>
      <c r="F40" s="13" t="str">
        <f t="shared" si="7"/>
        <v>1 ---&gt; 1</v>
      </c>
      <c r="G40" s="12" t="str">
        <f t="shared" ref="G40:H40" si="104">IFERROR(INDEX($E$162:$AY$183,MATCH($B40&amp;G$6,$A$162:$A$183,0),MATCH($A$2,$E$160:$AY$160,0))&amp;" ---&gt; "&amp;INDEX($E$162:$AY$183,MATCH($B40&amp;G$6,$A$162:$A$183,0),MATCH($A$1,$E$160:$AY$160,0)),"-")</f>
        <v>-</v>
      </c>
      <c r="H40" s="12" t="str">
        <f t="shared" si="104"/>
        <v>-</v>
      </c>
      <c r="I40" s="12" t="str">
        <f t="shared" ref="I40:J40" si="105">IFERROR(INDEX($E$188:$BK$215,MATCH($B40&amp;I$6,$A$188:$A$215,0),MATCH($A$2,$E$186:$BK$186,0))&amp;" ---&gt; "&amp;INDEX($E$188:$BK$215,MATCH($B40&amp;I$6,$A$188:$A$215,0),MATCH($A$1,$E$186:$BK$186,0)),"-")</f>
        <v>-</v>
      </c>
      <c r="J40" s="12" t="str">
        <f t="shared" si="105"/>
        <v>-</v>
      </c>
      <c r="K40" s="12" t="str">
        <f t="shared" ref="K40:L40" si="106">IFERROR(INDEX($E$219:$BD$231,MATCH($B40&amp;K$6,$A$219:$A$231,0),MATCH($A$2,$E$217:$BD$217,0))&amp;" ---&gt; "&amp;INDEX($E$219:$BD$231,MATCH($B40&amp;K$6,$A$219:$A$231,0),MATCH($A$1,$E$217:$BD$217,0)),"-")</f>
        <v>-</v>
      </c>
      <c r="L40" s="12" t="str">
        <f t="shared" si="106"/>
        <v>-</v>
      </c>
      <c r="M40" s="12" t="str">
        <f t="shared" si="37"/>
        <v>-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</row>
    <row r="41">
      <c r="A41" s="2"/>
      <c r="B41" s="10" t="str">
        <f>IFERROR(__xludf.DUMMYFUNCTION("""COMPUTED_VALUE"""),"Esponja 4U")</f>
        <v>Esponja 4U</v>
      </c>
      <c r="C41" s="11" t="str">
        <f t="shared" si="4"/>
        <v>-</v>
      </c>
      <c r="D41" s="12" t="str">
        <f t="shared" si="5"/>
        <v>-</v>
      </c>
      <c r="E41" s="12" t="str">
        <f t="shared" si="6"/>
        <v>-</v>
      </c>
      <c r="F41" s="13" t="str">
        <f t="shared" si="7"/>
        <v>7U ---&gt; 6U</v>
      </c>
      <c r="G41" s="12" t="str">
        <f t="shared" ref="G41:H41" si="107">IFERROR(INDEX($E$162:$AY$183,MATCH($B41&amp;G$6,$A$162:$A$183,0),MATCH($A$2,$E$160:$AY$160,0))&amp;" ---&gt; "&amp;INDEX($E$162:$AY$183,MATCH($B41&amp;G$6,$A$162:$A$183,0),MATCH($A$1,$E$160:$AY$160,0)),"-")</f>
        <v>-</v>
      </c>
      <c r="H41" s="12" t="str">
        <f t="shared" si="107"/>
        <v>-</v>
      </c>
      <c r="I41" s="12" t="str">
        <f t="shared" ref="I41:J41" si="108">IFERROR(INDEX($E$188:$BK$215,MATCH($B41&amp;I$6,$A$188:$A$215,0),MATCH($A$2,$E$186:$BK$186,0))&amp;" ---&gt; "&amp;INDEX($E$188:$BK$215,MATCH($B41&amp;I$6,$A$188:$A$215,0),MATCH($A$1,$E$186:$BK$186,0)),"-")</f>
        <v>7 ---&gt; 7</v>
      </c>
      <c r="J41" s="12" t="str">
        <f t="shared" si="108"/>
        <v>9 ---&gt; 9</v>
      </c>
      <c r="K41" s="12" t="str">
        <f t="shared" ref="K41:L41" si="109">IFERROR(INDEX($E$219:$BD$231,MATCH($B41&amp;K$6,$A$219:$A$231,0),MATCH($A$2,$E$217:$BD$217,0))&amp;" ---&gt; "&amp;INDEX($E$219:$BD$231,MATCH($B41&amp;K$6,$A$219:$A$231,0),MATCH($A$1,$E$217:$BD$217,0)),"-")</f>
        <v>4 ---&gt; 4</v>
      </c>
      <c r="L41" s="12" t="str">
        <f t="shared" si="109"/>
        <v>-</v>
      </c>
      <c r="M41" s="12" t="str">
        <f t="shared" si="37"/>
        <v>-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</row>
    <row r="42">
      <c r="A42" s="2"/>
      <c r="B42" s="10" t="str">
        <f>IFERROR(__xludf.DUMMYFUNCTION("""COMPUTED_VALUE"""),"Paño Esponja")</f>
        <v>Paño Esponja</v>
      </c>
      <c r="C42" s="11" t="str">
        <f t="shared" si="4"/>
        <v>-</v>
      </c>
      <c r="D42" s="12" t="str">
        <f t="shared" si="5"/>
        <v>-</v>
      </c>
      <c r="E42" s="12" t="str">
        <f t="shared" si="6"/>
        <v>-</v>
      </c>
      <c r="F42" s="13" t="str">
        <f t="shared" si="7"/>
        <v>2 ---&gt; 2</v>
      </c>
      <c r="G42" s="12" t="str">
        <f t="shared" ref="G42:H42" si="110">IFERROR(INDEX($E$162:$AY$183,MATCH($B42&amp;G$6,$A$162:$A$183,0),MATCH($A$2,$E$160:$AY$160,0))&amp;" ---&gt; "&amp;INDEX($E$162:$AY$183,MATCH($B42&amp;G$6,$A$162:$A$183,0),MATCH($A$1,$E$160:$AY$160,0)),"-")</f>
        <v>-</v>
      </c>
      <c r="H42" s="12" t="str">
        <f t="shared" si="110"/>
        <v>-</v>
      </c>
      <c r="I42" s="12" t="str">
        <f t="shared" ref="I42:J42" si="111">IFERROR(INDEX($E$188:$BK$215,MATCH($B42&amp;I$6,$A$188:$A$215,0),MATCH($A$2,$E$186:$BK$186,0))&amp;" ---&gt; "&amp;INDEX($E$188:$BK$215,MATCH($B42&amp;I$6,$A$188:$A$215,0),MATCH($A$1,$E$186:$BK$186,0)),"-")</f>
        <v>-</v>
      </c>
      <c r="J42" s="12" t="str">
        <f t="shared" si="111"/>
        <v>-</v>
      </c>
      <c r="K42" s="12" t="str">
        <f t="shared" ref="K42:L42" si="112">IFERROR(INDEX($E$219:$BD$231,MATCH($B42&amp;K$6,$A$219:$A$231,0),MATCH($A$2,$E$217:$BD$217,0))&amp;" ---&gt; "&amp;INDEX($E$219:$BD$231,MATCH($B42&amp;K$6,$A$219:$A$231,0),MATCH($A$1,$E$217:$BD$217,0)),"-")</f>
        <v>-</v>
      </c>
      <c r="L42" s="12" t="str">
        <f t="shared" si="112"/>
        <v>-</v>
      </c>
      <c r="M42" s="12" t="str">
        <f t="shared" si="37"/>
        <v>-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</row>
    <row r="43">
      <c r="A43" s="2"/>
      <c r="B43" s="10" t="str">
        <f>IFERROR(__xludf.DUMMYFUNCTION("""COMPUTED_VALUE"""),"Mopa Redonda")</f>
        <v>Mopa Redonda</v>
      </c>
      <c r="C43" s="11" t="str">
        <f t="shared" si="4"/>
        <v>-</v>
      </c>
      <c r="D43" s="12" t="str">
        <f t="shared" si="5"/>
        <v>-</v>
      </c>
      <c r="E43" s="12" t="str">
        <f t="shared" si="6"/>
        <v>-</v>
      </c>
      <c r="F43" s="13" t="str">
        <f t="shared" si="7"/>
        <v>1 ---&gt; 1</v>
      </c>
      <c r="G43" s="12" t="str">
        <f t="shared" ref="G43:H43" si="113">IFERROR(INDEX($E$162:$AY$183,MATCH($B43&amp;G$6,$A$162:$A$183,0),MATCH($A$2,$E$160:$AY$160,0))&amp;" ---&gt; "&amp;INDEX($E$162:$AY$183,MATCH($B43&amp;G$6,$A$162:$A$183,0),MATCH($A$1,$E$160:$AY$160,0)),"-")</f>
        <v>-</v>
      </c>
      <c r="H43" s="12" t="str">
        <f t="shared" si="113"/>
        <v>-</v>
      </c>
      <c r="I43" s="12" t="str">
        <f t="shared" ref="I43:J43" si="114">IFERROR(INDEX($E$188:$BK$215,MATCH($B43&amp;I$6,$A$188:$A$215,0),MATCH($A$2,$E$186:$BK$186,0))&amp;" ---&gt; "&amp;INDEX($E$188:$BK$215,MATCH($B43&amp;I$6,$A$188:$A$215,0),MATCH($A$1,$E$186:$BK$186,0)),"-")</f>
        <v>5 ---&gt; 5</v>
      </c>
      <c r="J43" s="12" t="str">
        <f t="shared" si="114"/>
        <v>5 ---&gt; 5</v>
      </c>
      <c r="K43" s="12" t="str">
        <f t="shared" ref="K43:L43" si="115">IFERROR(INDEX($E$219:$BD$231,MATCH($B43&amp;K$6,$A$219:$A$231,0),MATCH($A$2,$E$217:$BD$217,0))&amp;" ---&gt; "&amp;INDEX($E$219:$BD$231,MATCH($B43&amp;K$6,$A$219:$A$231,0),MATCH($A$1,$E$217:$BD$217,0)),"-")</f>
        <v>3 ---&gt; 2</v>
      </c>
      <c r="L43" s="12" t="str">
        <f t="shared" si="115"/>
        <v>-</v>
      </c>
      <c r="M43" s="12" t="str">
        <f t="shared" si="37"/>
        <v>-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</row>
    <row r="44">
      <c r="A44" s="2"/>
      <c r="B44" s="10" t="str">
        <f>IFERROR(__xludf.DUMMYFUNCTION("""COMPUTED_VALUE"""),"Mopa Avión")</f>
        <v>Mopa Avión</v>
      </c>
      <c r="C44" s="11" t="str">
        <f t="shared" si="4"/>
        <v>-</v>
      </c>
      <c r="D44" s="12" t="str">
        <f t="shared" si="5"/>
        <v>-</v>
      </c>
      <c r="E44" s="12" t="str">
        <f t="shared" si="6"/>
        <v>-</v>
      </c>
      <c r="F44" s="13" t="str">
        <f t="shared" si="7"/>
        <v>2 ---&gt; 2</v>
      </c>
      <c r="G44" s="12" t="str">
        <f t="shared" ref="G44:H44" si="116">IFERROR(INDEX($E$162:$AY$183,MATCH($B44&amp;G$6,$A$162:$A$183,0),MATCH($A$2,$E$160:$AY$160,0))&amp;" ---&gt; "&amp;INDEX($E$162:$AY$183,MATCH($B44&amp;G$6,$A$162:$A$183,0),MATCH($A$1,$E$160:$AY$160,0)),"-")</f>
        <v>-</v>
      </c>
      <c r="H44" s="12" t="str">
        <f t="shared" si="116"/>
        <v>-</v>
      </c>
      <c r="I44" s="12" t="str">
        <f t="shared" ref="I44:J44" si="117">IFERROR(INDEX($E$188:$BK$215,MATCH($B44&amp;I$6,$A$188:$A$215,0),MATCH($A$2,$E$186:$BK$186,0))&amp;" ---&gt; "&amp;INDEX($E$188:$BK$215,MATCH($B44&amp;I$6,$A$188:$A$215,0),MATCH($A$1,$E$186:$BK$186,0)),"-")</f>
        <v>-</v>
      </c>
      <c r="J44" s="12" t="str">
        <f t="shared" si="117"/>
        <v>-</v>
      </c>
      <c r="K44" s="12" t="str">
        <f t="shared" ref="K44:L44" si="118">IFERROR(INDEX($E$219:$BD$231,MATCH($B44&amp;K$6,$A$219:$A$231,0),MATCH($A$2,$E$217:$BD$217,0))&amp;" ---&gt; "&amp;INDEX($E$219:$BD$231,MATCH($B44&amp;K$6,$A$219:$A$231,0),MATCH($A$1,$E$217:$BD$217,0)),"-")</f>
        <v>-</v>
      </c>
      <c r="L44" s="12" t="str">
        <f t="shared" si="118"/>
        <v>-</v>
      </c>
      <c r="M44" s="12" t="str">
        <f t="shared" si="37"/>
        <v>-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</row>
    <row r="45">
      <c r="A45" s="2"/>
      <c r="B45" s="10" t="str">
        <f>IFERROR(__xludf.DUMMYFUNCTION("""COMPUTED_VALUE"""),"Lavalozas")</f>
        <v>Lavalozas</v>
      </c>
      <c r="C45" s="11" t="str">
        <f t="shared" si="4"/>
        <v>-</v>
      </c>
      <c r="D45" s="12" t="str">
        <f t="shared" si="5"/>
        <v>-</v>
      </c>
      <c r="E45" s="12" t="str">
        <f t="shared" si="6"/>
        <v>-</v>
      </c>
      <c r="F45" s="13" t="str">
        <f t="shared" si="7"/>
        <v>2 ---&gt; 2</v>
      </c>
      <c r="G45" s="12" t="str">
        <f t="shared" ref="G45:H45" si="119">IFERROR(INDEX($E$162:$AY$183,MATCH($B45&amp;G$6,$A$162:$A$183,0),MATCH($A$2,$E$160:$AY$160,0))&amp;" ---&gt; "&amp;INDEX($E$162:$AY$183,MATCH($B45&amp;G$6,$A$162:$A$183,0),MATCH($A$1,$E$160:$AY$160,0)),"-")</f>
        <v>-</v>
      </c>
      <c r="H45" s="12" t="str">
        <f t="shared" si="119"/>
        <v>-</v>
      </c>
      <c r="I45" s="12" t="str">
        <f t="shared" ref="I45:J45" si="120">IFERROR(INDEX($E$188:$BK$215,MATCH($B45&amp;I$6,$A$188:$A$215,0),MATCH($A$2,$E$186:$BK$186,0))&amp;" ---&gt; "&amp;INDEX($E$188:$BK$215,MATCH($B45&amp;I$6,$A$188:$A$215,0),MATCH($A$1,$E$186:$BK$186,0)),"-")</f>
        <v>-</v>
      </c>
      <c r="J45" s="12" t="str">
        <f t="shared" si="120"/>
        <v>-</v>
      </c>
      <c r="K45" s="12" t="str">
        <f t="shared" ref="K45:L45" si="121">IFERROR(INDEX($E$219:$BD$231,MATCH($B45&amp;K$6,$A$219:$A$231,0),MATCH($A$2,$E$217:$BD$217,0))&amp;" ---&gt; "&amp;INDEX($E$219:$BD$231,MATCH($B45&amp;K$6,$A$219:$A$231,0),MATCH($A$1,$E$217:$BD$217,0)),"-")</f>
        <v>-</v>
      </c>
      <c r="L45" s="12" t="str">
        <f t="shared" si="121"/>
        <v>-</v>
      </c>
      <c r="M45" s="12" t="str">
        <f t="shared" si="37"/>
        <v>-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</row>
    <row r="46">
      <c r="A46" s="2"/>
      <c r="B46" s="10" t="str">
        <f>IFERROR(__xludf.DUMMYFUNCTION("""COMPUTED_VALUE"""),"Desodorante Ambiental")</f>
        <v>Desodorante Ambiental</v>
      </c>
      <c r="C46" s="11" t="str">
        <f t="shared" si="4"/>
        <v>-</v>
      </c>
      <c r="D46" s="12" t="str">
        <f t="shared" si="5"/>
        <v>-</v>
      </c>
      <c r="E46" s="12" t="str">
        <f t="shared" si="6"/>
        <v>-</v>
      </c>
      <c r="F46" s="13" t="str">
        <f t="shared" si="7"/>
        <v>13 ---&gt; 12</v>
      </c>
      <c r="G46" s="12" t="str">
        <f t="shared" ref="G46:H46" si="122">IFERROR(INDEX($E$162:$AY$183,MATCH($B46&amp;G$6,$A$162:$A$183,0),MATCH($A$2,$E$160:$AY$160,0))&amp;" ---&gt; "&amp;INDEX($E$162:$AY$183,MATCH($B46&amp;G$6,$A$162:$A$183,0),MATCH($A$1,$E$160:$AY$160,0)),"-")</f>
        <v>-</v>
      </c>
      <c r="H46" s="12" t="str">
        <f t="shared" si="122"/>
        <v>-</v>
      </c>
      <c r="I46" s="12" t="str">
        <f t="shared" ref="I46:J46" si="123">IFERROR(INDEX($E$188:$BK$215,MATCH($B46&amp;I$6,$A$188:$A$215,0),MATCH($A$2,$E$186:$BK$186,0))&amp;" ---&gt; "&amp;INDEX($E$188:$BK$215,MATCH($B46&amp;I$6,$A$188:$A$215,0),MATCH($A$1,$E$186:$BK$186,0)),"-")</f>
        <v>-</v>
      </c>
      <c r="J46" s="12" t="str">
        <f t="shared" si="123"/>
        <v>-</v>
      </c>
      <c r="K46" s="12" t="str">
        <f t="shared" ref="K46:L46" si="124">IFERROR(INDEX($E$219:$BD$231,MATCH($B46&amp;K$6,$A$219:$A$231,0),MATCH($A$2,$E$217:$BD$217,0))&amp;" ---&gt; "&amp;INDEX($E$219:$BD$231,MATCH($B46&amp;K$6,$A$219:$A$231,0),MATCH($A$1,$E$217:$BD$217,0)),"-")</f>
        <v>-</v>
      </c>
      <c r="L46" s="12" t="str">
        <f t="shared" si="124"/>
        <v>-</v>
      </c>
      <c r="M46" s="12" t="str">
        <f t="shared" si="37"/>
        <v>-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</row>
    <row r="47">
      <c r="A47" s="2"/>
      <c r="B47" s="10" t="str">
        <f>IFERROR(__xludf.DUMMYFUNCTION("""COMPUTED_VALUE"""),"Igenix")</f>
        <v>Igenix</v>
      </c>
      <c r="C47" s="11" t="str">
        <f t="shared" si="4"/>
        <v>-</v>
      </c>
      <c r="D47" s="12" t="str">
        <f t="shared" si="5"/>
        <v>-</v>
      </c>
      <c r="E47" s="12" t="str">
        <f t="shared" si="6"/>
        <v>-</v>
      </c>
      <c r="F47" s="13" t="str">
        <f t="shared" si="7"/>
        <v>5 ---&gt; 5</v>
      </c>
      <c r="G47" s="12" t="str">
        <f t="shared" ref="G47:H47" si="125">IFERROR(INDEX($E$162:$AY$183,MATCH($B47&amp;G$6,$A$162:$A$183,0),MATCH($A$2,$E$160:$AY$160,0))&amp;" ---&gt; "&amp;INDEX($E$162:$AY$183,MATCH($B47&amp;G$6,$A$162:$A$183,0),MATCH($A$1,$E$160:$AY$160,0)),"-")</f>
        <v>-</v>
      </c>
      <c r="H47" s="12" t="str">
        <f t="shared" si="125"/>
        <v>-</v>
      </c>
      <c r="I47" s="12" t="str">
        <f t="shared" ref="I47:J47" si="126">IFERROR(INDEX($E$188:$BK$215,MATCH($B47&amp;I$6,$A$188:$A$215,0),MATCH($A$2,$E$186:$BK$186,0))&amp;" ---&gt; "&amp;INDEX($E$188:$BK$215,MATCH($B47&amp;I$6,$A$188:$A$215,0),MATCH($A$1,$E$186:$BK$186,0)),"-")</f>
        <v>-</v>
      </c>
      <c r="J47" s="12" t="str">
        <f t="shared" si="126"/>
        <v>-</v>
      </c>
      <c r="K47" s="12" t="str">
        <f t="shared" ref="K47:L47" si="127">IFERROR(INDEX($E$219:$BD$231,MATCH($B47&amp;K$6,$A$219:$A$231,0),MATCH($A$2,$E$217:$BD$217,0))&amp;" ---&gt; "&amp;INDEX($E$219:$BD$231,MATCH($B47&amp;K$6,$A$219:$A$231,0),MATCH($A$1,$E$217:$BD$217,0)),"-")</f>
        <v>-</v>
      </c>
      <c r="L47" s="12" t="str">
        <f t="shared" si="127"/>
        <v>-</v>
      </c>
      <c r="M47" s="12" t="str">
        <f t="shared" si="37"/>
        <v>-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</row>
    <row r="48">
      <c r="A48" s="2"/>
      <c r="B48" s="10" t="str">
        <f>IFERROR(__xludf.DUMMYFUNCTION("""COMPUTED_VALUE"""),"CIF")</f>
        <v>CIF</v>
      </c>
      <c r="C48" s="11" t="str">
        <f t="shared" si="4"/>
        <v>-</v>
      </c>
      <c r="D48" s="12" t="str">
        <f t="shared" si="5"/>
        <v>-</v>
      </c>
      <c r="E48" s="12" t="str">
        <f t="shared" si="6"/>
        <v>-</v>
      </c>
      <c r="F48" s="18" t="str">
        <f t="shared" si="7"/>
        <v>0 ---&gt; 0</v>
      </c>
      <c r="G48" s="12" t="str">
        <f t="shared" ref="G48:H48" si="128">IFERROR(INDEX($E$162:$AY$183,MATCH($B48&amp;G$6,$A$162:$A$183,0),MATCH($A$2,$E$160:$AY$160,0))&amp;" ---&gt; "&amp;INDEX($E$162:$AY$183,MATCH($B48&amp;G$6,$A$162:$A$183,0),MATCH($A$1,$E$160:$AY$160,0)),"-")</f>
        <v>-</v>
      </c>
      <c r="H48" s="12" t="str">
        <f t="shared" si="128"/>
        <v>-</v>
      </c>
      <c r="I48" s="12" t="str">
        <f t="shared" ref="I48:J48" si="129">IFERROR(INDEX($E$188:$BK$215,MATCH($B48&amp;I$6,$A$188:$A$215,0),MATCH($A$2,$E$186:$BK$186,0))&amp;" ---&gt; "&amp;INDEX($E$188:$BK$215,MATCH($B48&amp;I$6,$A$188:$A$215,0),MATCH($A$1,$E$186:$BK$186,0)),"-")</f>
        <v>-</v>
      </c>
      <c r="J48" s="12" t="str">
        <f t="shared" si="129"/>
        <v>-</v>
      </c>
      <c r="K48" s="12" t="str">
        <f t="shared" ref="K48:L48" si="130">IFERROR(INDEX($E$219:$BD$231,MATCH($B48&amp;K$6,$A$219:$A$231,0),MATCH($A$2,$E$217:$BD$217,0))&amp;" ---&gt; "&amp;INDEX($E$219:$BD$231,MATCH($B48&amp;K$6,$A$219:$A$231,0),MATCH($A$1,$E$217:$BD$217,0)),"-")</f>
        <v>-</v>
      </c>
      <c r="L48" s="12" t="str">
        <f t="shared" si="130"/>
        <v>-</v>
      </c>
      <c r="M48" s="12" t="str">
        <f t="shared" si="37"/>
        <v>-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</row>
    <row r="49">
      <c r="A49" s="2"/>
      <c r="B49" s="10" t="str">
        <f>IFERROR(__xludf.DUMMYFUNCTION("""COMPUTED_VALUE"""),"Lustra Mueble")</f>
        <v>Lustra Mueble</v>
      </c>
      <c r="C49" s="11" t="str">
        <f t="shared" si="4"/>
        <v>-</v>
      </c>
      <c r="D49" s="12" t="str">
        <f t="shared" si="5"/>
        <v>-</v>
      </c>
      <c r="E49" s="12" t="str">
        <f t="shared" si="6"/>
        <v>-</v>
      </c>
      <c r="F49" s="13" t="str">
        <f t="shared" si="7"/>
        <v>6 ---&gt; 6</v>
      </c>
      <c r="G49" s="12" t="str">
        <f t="shared" ref="G49:H49" si="131">IFERROR(INDEX($E$162:$AY$183,MATCH($B49&amp;G$6,$A$162:$A$183,0),MATCH($A$2,$E$160:$AY$160,0))&amp;" ---&gt; "&amp;INDEX($E$162:$AY$183,MATCH($B49&amp;G$6,$A$162:$A$183,0),MATCH($A$1,$E$160:$AY$160,0)),"-")</f>
        <v>-</v>
      </c>
      <c r="H49" s="12" t="str">
        <f t="shared" si="131"/>
        <v>-</v>
      </c>
      <c r="I49" s="12" t="str">
        <f t="shared" ref="I49:J49" si="132">IFERROR(INDEX($E$188:$BK$215,MATCH($B49&amp;I$6,$A$188:$A$215,0),MATCH($A$2,$E$186:$BK$186,0))&amp;" ---&gt; "&amp;INDEX($E$188:$BK$215,MATCH($B49&amp;I$6,$A$188:$A$215,0),MATCH($A$1,$E$186:$BK$186,0)),"-")</f>
        <v>-</v>
      </c>
      <c r="J49" s="12" t="str">
        <f t="shared" si="132"/>
        <v>-</v>
      </c>
      <c r="K49" s="12" t="str">
        <f t="shared" ref="K49:L49" si="133">IFERROR(INDEX($E$219:$BD$231,MATCH($B49&amp;K$6,$A$219:$A$231,0),MATCH($A$2,$E$217:$BD$217,0))&amp;" ---&gt; "&amp;INDEX($E$219:$BD$231,MATCH($B49&amp;K$6,$A$219:$A$231,0),MATCH($A$1,$E$217:$BD$217,0)),"-")</f>
        <v>-</v>
      </c>
      <c r="L49" s="12" t="str">
        <f t="shared" si="133"/>
        <v>-</v>
      </c>
      <c r="M49" s="12" t="str">
        <f t="shared" si="37"/>
        <v>-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</row>
    <row r="50">
      <c r="A50" s="2"/>
      <c r="B50" s="10" t="str">
        <f>IFERROR(__xludf.DUMMYFUNCTION("""COMPUTED_VALUE"""),"Guantes Multiuso")</f>
        <v>Guantes Multiuso</v>
      </c>
      <c r="C50" s="11" t="str">
        <f t="shared" si="4"/>
        <v>-</v>
      </c>
      <c r="D50" s="12" t="str">
        <f t="shared" si="5"/>
        <v>-</v>
      </c>
      <c r="E50" s="12" t="str">
        <f t="shared" si="6"/>
        <v>-</v>
      </c>
      <c r="F50" s="13" t="str">
        <f t="shared" si="7"/>
        <v>4 ---&gt; 4</v>
      </c>
      <c r="G50" s="12" t="str">
        <f t="shared" ref="G50:H50" si="134">IFERROR(INDEX($E$162:$AY$183,MATCH($B50&amp;G$6,$A$162:$A$183,0),MATCH($A$2,$E$160:$AY$160,0))&amp;" ---&gt; "&amp;INDEX($E$162:$AY$183,MATCH($B50&amp;G$6,$A$162:$A$183,0),MATCH($A$1,$E$160:$AY$160,0)),"-")</f>
        <v>-</v>
      </c>
      <c r="H50" s="12" t="str">
        <f t="shared" si="134"/>
        <v>-</v>
      </c>
      <c r="I50" s="12" t="str">
        <f t="shared" ref="I50:J50" si="135">IFERROR(INDEX($E$188:$BK$215,MATCH($B50&amp;I$6,$A$188:$A$215,0),MATCH($A$2,$E$186:$BK$186,0))&amp;" ---&gt; "&amp;INDEX($E$188:$BK$215,MATCH($B50&amp;I$6,$A$188:$A$215,0),MATCH($A$1,$E$186:$BK$186,0)),"-")</f>
        <v>-</v>
      </c>
      <c r="J50" s="12" t="str">
        <f t="shared" si="135"/>
        <v>-</v>
      </c>
      <c r="K50" s="12" t="str">
        <f t="shared" ref="K50:L50" si="136">IFERROR(INDEX($E$219:$BD$231,MATCH($B50&amp;K$6,$A$219:$A$231,0),MATCH($A$2,$E$217:$BD$217,0))&amp;" ---&gt; "&amp;INDEX($E$219:$BD$231,MATCH($B50&amp;K$6,$A$219:$A$231,0),MATCH($A$1,$E$217:$BD$217,0)),"-")</f>
        <v>-</v>
      </c>
      <c r="L50" s="12" t="str">
        <f t="shared" si="136"/>
        <v>-</v>
      </c>
      <c r="M50" s="12" t="str">
        <f t="shared" si="37"/>
        <v>-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</row>
    <row r="51">
      <c r="A51" s="2"/>
      <c r="B51" s="10" t="str">
        <f>IFERROR(__xludf.DUMMYFUNCTION("""COMPUTED_VALUE"""),"Paños Multiuso Azul")</f>
        <v>Paños Multiuso Azul</v>
      </c>
      <c r="C51" s="11" t="str">
        <f t="shared" si="4"/>
        <v>-</v>
      </c>
      <c r="D51" s="12" t="str">
        <f t="shared" si="5"/>
        <v>-</v>
      </c>
      <c r="E51" s="12" t="str">
        <f t="shared" si="6"/>
        <v>-</v>
      </c>
      <c r="F51" s="13" t="str">
        <f t="shared" si="7"/>
        <v>4 ---&gt; 4</v>
      </c>
      <c r="G51" s="12" t="str">
        <f t="shared" ref="G51:H51" si="137">IFERROR(INDEX($E$162:$AY$183,MATCH($B51&amp;G$6,$A$162:$A$183,0),MATCH($A$2,$E$160:$AY$160,0))&amp;" ---&gt; "&amp;INDEX($E$162:$AY$183,MATCH($B51&amp;G$6,$A$162:$A$183,0),MATCH($A$1,$E$160:$AY$160,0)),"-")</f>
        <v>-</v>
      </c>
      <c r="H51" s="12" t="str">
        <f t="shared" si="137"/>
        <v>-</v>
      </c>
      <c r="I51" s="12" t="str">
        <f t="shared" ref="I51:J51" si="138">IFERROR(INDEX($E$188:$BK$215,MATCH($B51&amp;I$6,$A$188:$A$215,0),MATCH($A$2,$E$186:$BK$186,0))&amp;" ---&gt; "&amp;INDEX($E$188:$BK$215,MATCH($B51&amp;I$6,$A$188:$A$215,0),MATCH($A$1,$E$186:$BK$186,0)),"-")</f>
        <v>-</v>
      </c>
      <c r="J51" s="12" t="str">
        <f t="shared" si="138"/>
        <v>-</v>
      </c>
      <c r="K51" s="12" t="str">
        <f t="shared" ref="K51:L51" si="139">IFERROR(INDEX($E$219:$BD$231,MATCH($B51&amp;K$6,$A$219:$A$231,0),MATCH($A$2,$E$217:$BD$217,0))&amp;" ---&gt; "&amp;INDEX($E$219:$BD$231,MATCH($B51&amp;K$6,$A$219:$A$231,0),MATCH($A$1,$E$217:$BD$217,0)),"-")</f>
        <v>-</v>
      </c>
      <c r="L51" s="12" t="str">
        <f t="shared" si="139"/>
        <v>-</v>
      </c>
      <c r="M51" s="12" t="str">
        <f t="shared" si="37"/>
        <v>-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</row>
    <row r="52">
      <c r="A52" s="2"/>
      <c r="B52" s="10" t="str">
        <f>IFERROR(__xludf.DUMMYFUNCTION("""COMPUTED_VALUE"""),"Paños Multiuso Verde")</f>
        <v>Paños Multiuso Verde</v>
      </c>
      <c r="C52" s="11" t="str">
        <f t="shared" si="4"/>
        <v>-</v>
      </c>
      <c r="D52" s="12" t="str">
        <f t="shared" si="5"/>
        <v>-</v>
      </c>
      <c r="E52" s="12" t="str">
        <f t="shared" si="6"/>
        <v>-</v>
      </c>
      <c r="F52" s="13" t="str">
        <f t="shared" si="7"/>
        <v>2 ---&gt; 2</v>
      </c>
      <c r="G52" s="12" t="str">
        <f t="shared" ref="G52:H52" si="140">IFERROR(INDEX($E$162:$AY$183,MATCH($B52&amp;G$6,$A$162:$A$183,0),MATCH($A$2,$E$160:$AY$160,0))&amp;" ---&gt; "&amp;INDEX($E$162:$AY$183,MATCH($B52&amp;G$6,$A$162:$A$183,0),MATCH($A$1,$E$160:$AY$160,0)),"-")</f>
        <v>-</v>
      </c>
      <c r="H52" s="12" t="str">
        <f t="shared" si="140"/>
        <v>-</v>
      </c>
      <c r="I52" s="12" t="str">
        <f t="shared" ref="I52:J52" si="141">IFERROR(INDEX($E$188:$BK$215,MATCH($B52&amp;I$6,$A$188:$A$215,0),MATCH($A$2,$E$186:$BK$186,0))&amp;" ---&gt; "&amp;INDEX($E$188:$BK$215,MATCH($B52&amp;I$6,$A$188:$A$215,0),MATCH($A$1,$E$186:$BK$186,0)),"-")</f>
        <v>-</v>
      </c>
      <c r="J52" s="12" t="str">
        <f t="shared" si="141"/>
        <v>-</v>
      </c>
      <c r="K52" s="12" t="str">
        <f t="shared" ref="K52:L52" si="142">IFERROR(INDEX($E$219:$BD$231,MATCH($B52&amp;K$6,$A$219:$A$231,0),MATCH($A$2,$E$217:$BD$217,0))&amp;" ---&gt; "&amp;INDEX($E$219:$BD$231,MATCH($B52&amp;K$6,$A$219:$A$231,0),MATCH($A$1,$E$217:$BD$217,0)),"-")</f>
        <v>-</v>
      </c>
      <c r="L52" s="12" t="str">
        <f t="shared" si="142"/>
        <v>-</v>
      </c>
      <c r="M52" s="12" t="str">
        <f t="shared" si="37"/>
        <v>-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</row>
    <row r="53">
      <c r="A53" s="2"/>
      <c r="B53" s="10" t="str">
        <f>IFERROR(__xludf.DUMMYFUNCTION("""COMPUTED_VALUE"""),"Paños Multiuso Amarillo")</f>
        <v>Paños Multiuso Amarillo</v>
      </c>
      <c r="C53" s="11" t="str">
        <f t="shared" si="4"/>
        <v>-</v>
      </c>
      <c r="D53" s="12" t="str">
        <f t="shared" si="5"/>
        <v>-</v>
      </c>
      <c r="E53" s="12" t="str">
        <f t="shared" si="6"/>
        <v>-</v>
      </c>
      <c r="F53" s="13" t="str">
        <f t="shared" si="7"/>
        <v>3 ---&gt; 3</v>
      </c>
      <c r="G53" s="12" t="str">
        <f t="shared" ref="G53:H53" si="143">IFERROR(INDEX($E$162:$AY$183,MATCH($B53&amp;G$6,$A$162:$A$183,0),MATCH($A$2,$E$160:$AY$160,0))&amp;" ---&gt; "&amp;INDEX($E$162:$AY$183,MATCH($B53&amp;G$6,$A$162:$A$183,0),MATCH($A$1,$E$160:$AY$160,0)),"-")</f>
        <v>-</v>
      </c>
      <c r="H53" s="12" t="str">
        <f t="shared" si="143"/>
        <v>-</v>
      </c>
      <c r="I53" s="12" t="str">
        <f t="shared" ref="I53:J53" si="144">IFERROR(INDEX($E$188:$BK$215,MATCH($B53&amp;I$6,$A$188:$A$215,0),MATCH($A$2,$E$186:$BK$186,0))&amp;" ---&gt; "&amp;INDEX($E$188:$BK$215,MATCH($B53&amp;I$6,$A$188:$A$215,0),MATCH($A$1,$E$186:$BK$186,0)),"-")</f>
        <v>-</v>
      </c>
      <c r="J53" s="12" t="str">
        <f t="shared" si="144"/>
        <v>-</v>
      </c>
      <c r="K53" s="12" t="str">
        <f t="shared" ref="K53:L53" si="145">IFERROR(INDEX($E$219:$BD$231,MATCH($B53&amp;K$6,$A$219:$A$231,0),MATCH($A$2,$E$217:$BD$217,0))&amp;" ---&gt; "&amp;INDEX($E$219:$BD$231,MATCH($B53&amp;K$6,$A$219:$A$231,0),MATCH($A$1,$E$217:$BD$217,0)),"-")</f>
        <v>-</v>
      </c>
      <c r="L53" s="12" t="str">
        <f t="shared" si="145"/>
        <v>-</v>
      </c>
      <c r="M53" s="12" t="str">
        <f t="shared" si="37"/>
        <v>-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</row>
    <row r="54">
      <c r="A54" s="2"/>
      <c r="B54" s="10" t="str">
        <f>IFERROR(__xludf.DUMMYFUNCTION("""COMPUTED_VALUE"""),"Leche Líquida")</f>
        <v>Leche Líquida</v>
      </c>
      <c r="C54" s="11" t="str">
        <f t="shared" si="4"/>
        <v>-</v>
      </c>
      <c r="D54" s="12" t="str">
        <f t="shared" si="5"/>
        <v>-</v>
      </c>
      <c r="E54" s="12" t="str">
        <f t="shared" si="6"/>
        <v>-</v>
      </c>
      <c r="F54" s="13" t="str">
        <f t="shared" si="7"/>
        <v>-</v>
      </c>
      <c r="G54" s="12" t="str">
        <f t="shared" ref="G54:H54" si="146">IFERROR(INDEX($E$162:$AY$183,MATCH($B54&amp;G$6,$A$162:$A$183,0),MATCH($A$2,$E$160:$AY$160,0))&amp;" ---&gt; "&amp;INDEX($E$162:$AY$183,MATCH($B54&amp;G$6,$A$162:$A$183,0),MATCH($A$1,$E$160:$AY$160,0)),"-")</f>
        <v>-</v>
      </c>
      <c r="H54" s="12" t="str">
        <f t="shared" si="146"/>
        <v>-</v>
      </c>
      <c r="I54" s="12" t="str">
        <f t="shared" ref="I54:J54" si="147">IFERROR(INDEX($E$188:$BK$215,MATCH($B54&amp;I$6,$A$188:$A$215,0),MATCH($A$2,$E$186:$BK$186,0))&amp;" ---&gt; "&amp;INDEX($E$188:$BK$215,MATCH($B54&amp;I$6,$A$188:$A$215,0),MATCH($A$1,$E$186:$BK$186,0)),"-")</f>
        <v>-</v>
      </c>
      <c r="J54" s="12" t="str">
        <f t="shared" si="147"/>
        <v>-</v>
      </c>
      <c r="K54" s="12" t="str">
        <f t="shared" ref="K54:L54" si="148">IFERROR(INDEX($E$219:$BD$231,MATCH($B54&amp;K$6,$A$219:$A$231,0),MATCH($A$2,$E$217:$BD$217,0))&amp;" ---&gt; "&amp;INDEX($E$219:$BD$231,MATCH($B54&amp;K$6,$A$219:$A$231,0),MATCH($A$1,$E$217:$BD$217,0)),"-")</f>
        <v>-</v>
      </c>
      <c r="L54" s="12" t="str">
        <f t="shared" si="148"/>
        <v>-</v>
      </c>
      <c r="M54" s="12" t="str">
        <f t="shared" si="37"/>
        <v>-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</row>
    <row r="55">
      <c r="A55" s="2"/>
      <c r="B55" s="10" t="str">
        <f>IFERROR(__xludf.DUMMYFUNCTION("""COMPUTED_VALUE"""),"Endulzante")</f>
        <v>Endulzante</v>
      </c>
      <c r="C55" s="11" t="str">
        <f t="shared" si="4"/>
        <v>-</v>
      </c>
      <c r="D55" s="12" t="str">
        <f t="shared" si="5"/>
        <v>-</v>
      </c>
      <c r="E55" s="12" t="str">
        <f t="shared" si="6"/>
        <v>-</v>
      </c>
      <c r="F55" s="13" t="str">
        <f t="shared" si="7"/>
        <v>-</v>
      </c>
      <c r="G55" s="12" t="str">
        <f t="shared" ref="G55:H55" si="149">IFERROR(INDEX($E$162:$AY$183,MATCH($B55&amp;G$6,$A$162:$A$183,0),MATCH($A$2,$E$160:$AY$160,0))&amp;" ---&gt; "&amp;INDEX($E$162:$AY$183,MATCH($B55&amp;G$6,$A$162:$A$183,0),MATCH($A$1,$E$160:$AY$160,0)),"-")</f>
        <v>-</v>
      </c>
      <c r="H55" s="12" t="str">
        <f t="shared" si="149"/>
        <v>-</v>
      </c>
      <c r="I55" s="12" t="str">
        <f t="shared" ref="I55:J55" si="150">IFERROR(INDEX($E$188:$BK$215,MATCH($B55&amp;I$6,$A$188:$A$215,0),MATCH($A$2,$E$186:$BK$186,0))&amp;" ---&gt; "&amp;INDEX($E$188:$BK$215,MATCH($B55&amp;I$6,$A$188:$A$215,0),MATCH($A$1,$E$186:$BK$186,0)),"-")</f>
        <v>-</v>
      </c>
      <c r="J55" s="12" t="str">
        <f t="shared" si="150"/>
        <v>3 ---&gt; 3</v>
      </c>
      <c r="K55" s="12" t="str">
        <f t="shared" ref="K55:L55" si="151">IFERROR(INDEX($E$219:$BD$231,MATCH($B55&amp;K$6,$A$219:$A$231,0),MATCH($A$2,$E$217:$BD$217,0))&amp;" ---&gt; "&amp;INDEX($E$219:$BD$231,MATCH($B55&amp;K$6,$A$219:$A$231,0),MATCH($A$1,$E$217:$BD$217,0)),"-")</f>
        <v>-</v>
      </c>
      <c r="L55" s="12" t="str">
        <f t="shared" si="151"/>
        <v>-</v>
      </c>
      <c r="M55" s="12" t="str">
        <f t="shared" si="37"/>
        <v>-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</row>
    <row r="56">
      <c r="A56" s="2"/>
      <c r="B56" s="10" t="str">
        <f>IFERROR(__xludf.DUMMYFUNCTION("""COMPUTED_VALUE"""),"Limpia piso")</f>
        <v>Limpia piso</v>
      </c>
      <c r="C56" s="11" t="str">
        <f t="shared" si="4"/>
        <v>-</v>
      </c>
      <c r="D56" s="12" t="str">
        <f t="shared" si="5"/>
        <v>-</v>
      </c>
      <c r="E56" s="12" t="str">
        <f t="shared" si="6"/>
        <v>-</v>
      </c>
      <c r="F56" s="13" t="str">
        <f t="shared" si="7"/>
        <v>4 ---&gt; 4</v>
      </c>
      <c r="G56" s="12" t="str">
        <f t="shared" ref="G56:H56" si="152">IFERROR(INDEX($E$162:$AY$183,MATCH($B56&amp;G$6,$A$162:$A$183,0),MATCH($A$2,$E$160:$AY$160,0))&amp;" ---&gt; "&amp;INDEX($E$162:$AY$183,MATCH($B56&amp;G$6,$A$162:$A$183,0),MATCH($A$1,$E$160:$AY$160,0)),"-")</f>
        <v>-</v>
      </c>
      <c r="H56" s="12" t="str">
        <f t="shared" si="152"/>
        <v>-</v>
      </c>
      <c r="I56" s="12" t="str">
        <f t="shared" ref="I56:J56" si="153">IFERROR(INDEX($E$188:$BK$215,MATCH($B56&amp;I$6,$A$188:$A$215,0),MATCH($A$2,$E$186:$BK$186,0))&amp;" ---&gt; "&amp;INDEX($E$188:$BK$215,MATCH($B56&amp;I$6,$A$188:$A$215,0),MATCH($A$1,$E$186:$BK$186,0)),"-")</f>
        <v>1 ---&gt; 1</v>
      </c>
      <c r="J56" s="12" t="str">
        <f t="shared" si="153"/>
        <v>7 ---&gt; 7</v>
      </c>
      <c r="K56" s="12" t="str">
        <f t="shared" ref="K56:L56" si="154">IFERROR(INDEX($E$219:$BD$231,MATCH($B56&amp;K$6,$A$219:$A$231,0),MATCH($A$2,$E$217:$BD$217,0))&amp;" ---&gt; "&amp;INDEX($E$219:$BD$231,MATCH($B56&amp;K$6,$A$219:$A$231,0),MATCH($A$1,$E$217:$BD$217,0)),"-")</f>
        <v>-</v>
      </c>
      <c r="L56" s="12" t="str">
        <f t="shared" si="154"/>
        <v>-</v>
      </c>
      <c r="M56" s="12" t="str">
        <f t="shared" si="37"/>
        <v>-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</row>
    <row r="57">
      <c r="A57" s="2"/>
      <c r="B57" s="10" t="str">
        <f>IFERROR(__xludf.DUMMYFUNCTION("""COMPUTED_VALUE"""),"Azucar (caja)")</f>
        <v>Azucar (caja)</v>
      </c>
      <c r="C57" s="11" t="str">
        <f t="shared" si="4"/>
        <v>-</v>
      </c>
      <c r="D57" s="12" t="str">
        <f t="shared" si="5"/>
        <v>-</v>
      </c>
      <c r="E57" s="12" t="str">
        <f t="shared" si="6"/>
        <v>-</v>
      </c>
      <c r="F57" s="13" t="str">
        <f t="shared" si="7"/>
        <v>-</v>
      </c>
      <c r="G57" s="12" t="str">
        <f t="shared" ref="G57:H57" si="155">IFERROR(INDEX($E$162:$AY$183,MATCH($B57&amp;G$6,$A$162:$A$183,0),MATCH($A$2,$E$160:$AY$160,0))&amp;" ---&gt; "&amp;INDEX($E$162:$AY$183,MATCH($B57&amp;G$6,$A$162:$A$183,0),MATCH($A$1,$E$160:$AY$160,0)),"-")</f>
        <v>-</v>
      </c>
      <c r="H57" s="12" t="str">
        <f t="shared" si="155"/>
        <v>-</v>
      </c>
      <c r="I57" s="12" t="str">
        <f t="shared" ref="I57:J57" si="156">IFERROR(INDEX($E$188:$BK$215,MATCH($B57&amp;I$6,$A$188:$A$215,0),MATCH($A$2,$E$186:$BK$186,0))&amp;" ---&gt; "&amp;INDEX($E$188:$BK$215,MATCH($B57&amp;I$6,$A$188:$A$215,0),MATCH($A$1,$E$186:$BK$186,0)),"-")</f>
        <v>-</v>
      </c>
      <c r="J57" s="12" t="str">
        <f t="shared" si="156"/>
        <v>-</v>
      </c>
      <c r="K57" s="12" t="str">
        <f t="shared" ref="K57:L57" si="157">IFERROR(INDEX($E$219:$BD$231,MATCH($B57&amp;K$6,$A$219:$A$231,0),MATCH($A$2,$E$217:$BD$217,0))&amp;" ---&gt; "&amp;INDEX($E$219:$BD$231,MATCH($B57&amp;K$6,$A$219:$A$231,0),MATCH($A$1,$E$217:$BD$217,0)),"-")</f>
        <v>1 ---&gt; 1</v>
      </c>
      <c r="L57" s="12" t="str">
        <f t="shared" si="157"/>
        <v>-</v>
      </c>
      <c r="M57" s="12" t="str">
        <f t="shared" si="37"/>
        <v>-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</row>
    <row r="58">
      <c r="A58" s="2"/>
      <c r="B58" s="10" t="str">
        <f>IFERROR(__xludf.DUMMYFUNCTION("""COMPUTED_VALUE"""),"Bolsas Basura")</f>
        <v>Bolsas Basura</v>
      </c>
      <c r="C58" s="11" t="str">
        <f t="shared" si="4"/>
        <v>-</v>
      </c>
      <c r="D58" s="12" t="str">
        <f t="shared" si="5"/>
        <v>-</v>
      </c>
      <c r="E58" s="12" t="str">
        <f t="shared" si="6"/>
        <v>-</v>
      </c>
      <c r="F58" s="13" t="str">
        <f t="shared" si="7"/>
        <v>-</v>
      </c>
      <c r="G58" s="12" t="str">
        <f t="shared" ref="G58:H58" si="158">IFERROR(INDEX($E$162:$AY$183,MATCH($B58&amp;G$6,$A$162:$A$183,0),MATCH($A$2,$E$160:$AY$160,0))&amp;" ---&gt; "&amp;INDEX($E$162:$AY$183,MATCH($B58&amp;G$6,$A$162:$A$183,0),MATCH($A$1,$E$160:$AY$160,0)),"-")</f>
        <v>-</v>
      </c>
      <c r="H58" s="12" t="str">
        <f t="shared" si="158"/>
        <v>-</v>
      </c>
      <c r="I58" s="12" t="str">
        <f t="shared" ref="I58:J58" si="159">IFERROR(INDEX($E$188:$BK$215,MATCH($B58&amp;I$6,$A$188:$A$215,0),MATCH($A$2,$E$186:$BK$186,0))&amp;" ---&gt; "&amp;INDEX($E$188:$BK$215,MATCH($B58&amp;I$6,$A$188:$A$215,0),MATCH($A$1,$E$186:$BK$186,0)),"-")</f>
        <v>-</v>
      </c>
      <c r="J58" s="12" t="str">
        <f t="shared" si="159"/>
        <v>-</v>
      </c>
      <c r="K58" s="12" t="str">
        <f t="shared" ref="K58:L58" si="160">IFERROR(INDEX($E$219:$BD$231,MATCH($B58&amp;K$6,$A$219:$A$231,0),MATCH($A$2,$E$217:$BD$217,0))&amp;" ---&gt; "&amp;INDEX($E$219:$BD$231,MATCH($B58&amp;K$6,$A$219:$A$231,0),MATCH($A$1,$E$217:$BD$217,0)),"-")</f>
        <v>23 ---&gt; 16</v>
      </c>
      <c r="L58" s="12" t="str">
        <f t="shared" si="160"/>
        <v>-</v>
      </c>
      <c r="M58" s="12" t="str">
        <f t="shared" si="37"/>
        <v>-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</row>
    <row r="59">
      <c r="A59" s="2"/>
      <c r="B59" s="10" t="str">
        <f>IFERROR(__xludf.DUMMYFUNCTION("""COMPUTED_VALUE"""),"Vainilla 500gr")</f>
        <v>Vainilla 500gr</v>
      </c>
      <c r="C59" s="11" t="str">
        <f t="shared" si="4"/>
        <v>-</v>
      </c>
      <c r="D59" s="12" t="str">
        <f t="shared" si="5"/>
        <v>-</v>
      </c>
      <c r="E59" s="12" t="str">
        <f t="shared" si="6"/>
        <v>-</v>
      </c>
      <c r="F59" s="13" t="str">
        <f t="shared" si="7"/>
        <v>-</v>
      </c>
      <c r="G59" s="12" t="str">
        <f t="shared" ref="G59:H59" si="161">IFERROR(INDEX($E$162:$AY$183,MATCH($B59&amp;G$6,$A$162:$A$183,0),MATCH($A$2,$E$160:$AY$160,0))&amp;" ---&gt; "&amp;INDEX($E$162:$AY$183,MATCH($B59&amp;G$6,$A$162:$A$183,0),MATCH($A$1,$E$160:$AY$160,0)),"-")</f>
        <v>-</v>
      </c>
      <c r="H59" s="12" t="str">
        <f t="shared" si="161"/>
        <v>-</v>
      </c>
      <c r="I59" s="12" t="str">
        <f t="shared" ref="I59:J59" si="162">IFERROR(INDEX($E$188:$BK$215,MATCH($B59&amp;I$6,$A$188:$A$215,0),MATCH($A$2,$E$186:$BK$186,0))&amp;" ---&gt; "&amp;INDEX($E$188:$BK$215,MATCH($B59&amp;I$6,$A$188:$A$215,0),MATCH($A$1,$E$186:$BK$186,0)),"-")</f>
        <v>-</v>
      </c>
      <c r="J59" s="12" t="str">
        <f t="shared" si="162"/>
        <v>-</v>
      </c>
      <c r="K59" s="12" t="str">
        <f t="shared" ref="K59:L59" si="163">IFERROR(INDEX($E$219:$BD$231,MATCH($B59&amp;K$6,$A$219:$A$231,0),MATCH($A$2,$E$217:$BD$217,0))&amp;" ---&gt; "&amp;INDEX($E$219:$BD$231,MATCH($B59&amp;K$6,$A$219:$A$231,0),MATCH($A$1,$E$217:$BD$217,0)),"-")</f>
        <v>-</v>
      </c>
      <c r="L59" s="12" t="str">
        <f t="shared" si="163"/>
        <v>-</v>
      </c>
      <c r="M59" s="12" t="str">
        <f t="shared" si="37"/>
        <v>piso 5 (15) -  piso 6 (14) ---&gt; piso 3 (6)- piso 5 (4) -  piso 6 (6)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</row>
    <row r="60">
      <c r="A60" s="2"/>
      <c r="B60" s="10" t="str">
        <f>IFERROR(__xludf.DUMMYFUNCTION("""COMPUTED_VALUE"""),"Chocolate")</f>
        <v>Chocolate</v>
      </c>
      <c r="C60" s="11" t="str">
        <f t="shared" si="4"/>
        <v>-</v>
      </c>
      <c r="D60" s="12" t="str">
        <f t="shared" si="5"/>
        <v>-</v>
      </c>
      <c r="E60" s="12" t="str">
        <f t="shared" si="6"/>
        <v>-</v>
      </c>
      <c r="F60" s="13" t="str">
        <f t="shared" si="7"/>
        <v>-</v>
      </c>
      <c r="G60" s="12" t="str">
        <f t="shared" ref="G60:H60" si="164">IFERROR(INDEX($E$162:$AY$183,MATCH($B60&amp;G$6,$A$162:$A$183,0),MATCH($A$2,$E$160:$AY$160,0))&amp;" ---&gt; "&amp;INDEX($E$162:$AY$183,MATCH($B60&amp;G$6,$A$162:$A$183,0),MATCH($A$1,$E$160:$AY$160,0)),"-")</f>
        <v>-</v>
      </c>
      <c r="H60" s="12" t="str">
        <f t="shared" si="164"/>
        <v>-</v>
      </c>
      <c r="I60" s="12" t="str">
        <f t="shared" ref="I60:J60" si="165">IFERROR(INDEX($E$188:$BK$215,MATCH($B60&amp;I$6,$A$188:$A$215,0),MATCH($A$2,$E$186:$BK$186,0))&amp;" ---&gt; "&amp;INDEX($E$188:$BK$215,MATCH($B60&amp;I$6,$A$188:$A$215,0),MATCH($A$1,$E$186:$BK$186,0)),"-")</f>
        <v>-</v>
      </c>
      <c r="J60" s="12" t="str">
        <f t="shared" si="165"/>
        <v>-</v>
      </c>
      <c r="K60" s="12" t="str">
        <f t="shared" ref="K60:L60" si="166">IFERROR(INDEX($E$219:$BD$231,MATCH($B60&amp;K$6,$A$219:$A$231,0),MATCH($A$2,$E$217:$BD$217,0))&amp;" ---&gt; "&amp;INDEX($E$219:$BD$231,MATCH($B60&amp;K$6,$A$219:$A$231,0),MATCH($A$1,$E$217:$BD$217,0)),"-")</f>
        <v>-</v>
      </c>
      <c r="L60" s="12" t="str">
        <f t="shared" si="166"/>
        <v>-</v>
      </c>
      <c r="M60" s="12" t="str">
        <f t="shared" si="37"/>
        <v>piso 5 (10) -  piso 6 (15) ---&gt; 3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</row>
    <row r="61">
      <c r="A61" s="2"/>
      <c r="B61" s="10" t="str">
        <f>IFERROR(__xludf.DUMMYFUNCTION("""COMPUTED_VALUE"""),"Te Natural")</f>
        <v>Te Natural</v>
      </c>
      <c r="C61" s="11" t="str">
        <f t="shared" si="4"/>
        <v>-</v>
      </c>
      <c r="D61" s="12" t="str">
        <f t="shared" si="5"/>
        <v>-</v>
      </c>
      <c r="E61" s="12" t="str">
        <f t="shared" si="6"/>
        <v>-</v>
      </c>
      <c r="F61" s="13" t="str">
        <f t="shared" si="7"/>
        <v>-</v>
      </c>
      <c r="G61" s="12" t="str">
        <f t="shared" ref="G61:H61" si="167">IFERROR(INDEX($E$162:$AY$183,MATCH($B61&amp;G$6,$A$162:$A$183,0),MATCH($A$2,$E$160:$AY$160,0))&amp;" ---&gt; "&amp;INDEX($E$162:$AY$183,MATCH($B61&amp;G$6,$A$162:$A$183,0),MATCH($A$1,$E$160:$AY$160,0)),"-")</f>
        <v>-</v>
      </c>
      <c r="H61" s="12" t="str">
        <f t="shared" si="167"/>
        <v>-</v>
      </c>
      <c r="I61" s="12" t="str">
        <f t="shared" ref="I61:J61" si="168">IFERROR(INDEX($E$188:$BK$215,MATCH($B61&amp;I$6,$A$188:$A$215,0),MATCH($A$2,$E$186:$BK$186,0))&amp;" ---&gt; "&amp;INDEX($E$188:$BK$215,MATCH($B61&amp;I$6,$A$188:$A$215,0),MATCH($A$1,$E$186:$BK$186,0)),"-")</f>
        <v>-</v>
      </c>
      <c r="J61" s="12" t="str">
        <f t="shared" si="168"/>
        <v>-</v>
      </c>
      <c r="K61" s="12" t="str">
        <f t="shared" ref="K61:L61" si="169">IFERROR(INDEX($E$219:$BD$231,MATCH($B61&amp;K$6,$A$219:$A$231,0),MATCH($A$2,$E$217:$BD$217,0))&amp;" ---&gt; "&amp;INDEX($E$219:$BD$231,MATCH($B61&amp;K$6,$A$219:$A$231,0),MATCH($A$1,$E$217:$BD$217,0)),"-")</f>
        <v>-</v>
      </c>
      <c r="L61" s="12" t="str">
        <f t="shared" si="169"/>
        <v>-</v>
      </c>
      <c r="M61" s="12" t="str">
        <f t="shared" si="37"/>
        <v>2 ---&gt; 20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</row>
    <row r="62">
      <c r="A62" s="2"/>
      <c r="B62" s="10" t="str">
        <f>IFERROR(__xludf.DUMMYFUNCTION("""COMPUTED_VALUE"""),"Leche en polvo ")</f>
        <v>Leche en polvo </v>
      </c>
      <c r="C62" s="11" t="str">
        <f t="shared" si="4"/>
        <v>-</v>
      </c>
      <c r="D62" s="12" t="str">
        <f t="shared" si="5"/>
        <v>-</v>
      </c>
      <c r="E62" s="12" t="str">
        <f t="shared" si="6"/>
        <v>-</v>
      </c>
      <c r="F62" s="13" t="str">
        <f t="shared" si="7"/>
        <v>-</v>
      </c>
      <c r="G62" s="12" t="str">
        <f t="shared" ref="G62:H62" si="170">IFERROR(INDEX($E$162:$AY$183,MATCH($B62&amp;G$6,$A$162:$A$183,0),MATCH($A$2,$E$160:$AY$160,0))&amp;" ---&gt; "&amp;INDEX($E$162:$AY$183,MATCH($B62&amp;G$6,$A$162:$A$183,0),MATCH($A$1,$E$160:$AY$160,0)),"-")</f>
        <v>-</v>
      </c>
      <c r="H62" s="12" t="str">
        <f t="shared" si="170"/>
        <v>-</v>
      </c>
      <c r="I62" s="12" t="str">
        <f t="shared" ref="I62:J62" si="171">IFERROR(INDEX($E$188:$BK$215,MATCH($B62&amp;I$6,$A$188:$A$215,0),MATCH($A$2,$E$186:$BK$186,0))&amp;" ---&gt; "&amp;INDEX($E$188:$BK$215,MATCH($B62&amp;I$6,$A$188:$A$215,0),MATCH($A$1,$E$186:$BK$186,0)),"-")</f>
        <v>-</v>
      </c>
      <c r="J62" s="12" t="str">
        <f t="shared" si="171"/>
        <v>-</v>
      </c>
      <c r="K62" s="12" t="str">
        <f t="shared" ref="K62:L62" si="172">IFERROR(INDEX($E$219:$BD$231,MATCH($B62&amp;K$6,$A$219:$A$231,0),MATCH($A$2,$E$217:$BD$217,0))&amp;" ---&gt; "&amp;INDEX($E$219:$BD$231,MATCH($B62&amp;K$6,$A$219:$A$231,0),MATCH($A$1,$E$217:$BD$217,0)),"-")</f>
        <v>-</v>
      </c>
      <c r="L62" s="12" t="str">
        <f t="shared" si="172"/>
        <v>-</v>
      </c>
      <c r="M62" s="12" t="str">
        <f t="shared" si="37"/>
        <v>piso 5 (16) -  piso 6 (15) ---&gt; 1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</row>
    <row r="63">
      <c r="A63" s="2"/>
      <c r="B63" s="10"/>
      <c r="C63" s="10"/>
      <c r="D63" s="12" t="str">
        <f t="shared" ref="D63:D65" si="175">IFERROR(INDEX($E$89:$BF$103,MATCH($B63,$D$89:$D$103,0),MATCH($A$2,$E$87:$BF$87,0))&amp;" ---&gt; "&amp;INDEX($E$89:$BF$103,MATCH($B63,$D$89:$D$103,0),MATCH($A$1,$E$87:$BF$87,0)),"-")</f>
        <v>-</v>
      </c>
      <c r="E63" s="12" t="str">
        <f t="shared" ref="E63:E65" si="176">IFERROR(INDEX($E$106:$AY$119,MATCH($B63,$D$106:$D$119,0),MATCH($A$2,$E$104:$AY$104,0))&amp;" ---&gt; "&amp;INDEX($E$106:$AY$119,MATCH($B63,$D$106:$D$119,0),MATCH($A$1,$E$104:$AY$104,0)),"-")</f>
        <v>-</v>
      </c>
      <c r="F63" s="13" t="str">
        <f t="shared" ref="F63:F65" si="177">IFERROR(INDEX($E$123:$BF$158,MATCH($B63,$D$123:$D$158,0),MATCH($A$2,$E$121:$BF$121,0))&amp;" ---&gt; "&amp;INDEX($E$123:$BF$158,MATCH($B63,$D$123:$D$158,0),MATCH($A$1,$E$121:$BF$121,0)),"-")</f>
        <v>-</v>
      </c>
      <c r="G63" s="12" t="str">
        <f t="shared" ref="G63:H63" si="173">IFERROR(INDEX($E$162:$AY$183,MATCH($B63&amp;G$6,$A$162:$A$183,0),MATCH($A$2,$E$160:$AY$160,0))&amp;" ---&gt; "&amp;INDEX($E$162:$AY$183,MATCH($B63&amp;G$6,$A$162:$A$183,0),MATCH($A$1,$E$160:$AY$160,0)),"-")</f>
        <v>-</v>
      </c>
      <c r="H63" s="12" t="str">
        <f t="shared" si="173"/>
        <v>-</v>
      </c>
      <c r="I63" s="12" t="str">
        <f t="shared" ref="I63:I65" si="179">IFERROR(INDEX($E$188:$BK$215,MATCH($B63&amp;I$6,$A$188:$A$215,0),MATCH($A$2,$E$186:$BK$186,0))&amp;" ---&gt; "&amp;INDEX($E$188:$BK$215,MATCH($B63&amp;I$6,$A$188:$A$215,0),MATCH($A$1,$E$186:$BK$186,0)),"-")</f>
        <v>-</v>
      </c>
      <c r="J63" s="12" t="str">
        <f t="shared" ref="J63:K63" si="174">IFERROR(INDEX($E$188:$AY$215,MATCH($B63&amp;J$6,$A$188:$A$215,0),MATCH($A$2,$E$186:$AY$186,0))&amp;" ---&gt; "&amp;INDEX($E$188:$AY$215,MATCH($B63&amp;J$6,$A$188:$A$215,0),MATCH($A$1,$E$186:$AY$186,0)),"-")</f>
        <v>-</v>
      </c>
      <c r="K63" s="12" t="str">
        <f t="shared" si="174"/>
        <v>-</v>
      </c>
      <c r="L63" s="12" t="str">
        <f t="shared" ref="L63:L65" si="181">IFERROR(INDEX($E$219:$BD$231,MATCH($B63&amp;L$6,$A$219:$A$231,0),MATCH($A$2,$E$217:$BD$217,0))&amp;" ---&gt; "&amp;INDEX($E$219:$BD$231,MATCH($B63&amp;L$6,$A$219:$A$231,0),MATCH($A$1,$E$217:$BD$217,0)),"-")</f>
        <v>-</v>
      </c>
      <c r="M63" s="12" t="str">
        <f t="shared" si="37"/>
        <v>-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</row>
    <row r="64">
      <c r="A64" s="2"/>
      <c r="B64" s="10"/>
      <c r="C64" s="10"/>
      <c r="D64" s="12" t="str">
        <f t="shared" si="175"/>
        <v>-</v>
      </c>
      <c r="E64" s="12" t="str">
        <f t="shared" si="176"/>
        <v>-</v>
      </c>
      <c r="F64" s="13" t="str">
        <f t="shared" si="177"/>
        <v>-</v>
      </c>
      <c r="G64" s="12" t="str">
        <f t="shared" ref="G64:H64" si="178">IFERROR(INDEX($E$162:$AY$183,MATCH($B64&amp;G$6,$A$162:$A$183,0),MATCH($A$2,$E$160:$AY$160,0))&amp;" ---&gt; "&amp;INDEX($E$162:$AY$183,MATCH($B64&amp;G$6,$A$162:$A$183,0),MATCH($A$1,$E$160:$AY$160,0)),"-")</f>
        <v>-</v>
      </c>
      <c r="H64" s="12" t="str">
        <f t="shared" si="178"/>
        <v>-</v>
      </c>
      <c r="I64" s="12" t="str">
        <f t="shared" si="179"/>
        <v>-</v>
      </c>
      <c r="J64" s="12" t="str">
        <f t="shared" ref="J64:K64" si="180">IFERROR(INDEX($E$188:$AY$215,MATCH($B64&amp;J$6,$A$188:$A$215,0),MATCH($A$2,$E$186:$AY$186,0))&amp;" ---&gt; "&amp;INDEX($E$188:$AY$215,MATCH($B64&amp;J$6,$A$188:$A$215,0),MATCH($A$1,$E$186:$AY$186,0)),"-")</f>
        <v>-</v>
      </c>
      <c r="K64" s="12" t="str">
        <f t="shared" si="180"/>
        <v>-</v>
      </c>
      <c r="L64" s="12" t="str">
        <f t="shared" si="181"/>
        <v>-</v>
      </c>
      <c r="M64" s="12" t="str">
        <f t="shared" si="37"/>
        <v>-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</row>
    <row r="65">
      <c r="A65" s="2"/>
      <c r="B65" s="10"/>
      <c r="C65" s="10"/>
      <c r="D65" s="12" t="str">
        <f t="shared" si="175"/>
        <v>-</v>
      </c>
      <c r="E65" s="12" t="str">
        <f t="shared" si="176"/>
        <v>-</v>
      </c>
      <c r="F65" s="13" t="str">
        <f t="shared" si="177"/>
        <v>-</v>
      </c>
      <c r="G65" s="12" t="str">
        <f t="shared" ref="G65:H65" si="182">IFERROR(INDEX($E$162:$AY$183,MATCH($B65&amp;G$6,$A$162:$A$183,0),MATCH($A$2,$E$160:$AY$160,0))&amp;" ---&gt; "&amp;INDEX($E$162:$AY$183,MATCH($B65&amp;G$6,$A$162:$A$183,0),MATCH($A$1,$E$160:$AY$160,0)),"-")</f>
        <v>-</v>
      </c>
      <c r="H65" s="12" t="str">
        <f t="shared" si="182"/>
        <v>-</v>
      </c>
      <c r="I65" s="12" t="str">
        <f t="shared" si="179"/>
        <v>-</v>
      </c>
      <c r="J65" s="12" t="str">
        <f t="shared" ref="J65:K65" si="183">IFERROR(INDEX($E$188:$AY$215,MATCH($B65&amp;J$6,$A$188:$A$215,0),MATCH($A$2,$E$186:$AY$186,0))&amp;" ---&gt; "&amp;INDEX($E$188:$AY$215,MATCH($B65&amp;J$6,$A$188:$A$215,0),MATCH($A$1,$E$186:$AY$186,0)),"-")</f>
        <v>-</v>
      </c>
      <c r="K65" s="12" t="str">
        <f t="shared" si="183"/>
        <v>-</v>
      </c>
      <c r="L65" s="12" t="str">
        <f t="shared" si="181"/>
        <v>-</v>
      </c>
      <c r="M65" s="12" t="str">
        <f t="shared" si="37"/>
        <v>-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</row>
    <row r="66">
      <c r="A66" s="2"/>
      <c r="B66" s="2"/>
      <c r="C66" s="2"/>
      <c r="D66" s="19"/>
      <c r="E66" s="20"/>
      <c r="F66" s="20"/>
      <c r="G66" s="21"/>
      <c r="H66" s="20"/>
      <c r="I66" s="20"/>
      <c r="J66" s="20"/>
      <c r="K66" s="20"/>
      <c r="L66" s="20"/>
      <c r="M66" s="20"/>
      <c r="N66" s="20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</row>
    <row r="67">
      <c r="A67" s="2"/>
      <c r="B67" s="2"/>
      <c r="C67" s="2"/>
      <c r="D67" s="19"/>
      <c r="E67" s="20"/>
      <c r="F67" s="20"/>
      <c r="G67" s="21"/>
      <c r="H67" s="20"/>
      <c r="I67" s="20"/>
      <c r="J67" s="20"/>
      <c r="K67" s="20"/>
      <c r="L67" s="20"/>
      <c r="M67" s="20"/>
      <c r="N67" s="20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</row>
    <row r="68">
      <c r="A68" s="2"/>
      <c r="B68" s="2" t="str">
        <f>'SANTA LUCIA'!A2</f>
        <v/>
      </c>
      <c r="C68" s="2" t="str">
        <f>'SANTA LUCIA'!B2</f>
        <v/>
      </c>
      <c r="D68" s="22" t="str">
        <f>'SANTA LUCIA'!C2</f>
        <v/>
      </c>
      <c r="E68" s="22">
        <f>'SANTA LUCIA'!D2</f>
        <v>45820</v>
      </c>
      <c r="F68" s="22">
        <f>'SANTA LUCIA'!E2</f>
        <v>45826</v>
      </c>
      <c r="G68" s="22">
        <f>'SANTA LUCIA'!F2</f>
        <v>45833</v>
      </c>
      <c r="H68" s="22">
        <f>'SANTA LUCIA'!G2</f>
        <v>45840</v>
      </c>
      <c r="I68" s="22">
        <f>'SANTA LUCIA'!H2</f>
        <v>45847</v>
      </c>
      <c r="J68" s="22">
        <f>'SANTA LUCIA'!I2</f>
        <v>45852</v>
      </c>
      <c r="K68" s="22">
        <f>'SANTA LUCIA'!J2</f>
        <v>45859</v>
      </c>
      <c r="L68" s="22">
        <f>'SANTA LUCIA'!K2</f>
        <v>45866</v>
      </c>
      <c r="M68" s="22">
        <f>'SANTA LUCIA'!L2</f>
        <v>45873</v>
      </c>
      <c r="N68" s="22">
        <f>'SANTA LUCIA'!M2</f>
        <v>45880</v>
      </c>
      <c r="O68" s="22">
        <f>'SANTA LUCIA'!N2</f>
        <v>45887</v>
      </c>
      <c r="P68" s="22">
        <f>'SANTA LUCIA'!O2</f>
        <v>45894</v>
      </c>
      <c r="Q68" s="22">
        <f>'SANTA LUCIA'!P2</f>
        <v>45901</v>
      </c>
      <c r="R68" s="22">
        <f>'SANTA LUCIA'!Q2</f>
        <v>45908</v>
      </c>
      <c r="S68" s="22">
        <f>'SANTA LUCIA'!R2</f>
        <v>45915</v>
      </c>
      <c r="T68" s="22">
        <f>'SANTA LUCIA'!S2</f>
        <v>45915</v>
      </c>
      <c r="U68" s="22">
        <f>'SANTA LUCIA'!T2</f>
        <v>45929</v>
      </c>
      <c r="V68" s="22">
        <f>'SANTA LUCIA'!U2</f>
        <v>45936</v>
      </c>
      <c r="W68" s="22">
        <f>'SANTA LUCIA'!V2</f>
        <v>45943</v>
      </c>
      <c r="X68" s="22">
        <f>'SANTA LUCIA'!W2</f>
        <v>45950</v>
      </c>
      <c r="Y68" s="22">
        <f>'SANTA LUCIA'!X2</f>
        <v>45957</v>
      </c>
      <c r="Z68" s="22">
        <f>'SANTA LUCIA'!Y2</f>
        <v>45964</v>
      </c>
      <c r="AA68" s="22">
        <f>'SANTA LUCIA'!AA2</f>
        <v>45971</v>
      </c>
      <c r="AB68" s="22">
        <f>'SANTA LUCIA'!AB2</f>
        <v>45978</v>
      </c>
      <c r="AC68" s="22">
        <f>'SANTA LUCIA'!AC2</f>
        <v>45979</v>
      </c>
      <c r="AD68" s="22">
        <f>'SANTA LUCIA'!AD2</f>
        <v>45981</v>
      </c>
      <c r="AE68" s="22">
        <f>'SANTA LUCIA'!AE2</f>
        <v>45985</v>
      </c>
      <c r="AF68" s="22">
        <f>'SANTA LUCIA'!AF2</f>
        <v>45988</v>
      </c>
      <c r="AG68" s="22">
        <f>'SANTA LUCIA'!AG2</f>
        <v>45992</v>
      </c>
      <c r="AH68" s="22">
        <f>'SANTA LUCIA'!AH2</f>
        <v>45993</v>
      </c>
      <c r="AI68" s="22">
        <f>'SANTA LUCIA'!AI2</f>
        <v>45995</v>
      </c>
      <c r="AJ68" s="22">
        <f>'SANTA LUCIA'!AJ2</f>
        <v>46000</v>
      </c>
      <c r="AK68" s="22">
        <f>'SANTA LUCIA'!AK2</f>
        <v>46002</v>
      </c>
      <c r="AL68" s="22">
        <f>'SANTA LUCIA'!AL2</f>
        <v>46006</v>
      </c>
      <c r="AM68" s="22">
        <f>'SANTA LUCIA'!AM2</f>
        <v>46013</v>
      </c>
      <c r="AN68" s="22">
        <f>'SANTA LUCIA'!AN2</f>
        <v>46009</v>
      </c>
      <c r="AO68" s="22">
        <f>'SANTA LUCIA'!AO2</f>
        <v>46020</v>
      </c>
      <c r="AP68" s="22">
        <f>'SANTA LUCIA'!AP2</f>
        <v>46027</v>
      </c>
      <c r="AQ68" s="22">
        <f>'SANTA LUCIA'!AQ2</f>
        <v>46029</v>
      </c>
      <c r="AR68" s="22">
        <f>'SANTA LUCIA'!AR2</f>
        <v>46030</v>
      </c>
      <c r="AS68" s="22">
        <f>'SANTA LUCIA'!AS2</f>
        <v>46033</v>
      </c>
      <c r="AT68" s="22">
        <f>'SANTA LUCIA'!AT2</f>
        <v>46034</v>
      </c>
      <c r="AU68" s="22">
        <f>'SANTA LUCIA'!AU2</f>
        <v>46037</v>
      </c>
      <c r="AV68" s="22">
        <f>'SANTA LUCIA'!AV2</f>
        <v>46041</v>
      </c>
      <c r="AW68" s="22">
        <f>'SANTA LUCIA'!AW2</f>
        <v>46043</v>
      </c>
      <c r="AX68" s="22">
        <f>'SANTA LUCIA'!AX2</f>
        <v>46044</v>
      </c>
      <c r="AY68" s="22">
        <f>'SANTA LUCIA'!AY2</f>
        <v>46045</v>
      </c>
      <c r="AZ68" s="22">
        <f>'SANTA LUCIA'!AZ2</f>
        <v>46048</v>
      </c>
      <c r="BA68" s="22">
        <f>'SANTA LUCIA'!BA2</f>
        <v>46050</v>
      </c>
      <c r="BB68" s="22">
        <f>'SANTA LUCIA'!BB2</f>
        <v>46051</v>
      </c>
      <c r="BC68" s="22">
        <f>'SANTA LUCIA'!BC2</f>
        <v>46057</v>
      </c>
      <c r="BD68" s="22">
        <f>'SANTA LUCIA'!BD2</f>
        <v>46058</v>
      </c>
      <c r="BE68" s="22">
        <f>'SANTA LUCIA'!BE2</f>
        <v>46062</v>
      </c>
      <c r="BF68" s="22">
        <f>'SANTA LUCIA'!BF2</f>
        <v>46065</v>
      </c>
      <c r="BG68" s="22">
        <f>'SANTA LUCIA'!BG2</f>
        <v>46068</v>
      </c>
      <c r="BH68" s="22">
        <f>'SANTA LUCIA'!BH2</f>
        <v>46069</v>
      </c>
      <c r="BI68" s="22">
        <f>'SANTA LUCIA'!BH2</f>
        <v>46069</v>
      </c>
      <c r="BJ68" s="22">
        <f>'SANTA LUCIA'!BI2</f>
        <v>46072</v>
      </c>
      <c r="BK68" s="22">
        <f>'SANTA LUCIA'!BJ2</f>
        <v>46078</v>
      </c>
      <c r="BL68" s="22" t="str">
        <f>'SANTA LUCIA'!BK2</f>
        <v>27/02-2026</v>
      </c>
      <c r="BM68" s="22">
        <f>'SANTA LUCIA'!BL2</f>
        <v>46083</v>
      </c>
      <c r="BN68" s="22">
        <f>'SANTA LUCIA'!BM2</f>
        <v>46090</v>
      </c>
      <c r="BO68" s="22">
        <f>'SANTA LUCIA'!BN2</f>
        <v>46093</v>
      </c>
      <c r="BP68" s="22">
        <f>'SANTA LUCIA'!BO2</f>
        <v>46097</v>
      </c>
      <c r="BQ68" s="22">
        <f>'SANTA LUCIA'!BP2</f>
        <v>46100</v>
      </c>
      <c r="BR68" s="22">
        <f>'SANTA LUCIA'!BQ2</f>
        <v>46104</v>
      </c>
      <c r="BS68" s="22" t="str">
        <f>'SANTA LUCIA'!BR2</f>
        <v/>
      </c>
      <c r="BT68" s="22" t="str">
        <f>'SANTA LUCIA'!BS2</f>
        <v/>
      </c>
      <c r="BU68" s="22" t="str">
        <f>'SANTA LUCIA'!BT2</f>
        <v/>
      </c>
      <c r="BV68" s="22" t="str">
        <f>'SANTA LUCIA'!BU2</f>
        <v/>
      </c>
      <c r="BW68" s="2"/>
    </row>
    <row r="69">
      <c r="A69" s="2"/>
      <c r="B69" s="2" t="str">
        <f>'SANTA LUCIA'!A3</f>
        <v>Sede</v>
      </c>
      <c r="C69" s="2" t="str">
        <f>'SANTA LUCIA'!B3</f>
        <v>Proveedor</v>
      </c>
      <c r="D69" s="2" t="str">
        <f>'SANTA LUCIA'!C3</f>
        <v>Producto</v>
      </c>
      <c r="E69" s="2" t="str">
        <f>'SANTA LUCIA'!D3</f>
        <v>Stock Actual</v>
      </c>
      <c r="F69" s="2" t="str">
        <f>'SANTA LUCIA'!E3</f>
        <v>Stock Actual</v>
      </c>
      <c r="G69" s="2" t="str">
        <f>'SANTA LUCIA'!F3</f>
        <v>Stock Actual</v>
      </c>
      <c r="H69" s="2" t="str">
        <f>'SANTA LUCIA'!G3</f>
        <v>Stock Actual</v>
      </c>
      <c r="I69" s="2" t="str">
        <f>'SANTA LUCIA'!H3</f>
        <v>Stock Actual</v>
      </c>
      <c r="J69" s="2" t="str">
        <f>'SANTA LUCIA'!I3</f>
        <v>Stock Actual</v>
      </c>
      <c r="K69" s="2" t="str">
        <f>'SANTA LUCIA'!J3</f>
        <v>Stock Actual</v>
      </c>
      <c r="L69" s="2" t="str">
        <f>'SANTA LUCIA'!K3</f>
        <v>Stock Actual</v>
      </c>
      <c r="M69" s="2" t="str">
        <f>'SANTA LUCIA'!L3</f>
        <v>Stock Actual</v>
      </c>
      <c r="N69" s="2" t="str">
        <f>'SANTA LUCIA'!M3</f>
        <v>Stock Actual</v>
      </c>
      <c r="O69" s="2" t="str">
        <f>'SANTA LUCIA'!N3</f>
        <v>Stock Actual</v>
      </c>
      <c r="P69" s="2" t="str">
        <f>'SANTA LUCIA'!O3</f>
        <v>Stock Actual</v>
      </c>
      <c r="Q69" s="2" t="str">
        <f>'SANTA LUCIA'!P3</f>
        <v>Stock Actual</v>
      </c>
      <c r="R69" s="2" t="str">
        <f>'SANTA LUCIA'!Q3</f>
        <v>Stock Actual</v>
      </c>
      <c r="S69" s="2" t="str">
        <f>'SANTA LUCIA'!R3</f>
        <v>Stock Actual</v>
      </c>
      <c r="T69" s="2" t="str">
        <f>'SANTA LUCIA'!S3</f>
        <v>Stock Actual</v>
      </c>
      <c r="U69" s="2" t="str">
        <f>'SANTA LUCIA'!T3</f>
        <v>Stock Actual</v>
      </c>
      <c r="V69" s="2" t="str">
        <f>'SANTA LUCIA'!U3</f>
        <v>Stock Actual</v>
      </c>
      <c r="W69" s="2" t="str">
        <f>'SANTA LUCIA'!V3</f>
        <v>Stock Actual</v>
      </c>
      <c r="X69" s="2" t="str">
        <f>'SANTA LUCIA'!W3</f>
        <v>Stock Actual</v>
      </c>
      <c r="Y69" s="2" t="str">
        <f>'SANTA LUCIA'!X3</f>
        <v>Stock Actual</v>
      </c>
      <c r="Z69" s="2" t="str">
        <f>'SANTA LUCIA'!Y3</f>
        <v>Stock Actual</v>
      </c>
      <c r="AA69" s="2" t="str">
        <f>'SANTA LUCIA'!Z3</f>
        <v>Stock Actual</v>
      </c>
      <c r="AB69" s="2" t="str">
        <f>'SANTA LUCIA'!AA3</f>
        <v>Stock Actual</v>
      </c>
      <c r="AC69" s="2" t="str">
        <f>'SANTA LUCIA'!AB3</f>
        <v>Stock Actual</v>
      </c>
      <c r="AD69" s="2" t="str">
        <f>'SANTA LUCIA'!AC3</f>
        <v>Stock Actual</v>
      </c>
      <c r="AE69" s="2" t="str">
        <f>'SANTA LUCIA'!AD3</f>
        <v>Stock Actual</v>
      </c>
      <c r="AF69" s="2" t="str">
        <f>'SANTA LUCIA'!AE3</f>
        <v>Stock Actual</v>
      </c>
      <c r="AG69" s="2" t="str">
        <f>'SANTA LUCIA'!AF3</f>
        <v>Stock Actual</v>
      </c>
      <c r="AH69" s="2" t="str">
        <f>'SANTA LUCIA'!AG3</f>
        <v>Stock Actual</v>
      </c>
      <c r="AI69" s="2" t="str">
        <f>'SANTA LUCIA'!AH3</f>
        <v>Stock Actual</v>
      </c>
      <c r="AJ69" s="2" t="str">
        <f>'SANTA LUCIA'!AI3</f>
        <v>Stock Actual</v>
      </c>
      <c r="AK69" s="2" t="str">
        <f>'SANTA LUCIA'!AJ3</f>
        <v>Stock Actual</v>
      </c>
      <c r="AL69" s="2" t="str">
        <f>'SANTA LUCIA'!AK3</f>
        <v>Stock Actual</v>
      </c>
      <c r="AM69" s="2" t="str">
        <f>'SANTA LUCIA'!AL3</f>
        <v>Stock Actual</v>
      </c>
      <c r="AN69" s="2" t="str">
        <f>'SANTA LUCIA'!AM3</f>
        <v>Stock Actual</v>
      </c>
      <c r="AO69" s="2" t="str">
        <f>'SANTA LUCIA'!AN3</f>
        <v>Stock Actual</v>
      </c>
      <c r="AP69" s="2" t="str">
        <f>'SANTA LUCIA'!AO3</f>
        <v>Stock Actual</v>
      </c>
      <c r="AQ69" s="2" t="str">
        <f>'SANTA LUCIA'!AP3</f>
        <v>Stock Actual</v>
      </c>
      <c r="AR69" s="2" t="str">
        <f>'SANTA LUCIA'!AQ3</f>
        <v>Stock Actual</v>
      </c>
      <c r="AS69" s="2" t="str">
        <f>'SANTA LUCIA'!AR3</f>
        <v>Stock Actual</v>
      </c>
      <c r="AT69" s="2" t="str">
        <f>'SANTA LUCIA'!AS3</f>
        <v>Stock Actual</v>
      </c>
      <c r="AU69" s="2" t="str">
        <f>'SANTA LUCIA'!AT3</f>
        <v>Stock Actual</v>
      </c>
      <c r="AV69" s="2" t="str">
        <f>'SANTA LUCIA'!AU3</f>
        <v>Stock Actual</v>
      </c>
      <c r="AW69" s="2" t="str">
        <f>'SANTA LUCIA'!AV3</f>
        <v>Stock Actual</v>
      </c>
      <c r="AX69" s="2" t="str">
        <f>'SANTA LUCIA'!AW3</f>
        <v>Stock Actual</v>
      </c>
      <c r="AY69" s="2" t="str">
        <f>'SANTA LUCIA'!AX3</f>
        <v>Stock Actual</v>
      </c>
      <c r="AZ69" s="2" t="str">
        <f>'SANTA LUCIA'!AY3</f>
        <v>Stock Actual</v>
      </c>
      <c r="BA69" s="2" t="str">
        <f>'SANTA LUCIA'!AZ3</f>
        <v>Stock Actual</v>
      </c>
      <c r="BB69" s="2" t="str">
        <f>'SANTA LUCIA'!BA3</f>
        <v>Stock Actual</v>
      </c>
      <c r="BC69" s="2" t="str">
        <f>'SANTA LUCIA'!BB3</f>
        <v>Stock Actual</v>
      </c>
      <c r="BD69" s="2" t="str">
        <f>'SANTA LUCIA'!BC3</f>
        <v>Stock Actual</v>
      </c>
      <c r="BE69" s="2" t="str">
        <f>'SANTA LUCIA'!BD3</f>
        <v>Stock Actual</v>
      </c>
      <c r="BF69" s="2" t="str">
        <f>'SANTA LUCIA'!BE3</f>
        <v>Stock Actual</v>
      </c>
      <c r="BG69" s="2" t="str">
        <f>'SANTA LUCIA'!BF3</f>
        <v>Stock Actual</v>
      </c>
      <c r="BH69" s="2" t="str">
        <f>'SANTA LUCIA'!BG3</f>
        <v>Stock Actual</v>
      </c>
      <c r="BI69" s="2" t="str">
        <f>'SANTA LUCIA'!BH3</f>
        <v>Stock Actual</v>
      </c>
      <c r="BJ69" s="2" t="str">
        <f>'SANTA LUCIA'!BI3</f>
        <v>Stock Actual</v>
      </c>
      <c r="BK69" s="2" t="str">
        <f>'SANTA LUCIA'!BJ3</f>
        <v>Stock Actual</v>
      </c>
      <c r="BL69" s="2" t="str">
        <f>'SANTA LUCIA'!BK3</f>
        <v>stock Actual</v>
      </c>
      <c r="BM69" s="2" t="str">
        <f>'SANTA LUCIA'!BL3</f>
        <v>stock actual</v>
      </c>
      <c r="BN69" s="2" t="str">
        <f>'SANTA LUCIA'!BM3</f>
        <v>stock actual</v>
      </c>
      <c r="BO69" s="2" t="str">
        <f>'SANTA LUCIA'!BN3</f>
        <v>stock actual</v>
      </c>
      <c r="BP69" s="2" t="str">
        <f>'SANTA LUCIA'!BO3</f>
        <v>stock actual</v>
      </c>
      <c r="BQ69" s="2" t="str">
        <f>'SANTA LUCIA'!BP3</f>
        <v>stock actual</v>
      </c>
      <c r="BR69" s="2" t="str">
        <f>'SANTA LUCIA'!BQ3</f>
        <v>stock actual</v>
      </c>
      <c r="BS69" s="2" t="str">
        <f>'SANTA LUCIA'!BR3</f>
        <v/>
      </c>
      <c r="BT69" s="2" t="str">
        <f>'SANTA LUCIA'!BS3</f>
        <v/>
      </c>
      <c r="BU69" s="2" t="str">
        <f>'SANTA LUCIA'!BT3</f>
        <v/>
      </c>
      <c r="BV69" s="2" t="str">
        <f>'SANTA LUCIA'!BU3</f>
        <v/>
      </c>
      <c r="BW69" s="2"/>
    </row>
    <row r="70">
      <c r="A70" s="2"/>
      <c r="B70" s="2" t="str">
        <f>'SANTA LUCIA'!A4</f>
        <v>Santa Lucia</v>
      </c>
      <c r="C70" s="2" t="str">
        <f>'SANTA LUCIA'!B4</f>
        <v>Cafeteria</v>
      </c>
      <c r="D70" s="2" t="str">
        <f>'SANTA LUCIA'!C4</f>
        <v>Cafe Grano (KG)</v>
      </c>
      <c r="E70" s="2">
        <f>'SANTA LUCIA'!D4</f>
        <v>0</v>
      </c>
      <c r="F70" s="2">
        <f>'SANTA LUCIA'!E4</f>
        <v>10</v>
      </c>
      <c r="G70" s="2">
        <f>'SANTA LUCIA'!F4</f>
        <v>12</v>
      </c>
      <c r="H70" s="2">
        <f>'SANTA LUCIA'!G4</f>
        <v>11</v>
      </c>
      <c r="I70" s="2">
        <f>'SANTA LUCIA'!H4</f>
        <v>16</v>
      </c>
      <c r="J70" s="2">
        <f>'SANTA LUCIA'!I4</f>
        <v>10</v>
      </c>
      <c r="K70" s="2">
        <f>'SANTA LUCIA'!J4</f>
        <v>7</v>
      </c>
      <c r="L70" s="2">
        <f>'SANTA LUCIA'!K4</f>
        <v>1</v>
      </c>
      <c r="M70" s="2">
        <f>'SANTA LUCIA'!L4</f>
        <v>35</v>
      </c>
      <c r="N70" s="2">
        <f>'SANTA LUCIA'!M4</f>
        <v>13</v>
      </c>
      <c r="O70" s="2">
        <f>'SANTA LUCIA'!N4</f>
        <v>22</v>
      </c>
      <c r="P70" s="2">
        <f>'SANTA LUCIA'!O4</f>
        <v>16</v>
      </c>
      <c r="Q70" s="2">
        <f>'SANTA LUCIA'!P4</f>
        <v>0</v>
      </c>
      <c r="R70" s="2">
        <f>'SANTA LUCIA'!Q4</f>
        <v>4</v>
      </c>
      <c r="S70" s="2">
        <f>'SANTA LUCIA'!R4</f>
        <v>10</v>
      </c>
      <c r="T70" s="2">
        <f>'SANTA LUCIA'!S4</f>
        <v>6</v>
      </c>
      <c r="U70" s="2">
        <f>'SANTA LUCIA'!T4</f>
        <v>35</v>
      </c>
      <c r="V70" s="2">
        <f>'SANTA LUCIA'!U4</f>
        <v>25</v>
      </c>
      <c r="W70" s="2">
        <f>'SANTA LUCIA'!V4</f>
        <v>16</v>
      </c>
      <c r="X70" s="2">
        <f>'SANTA LUCIA'!W4</f>
        <v>16</v>
      </c>
      <c r="Y70" s="2">
        <f>'SANTA LUCIA'!X4</f>
        <v>20</v>
      </c>
      <c r="Z70" s="2">
        <f>'SANTA LUCIA'!Y4</f>
        <v>4</v>
      </c>
      <c r="AA70" s="2" t="str">
        <f>'SANTA LUCIA'!Z4</f>
        <v>13k</v>
      </c>
      <c r="AB70" s="2" t="str">
        <f>'SANTA LUCIA'!AA4</f>
        <v>12 (bolsas)</v>
      </c>
      <c r="AC70" s="2" t="str">
        <f>'SANTA LUCIA'!AB4</f>
        <v>3K</v>
      </c>
      <c r="AD70" s="2" t="str">
        <f>'SANTA LUCIA'!AC4</f>
        <v>13K</v>
      </c>
      <c r="AE70" s="2">
        <f>'SANTA LUCIA'!AD4</f>
        <v>12.5</v>
      </c>
      <c r="AF70" s="2">
        <f>'SANTA LUCIA'!AE4</f>
        <v>8.5</v>
      </c>
      <c r="AG70" s="2">
        <f>'SANTA LUCIA'!AF4</f>
        <v>6</v>
      </c>
      <c r="AH70" s="2">
        <f>'SANTA LUCIA'!AG4</f>
        <v>6</v>
      </c>
      <c r="AI70" s="2">
        <f>'SANTA LUCIA'!AH4</f>
        <v>21</v>
      </c>
      <c r="AJ70" s="2">
        <f>'SANTA LUCIA'!AI4</f>
        <v>19</v>
      </c>
      <c r="AK70" s="2">
        <f>'SANTA LUCIA'!AJ4</f>
        <v>17.5</v>
      </c>
      <c r="AL70" s="2">
        <f>'SANTA LUCIA'!AK4</f>
        <v>15</v>
      </c>
      <c r="AM70" s="2">
        <f>'SANTA LUCIA'!AL4</f>
        <v>12</v>
      </c>
      <c r="AN70" s="2">
        <f>'SANTA LUCIA'!AM4</f>
        <v>10</v>
      </c>
      <c r="AO70" s="2">
        <f>'SANTA LUCIA'!AN4</f>
        <v>10</v>
      </c>
      <c r="AP70" s="2">
        <f>'SANTA LUCIA'!AO4</f>
        <v>7</v>
      </c>
      <c r="AQ70" s="2">
        <f>'SANTA LUCIA'!AP4</f>
        <v>5.5</v>
      </c>
      <c r="AR70" s="2">
        <f>'SANTA LUCIA'!AQ4</f>
        <v>13.5</v>
      </c>
      <c r="AS70" s="2">
        <f>'SANTA LUCIA'!AR4</f>
        <v>12</v>
      </c>
      <c r="AT70" s="2">
        <f>'SANTA LUCIA'!AS4</f>
        <v>11</v>
      </c>
      <c r="AU70" s="2">
        <f>'SANTA LUCIA'!AT4</f>
        <v>10.5</v>
      </c>
      <c r="AV70" s="2">
        <f>'SANTA LUCIA'!AU4</f>
        <v>8.5</v>
      </c>
      <c r="AW70" s="2">
        <f>'SANTA LUCIA'!AV4</f>
        <v>6</v>
      </c>
      <c r="AX70" s="2">
        <f>'SANTA LUCIA'!AW4</f>
        <v>3.5</v>
      </c>
      <c r="AY70" s="2">
        <f>'SANTA LUCIA'!AX4</f>
        <v>3</v>
      </c>
      <c r="AZ70" s="2">
        <f>'SANTA LUCIA'!AY4</f>
        <v>2</v>
      </c>
      <c r="BA70" s="2">
        <f>'SANTA LUCIA'!AZ4</f>
        <v>1.5</v>
      </c>
      <c r="BB70" s="2">
        <f>'SANTA LUCIA'!BA4</f>
        <v>9.5</v>
      </c>
      <c r="BC70" s="2">
        <f>'SANTA LUCIA'!BB4</f>
        <v>8</v>
      </c>
      <c r="BD70" s="2">
        <f>'SANTA LUCIA'!BC4</f>
        <v>6</v>
      </c>
      <c r="BE70" s="2">
        <f>'SANTA LUCIA'!BD4</f>
        <v>5</v>
      </c>
      <c r="BF70" s="2">
        <f>'SANTA LUCIA'!BE4</f>
        <v>2.5</v>
      </c>
      <c r="BG70" s="2">
        <f>'SANTA LUCIA'!BF4</f>
        <v>0</v>
      </c>
      <c r="BH70" s="2">
        <f>'SANTA LUCIA'!BG4</f>
        <v>8</v>
      </c>
      <c r="BI70" s="2">
        <f>'SANTA LUCIA'!BH4</f>
        <v>6</v>
      </c>
      <c r="BJ70" s="2">
        <f>'SANTA LUCIA'!BI4</f>
        <v>4.5</v>
      </c>
      <c r="BK70" s="2">
        <f>'SANTA LUCIA'!BJ4</f>
        <v>2.5</v>
      </c>
      <c r="BL70" s="2">
        <f>'SANTA LUCIA'!BK4</f>
        <v>24</v>
      </c>
      <c r="BM70" s="2">
        <f>'SANTA LUCIA'!BL4</f>
        <v>20.5</v>
      </c>
      <c r="BN70" s="2">
        <f>'SANTA LUCIA'!BM4</f>
        <v>14</v>
      </c>
      <c r="BO70" s="2">
        <f>'SANTA LUCIA'!BN4</f>
        <v>12</v>
      </c>
      <c r="BP70" s="2">
        <f>'SANTA LUCIA'!BO4</f>
        <v>10</v>
      </c>
      <c r="BQ70" s="2">
        <f>'SANTA LUCIA'!BP4</f>
        <v>20</v>
      </c>
      <c r="BR70" s="2">
        <f>'SANTA LUCIA'!BQ4</f>
        <v>17.5</v>
      </c>
      <c r="BS70" s="2" t="str">
        <f>'SANTA LUCIA'!BR4</f>
        <v/>
      </c>
      <c r="BT70" s="2" t="str">
        <f>'SANTA LUCIA'!BS4</f>
        <v/>
      </c>
      <c r="BU70" s="2" t="str">
        <f>'SANTA LUCIA'!BT4</f>
        <v/>
      </c>
      <c r="BV70" s="2" t="str">
        <f>'SANTA LUCIA'!BU4</f>
        <v/>
      </c>
      <c r="BW70" s="2"/>
    </row>
    <row r="71">
      <c r="A71" s="2"/>
      <c r="B71" s="2" t="str">
        <f>'SANTA LUCIA'!A5</f>
        <v>Santa Lucia</v>
      </c>
      <c r="C71" s="2" t="str">
        <f>'SANTA LUCIA'!B5</f>
        <v>Cafeteria</v>
      </c>
      <c r="D71" s="2" t="str">
        <f>'SANTA LUCIA'!C5</f>
        <v>Toalla de Papel Jumbo (UN)</v>
      </c>
      <c r="E71" s="2">
        <f>'SANTA LUCIA'!D5</f>
        <v>10</v>
      </c>
      <c r="F71" s="2">
        <f>'SANTA LUCIA'!E5</f>
        <v>0</v>
      </c>
      <c r="G71" s="2">
        <f>'SANTA LUCIA'!F5</f>
        <v>12</v>
      </c>
      <c r="H71" s="2">
        <f>'SANTA LUCIA'!G5</f>
        <v>0</v>
      </c>
      <c r="I71" s="2">
        <f>'SANTA LUCIA'!H5</f>
        <v>0</v>
      </c>
      <c r="J71" s="2">
        <f>'SANTA LUCIA'!I5</f>
        <v>2</v>
      </c>
      <c r="K71" s="2">
        <f>'SANTA LUCIA'!J5</f>
        <v>1</v>
      </c>
      <c r="L71" s="2">
        <f>'SANTA LUCIA'!K5</f>
        <v>10</v>
      </c>
      <c r="M71" s="2">
        <f>'SANTA LUCIA'!L5</f>
        <v>3</v>
      </c>
      <c r="N71" s="2">
        <f>'SANTA LUCIA'!M5</f>
        <v>0</v>
      </c>
      <c r="O71" s="2">
        <f>'SANTA LUCIA'!N5</f>
        <v>2</v>
      </c>
      <c r="P71" s="2">
        <f>'SANTA LUCIA'!O5</f>
        <v>0</v>
      </c>
      <c r="Q71" s="2">
        <f>'SANTA LUCIA'!P5</f>
        <v>4</v>
      </c>
      <c r="R71" s="2">
        <f>'SANTA LUCIA'!Q5</f>
        <v>0</v>
      </c>
      <c r="S71" s="2">
        <f>'SANTA LUCIA'!R5</f>
        <v>0</v>
      </c>
      <c r="T71" s="2">
        <f>'SANTA LUCIA'!S5</f>
        <v>0</v>
      </c>
      <c r="U71" s="2">
        <f>'SANTA LUCIA'!T5</f>
        <v>5</v>
      </c>
      <c r="V71" s="2">
        <f>'SANTA LUCIA'!U5</f>
        <v>0</v>
      </c>
      <c r="W71" s="2">
        <f>'SANTA LUCIA'!V5</f>
        <v>0</v>
      </c>
      <c r="X71" s="2">
        <f>'SANTA LUCIA'!W5</f>
        <v>0</v>
      </c>
      <c r="Y71" s="2">
        <f>'SANTA LUCIA'!X5</f>
        <v>0</v>
      </c>
      <c r="Z71" s="2">
        <f>'SANTA LUCIA'!Y5</f>
        <v>0</v>
      </c>
      <c r="AA71" s="2">
        <f>'SANTA LUCIA'!Z5</f>
        <v>6</v>
      </c>
      <c r="AB71" s="2">
        <f>'SANTA LUCIA'!AA5</f>
        <v>5</v>
      </c>
      <c r="AC71" s="2">
        <f>'SANTA LUCIA'!AB5</f>
        <v>0</v>
      </c>
      <c r="AD71" s="2">
        <f>'SANTA LUCIA'!AC5</f>
        <v>10</v>
      </c>
      <c r="AE71" s="2">
        <f>'SANTA LUCIA'!AD5</f>
        <v>4</v>
      </c>
      <c r="AF71" s="2">
        <f>'SANTA LUCIA'!AE5</f>
        <v>0</v>
      </c>
      <c r="AG71" s="2">
        <f>'SANTA LUCIA'!AF5</f>
        <v>0</v>
      </c>
      <c r="AH71" s="2">
        <f>'SANTA LUCIA'!AG5</f>
        <v>0</v>
      </c>
      <c r="AI71" s="2">
        <f>'SANTA LUCIA'!AH5</f>
        <v>18</v>
      </c>
      <c r="AJ71" s="2">
        <f>'SANTA LUCIA'!AI5</f>
        <v>0</v>
      </c>
      <c r="AK71" s="2">
        <f>'SANTA LUCIA'!AJ5</f>
        <v>0</v>
      </c>
      <c r="AL71" s="2">
        <f>'SANTA LUCIA'!AK5</f>
        <v>0</v>
      </c>
      <c r="AM71" s="2">
        <f>'SANTA LUCIA'!AL5</f>
        <v>0</v>
      </c>
      <c r="AN71" s="2">
        <f>'SANTA LUCIA'!AM5</f>
        <v>22</v>
      </c>
      <c r="AO71" s="2">
        <f>'SANTA LUCIA'!AN5</f>
        <v>0</v>
      </c>
      <c r="AP71" s="2">
        <f>'SANTA LUCIA'!AO5</f>
        <v>18</v>
      </c>
      <c r="AQ71" s="2">
        <f>'SANTA LUCIA'!AP5</f>
        <v>11</v>
      </c>
      <c r="AR71" s="2">
        <f>'SANTA LUCIA'!AQ5</f>
        <v>2</v>
      </c>
      <c r="AS71" s="2">
        <f>'SANTA LUCIA'!AR5</f>
        <v>8</v>
      </c>
      <c r="AT71" s="2">
        <f>'SANTA LUCIA'!AS5</f>
        <v>2</v>
      </c>
      <c r="AU71" s="2">
        <f>'SANTA LUCIA'!AT5</f>
        <v>7</v>
      </c>
      <c r="AV71" s="2">
        <f>'SANTA LUCIA'!AU5</f>
        <v>2</v>
      </c>
      <c r="AW71" s="2">
        <f>'SANTA LUCIA'!AV5</f>
        <v>0</v>
      </c>
      <c r="AX71" s="2">
        <f>'SANTA LUCIA'!AW5</f>
        <v>1</v>
      </c>
      <c r="AY71" s="2">
        <f>'SANTA LUCIA'!AX5</f>
        <v>27</v>
      </c>
      <c r="AZ71" s="2">
        <f>'SANTA LUCIA'!AY5</f>
        <v>22</v>
      </c>
      <c r="BA71" s="2">
        <f>'SANTA LUCIA'!AZ5</f>
        <v>18</v>
      </c>
      <c r="BB71" s="2">
        <f>'SANTA LUCIA'!BA5</f>
        <v>10</v>
      </c>
      <c r="BC71" s="2">
        <f>'SANTA LUCIA'!BB5</f>
        <v>5</v>
      </c>
      <c r="BD71" s="2">
        <f>'SANTA LUCIA'!BC5</f>
        <v>0</v>
      </c>
      <c r="BE71" s="2">
        <f>'SANTA LUCIA'!BD5</f>
        <v>0</v>
      </c>
      <c r="BF71" s="2">
        <f>'SANTA LUCIA'!BE5</f>
        <v>22</v>
      </c>
      <c r="BG71" s="2">
        <f>'SANTA LUCIA'!BF5</f>
        <v>7</v>
      </c>
      <c r="BH71" s="2">
        <f>'SANTA LUCIA'!BG5</f>
        <v>4</v>
      </c>
      <c r="BI71" s="2">
        <f>'SANTA LUCIA'!BH5</f>
        <v>23</v>
      </c>
      <c r="BJ71" s="2">
        <f>'SANTA LUCIA'!BI5</f>
        <v>14</v>
      </c>
      <c r="BK71" s="2">
        <f>'SANTA LUCIA'!BJ5</f>
        <v>2</v>
      </c>
      <c r="BL71" s="2">
        <f>'SANTA LUCIA'!BK5</f>
        <v>0</v>
      </c>
      <c r="BM71" s="2">
        <f>'SANTA LUCIA'!BL5</f>
        <v>4</v>
      </c>
      <c r="BN71" s="2">
        <f>'SANTA LUCIA'!BM5</f>
        <v>0</v>
      </c>
      <c r="BO71" s="2">
        <f>'SANTA LUCIA'!BN5</f>
        <v>0</v>
      </c>
      <c r="BP71" s="2">
        <f>'SANTA LUCIA'!BO5</f>
        <v>0</v>
      </c>
      <c r="BQ71" s="2">
        <f>'SANTA LUCIA'!BP5</f>
        <v>27</v>
      </c>
      <c r="BR71" s="2">
        <f>'SANTA LUCIA'!BQ5</f>
        <v>30</v>
      </c>
      <c r="BS71" s="2" t="str">
        <f>'SANTA LUCIA'!BR5</f>
        <v/>
      </c>
      <c r="BT71" s="2" t="str">
        <f>'SANTA LUCIA'!BS5</f>
        <v/>
      </c>
      <c r="BU71" s="2" t="str">
        <f>'SANTA LUCIA'!BT5</f>
        <v/>
      </c>
      <c r="BV71" s="2" t="str">
        <f>'SANTA LUCIA'!BU5</f>
        <v/>
      </c>
      <c r="BW71" s="2"/>
    </row>
    <row r="72">
      <c r="A72" s="2"/>
      <c r="B72" s="2" t="str">
        <f>'SANTA LUCIA'!A6</f>
        <v>Santa Lucia</v>
      </c>
      <c r="C72" s="2" t="str">
        <f>'SANTA LUCIA'!B6</f>
        <v>Cafeteria</v>
      </c>
      <c r="D72" s="2" t="str">
        <f>'SANTA LUCIA'!C6</f>
        <v>Papel Higienico (UN)</v>
      </c>
      <c r="E72" s="2">
        <f>'SANTA LUCIA'!D6</f>
        <v>11</v>
      </c>
      <c r="F72" s="2">
        <f>'SANTA LUCIA'!E6</f>
        <v>48</v>
      </c>
      <c r="G72" s="2">
        <f>'SANTA LUCIA'!F6</f>
        <v>76</v>
      </c>
      <c r="H72" s="2">
        <f>'SANTA LUCIA'!G6</f>
        <v>14</v>
      </c>
      <c r="I72" s="2">
        <f>'SANTA LUCIA'!H6</f>
        <v>12</v>
      </c>
      <c r="J72" s="2">
        <f>'SANTA LUCIA'!I6</f>
        <v>8</v>
      </c>
      <c r="K72" s="2">
        <f>'SANTA LUCIA'!J6</f>
        <v>6</v>
      </c>
      <c r="L72" s="2">
        <f>'SANTA LUCIA'!K6</f>
        <v>11</v>
      </c>
      <c r="M72" s="2">
        <f>'SANTA LUCIA'!L6</f>
        <v>4</v>
      </c>
      <c r="N72" s="2">
        <f>'SANTA LUCIA'!M6</f>
        <v>3</v>
      </c>
      <c r="O72" s="2">
        <f>'SANTA LUCIA'!N6</f>
        <v>8</v>
      </c>
      <c r="P72" s="2">
        <f>'SANTA LUCIA'!O6</f>
        <v>8</v>
      </c>
      <c r="Q72" s="2">
        <f>'SANTA LUCIA'!P6</f>
        <v>12</v>
      </c>
      <c r="R72" s="2">
        <f>'SANTA LUCIA'!Q6</f>
        <v>7</v>
      </c>
      <c r="S72" s="2">
        <f>'SANTA LUCIA'!R6</f>
        <v>6</v>
      </c>
      <c r="T72" s="2">
        <f>'SANTA LUCIA'!S6</f>
        <v>4</v>
      </c>
      <c r="U72" s="2">
        <f>'SANTA LUCIA'!T6</f>
        <v>8</v>
      </c>
      <c r="V72" s="2">
        <f>'SANTA LUCIA'!U6</f>
        <v>3</v>
      </c>
      <c r="W72" s="2">
        <f>'SANTA LUCIA'!V6</f>
        <v>6</v>
      </c>
      <c r="X72" s="2">
        <f>'SANTA LUCIA'!W6</f>
        <v>6</v>
      </c>
      <c r="Y72" s="2">
        <f>'SANTA LUCIA'!X6</f>
        <v>3</v>
      </c>
      <c r="Z72" s="2">
        <f>'SANTA LUCIA'!Y6</f>
        <v>6</v>
      </c>
      <c r="AA72" s="2">
        <f>'SANTA LUCIA'!Z6</f>
        <v>6</v>
      </c>
      <c r="AB72" s="2">
        <f>'SANTA LUCIA'!AA6</f>
        <v>32</v>
      </c>
      <c r="AC72" s="2">
        <f>'SANTA LUCIA'!AB6</f>
        <v>24</v>
      </c>
      <c r="AD72" s="2">
        <f>'SANTA LUCIA'!AC6</f>
        <v>32</v>
      </c>
      <c r="AE72" s="2">
        <f>'SANTA LUCIA'!AD6</f>
        <v>24</v>
      </c>
      <c r="AF72" s="2">
        <f>'SANTA LUCIA'!AE6</f>
        <v>24</v>
      </c>
      <c r="AG72" s="2">
        <f>'SANTA LUCIA'!AF6</f>
        <v>16</v>
      </c>
      <c r="AH72" s="2">
        <f>'SANTA LUCIA'!AG6</f>
        <v>12</v>
      </c>
      <c r="AI72" s="2">
        <f>'SANTA LUCIA'!AH6</f>
        <v>20</v>
      </c>
      <c r="AJ72" s="2">
        <f>'SANTA LUCIA'!AI6</f>
        <v>20</v>
      </c>
      <c r="AK72" s="2">
        <f>'SANTA LUCIA'!AJ6</f>
        <v>16</v>
      </c>
      <c r="AL72" s="2">
        <f>'SANTA LUCIA'!AK6</f>
        <v>12</v>
      </c>
      <c r="AM72" s="2">
        <f>'SANTA LUCIA'!AL6</f>
        <v>4</v>
      </c>
      <c r="AN72" s="2">
        <f>'SANTA LUCIA'!AM6</f>
        <v>36</v>
      </c>
      <c r="AO72" s="2">
        <f>'SANTA LUCIA'!AN6</f>
        <v>4</v>
      </c>
      <c r="AP72" s="2">
        <f>'SANTA LUCIA'!AO6</f>
        <v>28</v>
      </c>
      <c r="AQ72" s="2">
        <f>'SANTA LUCIA'!AP6</f>
        <v>20</v>
      </c>
      <c r="AR72" s="2" t="str">
        <f>'SANTA LUCIA'!AQ6</f>
        <v/>
      </c>
      <c r="AS72" s="2">
        <f>'SANTA LUCIA'!AR6</f>
        <v>4</v>
      </c>
      <c r="AT72" s="2">
        <f>'SANTA LUCIA'!AS6</f>
        <v>3</v>
      </c>
      <c r="AU72" s="2">
        <f>'SANTA LUCIA'!AT6</f>
        <v>34</v>
      </c>
      <c r="AV72" s="2">
        <f>'SANTA LUCIA'!AU6</f>
        <v>29</v>
      </c>
      <c r="AW72" s="2">
        <f>'SANTA LUCIA'!AV6</f>
        <v>24</v>
      </c>
      <c r="AX72" s="2">
        <f>'SANTA LUCIA'!AW6</f>
        <v>16</v>
      </c>
      <c r="AY72" s="2">
        <f>'SANTA LUCIA'!AX6</f>
        <v>44</v>
      </c>
      <c r="AZ72" s="2">
        <f>'SANTA LUCIA'!AY6</f>
        <v>42</v>
      </c>
      <c r="BA72" s="2">
        <f>'SANTA LUCIA'!AZ6</f>
        <v>40</v>
      </c>
      <c r="BB72" s="2">
        <f>'SANTA LUCIA'!BA6</f>
        <v>13</v>
      </c>
      <c r="BC72" s="2">
        <f>'SANTA LUCIA'!BB6</f>
        <v>40</v>
      </c>
      <c r="BD72" s="2">
        <f>'SANTA LUCIA'!BC6</f>
        <v>33</v>
      </c>
      <c r="BE72" s="2">
        <f>'SANTA LUCIA'!BD6</f>
        <v>29</v>
      </c>
      <c r="BF72" s="2">
        <f>'SANTA LUCIA'!BE6</f>
        <v>37</v>
      </c>
      <c r="BG72" s="2">
        <f>'SANTA LUCIA'!BF6</f>
        <v>32</v>
      </c>
      <c r="BH72" s="2">
        <f>'SANTA LUCIA'!BG6</f>
        <v>24</v>
      </c>
      <c r="BI72" s="2">
        <f>'SANTA LUCIA'!BH6</f>
        <v>29</v>
      </c>
      <c r="BJ72" s="2">
        <f>'SANTA LUCIA'!BI6</f>
        <v>26</v>
      </c>
      <c r="BK72" s="2">
        <f>'SANTA LUCIA'!BJ6</f>
        <v>14</v>
      </c>
      <c r="BL72" s="2">
        <f>'SANTA LUCIA'!BK6</f>
        <v>12</v>
      </c>
      <c r="BM72" s="2">
        <f>'SANTA LUCIA'!BL6</f>
        <v>0</v>
      </c>
      <c r="BN72" s="2">
        <f>'SANTA LUCIA'!BM6</f>
        <v>0</v>
      </c>
      <c r="BO72" s="2">
        <f>'SANTA LUCIA'!BN6</f>
        <v>24</v>
      </c>
      <c r="BP72" s="2">
        <f>'SANTA LUCIA'!BO6</f>
        <v>20</v>
      </c>
      <c r="BQ72" s="2">
        <f>'SANTA LUCIA'!BP6</f>
        <v>20</v>
      </c>
      <c r="BR72" s="2">
        <f>'SANTA LUCIA'!BQ6</f>
        <v>9</v>
      </c>
      <c r="BS72" s="2" t="str">
        <f>'SANTA LUCIA'!BR6</f>
        <v/>
      </c>
      <c r="BT72" s="2" t="str">
        <f>'SANTA LUCIA'!BS6</f>
        <v/>
      </c>
      <c r="BU72" s="2" t="str">
        <f>'SANTA LUCIA'!BT6</f>
        <v/>
      </c>
      <c r="BV72" s="2" t="str">
        <f>'SANTA LUCIA'!BU6</f>
        <v/>
      </c>
      <c r="BW72" s="2"/>
    </row>
    <row r="73">
      <c r="A73" s="2"/>
      <c r="B73" s="2" t="str">
        <f>'SANTA LUCIA'!A7</f>
        <v>Santa Lucia</v>
      </c>
      <c r="C73" s="2" t="str">
        <f>'SANTA LUCIA'!B7</f>
        <v>Cafeteria</v>
      </c>
      <c r="D73" s="2" t="str">
        <f>'SANTA LUCIA'!C7</f>
        <v>Resma Papel Fotocopia (UN)</v>
      </c>
      <c r="E73" s="2">
        <f>'SANTA LUCIA'!D7</f>
        <v>10</v>
      </c>
      <c r="F73" s="2">
        <f>'SANTA LUCIA'!E7</f>
        <v>10</v>
      </c>
      <c r="G73" s="2">
        <f>'SANTA LUCIA'!F7</f>
        <v>9</v>
      </c>
      <c r="H73" s="2">
        <f>'SANTA LUCIA'!G7</f>
        <v>9</v>
      </c>
      <c r="I73" s="2">
        <f>'SANTA LUCIA'!H7</f>
        <v>7</v>
      </c>
      <c r="J73" s="2">
        <f>'SANTA LUCIA'!I7</f>
        <v>5</v>
      </c>
      <c r="K73" s="2">
        <f>'SANTA LUCIA'!J7</f>
        <v>4</v>
      </c>
      <c r="L73" s="2">
        <f>'SANTA LUCIA'!K7</f>
        <v>7</v>
      </c>
      <c r="M73" s="2">
        <f>'SANTA LUCIA'!L7</f>
        <v>8</v>
      </c>
      <c r="N73" s="2">
        <f>'SANTA LUCIA'!M7</f>
        <v>6</v>
      </c>
      <c r="O73" s="2">
        <f>'SANTA LUCIA'!N7</f>
        <v>4</v>
      </c>
      <c r="P73" s="2">
        <f>'SANTA LUCIA'!O7</f>
        <v>2</v>
      </c>
      <c r="Q73" s="2">
        <f>'SANTA LUCIA'!P7</f>
        <v>5</v>
      </c>
      <c r="R73" s="2">
        <f>'SANTA LUCIA'!Q7</f>
        <v>5</v>
      </c>
      <c r="S73" s="2">
        <f>'SANTA LUCIA'!R7</f>
        <v>3</v>
      </c>
      <c r="T73" s="2">
        <f>'SANTA LUCIA'!S7</f>
        <v>3</v>
      </c>
      <c r="U73" s="2">
        <f>'SANTA LUCIA'!T7</f>
        <v>8</v>
      </c>
      <c r="V73" s="2">
        <f>'SANTA LUCIA'!U7</f>
        <v>6</v>
      </c>
      <c r="W73" s="2">
        <f>'SANTA LUCIA'!V7</f>
        <v>4</v>
      </c>
      <c r="X73" s="2">
        <f>'SANTA LUCIA'!W7</f>
        <v>4</v>
      </c>
      <c r="Y73" s="2">
        <f>'SANTA LUCIA'!X7</f>
        <v>5</v>
      </c>
      <c r="Z73" s="2">
        <f>'SANTA LUCIA'!Y7</f>
        <v>3</v>
      </c>
      <c r="AA73" s="2">
        <f>'SANTA LUCIA'!Z7</f>
        <v>2</v>
      </c>
      <c r="AB73" s="2">
        <f>'SANTA LUCIA'!AA7</f>
        <v>1</v>
      </c>
      <c r="AC73" s="2">
        <f>'SANTA LUCIA'!AB7</f>
        <v>1</v>
      </c>
      <c r="AD73" s="2">
        <f>'SANTA LUCIA'!AC7</f>
        <v>3</v>
      </c>
      <c r="AE73" s="2">
        <f>'SANTA LUCIA'!AD7</f>
        <v>3</v>
      </c>
      <c r="AF73" s="2">
        <f>'SANTA LUCIA'!AE7</f>
        <v>3</v>
      </c>
      <c r="AG73" s="2">
        <f>'SANTA LUCIA'!AF7</f>
        <v>0</v>
      </c>
      <c r="AH73" s="2">
        <f>'SANTA LUCIA'!AG7</f>
        <v>0</v>
      </c>
      <c r="AI73" s="2">
        <f>'SANTA LUCIA'!AH7</f>
        <v>0</v>
      </c>
      <c r="AJ73" s="2">
        <f>'SANTA LUCIA'!AI7</f>
        <v>0</v>
      </c>
      <c r="AK73" s="2">
        <f>'SANTA LUCIA'!AJ7</f>
        <v>0</v>
      </c>
      <c r="AL73" s="2">
        <f>'SANTA LUCIA'!AK7</f>
        <v>1</v>
      </c>
      <c r="AM73" s="2">
        <f>'SANTA LUCIA'!AL7</f>
        <v>0</v>
      </c>
      <c r="AN73" s="2">
        <f>'SANTA LUCIA'!AM7</f>
        <v>8</v>
      </c>
      <c r="AO73" s="2">
        <f>'SANTA LUCIA'!AN7</f>
        <v>0</v>
      </c>
      <c r="AP73" s="2">
        <f>'SANTA LUCIA'!AO7</f>
        <v>7</v>
      </c>
      <c r="AQ73" s="2">
        <f>'SANTA LUCIA'!AP7</f>
        <v>6</v>
      </c>
      <c r="AR73" s="2" t="str">
        <f>'SANTA LUCIA'!AQ7</f>
        <v/>
      </c>
      <c r="AS73" s="2">
        <f>'SANTA LUCIA'!AR7</f>
        <v>5</v>
      </c>
      <c r="AT73" s="2">
        <f>'SANTA LUCIA'!AS7</f>
        <v>5</v>
      </c>
      <c r="AU73" s="2">
        <f>'SANTA LUCIA'!AT7</f>
        <v>5</v>
      </c>
      <c r="AV73" s="2">
        <f>'SANTA LUCIA'!AU7</f>
        <v>4</v>
      </c>
      <c r="AW73" s="2">
        <f>'SANTA LUCIA'!AV7</f>
        <v>4</v>
      </c>
      <c r="AX73" s="2">
        <f>'SANTA LUCIA'!AW7</f>
        <v>3</v>
      </c>
      <c r="AY73" s="2">
        <f>'SANTA LUCIA'!AX7</f>
        <v>3</v>
      </c>
      <c r="AZ73" s="2">
        <f>'SANTA LUCIA'!AY7</f>
        <v>3</v>
      </c>
      <c r="BA73" s="2">
        <f>'SANTA LUCIA'!AZ7</f>
        <v>2</v>
      </c>
      <c r="BB73" s="2">
        <f>'SANTA LUCIA'!BA7</f>
        <v>2</v>
      </c>
      <c r="BC73" s="2">
        <f>'SANTA LUCIA'!BB7</f>
        <v>1</v>
      </c>
      <c r="BD73" s="2">
        <f>'SANTA LUCIA'!BC7</f>
        <v>4</v>
      </c>
      <c r="BE73" s="2">
        <f>'SANTA LUCIA'!BD7</f>
        <v>4</v>
      </c>
      <c r="BF73" s="2">
        <f>'SANTA LUCIA'!BE7</f>
        <v>3</v>
      </c>
      <c r="BG73" s="2">
        <f>'SANTA LUCIA'!BF7</f>
        <v>1</v>
      </c>
      <c r="BH73" s="2">
        <f>'SANTA LUCIA'!BG7</f>
        <v>1</v>
      </c>
      <c r="BI73" s="2">
        <f>'SANTA LUCIA'!BH7</f>
        <v>4</v>
      </c>
      <c r="BJ73" s="2">
        <f>'SANTA LUCIA'!BI7</f>
        <v>4</v>
      </c>
      <c r="BK73" s="2">
        <f>'SANTA LUCIA'!BJ7</f>
        <v>3</v>
      </c>
      <c r="BL73" s="2">
        <f>'SANTA LUCIA'!BK7</f>
        <v>3</v>
      </c>
      <c r="BM73" s="2">
        <f>'SANTA LUCIA'!BL7</f>
        <v>2</v>
      </c>
      <c r="BN73" s="2">
        <f>'SANTA LUCIA'!BM7</f>
        <v>1</v>
      </c>
      <c r="BO73" s="2">
        <f>'SANTA LUCIA'!BN7</f>
        <v>7</v>
      </c>
      <c r="BP73" s="2">
        <f>'SANTA LUCIA'!BO7</f>
        <v>7</v>
      </c>
      <c r="BQ73" s="2">
        <f>'SANTA LUCIA'!BP7</f>
        <v>6</v>
      </c>
      <c r="BR73" s="2">
        <f>'SANTA LUCIA'!BQ7</f>
        <v>9</v>
      </c>
      <c r="BS73" s="2" t="str">
        <f>'SANTA LUCIA'!BR7</f>
        <v/>
      </c>
      <c r="BT73" s="2" t="str">
        <f>'SANTA LUCIA'!BS7</f>
        <v/>
      </c>
      <c r="BU73" s="2" t="str">
        <f>'SANTA LUCIA'!BT7</f>
        <v/>
      </c>
      <c r="BV73" s="2" t="str">
        <f>'SANTA LUCIA'!BU7</f>
        <v/>
      </c>
      <c r="BW73" s="2"/>
    </row>
    <row r="74">
      <c r="A74" s="2"/>
      <c r="B74" s="2" t="str">
        <f>'SANTA LUCIA'!A8</f>
        <v>Santa Lucia</v>
      </c>
      <c r="C74" s="2" t="str">
        <f>'SANTA LUCIA'!B8</f>
        <v>Cafeteria</v>
      </c>
      <c r="D74" s="2" t="str">
        <f>'SANTA LUCIA'!C8</f>
        <v>Servilletas</v>
      </c>
      <c r="E74" s="2" t="str">
        <f>'SANTA LUCIA'!D8</f>
        <v/>
      </c>
      <c r="F74" s="2">
        <f>'SANTA LUCIA'!E8</f>
        <v>23</v>
      </c>
      <c r="G74" s="2">
        <f>'SANTA LUCIA'!F8</f>
        <v>15</v>
      </c>
      <c r="H74" s="2">
        <f>'SANTA LUCIA'!G8</f>
        <v>0</v>
      </c>
      <c r="I74" s="2">
        <f>'SANTA LUCIA'!H8</f>
        <v>0</v>
      </c>
      <c r="J74" s="2">
        <f>'SANTA LUCIA'!I8</f>
        <v>0</v>
      </c>
      <c r="K74" s="2">
        <f>'SANTA LUCIA'!J8</f>
        <v>0</v>
      </c>
      <c r="L74" s="2">
        <f>'SANTA LUCIA'!K8</f>
        <v>14</v>
      </c>
      <c r="M74" s="2">
        <f>'SANTA LUCIA'!L8</f>
        <v>7</v>
      </c>
      <c r="N74" s="2">
        <f>'SANTA LUCIA'!M8</f>
        <v>9</v>
      </c>
      <c r="O74" s="2">
        <f>'SANTA LUCIA'!N8</f>
        <v>2</v>
      </c>
      <c r="P74" s="2">
        <f>'SANTA LUCIA'!O8</f>
        <v>0</v>
      </c>
      <c r="Q74" s="2">
        <f>'SANTA LUCIA'!P8</f>
        <v>0</v>
      </c>
      <c r="R74" s="2">
        <f>'SANTA LUCIA'!Q8</f>
        <v>4</v>
      </c>
      <c r="S74" s="2">
        <f>'SANTA LUCIA'!R8</f>
        <v>2</v>
      </c>
      <c r="T74" s="2">
        <f>'SANTA LUCIA'!S8</f>
        <v>0</v>
      </c>
      <c r="U74" s="2">
        <f>'SANTA LUCIA'!T8</f>
        <v>3</v>
      </c>
      <c r="V74" s="2">
        <f>'SANTA LUCIA'!U8</f>
        <v>0</v>
      </c>
      <c r="W74" s="2">
        <f>'SANTA LUCIA'!V8</f>
        <v>0</v>
      </c>
      <c r="X74" s="2">
        <f>'SANTA LUCIA'!W8</f>
        <v>0</v>
      </c>
      <c r="Y74" s="2">
        <f>'SANTA LUCIA'!X8</f>
        <v>3</v>
      </c>
      <c r="Z74" s="2">
        <f>'SANTA LUCIA'!Y8</f>
        <v>6</v>
      </c>
      <c r="AA74" s="2">
        <f>'SANTA LUCIA'!Z8</f>
        <v>18</v>
      </c>
      <c r="AB74" s="2">
        <f>'SANTA LUCIA'!AA8</f>
        <v>15</v>
      </c>
      <c r="AC74" s="2">
        <f>'SANTA LUCIA'!AB8</f>
        <v>6</v>
      </c>
      <c r="AD74" s="2">
        <f>'SANTA LUCIA'!AC8</f>
        <v>15</v>
      </c>
      <c r="AE74" s="2">
        <f>'SANTA LUCIA'!AD8</f>
        <v>15</v>
      </c>
      <c r="AF74" s="2">
        <f>'SANTA LUCIA'!AE8</f>
        <v>9</v>
      </c>
      <c r="AG74" s="2">
        <f>'SANTA LUCIA'!AF8</f>
        <v>4</v>
      </c>
      <c r="AH74" s="2">
        <f>'SANTA LUCIA'!AG8</f>
        <v>0</v>
      </c>
      <c r="AI74" s="2">
        <f>'SANTA LUCIA'!AH8</f>
        <v>15</v>
      </c>
      <c r="AJ74" s="2">
        <f>'SANTA LUCIA'!AI8</f>
        <v>11</v>
      </c>
      <c r="AK74" s="2">
        <f>'SANTA LUCIA'!AJ8</f>
        <v>9</v>
      </c>
      <c r="AL74" s="2">
        <f>'SANTA LUCIA'!AK8</f>
        <v>6</v>
      </c>
      <c r="AM74" s="2">
        <f>'SANTA LUCIA'!AL8</f>
        <v>1</v>
      </c>
      <c r="AN74" s="2">
        <f>'SANTA LUCIA'!AM8</f>
        <v>17</v>
      </c>
      <c r="AO74" s="2">
        <f>'SANTA LUCIA'!AN8</f>
        <v>0</v>
      </c>
      <c r="AP74" s="2">
        <f>'SANTA LUCIA'!AO8</f>
        <v>16</v>
      </c>
      <c r="AQ74" s="2">
        <f>'SANTA LUCIA'!AP8</f>
        <v>9</v>
      </c>
      <c r="AR74" s="2" t="str">
        <f>'SANTA LUCIA'!AQ8</f>
        <v/>
      </c>
      <c r="AS74" s="2">
        <f>'SANTA LUCIA'!AR8</f>
        <v>5</v>
      </c>
      <c r="AT74" s="2">
        <f>'SANTA LUCIA'!AS8</f>
        <v>2</v>
      </c>
      <c r="AU74" s="2">
        <f>'SANTA LUCIA'!AT8</f>
        <v>17</v>
      </c>
      <c r="AV74" s="2">
        <f>'SANTA LUCIA'!AU8</f>
        <v>16</v>
      </c>
      <c r="AW74" s="2">
        <f>'SANTA LUCIA'!AV8</f>
        <v>11</v>
      </c>
      <c r="AX74" s="2">
        <f>'SANTA LUCIA'!AW8</f>
        <v>6</v>
      </c>
      <c r="AY74" s="2">
        <f>'SANTA LUCIA'!AX8</f>
        <v>19</v>
      </c>
      <c r="AZ74" s="2">
        <f>'SANTA LUCIA'!AY8</f>
        <v>19</v>
      </c>
      <c r="BA74" s="2">
        <f>'SANTA LUCIA'!AZ8</f>
        <v>16</v>
      </c>
      <c r="BB74" s="2">
        <f>'SANTA LUCIA'!BA8</f>
        <v>10</v>
      </c>
      <c r="BC74" s="2">
        <f>'SANTA LUCIA'!BB8</f>
        <v>7</v>
      </c>
      <c r="BD74" s="2">
        <f>'SANTA LUCIA'!BC8</f>
        <v>2</v>
      </c>
      <c r="BE74" s="2">
        <f>'SANTA LUCIA'!BD8</f>
        <v>2</v>
      </c>
      <c r="BF74" s="2">
        <f>'SANTA LUCIA'!BE8</f>
        <v>8</v>
      </c>
      <c r="BG74" s="2">
        <f>'SANTA LUCIA'!BF8</f>
        <v>0</v>
      </c>
      <c r="BH74" s="2">
        <f>'SANTA LUCIA'!BG8</f>
        <v>0</v>
      </c>
      <c r="BI74" s="2">
        <f>'SANTA LUCIA'!BH8</f>
        <v>0</v>
      </c>
      <c r="BJ74" s="2">
        <f>'SANTA LUCIA'!BI8</f>
        <v>7</v>
      </c>
      <c r="BK74" s="2">
        <f>'SANTA LUCIA'!BJ8</f>
        <v>1</v>
      </c>
      <c r="BL74" s="2">
        <f>'SANTA LUCIA'!BK8</f>
        <v>0</v>
      </c>
      <c r="BM74" s="2">
        <f>'SANTA LUCIA'!BL8</f>
        <v>2</v>
      </c>
      <c r="BN74" s="2">
        <f>'SANTA LUCIA'!BM8</f>
        <v>0</v>
      </c>
      <c r="BO74" s="2">
        <f>'SANTA LUCIA'!BN8</f>
        <v>16</v>
      </c>
      <c r="BP74" s="2">
        <f>'SANTA LUCIA'!BO8</f>
        <v>13</v>
      </c>
      <c r="BQ74" s="2">
        <f>'SANTA LUCIA'!BP8</f>
        <v>6</v>
      </c>
      <c r="BR74" s="2">
        <f>'SANTA LUCIA'!BQ8</f>
        <v>3</v>
      </c>
      <c r="BS74" s="2" t="str">
        <f>'SANTA LUCIA'!BR8</f>
        <v/>
      </c>
      <c r="BT74" s="2" t="str">
        <f>'SANTA LUCIA'!BS8</f>
        <v/>
      </c>
      <c r="BU74" s="2" t="str">
        <f>'SANTA LUCIA'!BT8</f>
        <v/>
      </c>
      <c r="BV74" s="2" t="str">
        <f>'SANTA LUCIA'!BU8</f>
        <v/>
      </c>
      <c r="BW74" s="2"/>
    </row>
    <row r="75">
      <c r="A75" s="2"/>
      <c r="B75" s="2" t="str">
        <f>'SANTA LUCIA'!A9</f>
        <v>Santa Lucia</v>
      </c>
      <c r="C75" s="2" t="str">
        <f>'SANTA LUCIA'!B9</f>
        <v>Cafeteria</v>
      </c>
      <c r="D75" s="2" t="str">
        <f>'SANTA LUCIA'!C9</f>
        <v>Leche Liquida</v>
      </c>
      <c r="E75" s="2" t="str">
        <f>'SANTA LUCIA'!D9</f>
        <v/>
      </c>
      <c r="F75" s="2" t="str">
        <f>'SANTA LUCIA'!E9</f>
        <v/>
      </c>
      <c r="G75" s="2" t="str">
        <f>'SANTA LUCIA'!F9</f>
        <v/>
      </c>
      <c r="H75" s="2" t="str">
        <f>'SANTA LUCIA'!G9</f>
        <v/>
      </c>
      <c r="I75" s="2" t="str">
        <f>'SANTA LUCIA'!H9</f>
        <v/>
      </c>
      <c r="J75" s="2" t="str">
        <f>'SANTA LUCIA'!I9</f>
        <v/>
      </c>
      <c r="K75" s="2" t="str">
        <f>'SANTA LUCIA'!J9</f>
        <v/>
      </c>
      <c r="L75" s="2" t="str">
        <f>'SANTA LUCIA'!K9</f>
        <v/>
      </c>
      <c r="M75" s="2" t="str">
        <f>'SANTA LUCIA'!L9</f>
        <v/>
      </c>
      <c r="N75" s="2" t="str">
        <f>'SANTA LUCIA'!M9</f>
        <v/>
      </c>
      <c r="O75" s="2" t="str">
        <f>'SANTA LUCIA'!N9</f>
        <v/>
      </c>
      <c r="P75" s="2" t="str">
        <f>'SANTA LUCIA'!O9</f>
        <v/>
      </c>
      <c r="Q75" s="2" t="str">
        <f>'SANTA LUCIA'!P9</f>
        <v/>
      </c>
      <c r="R75" s="2" t="str">
        <f>'SANTA LUCIA'!Q9</f>
        <v/>
      </c>
      <c r="S75" s="2" t="str">
        <f>'SANTA LUCIA'!R9</f>
        <v/>
      </c>
      <c r="T75" s="2" t="str">
        <f>'SANTA LUCIA'!S9</f>
        <v/>
      </c>
      <c r="U75" s="2" t="str">
        <f>'SANTA LUCIA'!T9</f>
        <v/>
      </c>
      <c r="V75" s="2" t="str">
        <f>'SANTA LUCIA'!U9</f>
        <v/>
      </c>
      <c r="W75" s="2" t="str">
        <f>'SANTA LUCIA'!V9</f>
        <v/>
      </c>
      <c r="X75" s="2" t="str">
        <f>'SANTA LUCIA'!W9</f>
        <v/>
      </c>
      <c r="Y75" s="2" t="str">
        <f>'SANTA LUCIA'!X9</f>
        <v/>
      </c>
      <c r="Z75" s="2">
        <f>'SANTA LUCIA'!Y9</f>
        <v>0</v>
      </c>
      <c r="AA75" s="2">
        <f>'SANTA LUCIA'!Z9</f>
        <v>23</v>
      </c>
      <c r="AB75" s="2">
        <f>'SANTA LUCIA'!AA9</f>
        <v>15</v>
      </c>
      <c r="AC75" s="2">
        <f>'SANTA LUCIA'!AB9</f>
        <v>7</v>
      </c>
      <c r="AD75" s="2">
        <f>'SANTA LUCIA'!AC9</f>
        <v>27</v>
      </c>
      <c r="AE75" s="2">
        <f>'SANTA LUCIA'!AD9</f>
        <v>24</v>
      </c>
      <c r="AF75" s="2">
        <f>'SANTA LUCIA'!AE9</f>
        <v>19</v>
      </c>
      <c r="AG75" s="2">
        <f>'SANTA LUCIA'!AF9</f>
        <v>12</v>
      </c>
      <c r="AH75" s="2">
        <f>'SANTA LUCIA'!AG9</f>
        <v>10</v>
      </c>
      <c r="AI75" s="2">
        <f>'SANTA LUCIA'!AH9</f>
        <v>22</v>
      </c>
      <c r="AJ75" s="2">
        <f>'SANTA LUCIA'!AI9</f>
        <v>20</v>
      </c>
      <c r="AK75" s="2">
        <f>'SANTA LUCIA'!AJ9</f>
        <v>13</v>
      </c>
      <c r="AL75" s="2">
        <f>'SANTA LUCIA'!AK9</f>
        <v>9</v>
      </c>
      <c r="AM75" s="2">
        <f>'SANTA LUCIA'!AL9</f>
        <v>5</v>
      </c>
      <c r="AN75" s="2">
        <f>'SANTA LUCIA'!AM9</f>
        <v>23</v>
      </c>
      <c r="AO75" s="2">
        <f>'SANTA LUCIA'!AN9</f>
        <v>0</v>
      </c>
      <c r="AP75" s="2">
        <f>'SANTA LUCIA'!AO9</f>
        <v>16</v>
      </c>
      <c r="AQ75" s="2">
        <f>'SANTA LUCIA'!AP9</f>
        <v>11</v>
      </c>
      <c r="AR75" s="2" t="str">
        <f>'SANTA LUCIA'!AQ9</f>
        <v/>
      </c>
      <c r="AS75" s="2">
        <f>'SANTA LUCIA'!AR9</f>
        <v>2</v>
      </c>
      <c r="AT75" s="2">
        <f>'SANTA LUCIA'!AS9</f>
        <v>0</v>
      </c>
      <c r="AU75" s="2">
        <f>'SANTA LUCIA'!AT9</f>
        <v>9</v>
      </c>
      <c r="AV75" s="2">
        <f>'SANTA LUCIA'!AU9</f>
        <v>8</v>
      </c>
      <c r="AW75" s="2">
        <f>'SANTA LUCIA'!AV9</f>
        <v>3</v>
      </c>
      <c r="AX75" s="2">
        <f>'SANTA LUCIA'!AW9</f>
        <v>0</v>
      </c>
      <c r="AY75" s="2">
        <f>'SANTA LUCIA'!AX9</f>
        <v>23</v>
      </c>
      <c r="AZ75" s="2">
        <f>'SANTA LUCIA'!AY9</f>
        <v>21</v>
      </c>
      <c r="BA75" s="2">
        <f>'SANTA LUCIA'!AZ9</f>
        <v>18</v>
      </c>
      <c r="BB75" s="2">
        <f>'SANTA LUCIA'!BA9</f>
        <v>11</v>
      </c>
      <c r="BC75" s="2">
        <f>'SANTA LUCIA'!BB9</f>
        <v>6</v>
      </c>
      <c r="BD75" s="2">
        <f>'SANTA LUCIA'!BC9</f>
        <v>2</v>
      </c>
      <c r="BE75" s="2">
        <f>'SANTA LUCIA'!BD9</f>
        <v>0</v>
      </c>
      <c r="BF75" s="2">
        <f>'SANTA LUCIA'!BE9</f>
        <v>21</v>
      </c>
      <c r="BG75" s="2">
        <f>'SANTA LUCIA'!BF9</f>
        <v>14</v>
      </c>
      <c r="BH75" s="2">
        <f>'SANTA LUCIA'!BG9</f>
        <v>9</v>
      </c>
      <c r="BI75" s="2">
        <f>'SANTA LUCIA'!BH9</f>
        <v>30</v>
      </c>
      <c r="BJ75" s="2">
        <f>'SANTA LUCIA'!BI9</f>
        <v>26</v>
      </c>
      <c r="BK75" s="2">
        <f>'SANTA LUCIA'!BJ9</f>
        <v>16</v>
      </c>
      <c r="BL75" s="2">
        <f>'SANTA LUCIA'!BK9</f>
        <v>12</v>
      </c>
      <c r="BM75" s="2">
        <f>'SANTA LUCIA'!BL9</f>
        <v>8</v>
      </c>
      <c r="BN75" s="2">
        <f>'SANTA LUCIA'!BM9</f>
        <v>0</v>
      </c>
      <c r="BO75" s="2">
        <f>'SANTA LUCIA'!BN9</f>
        <v>18</v>
      </c>
      <c r="BP75" s="2">
        <f>'SANTA LUCIA'!BO9</f>
        <v>16</v>
      </c>
      <c r="BQ75" s="2">
        <f>'SANTA LUCIA'!BP9</f>
        <v>10</v>
      </c>
      <c r="BR75" s="2">
        <f>'SANTA LUCIA'!BQ9</f>
        <v>7</v>
      </c>
      <c r="BS75" s="2" t="str">
        <f>'SANTA LUCIA'!BR9</f>
        <v/>
      </c>
      <c r="BT75" s="2" t="str">
        <f>'SANTA LUCIA'!BS9</f>
        <v/>
      </c>
      <c r="BU75" s="2" t="str">
        <f>'SANTA LUCIA'!BT9</f>
        <v/>
      </c>
      <c r="BV75" s="2" t="str">
        <f>'SANTA LUCIA'!BU9</f>
        <v/>
      </c>
      <c r="BW75" s="2"/>
    </row>
    <row r="76">
      <c r="A76" s="2"/>
      <c r="B76" s="2" t="str">
        <f>'SANTA LUCIA'!A10</f>
        <v>Santa Lucia</v>
      </c>
      <c r="C76" s="2" t="str">
        <f>'SANTA LUCIA'!B10</f>
        <v>Cafeteria</v>
      </c>
      <c r="D76" s="2" t="str">
        <f>'SANTA LUCIA'!C10</f>
        <v>Cafe Granulado</v>
      </c>
      <c r="E76" s="2" t="str">
        <f>'SANTA LUCIA'!D10</f>
        <v/>
      </c>
      <c r="F76" s="2" t="str">
        <f>'SANTA LUCIA'!E10</f>
        <v/>
      </c>
      <c r="G76" s="2" t="str">
        <f>'SANTA LUCIA'!F10</f>
        <v/>
      </c>
      <c r="H76" s="2" t="str">
        <f>'SANTA LUCIA'!G10</f>
        <v/>
      </c>
      <c r="I76" s="2" t="str">
        <f>'SANTA LUCIA'!H10</f>
        <v/>
      </c>
      <c r="J76" s="2" t="str">
        <f>'SANTA LUCIA'!I10</f>
        <v/>
      </c>
      <c r="K76" s="2" t="str">
        <f>'SANTA LUCIA'!J10</f>
        <v/>
      </c>
      <c r="L76" s="2" t="str">
        <f>'SANTA LUCIA'!K10</f>
        <v/>
      </c>
      <c r="M76" s="2" t="str">
        <f>'SANTA LUCIA'!L10</f>
        <v/>
      </c>
      <c r="N76" s="2" t="str">
        <f>'SANTA LUCIA'!M10</f>
        <v/>
      </c>
      <c r="O76" s="2" t="str">
        <f>'SANTA LUCIA'!N10</f>
        <v/>
      </c>
      <c r="P76" s="2" t="str">
        <f>'SANTA LUCIA'!O10</f>
        <v/>
      </c>
      <c r="Q76" s="2" t="str">
        <f>'SANTA LUCIA'!P10</f>
        <v/>
      </c>
      <c r="R76" s="2" t="str">
        <f>'SANTA LUCIA'!Q10</f>
        <v/>
      </c>
      <c r="S76" s="2" t="str">
        <f>'SANTA LUCIA'!R10</f>
        <v/>
      </c>
      <c r="T76" s="2" t="str">
        <f>'SANTA LUCIA'!S10</f>
        <v/>
      </c>
      <c r="U76" s="2" t="str">
        <f>'SANTA LUCIA'!T10</f>
        <v/>
      </c>
      <c r="V76" s="2" t="str">
        <f>'SANTA LUCIA'!U10</f>
        <v/>
      </c>
      <c r="W76" s="2" t="str">
        <f>'SANTA LUCIA'!V10</f>
        <v/>
      </c>
      <c r="X76" s="2" t="str">
        <f>'SANTA LUCIA'!W10</f>
        <v/>
      </c>
      <c r="Y76" s="2" t="str">
        <f>'SANTA LUCIA'!X10</f>
        <v/>
      </c>
      <c r="Z76" s="2" t="str">
        <f>'SANTA LUCIA'!Y10</f>
        <v/>
      </c>
      <c r="AA76" s="2" t="str">
        <f>'SANTA LUCIA'!Z10</f>
        <v/>
      </c>
      <c r="AB76" s="2" t="str">
        <f>'SANTA LUCIA'!AA10</f>
        <v/>
      </c>
      <c r="AC76" s="2" t="str">
        <f>'SANTA LUCIA'!AB10</f>
        <v/>
      </c>
      <c r="AD76" s="2" t="str">
        <f>'SANTA LUCIA'!AC10</f>
        <v/>
      </c>
      <c r="AE76" s="2" t="str">
        <f>'SANTA LUCIA'!AD10</f>
        <v/>
      </c>
      <c r="AF76" s="2" t="str">
        <f>'SANTA LUCIA'!AE10</f>
        <v/>
      </c>
      <c r="AG76" s="2" t="str">
        <f>'SANTA LUCIA'!AF10</f>
        <v/>
      </c>
      <c r="AH76" s="2" t="str">
        <f>'SANTA LUCIA'!AG10</f>
        <v/>
      </c>
      <c r="AI76" s="2" t="str">
        <f>'SANTA LUCIA'!AH10</f>
        <v/>
      </c>
      <c r="AJ76" s="2" t="str">
        <f>'SANTA LUCIA'!AI10</f>
        <v/>
      </c>
      <c r="AK76" s="2" t="str">
        <f>'SANTA LUCIA'!AJ10</f>
        <v/>
      </c>
      <c r="AL76" s="2" t="str">
        <f>'SANTA LUCIA'!AK10</f>
        <v/>
      </c>
      <c r="AM76" s="2" t="str">
        <f>'SANTA LUCIA'!AL10</f>
        <v/>
      </c>
      <c r="AN76" s="2" t="str">
        <f>'SANTA LUCIA'!AM10</f>
        <v/>
      </c>
      <c r="AO76" s="2" t="str">
        <f>'SANTA LUCIA'!AN10</f>
        <v/>
      </c>
      <c r="AP76" s="2" t="str">
        <f>'SANTA LUCIA'!AO10</f>
        <v/>
      </c>
      <c r="AQ76" s="2" t="str">
        <f>'SANTA LUCIA'!AP10</f>
        <v/>
      </c>
      <c r="AR76" s="2" t="str">
        <f>'SANTA LUCIA'!AQ10</f>
        <v/>
      </c>
      <c r="AS76" s="2" t="str">
        <f>'SANTA LUCIA'!AR10</f>
        <v/>
      </c>
      <c r="AT76" s="2" t="str">
        <f>'SANTA LUCIA'!AS10</f>
        <v/>
      </c>
      <c r="AU76" s="2" t="str">
        <f>'SANTA LUCIA'!AT10</f>
        <v/>
      </c>
      <c r="AV76" s="2" t="str">
        <f>'SANTA LUCIA'!AU10</f>
        <v/>
      </c>
      <c r="AW76" s="2" t="str">
        <f>'SANTA LUCIA'!AV10</f>
        <v/>
      </c>
      <c r="AX76" s="2" t="str">
        <f>'SANTA LUCIA'!AW10</f>
        <v/>
      </c>
      <c r="AY76" s="2" t="str">
        <f>'SANTA LUCIA'!AX10</f>
        <v/>
      </c>
      <c r="AZ76" s="2" t="str">
        <f>'SANTA LUCIA'!AY10</f>
        <v/>
      </c>
      <c r="BA76" s="2" t="str">
        <f>'SANTA LUCIA'!AZ10</f>
        <v/>
      </c>
      <c r="BB76" s="2" t="str">
        <f>'SANTA LUCIA'!BA10</f>
        <v/>
      </c>
      <c r="BC76" s="2" t="str">
        <f>'SANTA LUCIA'!BB10</f>
        <v/>
      </c>
      <c r="BD76" s="2" t="str">
        <f>'SANTA LUCIA'!BC10</f>
        <v/>
      </c>
      <c r="BE76" s="2" t="str">
        <f>'SANTA LUCIA'!BD10</f>
        <v/>
      </c>
      <c r="BF76" s="2" t="str">
        <f>'SANTA LUCIA'!BE10</f>
        <v/>
      </c>
      <c r="BG76" s="2" t="str">
        <f>'SANTA LUCIA'!BF10</f>
        <v/>
      </c>
      <c r="BH76" s="2" t="str">
        <f>'SANTA LUCIA'!BG10</f>
        <v/>
      </c>
      <c r="BI76" s="2" t="str">
        <f>'SANTA LUCIA'!BH10</f>
        <v/>
      </c>
      <c r="BJ76" s="2" t="str">
        <f>'SANTA LUCIA'!BI10</f>
        <v/>
      </c>
      <c r="BK76" s="2" t="str">
        <f>'SANTA LUCIA'!BJ10</f>
        <v/>
      </c>
      <c r="BL76" s="2" t="str">
        <f>'SANTA LUCIA'!BK10</f>
        <v/>
      </c>
      <c r="BM76" s="2" t="str">
        <f>'SANTA LUCIA'!BL10</f>
        <v/>
      </c>
      <c r="BN76" s="2" t="str">
        <f>'SANTA LUCIA'!BM10</f>
        <v/>
      </c>
      <c r="BO76" s="2">
        <f>'SANTA LUCIA'!BN10</f>
        <v>3</v>
      </c>
      <c r="BP76" s="2">
        <f>'SANTA LUCIA'!BO10</f>
        <v>3</v>
      </c>
      <c r="BQ76" s="2">
        <f>'SANTA LUCIA'!BP10</f>
        <v>2</v>
      </c>
      <c r="BR76" s="2">
        <f>'SANTA LUCIA'!BQ10</f>
        <v>2</v>
      </c>
      <c r="BS76" s="2" t="str">
        <f>'SANTA LUCIA'!BR10</f>
        <v/>
      </c>
      <c r="BT76" s="2" t="str">
        <f>'SANTA LUCIA'!BS10</f>
        <v/>
      </c>
      <c r="BU76" s="2" t="str">
        <f>'SANTA LUCIA'!BT10</f>
        <v/>
      </c>
      <c r="BV76" s="2" t="str">
        <f>'SANTA LUCIA'!BU10</f>
        <v/>
      </c>
      <c r="BW76" s="2"/>
    </row>
    <row r="77">
      <c r="A77" s="2"/>
      <c r="B77" s="2" t="str">
        <f>'SANTA LUCIA'!A11</f>
        <v>Santa Lucia</v>
      </c>
      <c r="C77" s="2" t="str">
        <f>'SANTA LUCIA'!B11</f>
        <v>Cafeteria</v>
      </c>
      <c r="D77" s="2" t="str">
        <f>'SANTA LUCIA'!C11</f>
        <v>Endulzante </v>
      </c>
      <c r="E77" s="2" t="str">
        <f>'SANTA LUCIA'!D11</f>
        <v/>
      </c>
      <c r="F77" s="2" t="str">
        <f>'SANTA LUCIA'!E11</f>
        <v/>
      </c>
      <c r="G77" s="2" t="str">
        <f>'SANTA LUCIA'!F11</f>
        <v/>
      </c>
      <c r="H77" s="2" t="str">
        <f>'SANTA LUCIA'!G11</f>
        <v/>
      </c>
      <c r="I77" s="2" t="str">
        <f>'SANTA LUCIA'!H11</f>
        <v/>
      </c>
      <c r="J77" s="2" t="str">
        <f>'SANTA LUCIA'!I11</f>
        <v/>
      </c>
      <c r="K77" s="2" t="str">
        <f>'SANTA LUCIA'!J11</f>
        <v/>
      </c>
      <c r="L77" s="2" t="str">
        <f>'SANTA LUCIA'!K11</f>
        <v/>
      </c>
      <c r="M77" s="2" t="str">
        <f>'SANTA LUCIA'!L11</f>
        <v/>
      </c>
      <c r="N77" s="2" t="str">
        <f>'SANTA LUCIA'!M11</f>
        <v/>
      </c>
      <c r="O77" s="2" t="str">
        <f>'SANTA LUCIA'!N11</f>
        <v/>
      </c>
      <c r="P77" s="2" t="str">
        <f>'SANTA LUCIA'!O11</f>
        <v/>
      </c>
      <c r="Q77" s="2" t="str">
        <f>'SANTA LUCIA'!P11</f>
        <v/>
      </c>
      <c r="R77" s="2" t="str">
        <f>'SANTA LUCIA'!Q11</f>
        <v>Sin nova 12/09</v>
      </c>
      <c r="S77" s="2" t="str">
        <f>'SANTA LUCIA'!R11</f>
        <v/>
      </c>
      <c r="T77" s="2" t="str">
        <f>'SANTA LUCIA'!S11</f>
        <v/>
      </c>
      <c r="U77" s="2" t="str">
        <f>'SANTA LUCIA'!T11</f>
        <v>sin servilletas ni café instantaneo 02/10</v>
      </c>
      <c r="V77" s="2" t="str">
        <f>'SANTA LUCIA'!U11</f>
        <v/>
      </c>
      <c r="W77" s="2" t="str">
        <f>'SANTA LUCIA'!V11</f>
        <v/>
      </c>
      <c r="X77" s="2" t="str">
        <f>'SANTA LUCIA'!W11</f>
        <v/>
      </c>
      <c r="Y77" s="2" t="str">
        <f>'SANTA LUCIA'!X11</f>
        <v/>
      </c>
      <c r="Z77" s="2">
        <f>'SANTA LUCIA'!Y11</f>
        <v>0</v>
      </c>
      <c r="AA77" s="2">
        <f>'SANTA LUCIA'!Z11</f>
        <v>2</v>
      </c>
      <c r="AB77" s="2">
        <f>'SANTA LUCIA'!AA11</f>
        <v>1</v>
      </c>
      <c r="AC77" s="2">
        <f>'SANTA LUCIA'!AB11</f>
        <v>0</v>
      </c>
      <c r="AD77" s="2">
        <f>'SANTA LUCIA'!AC11</f>
        <v>2</v>
      </c>
      <c r="AE77" s="2">
        <f>'SANTA LUCIA'!AD11</f>
        <v>2</v>
      </c>
      <c r="AF77" s="2">
        <f>'SANTA LUCIA'!AE11</f>
        <v>2</v>
      </c>
      <c r="AG77" s="2">
        <f>'SANTA LUCIA'!AF11</f>
        <v>2</v>
      </c>
      <c r="AH77" s="2">
        <f>'SANTA LUCIA'!AG11</f>
        <v>1</v>
      </c>
      <c r="AI77" s="2">
        <f>'SANTA LUCIA'!AH11</f>
        <v>3</v>
      </c>
      <c r="AJ77" s="2">
        <f>'SANTA LUCIA'!AI11</f>
        <v>2</v>
      </c>
      <c r="AK77" s="2">
        <f>'SANTA LUCIA'!AJ11</f>
        <v>2</v>
      </c>
      <c r="AL77" s="2">
        <f>'SANTA LUCIA'!AK11</f>
        <v>1</v>
      </c>
      <c r="AM77" s="2">
        <f>'SANTA LUCIA'!AL11</f>
        <v>1</v>
      </c>
      <c r="AN77" s="2">
        <f>'SANTA LUCIA'!AM11</f>
        <v>4</v>
      </c>
      <c r="AO77" s="2">
        <f>'SANTA LUCIA'!AN11</f>
        <v>1</v>
      </c>
      <c r="AP77" s="2">
        <f>'SANTA LUCIA'!AO11</f>
        <v>4</v>
      </c>
      <c r="AQ77" s="2">
        <f>'SANTA LUCIA'!AP11</f>
        <v>4</v>
      </c>
      <c r="AR77" s="2" t="str">
        <f>'SANTA LUCIA'!AQ11</f>
        <v/>
      </c>
      <c r="AS77" s="2">
        <f>'SANTA LUCIA'!AR11</f>
        <v>3</v>
      </c>
      <c r="AT77" s="2">
        <f>'SANTA LUCIA'!AS11</f>
        <v>2</v>
      </c>
      <c r="AU77" s="2">
        <f>'SANTA LUCIA'!AT11</f>
        <v>2</v>
      </c>
      <c r="AV77" s="2">
        <f>'SANTA LUCIA'!AU11</f>
        <v>2</v>
      </c>
      <c r="AW77" s="2">
        <f>'SANTA LUCIA'!AV11</f>
        <v>2</v>
      </c>
      <c r="AX77" s="2">
        <f>'SANTA LUCIA'!AW11</f>
        <v>2</v>
      </c>
      <c r="AY77" s="2">
        <f>'SANTA LUCIA'!AX11</f>
        <v>3</v>
      </c>
      <c r="AZ77" s="2">
        <f>'SANTA LUCIA'!AY11</f>
        <v>3</v>
      </c>
      <c r="BA77" s="2">
        <f>'SANTA LUCIA'!AZ11</f>
        <v>3</v>
      </c>
      <c r="BB77" s="2">
        <f>'SANTA LUCIA'!BA11</f>
        <v>3</v>
      </c>
      <c r="BC77" s="2">
        <f>'SANTA LUCIA'!BB11</f>
        <v>3</v>
      </c>
      <c r="BD77" s="2">
        <f>'SANTA LUCIA'!BC11</f>
        <v>2</v>
      </c>
      <c r="BE77" s="2">
        <f>'SANTA LUCIA'!BD11</f>
        <v>2</v>
      </c>
      <c r="BF77" s="2">
        <f>'SANTA LUCIA'!BE11</f>
        <v>2</v>
      </c>
      <c r="BG77" s="2">
        <f>'SANTA LUCIA'!BF11</f>
        <v>0</v>
      </c>
      <c r="BH77" s="2">
        <f>'SANTA LUCIA'!BG11</f>
        <v>0</v>
      </c>
      <c r="BI77" s="2">
        <f>'SANTA LUCIA'!BH11</f>
        <v>0</v>
      </c>
      <c r="BJ77" s="2">
        <f>'SANTA LUCIA'!BI11</f>
        <v>0</v>
      </c>
      <c r="BK77" s="2">
        <f>'SANTA LUCIA'!BJ11</f>
        <v>0</v>
      </c>
      <c r="BL77" s="2">
        <f>'SANTA LUCIA'!BK11</f>
        <v>0</v>
      </c>
      <c r="BM77" s="2">
        <f>'SANTA LUCIA'!BL11</f>
        <v>0</v>
      </c>
      <c r="BN77" s="2">
        <f>'SANTA LUCIA'!BM11</f>
        <v>0</v>
      </c>
      <c r="BO77" s="2">
        <f>'SANTA LUCIA'!BN11</f>
        <v>3</v>
      </c>
      <c r="BP77" s="2">
        <f>'SANTA LUCIA'!BO11</f>
        <v>3</v>
      </c>
      <c r="BQ77" s="2">
        <f>'SANTA LUCIA'!BP11</f>
        <v>3</v>
      </c>
      <c r="BR77" s="2">
        <f>'SANTA LUCIA'!BQ11</f>
        <v>2</v>
      </c>
      <c r="BS77" s="2" t="str">
        <f>'SANTA LUCIA'!BR11</f>
        <v/>
      </c>
      <c r="BT77" s="2" t="str">
        <f>'SANTA LUCIA'!BS11</f>
        <v/>
      </c>
      <c r="BU77" s="2" t="str">
        <f>'SANTA LUCIA'!BT11</f>
        <v/>
      </c>
      <c r="BV77" s="2" t="str">
        <f>'SANTA LUCIA'!BU11</f>
        <v/>
      </c>
      <c r="BW77" s="2"/>
    </row>
    <row r="78">
      <c r="A78" s="2"/>
      <c r="B78" s="2" t="str">
        <f>'SANTA LUCIA'!A12</f>
        <v>Santa Lucia</v>
      </c>
      <c r="C78" s="2" t="str">
        <f>'SANTA LUCIA'!B12</f>
        <v>Cafeteria</v>
      </c>
      <c r="D78" s="2" t="str">
        <f>'SANTA LUCIA'!C12</f>
        <v>Azucar kg</v>
      </c>
      <c r="E78" s="2" t="str">
        <f>'SANTA LUCIA'!D12</f>
        <v/>
      </c>
      <c r="F78" s="2" t="str">
        <f>'SANTA LUCIA'!E12</f>
        <v/>
      </c>
      <c r="G78" s="2" t="str">
        <f>'SANTA LUCIA'!F12</f>
        <v/>
      </c>
      <c r="H78" s="2" t="str">
        <f>'SANTA LUCIA'!G12</f>
        <v/>
      </c>
      <c r="I78" s="2" t="str">
        <f>'SANTA LUCIA'!H12</f>
        <v/>
      </c>
      <c r="J78" s="2" t="str">
        <f>'SANTA LUCIA'!I12</f>
        <v/>
      </c>
      <c r="K78" s="2" t="str">
        <f>'SANTA LUCIA'!J12</f>
        <v/>
      </c>
      <c r="L78" s="2" t="str">
        <f>'SANTA LUCIA'!K12</f>
        <v/>
      </c>
      <c r="M78" s="2" t="str">
        <f>'SANTA LUCIA'!L12</f>
        <v/>
      </c>
      <c r="N78" s="2" t="str">
        <f>'SANTA LUCIA'!M12</f>
        <v/>
      </c>
      <c r="O78" s="2" t="str">
        <f>'SANTA LUCIA'!N12</f>
        <v/>
      </c>
      <c r="P78" s="2" t="str">
        <f>'SANTA LUCIA'!O12</f>
        <v/>
      </c>
      <c r="Q78" s="2" t="str">
        <f>'SANTA LUCIA'!P12</f>
        <v/>
      </c>
      <c r="R78" s="2" t="str">
        <f>'SANTA LUCIA'!Q12</f>
        <v/>
      </c>
      <c r="S78" s="2" t="str">
        <f>'SANTA LUCIA'!R12</f>
        <v/>
      </c>
      <c r="T78" s="2" t="str">
        <f>'SANTA LUCIA'!S12</f>
        <v/>
      </c>
      <c r="U78" s="2" t="str">
        <f>'SANTA LUCIA'!T12</f>
        <v/>
      </c>
      <c r="V78" s="2" t="str">
        <f>'SANTA LUCIA'!U12</f>
        <v/>
      </c>
      <c r="W78" s="2" t="str">
        <f>'SANTA LUCIA'!V12</f>
        <v/>
      </c>
      <c r="X78" s="2" t="str">
        <f>'SANTA LUCIA'!W12</f>
        <v/>
      </c>
      <c r="Y78" s="2" t="str">
        <f>'SANTA LUCIA'!X12</f>
        <v/>
      </c>
      <c r="Z78" s="2" t="str">
        <f>'SANTA LUCIA'!Y12</f>
        <v/>
      </c>
      <c r="AA78" s="2" t="str">
        <f>'SANTA LUCIA'!Z12</f>
        <v/>
      </c>
      <c r="AB78" s="2" t="str">
        <f>'SANTA LUCIA'!AA12</f>
        <v/>
      </c>
      <c r="AC78" s="2" t="str">
        <f>'SANTA LUCIA'!AB12</f>
        <v/>
      </c>
      <c r="AD78" s="2" t="str">
        <f>'SANTA LUCIA'!AC12</f>
        <v/>
      </c>
      <c r="AE78" s="2" t="str">
        <f>'SANTA LUCIA'!AD12</f>
        <v/>
      </c>
      <c r="AF78" s="2" t="str">
        <f>'SANTA LUCIA'!AE12</f>
        <v/>
      </c>
      <c r="AG78" s="2" t="str">
        <f>'SANTA LUCIA'!AF12</f>
        <v/>
      </c>
      <c r="AH78" s="2" t="str">
        <f>'SANTA LUCIA'!AG12</f>
        <v/>
      </c>
      <c r="AI78" s="2" t="str">
        <f>'SANTA LUCIA'!AH12</f>
        <v/>
      </c>
      <c r="AJ78" s="2" t="str">
        <f>'SANTA LUCIA'!AI12</f>
        <v/>
      </c>
      <c r="AK78" s="2" t="str">
        <f>'SANTA LUCIA'!AJ12</f>
        <v/>
      </c>
      <c r="AL78" s="2" t="str">
        <f>'SANTA LUCIA'!AK12</f>
        <v/>
      </c>
      <c r="AM78" s="2" t="str">
        <f>'SANTA LUCIA'!AL12</f>
        <v/>
      </c>
      <c r="AN78" s="2" t="str">
        <f>'SANTA LUCIA'!AM12</f>
        <v/>
      </c>
      <c r="AO78" s="2" t="str">
        <f>'SANTA LUCIA'!AN12</f>
        <v/>
      </c>
      <c r="AP78" s="2" t="str">
        <f>'SANTA LUCIA'!AO12</f>
        <v/>
      </c>
      <c r="AQ78" s="2" t="str">
        <f>'SANTA LUCIA'!AP12</f>
        <v/>
      </c>
      <c r="AR78" s="2" t="str">
        <f>'SANTA LUCIA'!AQ12</f>
        <v/>
      </c>
      <c r="AS78" s="2" t="str">
        <f>'SANTA LUCIA'!AR12</f>
        <v/>
      </c>
      <c r="AT78" s="2" t="str">
        <f>'SANTA LUCIA'!AS12</f>
        <v/>
      </c>
      <c r="AU78" s="2" t="str">
        <f>'SANTA LUCIA'!AT12</f>
        <v/>
      </c>
      <c r="AV78" s="2" t="str">
        <f>'SANTA LUCIA'!AU12</f>
        <v/>
      </c>
      <c r="AW78" s="2">
        <f>'SANTA LUCIA'!AV12</f>
        <v>0</v>
      </c>
      <c r="AX78" s="2">
        <f>'SANTA LUCIA'!AW12</f>
        <v>0</v>
      </c>
      <c r="AY78" s="2">
        <f>'SANTA LUCIA'!AX12</f>
        <v>0</v>
      </c>
      <c r="AZ78" s="2">
        <f>'SANTA LUCIA'!AY12</f>
        <v>0</v>
      </c>
      <c r="BA78" s="2">
        <f>'SANTA LUCIA'!AZ12</f>
        <v>0</v>
      </c>
      <c r="BB78" s="2">
        <f>'SANTA LUCIA'!BA12</f>
        <v>0</v>
      </c>
      <c r="BC78" s="2">
        <f>'SANTA LUCIA'!BB12</f>
        <v>0</v>
      </c>
      <c r="BD78" s="2">
        <f>'SANTA LUCIA'!BC12</f>
        <v>0</v>
      </c>
      <c r="BE78" s="2">
        <f>'SANTA LUCIA'!BD12</f>
        <v>0</v>
      </c>
      <c r="BF78" s="2">
        <f>'SANTA LUCIA'!BE12</f>
        <v>0</v>
      </c>
      <c r="BG78" s="2">
        <f>'SANTA LUCIA'!BF12</f>
        <v>0</v>
      </c>
      <c r="BH78" s="2">
        <f>'SANTA LUCIA'!BG12</f>
        <v>0</v>
      </c>
      <c r="BI78" s="2" t="str">
        <f>'SANTA LUCIA'!BH12</f>
        <v>1 caja</v>
      </c>
      <c r="BJ78" s="2" t="str">
        <f>'SANTA LUCIA'!BI12</f>
        <v>1 caja</v>
      </c>
      <c r="BK78" s="2" t="str">
        <f>'SANTA LUCIA'!BJ12</f>
        <v>1 caja</v>
      </c>
      <c r="BL78" s="2" t="str">
        <f>'SANTA LUCIA'!BK12</f>
        <v>1 caja</v>
      </c>
      <c r="BM78" s="2">
        <f>'SANTA LUCIA'!BL12</f>
        <v>2</v>
      </c>
      <c r="BN78" s="2">
        <f>'SANTA LUCIA'!BM12</f>
        <v>0</v>
      </c>
      <c r="BO78" s="2" t="str">
        <f>'SANTA LUCIA'!BN12</f>
        <v>1 caja</v>
      </c>
      <c r="BP78" s="2" t="str">
        <f>'SANTA LUCIA'!BO12</f>
        <v>1/2 caja</v>
      </c>
      <c r="BQ78" s="2">
        <f>'SANTA LUCIA'!BP12</f>
        <v>0</v>
      </c>
      <c r="BR78" s="2">
        <f>'SANTA LUCIA'!BQ12</f>
        <v>0</v>
      </c>
      <c r="BS78" s="2" t="str">
        <f>'SANTA LUCIA'!BR12</f>
        <v/>
      </c>
      <c r="BT78" s="2" t="str">
        <f>'SANTA LUCIA'!BS12</f>
        <v/>
      </c>
      <c r="BU78" s="2" t="str">
        <f>'SANTA LUCIA'!BT12</f>
        <v/>
      </c>
      <c r="BV78" s="2" t="str">
        <f>'SANTA LUCIA'!BU12</f>
        <v/>
      </c>
      <c r="BW78" s="2"/>
    </row>
    <row r="79">
      <c r="A79" s="2"/>
      <c r="B79" s="2" t="str">
        <f>'SANTA LUCIA'!A13</f>
        <v>Santa Lucia</v>
      </c>
      <c r="C79" s="2" t="str">
        <f>'SANTA LUCIA'!B13</f>
        <v>Aseo</v>
      </c>
      <c r="D79" s="2" t="str">
        <f>'SANTA LUCIA'!C13</f>
        <v>Cloro Gel </v>
      </c>
      <c r="E79" s="2" t="str">
        <f>'SANTA LUCIA'!D13</f>
        <v/>
      </c>
      <c r="F79" s="2" t="str">
        <f>'SANTA LUCIA'!E13</f>
        <v/>
      </c>
      <c r="G79" s="2" t="str">
        <f>'SANTA LUCIA'!F13</f>
        <v/>
      </c>
      <c r="H79" s="2" t="str">
        <f>'SANTA LUCIA'!G13</f>
        <v/>
      </c>
      <c r="I79" s="2" t="str">
        <f>'SANTA LUCIA'!H13</f>
        <v/>
      </c>
      <c r="J79" s="2" t="str">
        <f>'SANTA LUCIA'!I13</f>
        <v/>
      </c>
      <c r="K79" s="2" t="str">
        <f>'SANTA LUCIA'!J13</f>
        <v/>
      </c>
      <c r="L79" s="2" t="str">
        <f>'SANTA LUCIA'!K13</f>
        <v/>
      </c>
      <c r="M79" s="2" t="str">
        <f>'SANTA LUCIA'!L13</f>
        <v/>
      </c>
      <c r="N79" s="2" t="str">
        <f>'SANTA LUCIA'!M13</f>
        <v/>
      </c>
      <c r="O79" s="2" t="str">
        <f>'SANTA LUCIA'!N13</f>
        <v/>
      </c>
      <c r="P79" s="2" t="str">
        <f>'SANTA LUCIA'!O13</f>
        <v/>
      </c>
      <c r="Q79" s="2" t="str">
        <f>'SANTA LUCIA'!P13</f>
        <v/>
      </c>
      <c r="R79" s="2" t="str">
        <f>'SANTA LUCIA'!Q13</f>
        <v/>
      </c>
      <c r="S79" s="2" t="str">
        <f>'SANTA LUCIA'!R13</f>
        <v/>
      </c>
      <c r="T79" s="2" t="str">
        <f>'SANTA LUCIA'!S13</f>
        <v/>
      </c>
      <c r="U79" s="2" t="str">
        <f>'SANTA LUCIA'!T13</f>
        <v/>
      </c>
      <c r="V79" s="2" t="str">
        <f>'SANTA LUCIA'!U13</f>
        <v/>
      </c>
      <c r="W79" s="2" t="str">
        <f>'SANTA LUCIA'!V13</f>
        <v/>
      </c>
      <c r="X79" s="2" t="str">
        <f>'SANTA LUCIA'!W13</f>
        <v>-</v>
      </c>
      <c r="Y79" s="2" t="str">
        <f>'SANTA LUCIA'!X13</f>
        <v>-</v>
      </c>
      <c r="Z79" s="2" t="str">
        <f>'SANTA LUCIA'!Y13</f>
        <v>-</v>
      </c>
      <c r="AA79" s="2" t="str">
        <f>'SANTA LUCIA'!Z13</f>
        <v>-</v>
      </c>
      <c r="AB79" s="2" t="str">
        <f>'SANTA LUCIA'!AA13</f>
        <v>-</v>
      </c>
      <c r="AC79" s="2">
        <f>'SANTA LUCIA'!AB13</f>
        <v>0</v>
      </c>
      <c r="AD79" s="2">
        <f>'SANTA LUCIA'!AC13</f>
        <v>2</v>
      </c>
      <c r="AE79" s="2">
        <f>'SANTA LUCIA'!AD13</f>
        <v>2</v>
      </c>
      <c r="AF79" s="2">
        <f>'SANTA LUCIA'!AE13</f>
        <v>1</v>
      </c>
      <c r="AG79" s="2">
        <f>'SANTA LUCIA'!AF13</f>
        <v>0</v>
      </c>
      <c r="AH79" s="2">
        <f>'SANTA LUCIA'!AG13</f>
        <v>0</v>
      </c>
      <c r="AI79" s="2">
        <f>'SANTA LUCIA'!AH13</f>
        <v>1</v>
      </c>
      <c r="AJ79" s="2">
        <f>'SANTA LUCIA'!AI13</f>
        <v>0</v>
      </c>
      <c r="AK79" s="2">
        <f>'SANTA LUCIA'!AJ13</f>
        <v>0</v>
      </c>
      <c r="AL79" s="2">
        <f>'SANTA LUCIA'!AK13</f>
        <v>0</v>
      </c>
      <c r="AM79" s="2">
        <f>'SANTA LUCIA'!AL13</f>
        <v>0</v>
      </c>
      <c r="AN79" s="2">
        <f>'SANTA LUCIA'!AM13</f>
        <v>1</v>
      </c>
      <c r="AO79" s="2">
        <f>'SANTA LUCIA'!AN13</f>
        <v>0</v>
      </c>
      <c r="AP79" s="2">
        <f>'SANTA LUCIA'!AO13</f>
        <v>1</v>
      </c>
      <c r="AQ79" s="2">
        <f>'SANTA LUCIA'!AP13</f>
        <v>0</v>
      </c>
      <c r="AR79" s="2" t="str">
        <f>'SANTA LUCIA'!AQ13</f>
        <v/>
      </c>
      <c r="AS79" s="2">
        <f>'SANTA LUCIA'!AR13</f>
        <v>0</v>
      </c>
      <c r="AT79" s="2">
        <f>'SANTA LUCIA'!AS13</f>
        <v>0</v>
      </c>
      <c r="AU79" s="2">
        <f>'SANTA LUCIA'!AT13</f>
        <v>1</v>
      </c>
      <c r="AV79" s="2">
        <f>'SANTA LUCIA'!AU13</f>
        <v>1</v>
      </c>
      <c r="AW79" s="2">
        <f>'SANTA LUCIA'!AV13</f>
        <v>1</v>
      </c>
      <c r="AX79" s="2">
        <f>'SANTA LUCIA'!AW13</f>
        <v>0</v>
      </c>
      <c r="AY79" s="2">
        <f>'SANTA LUCIA'!AX13</f>
        <v>2</v>
      </c>
      <c r="AZ79" s="2">
        <f>'SANTA LUCIA'!AY13</f>
        <v>1</v>
      </c>
      <c r="BA79" s="2">
        <f>'SANTA LUCIA'!AZ13</f>
        <v>1</v>
      </c>
      <c r="BB79" s="2">
        <f>'SANTA LUCIA'!BA13</f>
        <v>2</v>
      </c>
      <c r="BC79" s="2">
        <f>'SANTA LUCIA'!BB13</f>
        <v>1</v>
      </c>
      <c r="BD79" s="2">
        <f>'SANTA LUCIA'!BC13</f>
        <v>1</v>
      </c>
      <c r="BE79" s="2">
        <f>'SANTA LUCIA'!BD13</f>
        <v>1</v>
      </c>
      <c r="BF79" s="2">
        <f>'SANTA LUCIA'!BE13</f>
        <v>4</v>
      </c>
      <c r="BG79" s="2">
        <f>'SANTA LUCIA'!BF13</f>
        <v>0</v>
      </c>
      <c r="BH79" s="2">
        <f>'SANTA LUCIA'!BG13</f>
        <v>1</v>
      </c>
      <c r="BI79" s="2">
        <f>'SANTA LUCIA'!BH13</f>
        <v>2</v>
      </c>
      <c r="BJ79" s="2">
        <f>'SANTA LUCIA'!BI13</f>
        <v>2</v>
      </c>
      <c r="BK79" s="2">
        <f>'SANTA LUCIA'!BJ13</f>
        <v>1</v>
      </c>
      <c r="BL79" s="2">
        <f>'SANTA LUCIA'!BK13</f>
        <v>0</v>
      </c>
      <c r="BM79" s="2">
        <f>'SANTA LUCIA'!BL13</f>
        <v>0</v>
      </c>
      <c r="BN79" s="2">
        <f>'SANTA LUCIA'!BM13</f>
        <v>0</v>
      </c>
      <c r="BO79" s="2">
        <f>'SANTA LUCIA'!BN13</f>
        <v>1</v>
      </c>
      <c r="BP79" s="2">
        <f>'SANTA LUCIA'!BO13</f>
        <v>0</v>
      </c>
      <c r="BQ79" s="2">
        <f>'SANTA LUCIA'!BP13</f>
        <v>0</v>
      </c>
      <c r="BR79" s="2">
        <f>'SANTA LUCIA'!BQ13</f>
        <v>0</v>
      </c>
      <c r="BS79" s="2" t="str">
        <f>'SANTA LUCIA'!BR13</f>
        <v/>
      </c>
      <c r="BT79" s="2" t="str">
        <f>'SANTA LUCIA'!BS13</f>
        <v/>
      </c>
      <c r="BU79" s="2" t="str">
        <f>'SANTA LUCIA'!BT13</f>
        <v/>
      </c>
      <c r="BV79" s="2" t="str">
        <f>'SANTA LUCIA'!BU13</f>
        <v/>
      </c>
      <c r="BW79" s="2"/>
    </row>
    <row r="80">
      <c r="A80" s="2"/>
      <c r="B80" s="2" t="str">
        <f>'SANTA LUCIA'!A14</f>
        <v>Santa Lucia</v>
      </c>
      <c r="C80" s="2" t="str">
        <f>'SANTA LUCIA'!B14</f>
        <v>Aseo</v>
      </c>
      <c r="D80" s="2" t="str">
        <f>'SANTA LUCIA'!C14</f>
        <v>Limpia Piso </v>
      </c>
      <c r="E80" s="2" t="str">
        <f>'SANTA LUCIA'!D14</f>
        <v/>
      </c>
      <c r="F80" s="2" t="str">
        <f>'SANTA LUCIA'!E14</f>
        <v/>
      </c>
      <c r="G80" s="2" t="str">
        <f>'SANTA LUCIA'!F14</f>
        <v/>
      </c>
      <c r="H80" s="2" t="str">
        <f>'SANTA LUCIA'!G14</f>
        <v/>
      </c>
      <c r="I80" s="2" t="str">
        <f>'SANTA LUCIA'!H14</f>
        <v/>
      </c>
      <c r="J80" s="2" t="str">
        <f>'SANTA LUCIA'!I14</f>
        <v/>
      </c>
      <c r="K80" s="2" t="str">
        <f>'SANTA LUCIA'!J14</f>
        <v/>
      </c>
      <c r="L80" s="2" t="str">
        <f>'SANTA LUCIA'!K14</f>
        <v/>
      </c>
      <c r="M80" s="2" t="str">
        <f>'SANTA LUCIA'!L14</f>
        <v/>
      </c>
      <c r="N80" s="2" t="str">
        <f>'SANTA LUCIA'!M14</f>
        <v/>
      </c>
      <c r="O80" s="2" t="str">
        <f>'SANTA LUCIA'!N14</f>
        <v/>
      </c>
      <c r="P80" s="2" t="str">
        <f>'SANTA LUCIA'!O14</f>
        <v/>
      </c>
      <c r="Q80" s="2" t="str">
        <f>'SANTA LUCIA'!P14</f>
        <v/>
      </c>
      <c r="R80" s="2" t="str">
        <f>'SANTA LUCIA'!Q14</f>
        <v/>
      </c>
      <c r="S80" s="2" t="str">
        <f>'SANTA LUCIA'!R14</f>
        <v/>
      </c>
      <c r="T80" s="2" t="str">
        <f>'SANTA LUCIA'!S14</f>
        <v/>
      </c>
      <c r="U80" s="2" t="str">
        <f>'SANTA LUCIA'!T14</f>
        <v/>
      </c>
      <c r="V80" s="2" t="str">
        <f>'SANTA LUCIA'!U14</f>
        <v/>
      </c>
      <c r="W80" s="2" t="str">
        <f>'SANTA LUCIA'!V14</f>
        <v/>
      </c>
      <c r="X80" s="2" t="str">
        <f>'SANTA LUCIA'!W14</f>
        <v>-</v>
      </c>
      <c r="Y80" s="2" t="str">
        <f>'SANTA LUCIA'!X14</f>
        <v>-</v>
      </c>
      <c r="Z80" s="2" t="str">
        <f>'SANTA LUCIA'!Y14</f>
        <v>-</v>
      </c>
      <c r="AA80" s="2" t="str">
        <f>'SANTA LUCIA'!Z14</f>
        <v>-</v>
      </c>
      <c r="AB80" s="2" t="str">
        <f>'SANTA LUCIA'!AA14</f>
        <v>-</v>
      </c>
      <c r="AC80" s="2">
        <f>'SANTA LUCIA'!AB14</f>
        <v>1</v>
      </c>
      <c r="AD80" s="2">
        <f>'SANTA LUCIA'!AC14</f>
        <v>2</v>
      </c>
      <c r="AE80" s="2">
        <f>'SANTA LUCIA'!AD14</f>
        <v>2</v>
      </c>
      <c r="AF80" s="2">
        <f>'SANTA LUCIA'!AE14</f>
        <v>2</v>
      </c>
      <c r="AG80" s="2">
        <f>'SANTA LUCIA'!AF14</f>
        <v>2</v>
      </c>
      <c r="AH80" s="2">
        <f>'SANTA LUCIA'!AG14</f>
        <v>1</v>
      </c>
      <c r="AI80" s="2">
        <f>'SANTA LUCIA'!AH14</f>
        <v>3</v>
      </c>
      <c r="AJ80" s="2">
        <f>'SANTA LUCIA'!AI14</f>
        <v>2</v>
      </c>
      <c r="AK80" s="2">
        <f>'SANTA LUCIA'!AJ14</f>
        <v>3</v>
      </c>
      <c r="AL80" s="2">
        <f>'SANTA LUCIA'!AK14</f>
        <v>1</v>
      </c>
      <c r="AM80" s="2">
        <f>'SANTA LUCIA'!AL14</f>
        <v>1</v>
      </c>
      <c r="AN80" s="2">
        <f>'SANTA LUCIA'!AM14</f>
        <v>2</v>
      </c>
      <c r="AO80" s="2">
        <f>'SANTA LUCIA'!AN14</f>
        <v>1</v>
      </c>
      <c r="AP80" s="2">
        <f>'SANTA LUCIA'!AO14</f>
        <v>1</v>
      </c>
      <c r="AQ80" s="2">
        <f>'SANTA LUCIA'!AP14</f>
        <v>1</v>
      </c>
      <c r="AR80" s="2" t="str">
        <f>'SANTA LUCIA'!AQ14</f>
        <v/>
      </c>
      <c r="AS80" s="2">
        <f>'SANTA LUCIA'!AR14</f>
        <v>0</v>
      </c>
      <c r="AT80" s="2">
        <f>'SANTA LUCIA'!AS14</f>
        <v>0</v>
      </c>
      <c r="AU80" s="2">
        <f>'SANTA LUCIA'!AT14</f>
        <v>0</v>
      </c>
      <c r="AV80" s="2">
        <f>'SANTA LUCIA'!AU14</f>
        <v>0</v>
      </c>
      <c r="AW80" s="2">
        <f>'SANTA LUCIA'!AV14</f>
        <v>0</v>
      </c>
      <c r="AX80" s="2">
        <f>'SANTA LUCIA'!AW14</f>
        <v>0</v>
      </c>
      <c r="AY80" s="2">
        <f>'SANTA LUCIA'!AX14</f>
        <v>4</v>
      </c>
      <c r="AZ80" s="2">
        <f>'SANTA LUCIA'!AY14</f>
        <v>3</v>
      </c>
      <c r="BA80" s="2">
        <f>'SANTA LUCIA'!AZ14</f>
        <v>3</v>
      </c>
      <c r="BB80" s="2">
        <f>'SANTA LUCIA'!BA14</f>
        <v>5</v>
      </c>
      <c r="BC80" s="2">
        <f>'SANTA LUCIA'!BB14</f>
        <v>5</v>
      </c>
      <c r="BD80" s="2">
        <f>'SANTA LUCIA'!BC14</f>
        <v>3</v>
      </c>
      <c r="BE80" s="2">
        <f>'SANTA LUCIA'!BD14</f>
        <v>3</v>
      </c>
      <c r="BF80" s="2">
        <f>'SANTA LUCIA'!BE14</f>
        <v>2</v>
      </c>
      <c r="BG80" s="2">
        <f>'SANTA LUCIA'!BF14</f>
        <v>0</v>
      </c>
      <c r="BH80" s="2">
        <f>'SANTA LUCIA'!BG14</f>
        <v>0</v>
      </c>
      <c r="BI80" s="2">
        <f>'SANTA LUCIA'!BH14</f>
        <v>3</v>
      </c>
      <c r="BJ80" s="2">
        <f>'SANTA LUCIA'!BI14</f>
        <v>3</v>
      </c>
      <c r="BK80" s="2">
        <f>'SANTA LUCIA'!BJ14</f>
        <v>1</v>
      </c>
      <c r="BL80" s="2">
        <f>'SANTA LUCIA'!BK14</f>
        <v>1</v>
      </c>
      <c r="BM80" s="2">
        <f>'SANTA LUCIA'!BL14</f>
        <v>0</v>
      </c>
      <c r="BN80" s="2">
        <f>'SANTA LUCIA'!BM14</f>
        <v>0</v>
      </c>
      <c r="BO80" s="2">
        <f>'SANTA LUCIA'!BN14</f>
        <v>1</v>
      </c>
      <c r="BP80" s="2">
        <f>'SANTA LUCIA'!BO14</f>
        <v>1</v>
      </c>
      <c r="BQ80" s="2">
        <f>'SANTA LUCIA'!BP14</f>
        <v>1</v>
      </c>
      <c r="BR80" s="2">
        <f>'SANTA LUCIA'!BQ14</f>
        <v>0</v>
      </c>
      <c r="BS80" s="2" t="str">
        <f>'SANTA LUCIA'!BR14</f>
        <v/>
      </c>
      <c r="BT80" s="2" t="str">
        <f>'SANTA LUCIA'!BS14</f>
        <v/>
      </c>
      <c r="BU80" s="2" t="str">
        <f>'SANTA LUCIA'!BT14</f>
        <v/>
      </c>
      <c r="BV80" s="2" t="str">
        <f>'SANTA LUCIA'!BU14</f>
        <v/>
      </c>
      <c r="BW80" s="2"/>
    </row>
    <row r="81">
      <c r="A81" s="2"/>
      <c r="B81" s="2" t="str">
        <f>'SANTA LUCIA'!A15</f>
        <v>Santa Lucia</v>
      </c>
      <c r="C81" s="2" t="str">
        <f>'SANTA LUCIA'!B15</f>
        <v>Aseo</v>
      </c>
      <c r="D81" s="2" t="str">
        <f>'SANTA LUCIA'!C15</f>
        <v>Bolsas Basura 50x70</v>
      </c>
      <c r="E81" s="2" t="str">
        <f>'SANTA LUCIA'!D15</f>
        <v/>
      </c>
      <c r="F81" s="2" t="str">
        <f>'SANTA LUCIA'!E15</f>
        <v/>
      </c>
      <c r="G81" s="2" t="str">
        <f>'SANTA LUCIA'!F15</f>
        <v/>
      </c>
      <c r="H81" s="2" t="str">
        <f>'SANTA LUCIA'!G15</f>
        <v/>
      </c>
      <c r="I81" s="2" t="str">
        <f>'SANTA LUCIA'!H15</f>
        <v/>
      </c>
      <c r="J81" s="2" t="str">
        <f>'SANTA LUCIA'!I15</f>
        <v/>
      </c>
      <c r="K81" s="2" t="str">
        <f>'SANTA LUCIA'!J15</f>
        <v/>
      </c>
      <c r="L81" s="2" t="str">
        <f>'SANTA LUCIA'!K15</f>
        <v/>
      </c>
      <c r="M81" s="2" t="str">
        <f>'SANTA LUCIA'!L15</f>
        <v/>
      </c>
      <c r="N81" s="2" t="str">
        <f>'SANTA LUCIA'!M15</f>
        <v/>
      </c>
      <c r="O81" s="2" t="str">
        <f>'SANTA LUCIA'!N15</f>
        <v/>
      </c>
      <c r="P81" s="2" t="str">
        <f>'SANTA LUCIA'!O15</f>
        <v/>
      </c>
      <c r="Q81" s="2" t="str">
        <f>'SANTA LUCIA'!P15</f>
        <v/>
      </c>
      <c r="R81" s="2" t="str">
        <f>'SANTA LUCIA'!Q15</f>
        <v/>
      </c>
      <c r="S81" s="2" t="str">
        <f>'SANTA LUCIA'!R15</f>
        <v/>
      </c>
      <c r="T81" s="2" t="str">
        <f>'SANTA LUCIA'!S15</f>
        <v/>
      </c>
      <c r="U81" s="2" t="str">
        <f>'SANTA LUCIA'!T15</f>
        <v/>
      </c>
      <c r="V81" s="2" t="str">
        <f>'SANTA LUCIA'!U15</f>
        <v/>
      </c>
      <c r="W81" s="2" t="str">
        <f>'SANTA LUCIA'!V15</f>
        <v/>
      </c>
      <c r="X81" s="2" t="str">
        <f>'SANTA LUCIA'!W15</f>
        <v>-</v>
      </c>
      <c r="Y81" s="2" t="str">
        <f>'SANTA LUCIA'!X15</f>
        <v>-</v>
      </c>
      <c r="Z81" s="2" t="str">
        <f>'SANTA LUCIA'!Y15</f>
        <v>-</v>
      </c>
      <c r="AA81" s="2" t="str">
        <f>'SANTA LUCIA'!Z15</f>
        <v>-</v>
      </c>
      <c r="AB81" s="2" t="str">
        <f>'SANTA LUCIA'!AA15</f>
        <v>-</v>
      </c>
      <c r="AC81" s="2" t="str">
        <f>'SANTA LUCIA'!AB15</f>
        <v>3 grandes  / 0 chicas</v>
      </c>
      <c r="AD81" s="2" t="str">
        <f>'SANTA LUCIA'!AC15</f>
        <v>80x110: 10</v>
      </c>
      <c r="AE81" s="2" t="str">
        <f>'SANTA LUCIA'!AD15</f>
        <v>80x110: 10</v>
      </c>
      <c r="AF81" s="2">
        <f>'SANTA LUCIA'!AE15</f>
        <v>12</v>
      </c>
      <c r="AG81" s="2">
        <f>'SANTA LUCIA'!AF15</f>
        <v>7</v>
      </c>
      <c r="AH81" s="2">
        <f>'SANTA LUCIA'!AG15</f>
        <v>5</v>
      </c>
      <c r="AI81" s="2">
        <f>'SANTA LUCIA'!AH15</f>
        <v>13</v>
      </c>
      <c r="AJ81" s="2">
        <f>'SANTA LUCIA'!AI15</f>
        <v>9</v>
      </c>
      <c r="AK81" s="2">
        <f>'SANTA LUCIA'!AJ15</f>
        <v>9</v>
      </c>
      <c r="AL81" s="2">
        <f>'SANTA LUCIA'!AK15</f>
        <v>9</v>
      </c>
      <c r="AM81" s="2">
        <f>'SANTA LUCIA'!AL15</f>
        <v>4</v>
      </c>
      <c r="AN81" s="2">
        <f>'SANTA LUCIA'!AM15</f>
        <v>11</v>
      </c>
      <c r="AO81" s="2">
        <f>'SANTA LUCIA'!AN15</f>
        <v>3</v>
      </c>
      <c r="AP81" s="2">
        <f>'SANTA LUCIA'!AO15</f>
        <v>8</v>
      </c>
      <c r="AQ81" s="2">
        <f>'SANTA LUCIA'!AP15</f>
        <v>2</v>
      </c>
      <c r="AR81" s="2" t="str">
        <f>'SANTA LUCIA'!AQ15</f>
        <v/>
      </c>
      <c r="AS81" s="2">
        <f>'SANTA LUCIA'!AR15</f>
        <v>3</v>
      </c>
      <c r="AT81" s="2">
        <f>'SANTA LUCIA'!AS15</f>
        <v>3</v>
      </c>
      <c r="AU81" s="2">
        <f>'SANTA LUCIA'!AT15</f>
        <v>5</v>
      </c>
      <c r="AV81" s="2">
        <f>'SANTA LUCIA'!AU15</f>
        <v>3</v>
      </c>
      <c r="AW81" s="2">
        <f>'SANTA LUCIA'!AV15</f>
        <v>3</v>
      </c>
      <c r="AX81" s="2">
        <f>'SANTA LUCIA'!AW15</f>
        <v>0</v>
      </c>
      <c r="AY81" s="2">
        <f>'SANTA LUCIA'!AX15</f>
        <v>10</v>
      </c>
      <c r="AZ81" s="2">
        <f>'SANTA LUCIA'!AY15</f>
        <v>9</v>
      </c>
      <c r="BA81" s="2">
        <f>'SANTA LUCIA'!AZ15</f>
        <v>5</v>
      </c>
      <c r="BB81" s="2">
        <f>'SANTA LUCIA'!BA15</f>
        <v>4</v>
      </c>
      <c r="BC81" s="2">
        <f>'SANTA LUCIA'!BB15</f>
        <v>2</v>
      </c>
      <c r="BD81" s="2">
        <f>'SANTA LUCIA'!BC15</f>
        <v>0</v>
      </c>
      <c r="BE81" s="2">
        <f>'SANTA LUCIA'!BD15</f>
        <v>0</v>
      </c>
      <c r="BF81" s="2">
        <f>'SANTA LUCIA'!BE15</f>
        <v>10</v>
      </c>
      <c r="BG81" s="2">
        <f>'SANTA LUCIA'!BF15</f>
        <v>7</v>
      </c>
      <c r="BH81" s="2">
        <f>'SANTA LUCIA'!BG15</f>
        <v>1</v>
      </c>
      <c r="BI81" s="2">
        <f>'SANTA LUCIA'!BH15</f>
        <v>12</v>
      </c>
      <c r="BJ81" s="2">
        <f>'SANTA LUCIA'!BI15</f>
        <v>8</v>
      </c>
      <c r="BK81" s="2">
        <f>'SANTA LUCIA'!BJ15</f>
        <v>0</v>
      </c>
      <c r="BL81" s="2">
        <f>'SANTA LUCIA'!BK15</f>
        <v>0</v>
      </c>
      <c r="BM81" s="2">
        <f>'SANTA LUCIA'!BL15</f>
        <v>0</v>
      </c>
      <c r="BN81" s="2">
        <f>'SANTA LUCIA'!BM15</f>
        <v>0</v>
      </c>
      <c r="BO81" s="2">
        <f>'SANTA LUCIA'!BN15</f>
        <v>1</v>
      </c>
      <c r="BP81" s="2">
        <f>'SANTA LUCIA'!BO15</f>
        <v>0</v>
      </c>
      <c r="BQ81" s="2">
        <f>'SANTA LUCIA'!BP15</f>
        <v>0</v>
      </c>
      <c r="BR81" s="2">
        <f>'SANTA LUCIA'!BQ15</f>
        <v>0</v>
      </c>
      <c r="BS81" s="2" t="str">
        <f>'SANTA LUCIA'!BR15</f>
        <v/>
      </c>
      <c r="BT81" s="2" t="str">
        <f>'SANTA LUCIA'!BS15</f>
        <v/>
      </c>
      <c r="BU81" s="2" t="str">
        <f>'SANTA LUCIA'!BT15</f>
        <v/>
      </c>
      <c r="BV81" s="2" t="str">
        <f>'SANTA LUCIA'!BU15</f>
        <v/>
      </c>
      <c r="BW81" s="2"/>
    </row>
    <row r="82">
      <c r="A82" s="2"/>
      <c r="B82" s="2" t="str">
        <f>'SANTA LUCIA'!A16</f>
        <v>Santa Lucia</v>
      </c>
      <c r="C82" s="2" t="str">
        <f>'SANTA LUCIA'!B16</f>
        <v>Aseo</v>
      </c>
      <c r="D82" s="2" t="str">
        <f>'SANTA LUCIA'!C16</f>
        <v>Bolsas Basura 70x90</v>
      </c>
      <c r="E82" s="2" t="str">
        <f>'SANTA LUCIA'!D16</f>
        <v/>
      </c>
      <c r="F82" s="2" t="str">
        <f>'SANTA LUCIA'!E16</f>
        <v/>
      </c>
      <c r="G82" s="2" t="str">
        <f>'SANTA LUCIA'!F16</f>
        <v/>
      </c>
      <c r="H82" s="2" t="str">
        <f>'SANTA LUCIA'!G16</f>
        <v/>
      </c>
      <c r="I82" s="2" t="str">
        <f>'SANTA LUCIA'!H16</f>
        <v/>
      </c>
      <c r="J82" s="2" t="str">
        <f>'SANTA LUCIA'!I16</f>
        <v/>
      </c>
      <c r="K82" s="2" t="str">
        <f>'SANTA LUCIA'!J16</f>
        <v/>
      </c>
      <c r="L82" s="2" t="str">
        <f>'SANTA LUCIA'!K16</f>
        <v/>
      </c>
      <c r="M82" s="2" t="str">
        <f>'SANTA LUCIA'!L16</f>
        <v/>
      </c>
      <c r="N82" s="2" t="str">
        <f>'SANTA LUCIA'!M16</f>
        <v/>
      </c>
      <c r="O82" s="2" t="str">
        <f>'SANTA LUCIA'!N16</f>
        <v/>
      </c>
      <c r="P82" s="2" t="str">
        <f>'SANTA LUCIA'!O16</f>
        <v/>
      </c>
      <c r="Q82" s="2" t="str">
        <f>'SANTA LUCIA'!P16</f>
        <v/>
      </c>
      <c r="R82" s="2" t="str">
        <f>'SANTA LUCIA'!Q16</f>
        <v/>
      </c>
      <c r="S82" s="2" t="str">
        <f>'SANTA LUCIA'!R16</f>
        <v/>
      </c>
      <c r="T82" s="2" t="str">
        <f>'SANTA LUCIA'!S16</f>
        <v/>
      </c>
      <c r="U82" s="2" t="str">
        <f>'SANTA LUCIA'!T16</f>
        <v/>
      </c>
      <c r="V82" s="2" t="str">
        <f>'SANTA LUCIA'!U16</f>
        <v/>
      </c>
      <c r="W82" s="2" t="str">
        <f>'SANTA LUCIA'!V16</f>
        <v/>
      </c>
      <c r="X82" s="2" t="str">
        <f>'SANTA LUCIA'!W16</f>
        <v/>
      </c>
      <c r="Y82" s="2" t="str">
        <f>'SANTA LUCIA'!X16</f>
        <v/>
      </c>
      <c r="Z82" s="2" t="str">
        <f>'SANTA LUCIA'!Y16</f>
        <v/>
      </c>
      <c r="AA82" s="2" t="str">
        <f>'SANTA LUCIA'!Z16</f>
        <v/>
      </c>
      <c r="AB82" s="2" t="str">
        <f>'SANTA LUCIA'!AA16</f>
        <v/>
      </c>
      <c r="AC82" s="2" t="str">
        <f>'SANTA LUCIA'!AB16</f>
        <v/>
      </c>
      <c r="AD82" s="2" t="str">
        <f>'SANTA LUCIA'!AC16</f>
        <v>70X90:10</v>
      </c>
      <c r="AE82" s="2" t="str">
        <f>'SANTA LUCIA'!AD16</f>
        <v>70X90: 8</v>
      </c>
      <c r="AF82" s="2">
        <f>'SANTA LUCIA'!AE16</f>
        <v>3</v>
      </c>
      <c r="AG82" s="2">
        <f>'SANTA LUCIA'!AF16</f>
        <v>0</v>
      </c>
      <c r="AH82" s="2">
        <f>'SANTA LUCIA'!AG16</f>
        <v>0</v>
      </c>
      <c r="AI82" s="2">
        <f>'SANTA LUCIA'!AH16</f>
        <v>8</v>
      </c>
      <c r="AJ82" s="2">
        <f>'SANTA LUCIA'!AI16</f>
        <v>2</v>
      </c>
      <c r="AK82" s="2">
        <f>'SANTA LUCIA'!AJ16</f>
        <v>0</v>
      </c>
      <c r="AL82" s="2">
        <f>'SANTA LUCIA'!AK16</f>
        <v>0</v>
      </c>
      <c r="AM82" s="2">
        <f>'SANTA LUCIA'!AL16</f>
        <v>0</v>
      </c>
      <c r="AN82" s="2">
        <f>'SANTA LUCIA'!AM16</f>
        <v>8</v>
      </c>
      <c r="AO82" s="2">
        <f>'SANTA LUCIA'!AN16</f>
        <v>0</v>
      </c>
      <c r="AP82" s="2">
        <f>'SANTA LUCIA'!AO16</f>
        <v>5</v>
      </c>
      <c r="AQ82" s="2">
        <f>'SANTA LUCIA'!AP16</f>
        <v>0</v>
      </c>
      <c r="AR82" s="2" t="str">
        <f>'SANTA LUCIA'!AQ16</f>
        <v/>
      </c>
      <c r="AS82" s="2">
        <f>'SANTA LUCIA'!AR16</f>
        <v>3</v>
      </c>
      <c r="AT82" s="2">
        <f>'SANTA LUCIA'!AS16</f>
        <v>2</v>
      </c>
      <c r="AU82" s="2">
        <f>'SANTA LUCIA'!AT16</f>
        <v>10</v>
      </c>
      <c r="AV82" s="2">
        <f>'SANTA LUCIA'!AU16</f>
        <v>7</v>
      </c>
      <c r="AW82" s="2">
        <f>'SANTA LUCIA'!AV16</f>
        <v>7</v>
      </c>
      <c r="AX82" s="2">
        <f>'SANTA LUCIA'!AW16</f>
        <v>4</v>
      </c>
      <c r="AY82" s="2">
        <f>'SANTA LUCIA'!AX16</f>
        <v>14</v>
      </c>
      <c r="AZ82" s="2">
        <f>'SANTA LUCIA'!AY16</f>
        <v>12</v>
      </c>
      <c r="BA82" s="2">
        <f>'SANTA LUCIA'!AZ16</f>
        <v>9</v>
      </c>
      <c r="BB82" s="2">
        <f>'SANTA LUCIA'!BA16</f>
        <v>12</v>
      </c>
      <c r="BC82" s="2">
        <f>'SANTA LUCIA'!BB16</f>
        <v>5</v>
      </c>
      <c r="BD82" s="2">
        <f>'SANTA LUCIA'!BC16</f>
        <v>3</v>
      </c>
      <c r="BE82" s="2">
        <f>'SANTA LUCIA'!BD16</f>
        <v>1</v>
      </c>
      <c r="BF82" s="2">
        <f>'SANTA LUCIA'!BE16</f>
        <v>1</v>
      </c>
      <c r="BG82" s="2">
        <f>'SANTA LUCIA'!BF16</f>
        <v>0</v>
      </c>
      <c r="BH82" s="2">
        <f>'SANTA LUCIA'!BG16</f>
        <v>0</v>
      </c>
      <c r="BI82" s="2">
        <f>'SANTA LUCIA'!BH16</f>
        <v>11</v>
      </c>
      <c r="BJ82" s="2">
        <f>'SANTA LUCIA'!BI16</f>
        <v>6</v>
      </c>
      <c r="BK82" s="2">
        <f>'SANTA LUCIA'!BJ16</f>
        <v>4</v>
      </c>
      <c r="BL82" s="2">
        <f>'SANTA LUCIA'!BK16</f>
        <v>4</v>
      </c>
      <c r="BM82" s="2">
        <f>'SANTA LUCIA'!BL16</f>
        <v>1</v>
      </c>
      <c r="BN82" s="2">
        <f>'SANTA LUCIA'!BM16</f>
        <v>0</v>
      </c>
      <c r="BO82" s="2">
        <f>'SANTA LUCIA'!BN16</f>
        <v>8</v>
      </c>
      <c r="BP82" s="2">
        <f>'SANTA LUCIA'!BO16</f>
        <v>7</v>
      </c>
      <c r="BQ82" s="2">
        <f>'SANTA LUCIA'!BP16</f>
        <v>2</v>
      </c>
      <c r="BR82" s="2">
        <f>'SANTA LUCIA'!BQ16</f>
        <v>1</v>
      </c>
      <c r="BS82" s="2" t="str">
        <f>'SANTA LUCIA'!BR16</f>
        <v/>
      </c>
      <c r="BT82" s="2" t="str">
        <f>'SANTA LUCIA'!BS16</f>
        <v/>
      </c>
      <c r="BU82" s="2" t="str">
        <f>'SANTA LUCIA'!BT16</f>
        <v/>
      </c>
      <c r="BV82" s="2" t="str">
        <f>'SANTA LUCIA'!BU16</f>
        <v/>
      </c>
      <c r="BW82" s="2"/>
    </row>
    <row r="83">
      <c r="A83" s="2"/>
      <c r="B83" s="2" t="str">
        <f>'SANTA LUCIA'!A17</f>
        <v>Santa Lucia</v>
      </c>
      <c r="C83" s="2" t="str">
        <f>'SANTA LUCIA'!B17</f>
        <v>Aseo</v>
      </c>
      <c r="D83" s="2" t="str">
        <f>'SANTA LUCIA'!C17</f>
        <v>Bolsas Basura 80x110</v>
      </c>
      <c r="E83" s="2" t="str">
        <f>'SANTA LUCIA'!D17</f>
        <v/>
      </c>
      <c r="F83" s="2" t="str">
        <f>'SANTA LUCIA'!E17</f>
        <v/>
      </c>
      <c r="G83" s="2" t="str">
        <f>'SANTA LUCIA'!F17</f>
        <v/>
      </c>
      <c r="H83" s="2" t="str">
        <f>'SANTA LUCIA'!G17</f>
        <v/>
      </c>
      <c r="I83" s="2" t="str">
        <f>'SANTA LUCIA'!H17</f>
        <v/>
      </c>
      <c r="J83" s="2" t="str">
        <f>'SANTA LUCIA'!I17</f>
        <v/>
      </c>
      <c r="K83" s="2" t="str">
        <f>'SANTA LUCIA'!J17</f>
        <v/>
      </c>
      <c r="L83" s="2" t="str">
        <f>'SANTA LUCIA'!K17</f>
        <v/>
      </c>
      <c r="M83" s="2" t="str">
        <f>'SANTA LUCIA'!L17</f>
        <v/>
      </c>
      <c r="N83" s="2" t="str">
        <f>'SANTA LUCIA'!M17</f>
        <v/>
      </c>
      <c r="O83" s="2" t="str">
        <f>'SANTA LUCIA'!N17</f>
        <v/>
      </c>
      <c r="P83" s="2" t="str">
        <f>'SANTA LUCIA'!O17</f>
        <v/>
      </c>
      <c r="Q83" s="2" t="str">
        <f>'SANTA LUCIA'!P17</f>
        <v/>
      </c>
      <c r="R83" s="2" t="str">
        <f>'SANTA LUCIA'!Q17</f>
        <v/>
      </c>
      <c r="S83" s="2" t="str">
        <f>'SANTA LUCIA'!R17</f>
        <v/>
      </c>
      <c r="T83" s="2" t="str">
        <f>'SANTA LUCIA'!S17</f>
        <v/>
      </c>
      <c r="U83" s="2" t="str">
        <f>'SANTA LUCIA'!T17</f>
        <v/>
      </c>
      <c r="V83" s="2" t="str">
        <f>'SANTA LUCIA'!U17</f>
        <v/>
      </c>
      <c r="W83" s="2" t="str">
        <f>'SANTA LUCIA'!V17</f>
        <v/>
      </c>
      <c r="X83" s="2" t="str">
        <f>'SANTA LUCIA'!W17</f>
        <v/>
      </c>
      <c r="Y83" s="2" t="str">
        <f>'SANTA LUCIA'!X17</f>
        <v/>
      </c>
      <c r="Z83" s="2" t="str">
        <f>'SANTA LUCIA'!Y17</f>
        <v/>
      </c>
      <c r="AA83" s="2" t="str">
        <f>'SANTA LUCIA'!Z17</f>
        <v/>
      </c>
      <c r="AB83" s="2" t="str">
        <f>'SANTA LUCIA'!AA17</f>
        <v/>
      </c>
      <c r="AC83" s="2" t="str">
        <f>'SANTA LUCIA'!AB17</f>
        <v/>
      </c>
      <c r="AD83" s="2" t="str">
        <f>'SANTA LUCIA'!AC17</f>
        <v>50x70:17</v>
      </c>
      <c r="AE83" s="2" t="str">
        <f>'SANTA LUCIA'!AD17</f>
        <v>50x70: 2</v>
      </c>
      <c r="AF83" s="2">
        <f>'SANTA LUCIA'!AE17</f>
        <v>0</v>
      </c>
      <c r="AG83" s="2">
        <f>'SANTA LUCIA'!AF17</f>
        <v>0</v>
      </c>
      <c r="AH83" s="2">
        <f>'SANTA LUCIA'!AG17</f>
        <v>0</v>
      </c>
      <c r="AI83" s="2">
        <f>'SANTA LUCIA'!AH17</f>
        <v>8</v>
      </c>
      <c r="AJ83" s="2">
        <f>'SANTA LUCIA'!AI17</f>
        <v>0</v>
      </c>
      <c r="AK83" s="2">
        <f>'SANTA LUCIA'!AJ17</f>
        <v>0</v>
      </c>
      <c r="AL83" s="2">
        <f>'SANTA LUCIA'!AK17</f>
        <v>0</v>
      </c>
      <c r="AM83" s="2">
        <f>'SANTA LUCIA'!AL17</f>
        <v>0</v>
      </c>
      <c r="AN83" s="2">
        <f>'SANTA LUCIA'!AM17</f>
        <v>8</v>
      </c>
      <c r="AO83" s="2">
        <f>'SANTA LUCIA'!AN17</f>
        <v>0</v>
      </c>
      <c r="AP83" s="2">
        <f>'SANTA LUCIA'!AO17</f>
        <v>2</v>
      </c>
      <c r="AQ83" s="2">
        <f>'SANTA LUCIA'!AP17</f>
        <v>0</v>
      </c>
      <c r="AR83" s="2" t="str">
        <f>'SANTA LUCIA'!AQ17</f>
        <v/>
      </c>
      <c r="AS83" s="2">
        <f>'SANTA LUCIA'!AR17</f>
        <v>0</v>
      </c>
      <c r="AT83" s="2">
        <f>'SANTA LUCIA'!AS17</f>
        <v>0</v>
      </c>
      <c r="AU83" s="2">
        <f>'SANTA LUCIA'!AT17</f>
        <v>5</v>
      </c>
      <c r="AV83" s="2">
        <f>'SANTA LUCIA'!AU17</f>
        <v>4</v>
      </c>
      <c r="AW83" s="2">
        <f>'SANTA LUCIA'!AV17</f>
        <v>4</v>
      </c>
      <c r="AX83" s="2">
        <f>'SANTA LUCIA'!AW17</f>
        <v>0</v>
      </c>
      <c r="AY83" s="2">
        <f>'SANTA LUCIA'!AX17</f>
        <v>14</v>
      </c>
      <c r="AZ83" s="2">
        <f>'SANTA LUCIA'!AY17</f>
        <v>11</v>
      </c>
      <c r="BA83" s="2">
        <f>'SANTA LUCIA'!AZ17</f>
        <v>7</v>
      </c>
      <c r="BB83" s="2">
        <f>'SANTA LUCIA'!BA17</f>
        <v>11</v>
      </c>
      <c r="BC83" s="2">
        <f>'SANTA LUCIA'!BB17</f>
        <v>14</v>
      </c>
      <c r="BD83" s="2">
        <f>'SANTA LUCIA'!BC17</f>
        <v>13</v>
      </c>
      <c r="BE83" s="2">
        <f>'SANTA LUCIA'!BD17</f>
        <v>13</v>
      </c>
      <c r="BF83" s="2">
        <f>'SANTA LUCIA'!BE17</f>
        <v>8</v>
      </c>
      <c r="BG83" s="2">
        <f>'SANTA LUCIA'!BF17</f>
        <v>5</v>
      </c>
      <c r="BH83" s="2">
        <f>'SANTA LUCIA'!BG17</f>
        <v>4</v>
      </c>
      <c r="BI83" s="2">
        <f>'SANTA LUCIA'!BH17</f>
        <v>15</v>
      </c>
      <c r="BJ83" s="2">
        <f>'SANTA LUCIA'!BI17</f>
        <v>3</v>
      </c>
      <c r="BK83" s="2">
        <f>'SANTA LUCIA'!BJ17</f>
        <v>2</v>
      </c>
      <c r="BL83" s="2">
        <f>'SANTA LUCIA'!BK17</f>
        <v>1</v>
      </c>
      <c r="BM83" s="2">
        <f>'SANTA LUCIA'!BL17</f>
        <v>0</v>
      </c>
      <c r="BN83" s="2">
        <f>'SANTA LUCIA'!BM17</f>
        <v>0</v>
      </c>
      <c r="BO83" s="2">
        <f>'SANTA LUCIA'!BN17</f>
        <v>8</v>
      </c>
      <c r="BP83" s="2">
        <f>'SANTA LUCIA'!BO17</f>
        <v>7</v>
      </c>
      <c r="BQ83" s="2">
        <f>'SANTA LUCIA'!BP17</f>
        <v>2</v>
      </c>
      <c r="BR83" s="2">
        <f>'SANTA LUCIA'!BQ17</f>
        <v>2</v>
      </c>
      <c r="BS83" s="2" t="str">
        <f>'SANTA LUCIA'!BR17</f>
        <v/>
      </c>
      <c r="BT83" s="2" t="str">
        <f>'SANTA LUCIA'!BS17</f>
        <v/>
      </c>
      <c r="BU83" s="2" t="str">
        <f>'SANTA LUCIA'!BT17</f>
        <v/>
      </c>
      <c r="BV83" s="2" t="str">
        <f>'SANTA LUCIA'!BU17</f>
        <v/>
      </c>
      <c r="BW83" s="2"/>
    </row>
    <row r="84">
      <c r="A84" s="2"/>
      <c r="B84" s="2" t="str">
        <f>'SANTA LUCIA'!A18</f>
        <v>Santa Lucia</v>
      </c>
      <c r="C84" s="2" t="str">
        <f>'SANTA LUCIA'!B18</f>
        <v>Aseo</v>
      </c>
      <c r="D84" s="2" t="str">
        <f>'SANTA LUCIA'!C18</f>
        <v>Esponja 4U </v>
      </c>
      <c r="E84" s="2" t="str">
        <f>'SANTA LUCIA'!D18</f>
        <v/>
      </c>
      <c r="F84" s="2" t="str">
        <f>'SANTA LUCIA'!E18</f>
        <v/>
      </c>
      <c r="G84" s="2" t="str">
        <f>'SANTA LUCIA'!F18</f>
        <v/>
      </c>
      <c r="H84" s="2" t="str">
        <f>'SANTA LUCIA'!G18</f>
        <v/>
      </c>
      <c r="I84" s="2" t="str">
        <f>'SANTA LUCIA'!H18</f>
        <v/>
      </c>
      <c r="J84" s="2" t="str">
        <f>'SANTA LUCIA'!I18</f>
        <v/>
      </c>
      <c r="K84" s="2" t="str">
        <f>'SANTA LUCIA'!J18</f>
        <v/>
      </c>
      <c r="L84" s="2" t="str">
        <f>'SANTA LUCIA'!K18</f>
        <v/>
      </c>
      <c r="M84" s="2" t="str">
        <f>'SANTA LUCIA'!L18</f>
        <v/>
      </c>
      <c r="N84" s="2" t="str">
        <f>'SANTA LUCIA'!M18</f>
        <v/>
      </c>
      <c r="O84" s="2" t="str">
        <f>'SANTA LUCIA'!N18</f>
        <v/>
      </c>
      <c r="P84" s="2" t="str">
        <f>'SANTA LUCIA'!O18</f>
        <v/>
      </c>
      <c r="Q84" s="2" t="str">
        <f>'SANTA LUCIA'!P18</f>
        <v/>
      </c>
      <c r="R84" s="2" t="str">
        <f>'SANTA LUCIA'!Q18</f>
        <v/>
      </c>
      <c r="S84" s="2" t="str">
        <f>'SANTA LUCIA'!R18</f>
        <v/>
      </c>
      <c r="T84" s="2" t="str">
        <f>'SANTA LUCIA'!S18</f>
        <v/>
      </c>
      <c r="U84" s="2" t="str">
        <f>'SANTA LUCIA'!T18</f>
        <v/>
      </c>
      <c r="V84" s="2" t="str">
        <f>'SANTA LUCIA'!U18</f>
        <v/>
      </c>
      <c r="W84" s="2" t="str">
        <f>'SANTA LUCIA'!V18</f>
        <v/>
      </c>
      <c r="X84" s="2" t="str">
        <f>'SANTA LUCIA'!W18</f>
        <v>-</v>
      </c>
      <c r="Y84" s="2" t="str">
        <f>'SANTA LUCIA'!X18</f>
        <v>-</v>
      </c>
      <c r="Z84" s="2" t="str">
        <f>'SANTA LUCIA'!Y18</f>
        <v>-</v>
      </c>
      <c r="AA84" s="2" t="str">
        <f>'SANTA LUCIA'!Z18</f>
        <v>-</v>
      </c>
      <c r="AB84" s="2" t="str">
        <f>'SANTA LUCIA'!AA18</f>
        <v>-</v>
      </c>
      <c r="AC84" s="2">
        <f>'SANTA LUCIA'!AB18</f>
        <v>6</v>
      </c>
      <c r="AD84" s="2">
        <f>'SANTA LUCIA'!AC18</f>
        <v>3</v>
      </c>
      <c r="AE84" s="2">
        <f>'SANTA LUCIA'!AD18</f>
        <v>3</v>
      </c>
      <c r="AF84" s="2">
        <f>'SANTA LUCIA'!AE18</f>
        <v>2</v>
      </c>
      <c r="AG84" s="2">
        <f>'SANTA LUCIA'!AF18</f>
        <v>2</v>
      </c>
      <c r="AH84" s="2">
        <f>'SANTA LUCIA'!AG18</f>
        <v>1</v>
      </c>
      <c r="AI84" s="2">
        <f>'SANTA LUCIA'!AH18</f>
        <v>3</v>
      </c>
      <c r="AJ84" s="2">
        <f>'SANTA LUCIA'!AI18</f>
        <v>1</v>
      </c>
      <c r="AK84" s="2">
        <f>'SANTA LUCIA'!AJ18</f>
        <v>2</v>
      </c>
      <c r="AL84" s="2">
        <f>'SANTA LUCIA'!AK18</f>
        <v>2</v>
      </c>
      <c r="AM84" s="2">
        <f>'SANTA LUCIA'!AL18</f>
        <v>2</v>
      </c>
      <c r="AN84" s="2">
        <f>'SANTA LUCIA'!AM18</f>
        <v>5</v>
      </c>
      <c r="AO84" s="2">
        <f>'SANTA LUCIA'!AN18</f>
        <v>1</v>
      </c>
      <c r="AP84" s="2">
        <f>'SANTA LUCIA'!AO18</f>
        <v>4</v>
      </c>
      <c r="AQ84" s="2">
        <f>'SANTA LUCIA'!AP18</f>
        <v>4</v>
      </c>
      <c r="AR84" s="2" t="str">
        <f>'SANTA LUCIA'!AQ18</f>
        <v/>
      </c>
      <c r="AS84" s="2">
        <f>'SANTA LUCIA'!AR18</f>
        <v>3</v>
      </c>
      <c r="AT84" s="2">
        <f>'SANTA LUCIA'!AS18</f>
        <v>3</v>
      </c>
      <c r="AU84" s="2">
        <f>'SANTA LUCIA'!AT18</f>
        <v>4</v>
      </c>
      <c r="AV84" s="2">
        <f>'SANTA LUCIA'!AU18</f>
        <v>3</v>
      </c>
      <c r="AW84" s="2">
        <f>'SANTA LUCIA'!AV18</f>
        <v>3</v>
      </c>
      <c r="AX84" s="2">
        <f>'SANTA LUCIA'!AW18</f>
        <v>2</v>
      </c>
      <c r="AY84" s="2">
        <f>'SANTA LUCIA'!AX18</f>
        <v>4</v>
      </c>
      <c r="AZ84" s="2">
        <f>'SANTA LUCIA'!AY18</f>
        <v>4</v>
      </c>
      <c r="BA84" s="2">
        <f>'SANTA LUCIA'!AZ18</f>
        <v>2</v>
      </c>
      <c r="BB84" s="2">
        <f>'SANTA LUCIA'!BA18</f>
        <v>4</v>
      </c>
      <c r="BC84" s="2">
        <f>'SANTA LUCIA'!BB18</f>
        <v>4</v>
      </c>
      <c r="BD84" s="2">
        <f>'SANTA LUCIA'!BC18</f>
        <v>4</v>
      </c>
      <c r="BE84" s="2">
        <f>'SANTA LUCIA'!BD18</f>
        <v>4</v>
      </c>
      <c r="BF84" s="2">
        <f>'SANTA LUCIA'!BE18</f>
        <v>6</v>
      </c>
      <c r="BG84" s="2">
        <f>'SANTA LUCIA'!BF18</f>
        <v>4</v>
      </c>
      <c r="BH84" s="2">
        <f>'SANTA LUCIA'!BG18</f>
        <v>4</v>
      </c>
      <c r="BI84" s="2">
        <f>'SANTA LUCIA'!BH18</f>
        <v>5</v>
      </c>
      <c r="BJ84" s="2">
        <f>'SANTA LUCIA'!BI18</f>
        <v>5</v>
      </c>
      <c r="BK84" s="2">
        <f>'SANTA LUCIA'!BJ18</f>
        <v>5</v>
      </c>
      <c r="BL84" s="2">
        <f>'SANTA LUCIA'!BK18</f>
        <v>5</v>
      </c>
      <c r="BM84" s="2">
        <f>'SANTA LUCIA'!BL18</f>
        <v>4</v>
      </c>
      <c r="BN84" s="2">
        <f>'SANTA LUCIA'!BM18</f>
        <v>3</v>
      </c>
      <c r="BO84" s="2">
        <f>'SANTA LUCIA'!BN18</f>
        <v>3</v>
      </c>
      <c r="BP84" s="2">
        <f>'SANTA LUCIA'!BO18</f>
        <v>9</v>
      </c>
      <c r="BQ84" s="2">
        <f>'SANTA LUCIA'!BP18</f>
        <v>16</v>
      </c>
      <c r="BR84" s="2">
        <f>'SANTA LUCIA'!BQ18</f>
        <v>12</v>
      </c>
      <c r="BS84" s="2" t="str">
        <f>'SANTA LUCIA'!BR18</f>
        <v/>
      </c>
      <c r="BT84" s="2" t="str">
        <f>'SANTA LUCIA'!BS18</f>
        <v/>
      </c>
      <c r="BU84" s="2" t="str">
        <f>'SANTA LUCIA'!BT18</f>
        <v/>
      </c>
      <c r="BV84" s="2" t="str">
        <f>'SANTA LUCIA'!BU18</f>
        <v/>
      </c>
      <c r="BW84" s="2"/>
    </row>
    <row r="85">
      <c r="A85" s="2"/>
      <c r="B85" s="2" t="str">
        <f>'SANTA LUCIA'!A19</f>
        <v>Santa Lucia</v>
      </c>
      <c r="C85" s="2" t="str">
        <f>'SANTA LUCIA'!B19</f>
        <v>Aseo</v>
      </c>
      <c r="D85" s="2" t="str">
        <f>'SANTA LUCIA'!C19</f>
        <v>Mopa Redonda </v>
      </c>
      <c r="E85" s="2" t="str">
        <f>'SANTA LUCIA'!D19</f>
        <v/>
      </c>
      <c r="F85" s="2" t="str">
        <f>'SANTA LUCIA'!E19</f>
        <v/>
      </c>
      <c r="G85" s="2" t="str">
        <f>'SANTA LUCIA'!F19</f>
        <v/>
      </c>
      <c r="H85" s="2" t="str">
        <f>'SANTA LUCIA'!G19</f>
        <v/>
      </c>
      <c r="I85" s="2" t="str">
        <f>'SANTA LUCIA'!H19</f>
        <v/>
      </c>
      <c r="J85" s="2" t="str">
        <f>'SANTA LUCIA'!I19</f>
        <v/>
      </c>
      <c r="K85" s="2" t="str">
        <f>'SANTA LUCIA'!J19</f>
        <v/>
      </c>
      <c r="L85" s="2" t="str">
        <f>'SANTA LUCIA'!K19</f>
        <v/>
      </c>
      <c r="M85" s="2" t="str">
        <f>'SANTA LUCIA'!L19</f>
        <v/>
      </c>
      <c r="N85" s="2" t="str">
        <f>'SANTA LUCIA'!M19</f>
        <v/>
      </c>
      <c r="O85" s="2" t="str">
        <f>'SANTA LUCIA'!N19</f>
        <v/>
      </c>
      <c r="P85" s="2" t="str">
        <f>'SANTA LUCIA'!O19</f>
        <v/>
      </c>
      <c r="Q85" s="2" t="str">
        <f>'SANTA LUCIA'!P19</f>
        <v/>
      </c>
      <c r="R85" s="2" t="str">
        <f>'SANTA LUCIA'!Q19</f>
        <v/>
      </c>
      <c r="S85" s="2" t="str">
        <f>'SANTA LUCIA'!R19</f>
        <v/>
      </c>
      <c r="T85" s="2" t="str">
        <f>'SANTA LUCIA'!S19</f>
        <v/>
      </c>
      <c r="U85" s="2" t="str">
        <f>'SANTA LUCIA'!T19</f>
        <v/>
      </c>
      <c r="V85" s="2" t="str">
        <f>'SANTA LUCIA'!U19</f>
        <v/>
      </c>
      <c r="W85" s="2" t="str">
        <f>'SANTA LUCIA'!V19</f>
        <v/>
      </c>
      <c r="X85" s="2" t="str">
        <f>'SANTA LUCIA'!W19</f>
        <v>-</v>
      </c>
      <c r="Y85" s="2" t="str">
        <f>'SANTA LUCIA'!X19</f>
        <v>-</v>
      </c>
      <c r="Z85" s="2" t="str">
        <f>'SANTA LUCIA'!Y19</f>
        <v>-</v>
      </c>
      <c r="AA85" s="2" t="str">
        <f>'SANTA LUCIA'!Z19</f>
        <v>-</v>
      </c>
      <c r="AB85" s="2" t="str">
        <f>'SANTA LUCIA'!AA19</f>
        <v>-</v>
      </c>
      <c r="AC85" s="2">
        <f>'SANTA LUCIA'!AB19</f>
        <v>6</v>
      </c>
      <c r="AD85" s="2">
        <f>'SANTA LUCIA'!AC19</f>
        <v>6</v>
      </c>
      <c r="AE85" s="2">
        <f>'SANTA LUCIA'!AD19</f>
        <v>6</v>
      </c>
      <c r="AF85" s="2">
        <f>'SANTA LUCIA'!AE19</f>
        <v>5</v>
      </c>
      <c r="AG85" s="2">
        <f>'SANTA LUCIA'!AF19</f>
        <v>4</v>
      </c>
      <c r="AH85" s="2">
        <f>'SANTA LUCIA'!AG19</f>
        <v>4</v>
      </c>
      <c r="AI85" s="2">
        <f>'SANTA LUCIA'!AH19</f>
        <v>7</v>
      </c>
      <c r="AJ85" s="2">
        <f>'SANTA LUCIA'!AI19</f>
        <v>7</v>
      </c>
      <c r="AK85" s="2">
        <f>'SANTA LUCIA'!AJ19</f>
        <v>7</v>
      </c>
      <c r="AL85" s="2">
        <f>'SANTA LUCIA'!AK19</f>
        <v>7</v>
      </c>
      <c r="AM85" s="2">
        <f>'SANTA LUCIA'!AL19</f>
        <v>7</v>
      </c>
      <c r="AN85" s="2">
        <f>'SANTA LUCIA'!AM19</f>
        <v>9</v>
      </c>
      <c r="AO85" s="2">
        <f>'SANTA LUCIA'!AN19</f>
        <v>5</v>
      </c>
      <c r="AP85" s="2">
        <f>'SANTA LUCIA'!AO19</f>
        <v>8</v>
      </c>
      <c r="AQ85" s="2" t="str">
        <f>'SANTA LUCIA'!AP19</f>
        <v/>
      </c>
      <c r="AR85" s="2" t="str">
        <f>'SANTA LUCIA'!AQ19</f>
        <v/>
      </c>
      <c r="AS85" s="2">
        <f>'SANTA LUCIA'!AR19</f>
        <v>5</v>
      </c>
      <c r="AT85" s="2">
        <f>'SANTA LUCIA'!AS19</f>
        <v>2</v>
      </c>
      <c r="AU85" s="2">
        <f>'SANTA LUCIA'!AT19</f>
        <v>2</v>
      </c>
      <c r="AV85" s="2">
        <f>'SANTA LUCIA'!AU19</f>
        <v>2</v>
      </c>
      <c r="AW85" s="2">
        <f>'SANTA LUCIA'!AV19</f>
        <v>2</v>
      </c>
      <c r="AX85" s="2">
        <f>'SANTA LUCIA'!AW19</f>
        <v>0</v>
      </c>
      <c r="AY85" s="2">
        <f>'SANTA LUCIA'!AX19</f>
        <v>6</v>
      </c>
      <c r="AZ85" s="2">
        <f>'SANTA LUCIA'!AY19</f>
        <v>5</v>
      </c>
      <c r="BA85" s="2">
        <f>'SANTA LUCIA'!AZ19</f>
        <v>4</v>
      </c>
      <c r="BB85" s="2">
        <f>'SANTA LUCIA'!BA19</f>
        <v>6</v>
      </c>
      <c r="BC85" s="2">
        <f>'SANTA LUCIA'!BB19</f>
        <v>6</v>
      </c>
      <c r="BD85" s="2">
        <f>'SANTA LUCIA'!BC19</f>
        <v>3</v>
      </c>
      <c r="BE85" s="2">
        <f>'SANTA LUCIA'!BD19</f>
        <v>3</v>
      </c>
      <c r="BF85" s="2">
        <f>'SANTA LUCIA'!BE19</f>
        <v>2</v>
      </c>
      <c r="BG85" s="2">
        <f>'SANTA LUCIA'!BF19</f>
        <v>1</v>
      </c>
      <c r="BH85" s="2">
        <f>'SANTA LUCIA'!BG19</f>
        <v>0</v>
      </c>
      <c r="BI85" s="2">
        <f>'SANTA LUCIA'!BH19</f>
        <v>5</v>
      </c>
      <c r="BJ85" s="2">
        <f>'SANTA LUCIA'!BI19</f>
        <v>5</v>
      </c>
      <c r="BK85" s="2">
        <f>'SANTA LUCIA'!BJ19</f>
        <v>4</v>
      </c>
      <c r="BL85" s="2">
        <f>'SANTA LUCIA'!BK19</f>
        <v>2</v>
      </c>
      <c r="BM85" s="2">
        <f>'SANTA LUCIA'!BL19</f>
        <v>0</v>
      </c>
      <c r="BN85" s="2">
        <f>'SANTA LUCIA'!BM19</f>
        <v>0</v>
      </c>
      <c r="BO85" s="2">
        <f>'SANTA LUCIA'!BN19</f>
        <v>5</v>
      </c>
      <c r="BP85" s="2">
        <f>'SANTA LUCIA'!BO19</f>
        <v>4</v>
      </c>
      <c r="BQ85" s="2">
        <f>'SANTA LUCIA'!BP19</f>
        <v>3</v>
      </c>
      <c r="BR85" s="2">
        <f>'SANTA LUCIA'!BQ19</f>
        <v>2</v>
      </c>
      <c r="BS85" s="2" t="str">
        <f>'SANTA LUCIA'!BR19</f>
        <v/>
      </c>
      <c r="BT85" s="2" t="str">
        <f>'SANTA LUCIA'!BS19</f>
        <v/>
      </c>
      <c r="BU85" s="2" t="str">
        <f>'SANTA LUCIA'!BT19</f>
        <v/>
      </c>
      <c r="BV85" s="2" t="str">
        <f>'SANTA LUCIA'!BU19</f>
        <v/>
      </c>
      <c r="BW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 t="str">
        <f>'SANTA LUCIA'!BI20</f>
        <v/>
      </c>
      <c r="BK86" s="2" t="str">
        <f>'SANTA LUCIA'!BJ20</f>
        <v/>
      </c>
      <c r="BL86" s="2" t="str">
        <f>'SANTA LUCIA'!BK20</f>
        <v/>
      </c>
      <c r="BM86" s="2" t="str">
        <f>'SANTA LUCIA'!BL20</f>
        <v/>
      </c>
      <c r="BN86" s="2" t="str">
        <f>'SANTA LUCIA'!BM20</f>
        <v/>
      </c>
      <c r="BO86" s="2" t="str">
        <f>'SANTA LUCIA'!BN20</f>
        <v/>
      </c>
      <c r="BP86" s="2" t="str">
        <f>'SANTA LUCIA'!BO20</f>
        <v/>
      </c>
      <c r="BQ86" s="2" t="str">
        <f>'SANTA LUCIA'!BP20</f>
        <v/>
      </c>
      <c r="BR86" s="2" t="str">
        <f>'SANTA LUCIA'!BQ20</f>
        <v/>
      </c>
      <c r="BS86" s="2" t="str">
        <f>'SANTA LUCIA'!BR20</f>
        <v/>
      </c>
      <c r="BT86" s="2"/>
      <c r="BU86" s="2"/>
      <c r="BV86" s="2"/>
      <c r="BW86" s="2"/>
    </row>
    <row r="87">
      <c r="A87" s="2"/>
      <c r="B87" s="2" t="str">
        <f>'PLAZA EGAÑA'!A2</f>
        <v/>
      </c>
      <c r="C87" s="2" t="str">
        <f>'PLAZA EGAÑA'!B2</f>
        <v/>
      </c>
      <c r="D87" s="22" t="str">
        <f>'PLAZA EGAÑA'!C2</f>
        <v/>
      </c>
      <c r="E87" s="22">
        <f>'PLAZA EGAÑA'!D2</f>
        <v>45811</v>
      </c>
      <c r="F87" s="22">
        <f>'PLAZA EGAÑA'!E2</f>
        <v>45817</v>
      </c>
      <c r="G87" s="22">
        <f>'PLAZA EGAÑA'!F2</f>
        <v>45824</v>
      </c>
      <c r="H87" s="22">
        <f>'PLAZA EGAÑA'!G2</f>
        <v>45831</v>
      </c>
      <c r="I87" s="22">
        <f>'PLAZA EGAÑA'!H2</f>
        <v>45838</v>
      </c>
      <c r="J87" s="22">
        <f>'PLAZA EGAÑA'!I2</f>
        <v>45845</v>
      </c>
      <c r="K87" s="22">
        <f>'PLAZA EGAÑA'!J2</f>
        <v>45852</v>
      </c>
      <c r="L87" s="22">
        <f>'PLAZA EGAÑA'!K2</f>
        <v>45859</v>
      </c>
      <c r="M87" s="22">
        <f>'PLAZA EGAÑA'!L2</f>
        <v>45866</v>
      </c>
      <c r="N87" s="22">
        <f>'PLAZA EGAÑA'!M2</f>
        <v>45873</v>
      </c>
      <c r="O87" s="22">
        <f>'PLAZA EGAÑA'!N2</f>
        <v>45880</v>
      </c>
      <c r="P87" s="22">
        <f>'PLAZA EGAÑA'!O2</f>
        <v>45887</v>
      </c>
      <c r="Q87" s="22">
        <f>'PLAZA EGAÑA'!P2</f>
        <v>45894</v>
      </c>
      <c r="R87" s="22">
        <f>'PLAZA EGAÑA'!Q2</f>
        <v>45901</v>
      </c>
      <c r="S87" s="22">
        <f>'PLAZA EGAÑA'!R2</f>
        <v>45908</v>
      </c>
      <c r="T87" s="22">
        <f>'PLAZA EGAÑA'!S2</f>
        <v>45915</v>
      </c>
      <c r="U87" s="22">
        <f>'PLAZA EGAÑA'!T2</f>
        <v>45922</v>
      </c>
      <c r="V87" s="22">
        <f>'PLAZA EGAÑA'!U2</f>
        <v>45929</v>
      </c>
      <c r="W87" s="22">
        <f>'PLAZA EGAÑA'!V2</f>
        <v>45936</v>
      </c>
      <c r="X87" s="22">
        <f>'PLAZA EGAÑA'!Y2</f>
        <v>45957</v>
      </c>
      <c r="Y87" s="22">
        <f>'PLAZA EGAÑA'!Z2</f>
        <v>45964</v>
      </c>
      <c r="Z87" s="22">
        <f>'PLAZA EGAÑA'!AB2</f>
        <v>45971</v>
      </c>
      <c r="AA87" s="22">
        <f>'PLAZA EGAÑA'!AC2</f>
        <v>45978</v>
      </c>
      <c r="AB87" s="22">
        <f>'PLAZA EGAÑA'!AD2</f>
        <v>45979</v>
      </c>
      <c r="AC87" s="22">
        <f>'PLAZA EGAÑA'!AE2</f>
        <v>45981</v>
      </c>
      <c r="AD87" s="22">
        <f>'PLAZA EGAÑA'!AF2</f>
        <v>45985</v>
      </c>
      <c r="AE87" s="22">
        <f>'PLAZA EGAÑA'!AG2</f>
        <v>45989</v>
      </c>
      <c r="AF87" s="22">
        <f>'PLAZA EGAÑA'!AH2</f>
        <v>45992</v>
      </c>
      <c r="AG87" s="22">
        <f>'PLAZA EGAÑA'!AI2</f>
        <v>45995</v>
      </c>
      <c r="AH87" s="22">
        <f>'PLAZA EGAÑA'!AJ2</f>
        <v>46000</v>
      </c>
      <c r="AI87" s="22">
        <f>'PLAZA EGAÑA'!AK2</f>
        <v>46002</v>
      </c>
      <c r="AJ87" s="23">
        <f>'PLAZA EGAÑA'!AL2</f>
        <v>46006</v>
      </c>
      <c r="AK87" s="22">
        <f>'PLAZA EGAÑA'!AM2</f>
        <v>46009</v>
      </c>
      <c r="AL87" s="22">
        <f>'PLAZA EGAÑA'!AN2</f>
        <v>46013</v>
      </c>
      <c r="AM87" s="22">
        <f>'PLAZA EGAÑA'!AO2</f>
        <v>46020</v>
      </c>
      <c r="AN87" s="22">
        <f>'PLAZA EGAÑA'!AP2</f>
        <v>46027</v>
      </c>
      <c r="AO87" s="22">
        <f>'PLAZA EGAÑA'!AQ2</f>
        <v>46030</v>
      </c>
      <c r="AP87" s="22">
        <f>'PLAZA EGAÑA'!AR2</f>
        <v>46034</v>
      </c>
      <c r="AQ87" s="22">
        <f>'PLAZA EGAÑA'!AS2</f>
        <v>46037</v>
      </c>
      <c r="AR87" s="22">
        <f>'PLAZA EGAÑA'!AT2</f>
        <v>46041</v>
      </c>
      <c r="AS87" s="22">
        <f>'PLAZA EGAÑA'!AU2</f>
        <v>46044</v>
      </c>
      <c r="AT87" s="22">
        <f>'PLAZA EGAÑA'!AV2</f>
        <v>46048</v>
      </c>
      <c r="AU87" s="22">
        <f>'PLAZA EGAÑA'!AW2</f>
        <v>46051</v>
      </c>
      <c r="AV87" s="22">
        <f>'PLAZA EGAÑA'!AX2</f>
        <v>46055</v>
      </c>
      <c r="AW87" s="22">
        <f>'PLAZA EGAÑA'!AY2</f>
        <v>46058</v>
      </c>
      <c r="AX87" s="22">
        <f>'PLAZA EGAÑA'!AZ2</f>
        <v>46062</v>
      </c>
      <c r="AY87" s="22">
        <f>'PLAZA EGAÑA'!BA2</f>
        <v>46065</v>
      </c>
      <c r="AZ87" s="22">
        <f>'PLAZA EGAÑA'!BB2</f>
        <v>46069</v>
      </c>
      <c r="BA87" s="22">
        <f>'PLAZA EGAÑA'!AZ2</f>
        <v>46062</v>
      </c>
      <c r="BB87" s="22">
        <f>'PLAZA EGAÑA'!BA2</f>
        <v>46065</v>
      </c>
      <c r="BC87" s="22">
        <f>'PLAZA EGAÑA'!BB2</f>
        <v>46069</v>
      </c>
      <c r="BD87" s="22">
        <f>'PLAZA EGAÑA'!BC2</f>
        <v>46072</v>
      </c>
      <c r="BE87" s="22">
        <f>'PLAZA EGAÑA'!BD2</f>
        <v>46076</v>
      </c>
      <c r="BF87" s="22">
        <f>'PLAZA EGAÑA'!BE2</f>
        <v>46079</v>
      </c>
      <c r="BG87" s="22">
        <f>'PLAZA EGAÑA'!BF2</f>
        <v>46083</v>
      </c>
      <c r="BH87" s="22">
        <f>'PLAZA EGAÑA'!BG2</f>
        <v>46086</v>
      </c>
      <c r="BI87" s="22">
        <f>'PLAZA EGAÑA'!BH2</f>
        <v>46090</v>
      </c>
      <c r="BJ87" s="22">
        <f>'PLAZA EGAÑA'!BI2</f>
        <v>46093</v>
      </c>
      <c r="BK87" s="22">
        <f>'PLAZA EGAÑA'!BJ2</f>
        <v>46097</v>
      </c>
      <c r="BL87" s="22">
        <f>'PLAZA EGAÑA'!BK2</f>
        <v>46100</v>
      </c>
      <c r="BM87" s="22">
        <f>'PLAZA EGAÑA'!BL2</f>
        <v>46104</v>
      </c>
      <c r="BN87" s="22">
        <f>'PLAZA EGAÑA'!BM2</f>
        <v>46107</v>
      </c>
      <c r="BO87" s="22">
        <f>'PLAZA EGAÑA'!BN2</f>
        <v>46111</v>
      </c>
      <c r="BP87" s="2" t="str">
        <f>'PLAZA EGAÑA'!BO2</f>
        <v/>
      </c>
      <c r="BQ87" s="2" t="str">
        <f>'PLAZA EGAÑA'!BP2</f>
        <v/>
      </c>
      <c r="BR87" s="2"/>
      <c r="BS87" s="2"/>
      <c r="BT87" s="2"/>
      <c r="BU87" s="2"/>
      <c r="BV87" s="2"/>
      <c r="BW87" s="2"/>
    </row>
    <row r="88">
      <c r="A88" s="2"/>
      <c r="B88" s="2" t="str">
        <f>'PLAZA EGAÑA'!A3</f>
        <v>Sede</v>
      </c>
      <c r="C88" s="2" t="str">
        <f>'PLAZA EGAÑA'!B3</f>
        <v>Proveedor</v>
      </c>
      <c r="D88" s="2" t="str">
        <f>'PLAZA EGAÑA'!C3</f>
        <v>Producto</v>
      </c>
      <c r="E88" s="2" t="str">
        <f>'PLAZA EGAÑA'!D3</f>
        <v>Stock Actual</v>
      </c>
      <c r="F88" s="2" t="str">
        <f>'PLAZA EGAÑA'!E3</f>
        <v>Stock Actual</v>
      </c>
      <c r="G88" s="2" t="str">
        <f>'PLAZA EGAÑA'!F3</f>
        <v>Stock Actual</v>
      </c>
      <c r="H88" s="2" t="str">
        <f>'PLAZA EGAÑA'!G3</f>
        <v>Stock Actual</v>
      </c>
      <c r="I88" s="2" t="str">
        <f>'PLAZA EGAÑA'!H3</f>
        <v>Stock Actual</v>
      </c>
      <c r="J88" s="2" t="str">
        <f>'PLAZA EGAÑA'!I3</f>
        <v>Stock Actual</v>
      </c>
      <c r="K88" s="2" t="str">
        <f>'PLAZA EGAÑA'!J3</f>
        <v>Stock Actual</v>
      </c>
      <c r="L88" s="2" t="str">
        <f>'PLAZA EGAÑA'!K3</f>
        <v>Stock Actual</v>
      </c>
      <c r="M88" s="2" t="str">
        <f>'PLAZA EGAÑA'!L3</f>
        <v>Stock Actual</v>
      </c>
      <c r="N88" s="2" t="str">
        <f>'PLAZA EGAÑA'!M3</f>
        <v>Stock Actual</v>
      </c>
      <c r="O88" s="2" t="str">
        <f>'PLAZA EGAÑA'!N3</f>
        <v>Stock Actual</v>
      </c>
      <c r="P88" s="2" t="str">
        <f>'PLAZA EGAÑA'!O3</f>
        <v>Stock Actual</v>
      </c>
      <c r="Q88" s="2" t="str">
        <f>'PLAZA EGAÑA'!P3</f>
        <v>Stock Actual</v>
      </c>
      <c r="R88" s="2" t="str">
        <f>'PLAZA EGAÑA'!Q3</f>
        <v>Stock Actual</v>
      </c>
      <c r="S88" s="2" t="str">
        <f>'PLAZA EGAÑA'!R3</f>
        <v>Stock Actual</v>
      </c>
      <c r="T88" s="2" t="str">
        <f>'PLAZA EGAÑA'!S3</f>
        <v>Stock Actual</v>
      </c>
      <c r="U88" s="2" t="str">
        <f>'PLAZA EGAÑA'!T3</f>
        <v>Stock Actual</v>
      </c>
      <c r="V88" s="2" t="str">
        <f>'PLAZA EGAÑA'!U3</f>
        <v>Stock Actual</v>
      </c>
      <c r="W88" s="2" t="str">
        <f>'PLAZA EGAÑA'!V3</f>
        <v>Stock Actual</v>
      </c>
      <c r="X88" s="2" t="str">
        <f>'PLAZA EGAÑA'!W3</f>
        <v>Stock Actual</v>
      </c>
      <c r="Y88" s="2" t="str">
        <f>'PLAZA EGAÑA'!X3</f>
        <v>Stock Actual</v>
      </c>
      <c r="Z88" s="2" t="str">
        <f>'PLAZA EGAÑA'!Y3</f>
        <v>Stock Actual</v>
      </c>
      <c r="AA88" s="2" t="str">
        <f>'PLAZA EGAÑA'!Z3</f>
        <v>Stock Actual</v>
      </c>
      <c r="AB88" s="2" t="str">
        <f>'PLAZA EGAÑA'!AA3</f>
        <v>Stock Actual</v>
      </c>
      <c r="AC88" s="2" t="str">
        <f>'PLAZA EGAÑA'!AB3</f>
        <v>Stock Actual</v>
      </c>
      <c r="AD88" s="2" t="str">
        <f>'PLAZA EGAÑA'!AC3</f>
        <v>Stock Actual</v>
      </c>
      <c r="AE88" s="2" t="str">
        <f>'PLAZA EGAÑA'!AD3</f>
        <v>Stock Actual</v>
      </c>
      <c r="AF88" s="2" t="str">
        <f>'PLAZA EGAÑA'!AE3</f>
        <v>Stock Actual</v>
      </c>
      <c r="AG88" s="2" t="str">
        <f>'PLAZA EGAÑA'!AF3</f>
        <v>Stock Actual</v>
      </c>
      <c r="AH88" s="2" t="str">
        <f>'PLAZA EGAÑA'!AG3</f>
        <v>Stock Actual</v>
      </c>
      <c r="AI88" s="2" t="str">
        <f>'PLAZA EGAÑA'!AH3</f>
        <v>Stock Actual</v>
      </c>
      <c r="AJ88" s="2" t="str">
        <f>'PLAZA EGAÑA'!AI3</f>
        <v>Stock Actual</v>
      </c>
      <c r="AK88" s="2" t="str">
        <f>'PLAZA EGAÑA'!AJ3</f>
        <v>Stock Actual</v>
      </c>
      <c r="AL88" s="2" t="str">
        <f>'PLAZA EGAÑA'!AK3</f>
        <v>Stock Actual</v>
      </c>
      <c r="AM88" s="2" t="str">
        <f>'PLAZA EGAÑA'!AL3</f>
        <v>Stock Actual</v>
      </c>
      <c r="AN88" s="2" t="str">
        <f>'PLAZA EGAÑA'!AM3</f>
        <v>Stock Actual</v>
      </c>
      <c r="AO88" s="2" t="str">
        <f>'PLAZA EGAÑA'!AN3</f>
        <v>Stock Actual</v>
      </c>
      <c r="AP88" s="2" t="str">
        <f>'PLAZA EGAÑA'!AO3</f>
        <v>Stock Actual</v>
      </c>
      <c r="AQ88" s="2" t="str">
        <f>'PLAZA EGAÑA'!AP3</f>
        <v>Stock Actual</v>
      </c>
      <c r="AR88" s="2" t="str">
        <f>'PLAZA EGAÑA'!AQ3</f>
        <v>Stock Actual</v>
      </c>
      <c r="AS88" s="2" t="str">
        <f>'PLAZA EGAÑA'!AR3</f>
        <v>Stock Actual</v>
      </c>
      <c r="AT88" s="2" t="str">
        <f>'PLAZA EGAÑA'!AS3</f>
        <v>Stock Actual</v>
      </c>
      <c r="AU88" s="2" t="str">
        <f>'PLAZA EGAÑA'!AT3</f>
        <v>Stock Actual</v>
      </c>
      <c r="AV88" s="2" t="str">
        <f>'PLAZA EGAÑA'!AU3</f>
        <v>Stock Actual</v>
      </c>
      <c r="AW88" s="2" t="str">
        <f>'PLAZA EGAÑA'!AV3</f>
        <v>Stock Actual</v>
      </c>
      <c r="AX88" s="2" t="str">
        <f>'PLAZA EGAÑA'!AW3</f>
        <v>Stock Actual</v>
      </c>
      <c r="AY88" s="2" t="str">
        <f>'PLAZA EGAÑA'!AX3</f>
        <v>Stock Actual</v>
      </c>
      <c r="AZ88" s="2" t="str">
        <f>'PLAZA EGAÑA'!AY3</f>
        <v>Stock Actual</v>
      </c>
      <c r="BA88" s="2" t="str">
        <f>'PLAZA EGAÑA'!AZ3</f>
        <v>Stock Actual</v>
      </c>
      <c r="BB88" s="2" t="str">
        <f>'PLAZA EGAÑA'!BA3</f>
        <v>Stock Actual</v>
      </c>
      <c r="BC88" s="2" t="str">
        <f>'PLAZA EGAÑA'!BB3</f>
        <v>Stock Actual</v>
      </c>
      <c r="BD88" s="2" t="str">
        <f>'PLAZA EGAÑA'!BC3</f>
        <v>Stock Actual</v>
      </c>
      <c r="BE88" s="2" t="str">
        <f>'PLAZA EGAÑA'!BD3</f>
        <v>Stock Actual</v>
      </c>
      <c r="BF88" s="2" t="str">
        <f>'PLAZA EGAÑA'!BE3</f>
        <v>Stock Actual</v>
      </c>
      <c r="BG88" s="2" t="str">
        <f>'PLAZA EGAÑA'!BF3</f>
        <v>Stock Actual</v>
      </c>
      <c r="BH88" s="2" t="str">
        <f>'PLAZA EGAÑA'!BG3</f>
        <v>Stock Actual</v>
      </c>
      <c r="BI88" s="2" t="str">
        <f>'PLAZA EGAÑA'!BH3</f>
        <v>Stock Actual</v>
      </c>
      <c r="BJ88" s="2" t="str">
        <f>'PLAZA EGAÑA'!BI3</f>
        <v>Stock Actual</v>
      </c>
      <c r="BK88" s="2" t="str">
        <f>'PLAZA EGAÑA'!BJ3</f>
        <v>Stock Actual</v>
      </c>
      <c r="BL88" s="2" t="str">
        <f>'PLAZA EGAÑA'!BK3</f>
        <v>Stock Actual</v>
      </c>
      <c r="BM88" s="2" t="str">
        <f>'PLAZA EGAÑA'!BL3</f>
        <v>Stock Actual</v>
      </c>
      <c r="BN88" s="2" t="str">
        <f>'PLAZA EGAÑA'!BM3</f>
        <v>Stock Actual</v>
      </c>
      <c r="BO88" s="2" t="str">
        <f>'PLAZA EGAÑA'!BN3</f>
        <v>Stock Actual</v>
      </c>
      <c r="BP88" s="2" t="str">
        <f>'PLAZA EGAÑA'!BO3</f>
        <v/>
      </c>
      <c r="BQ88" s="2" t="str">
        <f>'PLAZA EGAÑA'!BP3</f>
        <v/>
      </c>
      <c r="BR88" s="2"/>
      <c r="BS88" s="2"/>
      <c r="BT88" s="2"/>
      <c r="BU88" s="2"/>
      <c r="BV88" s="2"/>
      <c r="BW88" s="2"/>
    </row>
    <row r="89">
      <c r="A89" s="2"/>
      <c r="B89" s="2" t="str">
        <f>'PLAZA EGAÑA'!A4</f>
        <v>Plaza Egaña</v>
      </c>
      <c r="C89" s="2" t="str">
        <f>'PLAZA EGAÑA'!B4</f>
        <v>Cafeteria</v>
      </c>
      <c r="D89" s="2" t="str">
        <f>'PLAZA EGAÑA'!C4</f>
        <v>Cafe Grano (KG)</v>
      </c>
      <c r="E89" s="2">
        <f>'PLAZA EGAÑA'!D4</f>
        <v>1</v>
      </c>
      <c r="F89" s="2">
        <f>'PLAZA EGAÑA'!E4</f>
        <v>0</v>
      </c>
      <c r="G89" s="2">
        <f>'PLAZA EGAÑA'!F4</f>
        <v>13</v>
      </c>
      <c r="H89" s="2">
        <f>'PLAZA EGAÑA'!G4</f>
        <v>7</v>
      </c>
      <c r="I89" s="2">
        <f>'PLAZA EGAÑA'!H4</f>
        <v>3</v>
      </c>
      <c r="J89" s="2">
        <f>'PLAZA EGAÑA'!I4</f>
        <v>20</v>
      </c>
      <c r="K89" s="2">
        <f>'PLAZA EGAÑA'!J4</f>
        <v>9</v>
      </c>
      <c r="L89" s="2">
        <f>'PLAZA EGAÑA'!K4</f>
        <v>4</v>
      </c>
      <c r="M89" s="2">
        <f>'PLAZA EGAÑA'!L4</f>
        <v>10</v>
      </c>
      <c r="N89" s="2">
        <f>'PLAZA EGAÑA'!M4</f>
        <v>4</v>
      </c>
      <c r="O89" s="2">
        <f>'PLAZA EGAÑA'!N4</f>
        <v>1</v>
      </c>
      <c r="P89" s="2">
        <f>'PLAZA EGAÑA'!O4</f>
        <v>0</v>
      </c>
      <c r="Q89" s="2">
        <f>'PLAZA EGAÑA'!P4</f>
        <v>1</v>
      </c>
      <c r="R89" s="2">
        <f>'PLAZA EGAÑA'!Q4</f>
        <v>7</v>
      </c>
      <c r="S89" s="2">
        <f>'PLAZA EGAÑA'!R4</f>
        <v>4</v>
      </c>
      <c r="T89" s="2">
        <f>'PLAZA EGAÑA'!S4</f>
        <v>1</v>
      </c>
      <c r="U89" s="2">
        <f>'PLAZA EGAÑA'!T4</f>
        <v>0</v>
      </c>
      <c r="V89" s="2">
        <f>'PLAZA EGAÑA'!U4</f>
        <v>9</v>
      </c>
      <c r="W89" s="2">
        <f>'PLAZA EGAÑA'!V4</f>
        <v>7</v>
      </c>
      <c r="X89" s="2">
        <f>'PLAZA EGAÑA'!W4</f>
        <v>4</v>
      </c>
      <c r="Y89" s="2">
        <f>'PLAZA EGAÑA'!X4</f>
        <v>1</v>
      </c>
      <c r="Z89" s="2">
        <f>'PLAZA EGAÑA'!Y4</f>
        <v>12</v>
      </c>
      <c r="AA89" s="2" t="str">
        <f>'PLAZA EGAÑA'!Z4</f>
        <v>9KG</v>
      </c>
      <c r="AB89" s="2" t="str">
        <f>'PLAZA EGAÑA'!AA4</f>
        <v>7 kg </v>
      </c>
      <c r="AC89" s="2" t="str">
        <f>'PLAZA EGAÑA'!AB4</f>
        <v>3 kg </v>
      </c>
      <c r="AD89" s="2">
        <f>'PLAZA EGAÑA'!AC4</f>
        <v>0</v>
      </c>
      <c r="AE89" s="2" t="str">
        <f>'PLAZA EGAÑA'!AD4</f>
        <v>8 kg </v>
      </c>
      <c r="AF89" s="2" t="str">
        <f>'PLAZA EGAÑA'!AE4</f>
        <v>5 KG </v>
      </c>
      <c r="AG89" s="2" t="str">
        <f>'PLAZA EGAÑA'!AF4</f>
        <v>3kg</v>
      </c>
      <c r="AH89" s="2" t="str">
        <f>'PLAZA EGAÑA'!AG4</f>
        <v>2 kg </v>
      </c>
      <c r="AI89" s="2">
        <f>'PLAZA EGAÑA'!AH4</f>
        <v>0</v>
      </c>
      <c r="AJ89" s="2" t="str">
        <f>'PLAZA EGAÑA'!AI4</f>
        <v>10 kg</v>
      </c>
      <c r="AK89" s="2" t="str">
        <f>'PLAZA EGAÑA'!AJ4</f>
        <v>9kg </v>
      </c>
      <c r="AL89" s="2" t="str">
        <f>'PLAZA EGAÑA'!AK4</f>
        <v>8 kg </v>
      </c>
      <c r="AM89" s="2" t="str">
        <f>'PLAZA EGAÑA'!AL4</f>
        <v>6 kig</v>
      </c>
      <c r="AN89" s="2" t="str">
        <f>'PLAZA EGAÑA'!AM4</f>
        <v>3 kg </v>
      </c>
      <c r="AO89" s="2">
        <f>'PLAZA EGAÑA'!AN4</f>
        <v>13</v>
      </c>
      <c r="AP89" s="2">
        <f>'PLAZA EGAÑA'!AO4</f>
        <v>10</v>
      </c>
      <c r="AQ89" s="2">
        <f>'PLAZA EGAÑA'!AP4</f>
        <v>10</v>
      </c>
      <c r="AR89" s="2">
        <f>'PLAZA EGAÑA'!AQ4</f>
        <v>8</v>
      </c>
      <c r="AS89" s="2">
        <f>'PLAZA EGAÑA'!AR4</f>
        <v>7</v>
      </c>
      <c r="AT89" s="2">
        <f>'PLAZA EGAÑA'!AS4</f>
        <v>6</v>
      </c>
      <c r="AU89" s="2">
        <f>'PLAZA EGAÑA'!AT4</f>
        <v>5</v>
      </c>
      <c r="AV89" s="2">
        <f>'PLAZA EGAÑA'!AU4</f>
        <v>4</v>
      </c>
      <c r="AW89" s="2">
        <f>'PLAZA EGAÑA'!AV4</f>
        <v>3</v>
      </c>
      <c r="AX89" s="2">
        <f>'PLAZA EGAÑA'!AW4</f>
        <v>10</v>
      </c>
      <c r="AY89" s="2">
        <f>'PLAZA EGAÑA'!AX4</f>
        <v>9</v>
      </c>
      <c r="AZ89" s="2">
        <f>'PLAZA EGAÑA'!AY4</f>
        <v>8</v>
      </c>
      <c r="BA89" s="2">
        <f>'PLAZA EGAÑA'!AZ4</f>
        <v>7</v>
      </c>
      <c r="BB89" s="2">
        <f>'PLAZA EGAÑA'!BA4</f>
        <v>5</v>
      </c>
      <c r="BC89" s="2">
        <f>'PLAZA EGAÑA'!BB4</f>
        <v>5</v>
      </c>
      <c r="BD89" s="2">
        <f>'PLAZA EGAÑA'!BC4</f>
        <v>4</v>
      </c>
      <c r="BE89" s="2">
        <f>'PLAZA EGAÑA'!BD4</f>
        <v>1</v>
      </c>
      <c r="BF89" s="2">
        <f>'PLAZA EGAÑA'!BE4</f>
        <v>0</v>
      </c>
      <c r="BG89" s="2">
        <f>'PLAZA EGAÑA'!BF4</f>
        <v>13</v>
      </c>
      <c r="BH89" s="2">
        <f>'PLAZA EGAÑA'!BG4</f>
        <v>10</v>
      </c>
      <c r="BI89" s="2">
        <f>'PLAZA EGAÑA'!BH4</f>
        <v>8</v>
      </c>
      <c r="BJ89" s="2">
        <f>'PLAZA EGAÑA'!BI4</f>
        <v>6</v>
      </c>
      <c r="BK89" s="2">
        <f>'PLAZA EGAÑA'!BJ4</f>
        <v>5</v>
      </c>
      <c r="BL89" s="2">
        <f>'PLAZA EGAÑA'!BK4</f>
        <v>16</v>
      </c>
      <c r="BM89" s="2">
        <f>'PLAZA EGAÑA'!BL4</f>
        <v>15</v>
      </c>
      <c r="BN89" s="2" t="str">
        <f>'PLAZA EGAÑA'!BM4</f>
        <v/>
      </c>
      <c r="BO89" s="2" t="str">
        <f>'PLAZA EGAÑA'!BN4</f>
        <v/>
      </c>
      <c r="BP89" s="2" t="str">
        <f>'PLAZA EGAÑA'!BO4</f>
        <v/>
      </c>
      <c r="BQ89" s="2" t="str">
        <f>'PLAZA EGAÑA'!BP4</f>
        <v/>
      </c>
      <c r="BR89" s="2"/>
      <c r="BS89" s="2"/>
      <c r="BT89" s="2"/>
      <c r="BU89" s="2"/>
      <c r="BV89" s="2"/>
      <c r="BW89" s="2"/>
    </row>
    <row r="90">
      <c r="A90" s="2"/>
      <c r="B90" s="2" t="str">
        <f>'PLAZA EGAÑA'!A5</f>
        <v>Plaza Egaña</v>
      </c>
      <c r="C90" s="2" t="str">
        <f>'PLAZA EGAÑA'!B5</f>
        <v>Cafeteria</v>
      </c>
      <c r="D90" s="2" t="str">
        <f>'PLAZA EGAÑA'!C5</f>
        <v>Toalla de Papel Jumbo (UN)</v>
      </c>
      <c r="E90" s="2">
        <f>'PLAZA EGAÑA'!D5</f>
        <v>1</v>
      </c>
      <c r="F90" s="2">
        <f>'PLAZA EGAÑA'!E5</f>
        <v>0</v>
      </c>
      <c r="G90" s="2">
        <f>'PLAZA EGAÑA'!F5</f>
        <v>0</v>
      </c>
      <c r="H90" s="2">
        <f>'PLAZA EGAÑA'!G5</f>
        <v>6</v>
      </c>
      <c r="I90" s="2">
        <f>'PLAZA EGAÑA'!H5</f>
        <v>1</v>
      </c>
      <c r="J90" s="2">
        <f>'PLAZA EGAÑA'!I5</f>
        <v>3</v>
      </c>
      <c r="K90" s="2">
        <f>'PLAZA EGAÑA'!J5</f>
        <v>1</v>
      </c>
      <c r="L90" s="2">
        <f>'PLAZA EGAÑA'!K5</f>
        <v>0</v>
      </c>
      <c r="M90" s="2">
        <f>'PLAZA EGAÑA'!L5</f>
        <v>2</v>
      </c>
      <c r="N90" s="2">
        <f>'PLAZA EGAÑA'!M5</f>
        <v>1</v>
      </c>
      <c r="O90" s="2">
        <f>'PLAZA EGAÑA'!N5</f>
        <v>0</v>
      </c>
      <c r="P90" s="2">
        <f>'PLAZA EGAÑA'!O5</f>
        <v>3</v>
      </c>
      <c r="Q90" s="2">
        <f>'PLAZA EGAÑA'!P5</f>
        <v>1</v>
      </c>
      <c r="R90" s="2">
        <f>'PLAZA EGAÑA'!Q5</f>
        <v>0</v>
      </c>
      <c r="S90" s="2">
        <f>'PLAZA EGAÑA'!R5</f>
        <v>3</v>
      </c>
      <c r="T90" s="2">
        <f>'PLAZA EGAÑA'!S5</f>
        <v>1</v>
      </c>
      <c r="U90" s="2">
        <f>'PLAZA EGAÑA'!T5</f>
        <v>0</v>
      </c>
      <c r="V90" s="2">
        <f>'PLAZA EGAÑA'!U5</f>
        <v>0</v>
      </c>
      <c r="W90" s="2">
        <f>'PLAZA EGAÑA'!V5</f>
        <v>0</v>
      </c>
      <c r="X90" s="2">
        <f>'PLAZA EGAÑA'!W5</f>
        <v>2</v>
      </c>
      <c r="Y90" s="2">
        <f>'PLAZA EGAÑA'!X5</f>
        <v>0</v>
      </c>
      <c r="Z90" s="2">
        <f>'PLAZA EGAÑA'!Y5</f>
        <v>4</v>
      </c>
      <c r="AA90" s="2">
        <f>'PLAZA EGAÑA'!Z5</f>
        <v>2</v>
      </c>
      <c r="AB90" s="2">
        <f>'PLAZA EGAÑA'!AA5</f>
        <v>0</v>
      </c>
      <c r="AC90" s="2">
        <f>'PLAZA EGAÑA'!AB5</f>
        <v>0</v>
      </c>
      <c r="AD90" s="2">
        <f>'PLAZA EGAÑA'!AC5</f>
        <v>3</v>
      </c>
      <c r="AE90" s="2" t="str">
        <f>'PLAZA EGAÑA'!AD5</f>
        <v/>
      </c>
      <c r="AF90" s="2">
        <f>'PLAZA EGAÑA'!AE5</f>
        <v>2</v>
      </c>
      <c r="AG90" s="2">
        <f>'PLAZA EGAÑA'!AF5</f>
        <v>0</v>
      </c>
      <c r="AH90" s="2">
        <f>'PLAZA EGAÑA'!AG5</f>
        <v>0</v>
      </c>
      <c r="AI90" s="2">
        <f>'PLAZA EGAÑA'!AH5</f>
        <v>0</v>
      </c>
      <c r="AJ90" s="2">
        <f>'PLAZA EGAÑA'!AI5</f>
        <v>7</v>
      </c>
      <c r="AK90" s="2">
        <f>'PLAZA EGAÑA'!AJ5</f>
        <v>6</v>
      </c>
      <c r="AL90" s="2">
        <f>'PLAZA EGAÑA'!AK5</f>
        <v>3</v>
      </c>
      <c r="AM90" s="2">
        <f>'PLAZA EGAÑA'!AL5</f>
        <v>2</v>
      </c>
      <c r="AN90" s="2">
        <f>'PLAZA EGAÑA'!AM5</f>
        <v>1</v>
      </c>
      <c r="AO90" s="2">
        <f>'PLAZA EGAÑA'!AN5</f>
        <v>7</v>
      </c>
      <c r="AP90" s="2">
        <f>'PLAZA EGAÑA'!AO5</f>
        <v>5</v>
      </c>
      <c r="AQ90" s="2">
        <f>'PLAZA EGAÑA'!AP5</f>
        <v>4</v>
      </c>
      <c r="AR90" s="2">
        <f>'PLAZA EGAÑA'!AQ5</f>
        <v>3</v>
      </c>
      <c r="AS90" s="2">
        <f>'PLAZA EGAÑA'!AR5</f>
        <v>3</v>
      </c>
      <c r="AT90" s="2">
        <f>'PLAZA EGAÑA'!AS5</f>
        <v>8</v>
      </c>
      <c r="AU90" s="2">
        <f>'PLAZA EGAÑA'!AT5</f>
        <v>7</v>
      </c>
      <c r="AV90" s="2">
        <f>'PLAZA EGAÑA'!AU5</f>
        <v>11</v>
      </c>
      <c r="AW90" s="2">
        <f>'PLAZA EGAÑA'!AV5</f>
        <v>11</v>
      </c>
      <c r="AX90" s="2">
        <f>'PLAZA EGAÑA'!AW5</f>
        <v>9</v>
      </c>
      <c r="AY90" s="2">
        <f>'PLAZA EGAÑA'!AX5</f>
        <v>9</v>
      </c>
      <c r="AZ90" s="2">
        <f>'PLAZA EGAÑA'!AY5</f>
        <v>8</v>
      </c>
      <c r="BA90" s="2">
        <f>'PLAZA EGAÑA'!AZ5</f>
        <v>6</v>
      </c>
      <c r="BB90" s="2">
        <f>'PLAZA EGAÑA'!BA5</f>
        <v>3</v>
      </c>
      <c r="BC90" s="2">
        <f>'PLAZA EGAÑA'!BB5</f>
        <v>1</v>
      </c>
      <c r="BD90" s="2">
        <f>'PLAZA EGAÑA'!BC5</f>
        <v>6</v>
      </c>
      <c r="BE90" s="2">
        <f>'PLAZA EGAÑA'!BD5</f>
        <v>5</v>
      </c>
      <c r="BF90" s="2">
        <f>'PLAZA EGAÑA'!BE5</f>
        <v>4</v>
      </c>
      <c r="BG90" s="2">
        <f>'PLAZA EGAÑA'!BF5</f>
        <v>3</v>
      </c>
      <c r="BH90" s="2">
        <f>'PLAZA EGAÑA'!BG5</f>
        <v>1</v>
      </c>
      <c r="BI90" s="2">
        <f>'PLAZA EGAÑA'!BH5</f>
        <v>0</v>
      </c>
      <c r="BJ90" s="2">
        <f>'PLAZA EGAÑA'!BI5</f>
        <v>5</v>
      </c>
      <c r="BK90" s="2">
        <f>'PLAZA EGAÑA'!BJ5</f>
        <v>5</v>
      </c>
      <c r="BL90" s="2">
        <f>'PLAZA EGAÑA'!BK5</f>
        <v>1</v>
      </c>
      <c r="BM90" s="2">
        <f>'PLAZA EGAÑA'!BL5</f>
        <v>0</v>
      </c>
      <c r="BN90" s="2" t="str">
        <f>'PLAZA EGAÑA'!BM5</f>
        <v/>
      </c>
      <c r="BO90" s="2" t="str">
        <f>'PLAZA EGAÑA'!BN5</f>
        <v/>
      </c>
      <c r="BP90" s="2" t="str">
        <f>'PLAZA EGAÑA'!BO5</f>
        <v/>
      </c>
      <c r="BQ90" s="2" t="str">
        <f>'PLAZA EGAÑA'!BP5</f>
        <v/>
      </c>
      <c r="BR90" s="2"/>
      <c r="BS90" s="2"/>
      <c r="BT90" s="2"/>
      <c r="BU90" s="2"/>
      <c r="BV90" s="2"/>
      <c r="BW90" s="2"/>
    </row>
    <row r="91">
      <c r="A91" s="2"/>
      <c r="B91" s="2" t="str">
        <f>'PLAZA EGAÑA'!A6</f>
        <v>Plaza Egaña</v>
      </c>
      <c r="C91" s="2" t="str">
        <f>'PLAZA EGAÑA'!B6</f>
        <v>Cafeteria</v>
      </c>
      <c r="D91" s="2" t="str">
        <f>'PLAZA EGAÑA'!C6</f>
        <v>Papel Higienico (UN)</v>
      </c>
      <c r="E91" s="2">
        <f>'PLAZA EGAÑA'!D6</f>
        <v>8</v>
      </c>
      <c r="F91" s="2">
        <f>'PLAZA EGAÑA'!E6</f>
        <v>4</v>
      </c>
      <c r="G91" s="2">
        <f>'PLAZA EGAÑA'!F6</f>
        <v>0</v>
      </c>
      <c r="H91" s="2">
        <f>'PLAZA EGAÑA'!G6</f>
        <v>6</v>
      </c>
      <c r="I91" s="2">
        <f>'PLAZA EGAÑA'!H6</f>
        <v>4</v>
      </c>
      <c r="J91" s="2">
        <f>'PLAZA EGAÑA'!I6</f>
        <v>5</v>
      </c>
      <c r="K91" s="2">
        <f>'PLAZA EGAÑA'!J6</f>
        <v>3</v>
      </c>
      <c r="L91" s="2">
        <f>'PLAZA EGAÑA'!K6</f>
        <v>0</v>
      </c>
      <c r="M91" s="2">
        <f>'PLAZA EGAÑA'!L6</f>
        <v>3</v>
      </c>
      <c r="N91" s="2">
        <f>'PLAZA EGAÑA'!M6</f>
        <v>2</v>
      </c>
      <c r="O91" s="2">
        <f>'PLAZA EGAÑA'!N6</f>
        <v>0</v>
      </c>
      <c r="P91" s="2">
        <f>'PLAZA EGAÑA'!O6</f>
        <v>3</v>
      </c>
      <c r="Q91" s="2">
        <f>'PLAZA EGAÑA'!P6</f>
        <v>2</v>
      </c>
      <c r="R91" s="2" t="str">
        <f>'PLAZA EGAÑA'!Q6</f>
        <v>3/ sin papel </v>
      </c>
      <c r="S91" s="2">
        <f>'PLAZA EGAÑA'!R6</f>
        <v>4</v>
      </c>
      <c r="T91" s="2">
        <f>'PLAZA EGAÑA'!S6</f>
        <v>3</v>
      </c>
      <c r="U91" s="2">
        <f>'PLAZA EGAÑA'!T6</f>
        <v>2</v>
      </c>
      <c r="V91" s="2">
        <f>'PLAZA EGAÑA'!U6</f>
        <v>0</v>
      </c>
      <c r="W91" s="2">
        <f>'PLAZA EGAÑA'!V6</f>
        <v>0</v>
      </c>
      <c r="X91" s="2">
        <f>'PLAZA EGAÑA'!W6</f>
        <v>4</v>
      </c>
      <c r="Y91" s="2">
        <f>'PLAZA EGAÑA'!X6</f>
        <v>1</v>
      </c>
      <c r="Z91" s="2">
        <f>'PLAZA EGAÑA'!Y6</f>
        <v>7</v>
      </c>
      <c r="AA91" s="2">
        <f>'PLAZA EGAÑA'!Z6</f>
        <v>5</v>
      </c>
      <c r="AB91" s="2">
        <f>'PLAZA EGAÑA'!AA6</f>
        <v>4</v>
      </c>
      <c r="AC91" s="2">
        <f>'PLAZA EGAÑA'!AB6</f>
        <v>1</v>
      </c>
      <c r="AD91" s="2">
        <f>'PLAZA EGAÑA'!AC6</f>
        <v>7</v>
      </c>
      <c r="AE91" s="2" t="str">
        <f>'PLAZA EGAÑA'!AD6</f>
        <v/>
      </c>
      <c r="AF91" s="2">
        <f>'PLAZA EGAÑA'!AE6</f>
        <v>6</v>
      </c>
      <c r="AG91" s="2">
        <f>'PLAZA EGAÑA'!AF6</f>
        <v>6</v>
      </c>
      <c r="AH91" s="2">
        <f>'PLAZA EGAÑA'!AG6</f>
        <v>5</v>
      </c>
      <c r="AI91" s="2">
        <f>'PLAZA EGAÑA'!AH6</f>
        <v>6</v>
      </c>
      <c r="AJ91" s="2">
        <f>'PLAZA EGAÑA'!AI6</f>
        <v>7</v>
      </c>
      <c r="AK91" s="2">
        <f>'PLAZA EGAÑA'!AJ6</f>
        <v>7</v>
      </c>
      <c r="AL91" s="2">
        <f>'PLAZA EGAÑA'!AK6</f>
        <v>6</v>
      </c>
      <c r="AM91" s="2">
        <f>'PLAZA EGAÑA'!AL6</f>
        <v>6</v>
      </c>
      <c r="AN91" s="2">
        <f>'PLAZA EGAÑA'!AM6</f>
        <v>5</v>
      </c>
      <c r="AO91" s="2">
        <f>'PLAZA EGAÑA'!AN6</f>
        <v>8</v>
      </c>
      <c r="AP91" s="2">
        <f>'PLAZA EGAÑA'!AO6</f>
        <v>6</v>
      </c>
      <c r="AQ91" s="2">
        <f>'PLAZA EGAÑA'!AP6</f>
        <v>6</v>
      </c>
      <c r="AR91" s="2">
        <f>'PLAZA EGAÑA'!AQ6</f>
        <v>5</v>
      </c>
      <c r="AS91" s="2">
        <f>'PLAZA EGAÑA'!AR6</f>
        <v>5</v>
      </c>
      <c r="AT91" s="2">
        <f>'PLAZA EGAÑA'!AS6</f>
        <v>10</v>
      </c>
      <c r="AU91" s="2">
        <f>'PLAZA EGAÑA'!AT6</f>
        <v>9</v>
      </c>
      <c r="AV91" s="2">
        <f>'PLAZA EGAÑA'!AU6</f>
        <v>12</v>
      </c>
      <c r="AW91" s="2">
        <f>'PLAZA EGAÑA'!AV6</f>
        <v>12</v>
      </c>
      <c r="AX91" s="2">
        <f>'PLAZA EGAÑA'!AW6</f>
        <v>11</v>
      </c>
      <c r="AY91" s="2">
        <f>'PLAZA EGAÑA'!AX6</f>
        <v>9</v>
      </c>
      <c r="AZ91" s="2">
        <f>'PLAZA EGAÑA'!AY6</f>
        <v>8</v>
      </c>
      <c r="BA91" s="2">
        <f>'PLAZA EGAÑA'!AZ6</f>
        <v>7</v>
      </c>
      <c r="BB91" s="2">
        <f>'PLAZA EGAÑA'!BA6</f>
        <v>7</v>
      </c>
      <c r="BC91" s="2">
        <f>'PLAZA EGAÑA'!BB6</f>
        <v>6</v>
      </c>
      <c r="BD91" s="2">
        <f>'PLAZA EGAÑA'!BC6</f>
        <v>8</v>
      </c>
      <c r="BE91" s="2">
        <f>'PLAZA EGAÑA'!BD6</f>
        <v>13</v>
      </c>
      <c r="BF91" s="2">
        <f>'PLAZA EGAÑA'!BE6</f>
        <v>12</v>
      </c>
      <c r="BG91" s="2">
        <f>'PLAZA EGAÑA'!BF6</f>
        <v>10</v>
      </c>
      <c r="BH91" s="2">
        <f>'PLAZA EGAÑA'!BG6</f>
        <v>8</v>
      </c>
      <c r="BI91" s="2">
        <f>'PLAZA EGAÑA'!BH6</f>
        <v>8</v>
      </c>
      <c r="BJ91" s="2">
        <f>'PLAZA EGAÑA'!BI6</f>
        <v>9</v>
      </c>
      <c r="BK91" s="2">
        <f>'PLAZA EGAÑA'!BJ6</f>
        <v>9</v>
      </c>
      <c r="BL91" s="2">
        <f>'PLAZA EGAÑA'!BK6</f>
        <v>8</v>
      </c>
      <c r="BM91" s="2">
        <f>'PLAZA EGAÑA'!BL6</f>
        <v>7</v>
      </c>
      <c r="BN91" s="2" t="str">
        <f>'PLAZA EGAÑA'!BM6</f>
        <v/>
      </c>
      <c r="BO91" s="2" t="str">
        <f>'PLAZA EGAÑA'!BN6</f>
        <v/>
      </c>
      <c r="BP91" s="2" t="str">
        <f>'PLAZA EGAÑA'!BO6</f>
        <v/>
      </c>
      <c r="BQ91" s="2" t="str">
        <f>'PLAZA EGAÑA'!BP6</f>
        <v/>
      </c>
      <c r="BR91" s="2"/>
      <c r="BS91" s="2"/>
      <c r="BT91" s="2"/>
      <c r="BU91" s="2"/>
      <c r="BV91" s="2"/>
      <c r="BW91" s="2"/>
    </row>
    <row r="92">
      <c r="A92" s="2"/>
      <c r="B92" s="2" t="str">
        <f>'PLAZA EGAÑA'!A7</f>
        <v>Plaza Egaña</v>
      </c>
      <c r="C92" s="2" t="str">
        <f>'PLAZA EGAÑA'!B7</f>
        <v>Cafeteria</v>
      </c>
      <c r="D92" s="2" t="str">
        <f>'PLAZA EGAÑA'!C7</f>
        <v>Resma Papel Fotocopia (UN)</v>
      </c>
      <c r="E92" s="2">
        <f>'PLAZA EGAÑA'!D7</f>
        <v>4</v>
      </c>
      <c r="F92" s="2">
        <f>'PLAZA EGAÑA'!E7</f>
        <v>3</v>
      </c>
      <c r="G92" s="2">
        <f>'PLAZA EGAÑA'!F7</f>
        <v>1</v>
      </c>
      <c r="H92" s="2">
        <f>'PLAZA EGAÑA'!G7</f>
        <v>0</v>
      </c>
      <c r="I92" s="2">
        <f>'PLAZA EGAÑA'!H7</f>
        <v>0</v>
      </c>
      <c r="J92" s="2">
        <f>'PLAZA EGAÑA'!I7</f>
        <v>0</v>
      </c>
      <c r="K92" s="2">
        <f>'PLAZA EGAÑA'!J7</f>
        <v>0</v>
      </c>
      <c r="L92" s="2">
        <f>'PLAZA EGAÑA'!K7</f>
        <v>0</v>
      </c>
      <c r="M92" s="2">
        <f>'PLAZA EGAÑA'!L7</f>
        <v>3</v>
      </c>
      <c r="N92" s="2">
        <f>'PLAZA EGAÑA'!M7</f>
        <v>1</v>
      </c>
      <c r="O92" s="2">
        <f>'PLAZA EGAÑA'!N7</f>
        <v>0</v>
      </c>
      <c r="P92" s="2">
        <f>'PLAZA EGAÑA'!O7</f>
        <v>0</v>
      </c>
      <c r="Q92" s="2">
        <f>'PLAZA EGAÑA'!P7</f>
        <v>0</v>
      </c>
      <c r="R92" s="2">
        <f>'PLAZA EGAÑA'!Q7</f>
        <v>0</v>
      </c>
      <c r="S92" s="2">
        <f>'PLAZA EGAÑA'!R7</f>
        <v>3</v>
      </c>
      <c r="T92" s="2">
        <f>'PLAZA EGAÑA'!S7</f>
        <v>2</v>
      </c>
      <c r="U92" s="2">
        <f>'PLAZA EGAÑA'!T7</f>
        <v>2</v>
      </c>
      <c r="V92" s="2">
        <f>'PLAZA EGAÑA'!U7</f>
        <v>2</v>
      </c>
      <c r="W92" s="2">
        <f>'PLAZA EGAÑA'!V7</f>
        <v>2</v>
      </c>
      <c r="X92" s="2">
        <f>'PLAZA EGAÑA'!W7</f>
        <v>2</v>
      </c>
      <c r="Y92" s="2">
        <f>'PLAZA EGAÑA'!X7</f>
        <v>2</v>
      </c>
      <c r="Z92" s="2">
        <f>'PLAZA EGAÑA'!Y7</f>
        <v>2</v>
      </c>
      <c r="AA92" s="2">
        <f>'PLAZA EGAÑA'!Z7</f>
        <v>2</v>
      </c>
      <c r="AB92" s="2">
        <f>'PLAZA EGAÑA'!AA7</f>
        <v>2</v>
      </c>
      <c r="AC92" s="2">
        <f>'PLAZA EGAÑA'!AB7</f>
        <v>1</v>
      </c>
      <c r="AD92" s="2">
        <f>'PLAZA EGAÑA'!AC7</f>
        <v>4</v>
      </c>
      <c r="AE92" s="2" t="str">
        <f>'PLAZA EGAÑA'!AD7</f>
        <v/>
      </c>
      <c r="AF92" s="2">
        <f>'PLAZA EGAÑA'!AE7</f>
        <v>4</v>
      </c>
      <c r="AG92" s="2">
        <f>'PLAZA EGAÑA'!AF7</f>
        <v>4</v>
      </c>
      <c r="AH92" s="2">
        <f>'PLAZA EGAÑA'!AG7</f>
        <v>4</v>
      </c>
      <c r="AI92" s="2">
        <f>'PLAZA EGAÑA'!AH7</f>
        <v>4</v>
      </c>
      <c r="AJ92" s="2">
        <f>'PLAZA EGAÑA'!AI7</f>
        <v>3</v>
      </c>
      <c r="AK92" s="2">
        <f>'PLAZA EGAÑA'!AJ7</f>
        <v>3</v>
      </c>
      <c r="AL92" s="2">
        <f>'PLAZA EGAÑA'!AK7</f>
        <v>3</v>
      </c>
      <c r="AM92" s="2">
        <f>'PLAZA EGAÑA'!AL7</f>
        <v>3</v>
      </c>
      <c r="AN92" s="2">
        <f>'PLAZA EGAÑA'!AM7</f>
        <v>3</v>
      </c>
      <c r="AO92" s="2">
        <f>'PLAZA EGAÑA'!AN7</f>
        <v>6</v>
      </c>
      <c r="AP92" s="2">
        <f>'PLAZA EGAÑA'!AO7</f>
        <v>6</v>
      </c>
      <c r="AQ92" s="2">
        <f>'PLAZA EGAÑA'!AP7</f>
        <v>6</v>
      </c>
      <c r="AR92" s="2">
        <f>'PLAZA EGAÑA'!AQ7</f>
        <v>6</v>
      </c>
      <c r="AS92" s="2">
        <f>'PLAZA EGAÑA'!AR7</f>
        <v>6</v>
      </c>
      <c r="AT92" s="2">
        <f>'PLAZA EGAÑA'!AS7</f>
        <v>6</v>
      </c>
      <c r="AU92" s="2">
        <f>'PLAZA EGAÑA'!AT7</f>
        <v>6</v>
      </c>
      <c r="AV92" s="2">
        <f>'PLAZA EGAÑA'!AU7</f>
        <v>6</v>
      </c>
      <c r="AW92" s="2">
        <f>'PLAZA EGAÑA'!AV7</f>
        <v>6</v>
      </c>
      <c r="AX92" s="2">
        <f>'PLAZA EGAÑA'!AW7</f>
        <v>6</v>
      </c>
      <c r="AY92" s="2">
        <f>'PLAZA EGAÑA'!AX7</f>
        <v>6</v>
      </c>
      <c r="AZ92" s="2">
        <f>'PLAZA EGAÑA'!AY7</f>
        <v>6</v>
      </c>
      <c r="BA92" s="2">
        <f>'PLAZA EGAÑA'!AZ7</f>
        <v>6</v>
      </c>
      <c r="BB92" s="2">
        <f>'PLAZA EGAÑA'!BA7</f>
        <v>6</v>
      </c>
      <c r="BC92" s="2">
        <f>'PLAZA EGAÑA'!BB7</f>
        <v>6</v>
      </c>
      <c r="BD92" s="2">
        <f>'PLAZA EGAÑA'!BC7</f>
        <v>8</v>
      </c>
      <c r="BE92" s="2">
        <f>'PLAZA EGAÑA'!BD7</f>
        <v>8</v>
      </c>
      <c r="BF92" s="2">
        <f>'PLAZA EGAÑA'!BE7</f>
        <v>8</v>
      </c>
      <c r="BG92" s="2">
        <f>'PLAZA EGAÑA'!BF7</f>
        <v>8</v>
      </c>
      <c r="BH92" s="2">
        <f>'PLAZA EGAÑA'!BG7</f>
        <v>7</v>
      </c>
      <c r="BI92" s="2">
        <f>'PLAZA EGAÑA'!BH7</f>
        <v>7</v>
      </c>
      <c r="BJ92" s="2">
        <f>'PLAZA EGAÑA'!BI7</f>
        <v>8</v>
      </c>
      <c r="BK92" s="2">
        <f>'PLAZA EGAÑA'!BJ7</f>
        <v>8</v>
      </c>
      <c r="BL92" s="2">
        <f>'PLAZA EGAÑA'!BK7</f>
        <v>7</v>
      </c>
      <c r="BM92" s="2">
        <f>'PLAZA EGAÑA'!BL7</f>
        <v>7</v>
      </c>
      <c r="BN92" s="2" t="str">
        <f>'PLAZA EGAÑA'!BM7</f>
        <v/>
      </c>
      <c r="BO92" s="2" t="str">
        <f>'PLAZA EGAÑA'!BN7</f>
        <v/>
      </c>
      <c r="BP92" s="2" t="str">
        <f>'PLAZA EGAÑA'!BO7</f>
        <v/>
      </c>
      <c r="BQ92" s="2" t="str">
        <f>'PLAZA EGAÑA'!BP7</f>
        <v/>
      </c>
      <c r="BR92" s="2"/>
      <c r="BS92" s="2"/>
      <c r="BT92" s="2"/>
      <c r="BU92" s="2"/>
      <c r="BV92" s="2"/>
      <c r="BW92" s="2"/>
    </row>
    <row r="93">
      <c r="A93" s="2"/>
      <c r="B93" s="2" t="str">
        <f>'PLAZA EGAÑA'!A8</f>
        <v>Plaza Egaña</v>
      </c>
      <c r="C93" s="2" t="str">
        <f>'PLAZA EGAÑA'!B8</f>
        <v>Cafeteria</v>
      </c>
      <c r="D93" s="2" t="str">
        <f>'PLAZA EGAÑA'!C8</f>
        <v>Servilletas</v>
      </c>
      <c r="E93" s="2" t="str">
        <f>'PLAZA EGAÑA'!D8</f>
        <v/>
      </c>
      <c r="F93" s="2" t="str">
        <f>'PLAZA EGAÑA'!E8</f>
        <v/>
      </c>
      <c r="G93" s="2" t="str">
        <f>'PLAZA EGAÑA'!F8</f>
        <v/>
      </c>
      <c r="H93" s="2" t="str">
        <f>'PLAZA EGAÑA'!G8</f>
        <v/>
      </c>
      <c r="I93" s="2" t="str">
        <f>'PLAZA EGAÑA'!H8</f>
        <v/>
      </c>
      <c r="J93" s="2" t="str">
        <f>'PLAZA EGAÑA'!I8</f>
        <v/>
      </c>
      <c r="K93" s="2" t="str">
        <f>'PLAZA EGAÑA'!J8</f>
        <v/>
      </c>
      <c r="L93" s="2" t="str">
        <f>'PLAZA EGAÑA'!K8</f>
        <v/>
      </c>
      <c r="M93" s="2" t="str">
        <f>'PLAZA EGAÑA'!L8</f>
        <v/>
      </c>
      <c r="N93" s="2" t="str">
        <f>'PLAZA EGAÑA'!M8</f>
        <v/>
      </c>
      <c r="O93" s="2" t="str">
        <f>'PLAZA EGAÑA'!N8</f>
        <v/>
      </c>
      <c r="P93" s="2" t="str">
        <f>'PLAZA EGAÑA'!O8</f>
        <v/>
      </c>
      <c r="Q93" s="2">
        <f>'PLAZA EGAÑA'!P8</f>
        <v>1</v>
      </c>
      <c r="R93" s="2">
        <f>'PLAZA EGAÑA'!Q8</f>
        <v>0</v>
      </c>
      <c r="S93" s="2" t="str">
        <f>'PLAZA EGAÑA'!R8</f>
        <v/>
      </c>
      <c r="T93" s="2" t="str">
        <f>'PLAZA EGAÑA'!S8</f>
        <v/>
      </c>
      <c r="U93" s="2" t="str">
        <f>'PLAZA EGAÑA'!T8</f>
        <v/>
      </c>
      <c r="V93" s="2">
        <f>'PLAZA EGAÑA'!U8</f>
        <v>0</v>
      </c>
      <c r="W93" s="2">
        <f>'PLAZA EGAÑA'!V8</f>
        <v>0</v>
      </c>
      <c r="X93" s="2" t="str">
        <f>'PLAZA EGAÑA'!W8</f>
        <v>esto alcanza para esta semana </v>
      </c>
      <c r="Y93" s="2" t="str">
        <f>'PLAZA EGAÑA'!X8</f>
        <v/>
      </c>
      <c r="Z93" s="2" t="str">
        <f>'PLAZA EGAÑA'!Y8</f>
        <v/>
      </c>
      <c r="AA93" s="2">
        <f>'PLAZA EGAÑA'!Z8</f>
        <v>7</v>
      </c>
      <c r="AB93" s="2">
        <f>'PLAZA EGAÑA'!AA8</f>
        <v>4</v>
      </c>
      <c r="AC93" s="2">
        <f>'PLAZA EGAÑA'!AB8</f>
        <v>2</v>
      </c>
      <c r="AD93" s="2" t="str">
        <f>'PLAZA EGAÑA'!AC8</f>
        <v>10 paq</v>
      </c>
      <c r="AE93" s="2" t="str">
        <f>'PLAZA EGAÑA'!AD8</f>
        <v/>
      </c>
      <c r="AF93" s="2">
        <f>'PLAZA EGAÑA'!AE8</f>
        <v>7</v>
      </c>
      <c r="AG93" s="2">
        <f>'PLAZA EGAÑA'!AF8</f>
        <v>6</v>
      </c>
      <c r="AH93" s="2">
        <f>'PLAZA EGAÑA'!AG8</f>
        <v>4</v>
      </c>
      <c r="AI93" s="2">
        <f>'PLAZA EGAÑA'!AH8</f>
        <v>2</v>
      </c>
      <c r="AJ93" s="2">
        <f>'PLAZA EGAÑA'!AI8</f>
        <v>10</v>
      </c>
      <c r="AK93" s="2">
        <f>'PLAZA EGAÑA'!AJ8</f>
        <v>7</v>
      </c>
      <c r="AL93" s="2">
        <f>'PLAZA EGAÑA'!AK8</f>
        <v>4</v>
      </c>
      <c r="AM93" s="2">
        <f>'PLAZA EGAÑA'!AL8</f>
        <v>4</v>
      </c>
      <c r="AN93" s="2">
        <f>'PLAZA EGAÑA'!AM8</f>
        <v>2</v>
      </c>
      <c r="AO93" s="2">
        <f>'PLAZA EGAÑA'!AN8</f>
        <v>14</v>
      </c>
      <c r="AP93" s="2">
        <f>'PLAZA EGAÑA'!AO8</f>
        <v>12</v>
      </c>
      <c r="AQ93" s="2">
        <f>'PLAZA EGAÑA'!AP8</f>
        <v>6</v>
      </c>
      <c r="AR93" s="2">
        <f>'PLAZA EGAÑA'!AQ8</f>
        <v>4</v>
      </c>
      <c r="AS93" s="2">
        <f>'PLAZA EGAÑA'!AR8</f>
        <v>4</v>
      </c>
      <c r="AT93" s="2">
        <f>'PLAZA EGAÑA'!AS8</f>
        <v>10</v>
      </c>
      <c r="AU93" s="2">
        <f>'PLAZA EGAÑA'!AT8</f>
        <v>9</v>
      </c>
      <c r="AV93" s="2">
        <f>'PLAZA EGAÑA'!AU8</f>
        <v>21</v>
      </c>
      <c r="AW93" s="2">
        <f>'PLAZA EGAÑA'!AV8</f>
        <v>21</v>
      </c>
      <c r="AX93" s="2">
        <f>'PLAZA EGAÑA'!AW8</f>
        <v>19</v>
      </c>
      <c r="AY93" s="2">
        <f>'PLAZA EGAÑA'!AX8</f>
        <v>16</v>
      </c>
      <c r="AZ93" s="2">
        <f>'PLAZA EGAÑA'!AY8</f>
        <v>12</v>
      </c>
      <c r="BA93" s="2">
        <f>'PLAZA EGAÑA'!AZ8</f>
        <v>7</v>
      </c>
      <c r="BB93" s="2">
        <f>'PLAZA EGAÑA'!BA8</f>
        <v>6</v>
      </c>
      <c r="BC93" s="2">
        <f>'PLAZA EGAÑA'!BB8</f>
        <v>4</v>
      </c>
      <c r="BD93" s="2">
        <f>'PLAZA EGAÑA'!BC8</f>
        <v>18</v>
      </c>
      <c r="BE93" s="2">
        <f>'PLAZA EGAÑA'!BD8</f>
        <v>14</v>
      </c>
      <c r="BF93" s="2">
        <f>'PLAZA EGAÑA'!BE8</f>
        <v>10</v>
      </c>
      <c r="BG93" s="2">
        <f>'PLAZA EGAÑA'!BF8</f>
        <v>6</v>
      </c>
      <c r="BH93" s="2">
        <f>'PLAZA EGAÑA'!BG8</f>
        <v>2</v>
      </c>
      <c r="BI93" s="2">
        <f>'PLAZA EGAÑA'!BH8</f>
        <v>2</v>
      </c>
      <c r="BJ93" s="2">
        <f>'PLAZA EGAÑA'!BI8</f>
        <v>16</v>
      </c>
      <c r="BK93" s="2">
        <f>'PLAZA EGAÑA'!BJ8</f>
        <v>14</v>
      </c>
      <c r="BL93" s="2">
        <f>'PLAZA EGAÑA'!BK8</f>
        <v>12</v>
      </c>
      <c r="BM93" s="2">
        <f>'PLAZA EGAÑA'!BL8</f>
        <v>10</v>
      </c>
      <c r="BN93" s="2" t="str">
        <f>'PLAZA EGAÑA'!BM8</f>
        <v/>
      </c>
      <c r="BO93" s="2" t="str">
        <f>'PLAZA EGAÑA'!BN8</f>
        <v/>
      </c>
      <c r="BP93" s="2" t="str">
        <f>'PLAZA EGAÑA'!BO8</f>
        <v/>
      </c>
      <c r="BQ93" s="2" t="str">
        <f>'PLAZA EGAÑA'!BP8</f>
        <v/>
      </c>
      <c r="BR93" s="2"/>
      <c r="BS93" s="2"/>
      <c r="BT93" s="2"/>
      <c r="BU93" s="2"/>
      <c r="BV93" s="2"/>
      <c r="BW93" s="2"/>
    </row>
    <row r="94">
      <c r="A94" s="2"/>
      <c r="B94" s="2" t="str">
        <f>'PLAZA EGAÑA'!A9</f>
        <v>Plaza Egaña</v>
      </c>
      <c r="C94" s="2" t="str">
        <f>'PLAZA EGAÑA'!B9</f>
        <v>Cafeteria</v>
      </c>
      <c r="D94" s="2" t="str">
        <f>'PLAZA EGAÑA'!C9</f>
        <v>Leche Liquida</v>
      </c>
      <c r="E94" s="2" t="str">
        <f>'PLAZA EGAÑA'!D9</f>
        <v/>
      </c>
      <c r="F94" s="2" t="str">
        <f>'PLAZA EGAÑA'!E9</f>
        <v/>
      </c>
      <c r="G94" s="2" t="str">
        <f>'PLAZA EGAÑA'!F9</f>
        <v/>
      </c>
      <c r="H94" s="2" t="str">
        <f>'PLAZA EGAÑA'!G9</f>
        <v/>
      </c>
      <c r="I94" s="2" t="str">
        <f>'PLAZA EGAÑA'!H9</f>
        <v/>
      </c>
      <c r="J94" s="2" t="str">
        <f>'PLAZA EGAÑA'!I9</f>
        <v/>
      </c>
      <c r="K94" s="2" t="str">
        <f>'PLAZA EGAÑA'!J9</f>
        <v/>
      </c>
      <c r="L94" s="2" t="str">
        <f>'PLAZA EGAÑA'!K9</f>
        <v/>
      </c>
      <c r="M94" s="2" t="str">
        <f>'PLAZA EGAÑA'!L9</f>
        <v/>
      </c>
      <c r="N94" s="2" t="str">
        <f>'PLAZA EGAÑA'!M9</f>
        <v/>
      </c>
      <c r="O94" s="2" t="str">
        <f>'PLAZA EGAÑA'!N9</f>
        <v/>
      </c>
      <c r="P94" s="2" t="str">
        <f>'PLAZA EGAÑA'!O9</f>
        <v/>
      </c>
      <c r="Q94" s="2" t="str">
        <f>'PLAZA EGAÑA'!P9</f>
        <v/>
      </c>
      <c r="R94" s="2" t="str">
        <f>'PLAZA EGAÑA'!Q9</f>
        <v/>
      </c>
      <c r="S94" s="2" t="str">
        <f>'PLAZA EGAÑA'!R9</f>
        <v/>
      </c>
      <c r="T94" s="2" t="str">
        <f>'PLAZA EGAÑA'!S9</f>
        <v/>
      </c>
      <c r="U94" s="2" t="str">
        <f>'PLAZA EGAÑA'!T9</f>
        <v/>
      </c>
      <c r="V94" s="2" t="str">
        <f>'PLAZA EGAÑA'!U9</f>
        <v/>
      </c>
      <c r="W94" s="2" t="str">
        <f>'PLAZA EGAÑA'!V9</f>
        <v/>
      </c>
      <c r="X94" s="2" t="str">
        <f>'PLAZA EGAÑA'!W9</f>
        <v/>
      </c>
      <c r="Y94" s="2" t="str">
        <f>'PLAZA EGAÑA'!X9</f>
        <v/>
      </c>
      <c r="Z94" s="2" t="str">
        <f>'PLAZA EGAÑA'!Y9</f>
        <v/>
      </c>
      <c r="AA94" s="2" t="str">
        <f>'PLAZA EGAÑA'!Z9</f>
        <v>19 LTS</v>
      </c>
      <c r="AB94" s="2" t="str">
        <f>'PLAZA EGAÑA'!AA9</f>
        <v>15 lts</v>
      </c>
      <c r="AC94" s="2" t="str">
        <f>'PLAZA EGAÑA'!AB9</f>
        <v>11 lts </v>
      </c>
      <c r="AD94" s="2" t="str">
        <f>'PLAZA EGAÑA'!AC9</f>
        <v>13 lts </v>
      </c>
      <c r="AE94" s="2" t="str">
        <f>'PLAZA EGAÑA'!AD9</f>
        <v/>
      </c>
      <c r="AF94" s="2">
        <f>'PLAZA EGAÑA'!AE9</f>
        <v>9</v>
      </c>
      <c r="AG94" s="2">
        <f>'PLAZA EGAÑA'!AF9</f>
        <v>8</v>
      </c>
      <c r="AH94" s="2">
        <f>'PLAZA EGAÑA'!AG9</f>
        <v>6</v>
      </c>
      <c r="AI94" s="2">
        <f>'PLAZA EGAÑA'!AH9</f>
        <v>8</v>
      </c>
      <c r="AJ94" s="2">
        <f>'PLAZA EGAÑA'!AI9</f>
        <v>7</v>
      </c>
      <c r="AK94" s="2">
        <f>'PLAZA EGAÑA'!AJ9</f>
        <v>6</v>
      </c>
      <c r="AL94" s="2">
        <f>'PLAZA EGAÑA'!AK9</f>
        <v>5</v>
      </c>
      <c r="AM94" s="2">
        <f>'PLAZA EGAÑA'!AL9</f>
        <v>4</v>
      </c>
      <c r="AN94" s="2">
        <f>'PLAZA EGAÑA'!AM9</f>
        <v>1</v>
      </c>
      <c r="AO94" s="2">
        <f>'PLAZA EGAÑA'!AN9</f>
        <v>1</v>
      </c>
      <c r="AP94" s="2">
        <f>'PLAZA EGAÑA'!AO9</f>
        <v>0</v>
      </c>
      <c r="AQ94" s="2">
        <f>'PLAZA EGAÑA'!AP9</f>
        <v>0</v>
      </c>
      <c r="AR94" s="2">
        <f>'PLAZA EGAÑA'!AQ9</f>
        <v>0</v>
      </c>
      <c r="AS94" s="2">
        <f>'PLAZA EGAÑA'!AR9</f>
        <v>0</v>
      </c>
      <c r="AT94" s="2">
        <f>'PLAZA EGAÑA'!AS9</f>
        <v>0</v>
      </c>
      <c r="AU94" s="2">
        <f>'PLAZA EGAÑA'!AT9</f>
        <v>0</v>
      </c>
      <c r="AV94" s="2">
        <f>'PLAZA EGAÑA'!AU9</f>
        <v>12</v>
      </c>
      <c r="AW94" s="2">
        <f>'PLAZA EGAÑA'!AV9</f>
        <v>11</v>
      </c>
      <c r="AX94" s="2">
        <f>'PLAZA EGAÑA'!AW9</f>
        <v>7</v>
      </c>
      <c r="AY94" s="2">
        <f>'PLAZA EGAÑA'!AX9</f>
        <v>5</v>
      </c>
      <c r="AZ94" s="2">
        <f>'PLAZA EGAÑA'!AY9</f>
        <v>4</v>
      </c>
      <c r="BA94" s="2">
        <f>'PLAZA EGAÑA'!AZ9</f>
        <v>2</v>
      </c>
      <c r="BB94" s="2">
        <f>'PLAZA EGAÑA'!BA9</f>
        <v>0</v>
      </c>
      <c r="BC94" s="2">
        <f>'PLAZA EGAÑA'!BB9</f>
        <v>0</v>
      </c>
      <c r="BD94" s="2">
        <f>'PLAZA EGAÑA'!BC9</f>
        <v>14</v>
      </c>
      <c r="BE94" s="2">
        <f>'PLAZA EGAÑA'!BD9</f>
        <v>12</v>
      </c>
      <c r="BF94" s="2">
        <f>'PLAZA EGAÑA'!BE9</f>
        <v>9</v>
      </c>
      <c r="BG94" s="2">
        <f>'PLAZA EGAÑA'!BF9</f>
        <v>7</v>
      </c>
      <c r="BH94" s="2">
        <f>'PLAZA EGAÑA'!BG9</f>
        <v>2</v>
      </c>
      <c r="BI94" s="2">
        <f>'PLAZA EGAÑA'!BH9</f>
        <v>0</v>
      </c>
      <c r="BJ94" s="2">
        <f>'PLAZA EGAÑA'!BI9</f>
        <v>22</v>
      </c>
      <c r="BK94" s="2">
        <f>'PLAZA EGAÑA'!BJ9</f>
        <v>20</v>
      </c>
      <c r="BL94" s="2">
        <f>'PLAZA EGAÑA'!BK9</f>
        <v>11</v>
      </c>
      <c r="BM94" s="2">
        <f>'PLAZA EGAÑA'!BL9</f>
        <v>8</v>
      </c>
      <c r="BN94" s="2" t="str">
        <f>'PLAZA EGAÑA'!BM9</f>
        <v/>
      </c>
      <c r="BO94" s="2" t="str">
        <f>'PLAZA EGAÑA'!BN9</f>
        <v/>
      </c>
      <c r="BP94" s="2" t="str">
        <f>'PLAZA EGAÑA'!BO9</f>
        <v/>
      </c>
      <c r="BQ94" s="2" t="str">
        <f>'PLAZA EGAÑA'!BP9</f>
        <v/>
      </c>
      <c r="BR94" s="2"/>
      <c r="BS94" s="2"/>
      <c r="BT94" s="2"/>
      <c r="BU94" s="2"/>
      <c r="BV94" s="2"/>
      <c r="BW94" s="2"/>
    </row>
    <row r="95">
      <c r="A95" s="2"/>
      <c r="B95" s="2" t="str">
        <f>'PLAZA EGAÑA'!A10</f>
        <v>Plaza Egaña</v>
      </c>
      <c r="C95" s="2" t="str">
        <f>'PLAZA EGAÑA'!B10</f>
        <v>Cafeteria</v>
      </c>
      <c r="D95" s="2" t="str">
        <f>'PLAZA EGAÑA'!C10</f>
        <v>Cafe Granulado</v>
      </c>
      <c r="E95" s="2" t="str">
        <f>'PLAZA EGAÑA'!D10</f>
        <v/>
      </c>
      <c r="F95" s="2" t="str">
        <f>'PLAZA EGAÑA'!E10</f>
        <v/>
      </c>
      <c r="G95" s="2" t="str">
        <f>'PLAZA EGAÑA'!F10</f>
        <v/>
      </c>
      <c r="H95" s="2" t="str">
        <f>'PLAZA EGAÑA'!G10</f>
        <v/>
      </c>
      <c r="I95" s="2" t="str">
        <f>'PLAZA EGAÑA'!H10</f>
        <v/>
      </c>
      <c r="J95" s="2" t="str">
        <f>'PLAZA EGAÑA'!I10</f>
        <v/>
      </c>
      <c r="K95" s="2" t="str">
        <f>'PLAZA EGAÑA'!J10</f>
        <v/>
      </c>
      <c r="L95" s="2" t="str">
        <f>'PLAZA EGAÑA'!K10</f>
        <v/>
      </c>
      <c r="M95" s="2" t="str">
        <f>'PLAZA EGAÑA'!L10</f>
        <v/>
      </c>
      <c r="N95" s="2" t="str">
        <f>'PLAZA EGAÑA'!M10</f>
        <v/>
      </c>
      <c r="O95" s="2" t="str">
        <f>'PLAZA EGAÑA'!N10</f>
        <v/>
      </c>
      <c r="P95" s="2" t="str">
        <f>'PLAZA EGAÑA'!O10</f>
        <v/>
      </c>
      <c r="Q95" s="2" t="str">
        <f>'PLAZA EGAÑA'!P10</f>
        <v/>
      </c>
      <c r="R95" s="2" t="str">
        <f>'PLAZA EGAÑA'!Q10</f>
        <v/>
      </c>
      <c r="S95" s="2" t="str">
        <f>'PLAZA EGAÑA'!R10</f>
        <v/>
      </c>
      <c r="T95" s="2" t="str">
        <f>'PLAZA EGAÑA'!S10</f>
        <v/>
      </c>
      <c r="U95" s="2" t="str">
        <f>'PLAZA EGAÑA'!T10</f>
        <v/>
      </c>
      <c r="V95" s="2" t="str">
        <f>'PLAZA EGAÑA'!U10</f>
        <v/>
      </c>
      <c r="W95" s="2" t="str">
        <f>'PLAZA EGAÑA'!V10</f>
        <v/>
      </c>
      <c r="X95" s="2" t="str">
        <f>'PLAZA EGAÑA'!W10</f>
        <v/>
      </c>
      <c r="Y95" s="2" t="str">
        <f>'PLAZA EGAÑA'!X10</f>
        <v/>
      </c>
      <c r="Z95" s="2" t="str">
        <f>'PLAZA EGAÑA'!Y10</f>
        <v/>
      </c>
      <c r="AA95" s="2" t="str">
        <f>'PLAZA EGAÑA'!Z10</f>
        <v/>
      </c>
      <c r="AB95" s="2" t="str">
        <f>'PLAZA EGAÑA'!AA10</f>
        <v/>
      </c>
      <c r="AC95" s="2" t="str">
        <f>'PLAZA EGAÑA'!AB10</f>
        <v/>
      </c>
      <c r="AD95" s="2" t="str">
        <f>'PLAZA EGAÑA'!AC10</f>
        <v/>
      </c>
      <c r="AE95" s="2" t="str">
        <f>'PLAZA EGAÑA'!AD10</f>
        <v/>
      </c>
      <c r="AF95" s="2" t="str">
        <f>'PLAZA EGAÑA'!AE10</f>
        <v/>
      </c>
      <c r="AG95" s="2" t="str">
        <f>'PLAZA EGAÑA'!AF10</f>
        <v/>
      </c>
      <c r="AH95" s="2" t="str">
        <f>'PLAZA EGAÑA'!AG10</f>
        <v/>
      </c>
      <c r="AI95" s="2" t="str">
        <f>'PLAZA EGAÑA'!AH10</f>
        <v/>
      </c>
      <c r="AJ95" s="2" t="str">
        <f>'PLAZA EGAÑA'!AI10</f>
        <v/>
      </c>
      <c r="AK95" s="2" t="str">
        <f>'PLAZA EGAÑA'!AJ10</f>
        <v/>
      </c>
      <c r="AL95" s="2" t="str">
        <f>'PLAZA EGAÑA'!AK10</f>
        <v/>
      </c>
      <c r="AM95" s="2" t="str">
        <f>'PLAZA EGAÑA'!AL10</f>
        <v/>
      </c>
      <c r="AN95" s="2" t="str">
        <f>'PLAZA EGAÑA'!AM10</f>
        <v/>
      </c>
      <c r="AO95" s="2" t="str">
        <f>'PLAZA EGAÑA'!AN10</f>
        <v/>
      </c>
      <c r="AP95" s="2" t="str">
        <f>'PLAZA EGAÑA'!AO10</f>
        <v/>
      </c>
      <c r="AQ95" s="2" t="str">
        <f>'PLAZA EGAÑA'!AP10</f>
        <v/>
      </c>
      <c r="AR95" s="2" t="str">
        <f>'PLAZA EGAÑA'!AQ10</f>
        <v/>
      </c>
      <c r="AS95" s="2" t="str">
        <f>'PLAZA EGAÑA'!AR10</f>
        <v/>
      </c>
      <c r="AT95" s="2" t="str">
        <f>'PLAZA EGAÑA'!AS10</f>
        <v/>
      </c>
      <c r="AU95" s="2" t="str">
        <f>'PLAZA EGAÑA'!AT10</f>
        <v/>
      </c>
      <c r="AV95" s="2" t="str">
        <f>'PLAZA EGAÑA'!AU10</f>
        <v/>
      </c>
      <c r="AW95" s="2" t="str">
        <f>'PLAZA EGAÑA'!AV10</f>
        <v/>
      </c>
      <c r="AX95" s="2" t="str">
        <f>'PLAZA EGAÑA'!AW10</f>
        <v/>
      </c>
      <c r="AY95" s="2" t="str">
        <f>'PLAZA EGAÑA'!AX10</f>
        <v/>
      </c>
      <c r="AZ95" s="2" t="str">
        <f>'PLAZA EGAÑA'!AY10</f>
        <v/>
      </c>
      <c r="BA95" s="2" t="str">
        <f>'PLAZA EGAÑA'!AZ10</f>
        <v/>
      </c>
      <c r="BB95" s="2" t="str">
        <f>'PLAZA EGAÑA'!BA10</f>
        <v/>
      </c>
      <c r="BC95" s="2" t="str">
        <f>'PLAZA EGAÑA'!BB10</f>
        <v/>
      </c>
      <c r="BD95" s="2" t="str">
        <f>'PLAZA EGAÑA'!BC10</f>
        <v/>
      </c>
      <c r="BE95" s="2" t="str">
        <f>'PLAZA EGAÑA'!BD10</f>
        <v/>
      </c>
      <c r="BF95" s="2" t="str">
        <f>'PLAZA EGAÑA'!BE10</f>
        <v/>
      </c>
      <c r="BG95" s="2" t="str">
        <f>'PLAZA EGAÑA'!BF10</f>
        <v/>
      </c>
      <c r="BH95" s="2" t="str">
        <f>'PLAZA EGAÑA'!BG10</f>
        <v/>
      </c>
      <c r="BI95" s="2" t="str">
        <f>'PLAZA EGAÑA'!BH10</f>
        <v/>
      </c>
      <c r="BJ95" s="2">
        <f>'PLAZA EGAÑA'!BI10</f>
        <v>1</v>
      </c>
      <c r="BK95" s="2">
        <f>'PLAZA EGAÑA'!BJ10</f>
        <v>1</v>
      </c>
      <c r="BL95" s="2">
        <f>'PLAZA EGAÑA'!BK10</f>
        <v>1</v>
      </c>
      <c r="BM95" s="2">
        <f>'PLAZA EGAÑA'!BL10</f>
        <v>1</v>
      </c>
      <c r="BN95" s="2" t="str">
        <f>'PLAZA EGAÑA'!BM10</f>
        <v/>
      </c>
      <c r="BO95" s="2" t="str">
        <f>'PLAZA EGAÑA'!BN10</f>
        <v/>
      </c>
      <c r="BP95" s="2" t="str">
        <f>'PLAZA EGAÑA'!BO10</f>
        <v/>
      </c>
      <c r="BQ95" s="2" t="str">
        <f>'PLAZA EGAÑA'!BP10</f>
        <v/>
      </c>
      <c r="BR95" s="2"/>
      <c r="BS95" s="2"/>
      <c r="BT95" s="2"/>
      <c r="BU95" s="2"/>
      <c r="BV95" s="2"/>
      <c r="BW95" s="2"/>
    </row>
    <row r="96">
      <c r="A96" s="2"/>
      <c r="B96" s="2" t="str">
        <f>'PLAZA EGAÑA'!A11</f>
        <v>Plaza Egaña</v>
      </c>
      <c r="C96" s="2" t="str">
        <f>'PLAZA EGAÑA'!B11</f>
        <v>Cafeteria</v>
      </c>
      <c r="D96" s="2" t="str">
        <f>'PLAZA EGAÑA'!C11</f>
        <v>Endulzante </v>
      </c>
      <c r="E96" s="2" t="str">
        <f>'PLAZA EGAÑA'!D11</f>
        <v/>
      </c>
      <c r="F96" s="2" t="str">
        <f>'PLAZA EGAÑA'!E11</f>
        <v/>
      </c>
      <c r="G96" s="2" t="str">
        <f>'PLAZA EGAÑA'!F11</f>
        <v/>
      </c>
      <c r="H96" s="2" t="str">
        <f>'PLAZA EGAÑA'!G11</f>
        <v/>
      </c>
      <c r="I96" s="2" t="str">
        <f>'PLAZA EGAÑA'!H11</f>
        <v/>
      </c>
      <c r="J96" s="2" t="str">
        <f>'PLAZA EGAÑA'!I11</f>
        <v/>
      </c>
      <c r="K96" s="2" t="str">
        <f>'PLAZA EGAÑA'!J11</f>
        <v/>
      </c>
      <c r="L96" s="2" t="str">
        <f>'PLAZA EGAÑA'!K11</f>
        <v/>
      </c>
      <c r="M96" s="2" t="str">
        <f>'PLAZA EGAÑA'!L11</f>
        <v/>
      </c>
      <c r="N96" s="2" t="str">
        <f>'PLAZA EGAÑA'!M11</f>
        <v/>
      </c>
      <c r="O96" s="2" t="str">
        <f>'PLAZA EGAÑA'!N11</f>
        <v/>
      </c>
      <c r="P96" s="2" t="str">
        <f>'PLAZA EGAÑA'!O11</f>
        <v/>
      </c>
      <c r="Q96" s="2" t="str">
        <f>'PLAZA EGAÑA'!P11</f>
        <v/>
      </c>
      <c r="R96" s="2" t="str">
        <f>'PLAZA EGAÑA'!Q11</f>
        <v/>
      </c>
      <c r="S96" s="2" t="str">
        <f>'PLAZA EGAÑA'!R11</f>
        <v/>
      </c>
      <c r="T96" s="2" t="str">
        <f>'PLAZA EGAÑA'!S11</f>
        <v/>
      </c>
      <c r="U96" s="2" t="str">
        <f>'PLAZA EGAÑA'!T11</f>
        <v/>
      </c>
      <c r="V96" s="2" t="str">
        <f>'PLAZA EGAÑA'!U11</f>
        <v/>
      </c>
      <c r="W96" s="2" t="str">
        <f>'PLAZA EGAÑA'!V11</f>
        <v/>
      </c>
      <c r="X96" s="2" t="str">
        <f>'PLAZA EGAÑA'!W11</f>
        <v/>
      </c>
      <c r="Y96" s="2" t="str">
        <f>'PLAZA EGAÑA'!X11</f>
        <v/>
      </c>
      <c r="Z96" s="2" t="str">
        <f>'PLAZA EGAÑA'!Y11</f>
        <v/>
      </c>
      <c r="AA96" s="2">
        <f>'PLAZA EGAÑA'!Z11</f>
        <v>2</v>
      </c>
      <c r="AB96" s="2">
        <f>'PLAZA EGAÑA'!AA11</f>
        <v>2</v>
      </c>
      <c r="AC96" s="2">
        <f>'PLAZA EGAÑA'!AB11</f>
        <v>1</v>
      </c>
      <c r="AD96" s="2">
        <f>'PLAZA EGAÑA'!AC11</f>
        <v>0</v>
      </c>
      <c r="AE96" s="2" t="str">
        <f>'PLAZA EGAÑA'!AD11</f>
        <v/>
      </c>
      <c r="AF96" s="2">
        <f>'PLAZA EGAÑA'!AE11</f>
        <v>0</v>
      </c>
      <c r="AG96" s="2">
        <f>'PLAZA EGAÑA'!AF11</f>
        <v>0</v>
      </c>
      <c r="AH96" s="2">
        <f>'PLAZA EGAÑA'!AG11</f>
        <v>0</v>
      </c>
      <c r="AI96" s="2">
        <f>'PLAZA EGAÑA'!AH11</f>
        <v>0</v>
      </c>
      <c r="AJ96" s="2">
        <f>'PLAZA EGAÑA'!AI11</f>
        <v>3</v>
      </c>
      <c r="AK96" s="2">
        <f>'PLAZA EGAÑA'!AJ11</f>
        <v>2</v>
      </c>
      <c r="AL96" s="2">
        <f>'PLAZA EGAÑA'!AK11</f>
        <v>1</v>
      </c>
      <c r="AM96" s="2">
        <f>'PLAZA EGAÑA'!AL11</f>
        <v>1</v>
      </c>
      <c r="AN96" s="2">
        <f>'PLAZA EGAÑA'!AM11</f>
        <v>1</v>
      </c>
      <c r="AO96" s="2">
        <f>'PLAZA EGAÑA'!AN11</f>
        <v>1</v>
      </c>
      <c r="AP96" s="2">
        <f>'PLAZA EGAÑA'!AO11</f>
        <v>3</v>
      </c>
      <c r="AQ96" s="2">
        <f>'PLAZA EGAÑA'!AP11</f>
        <v>3</v>
      </c>
      <c r="AR96" s="2">
        <f>'PLAZA EGAÑA'!AQ11</f>
        <v>2</v>
      </c>
      <c r="AS96" s="2">
        <f>'PLAZA EGAÑA'!AR11</f>
        <v>2</v>
      </c>
      <c r="AT96" s="2">
        <f>'PLAZA EGAÑA'!AS11</f>
        <v>2</v>
      </c>
      <c r="AU96" s="2">
        <f>'PLAZA EGAÑA'!AT11</f>
        <v>2</v>
      </c>
      <c r="AV96" s="2">
        <f>'PLAZA EGAÑA'!AU11</f>
        <v>3</v>
      </c>
      <c r="AW96" s="2">
        <f>'PLAZA EGAÑA'!AV11</f>
        <v>3</v>
      </c>
      <c r="AX96" s="2">
        <f>'PLAZA EGAÑA'!AW11</f>
        <v>2</v>
      </c>
      <c r="AY96" s="2">
        <f>'PLAZA EGAÑA'!AX11</f>
        <v>2</v>
      </c>
      <c r="AZ96" s="2">
        <f>'PLAZA EGAÑA'!AY11</f>
        <v>1</v>
      </c>
      <c r="BA96" s="2">
        <f>'PLAZA EGAÑA'!AZ11</f>
        <v>1</v>
      </c>
      <c r="BB96" s="2">
        <f>'PLAZA EGAÑA'!BA11</f>
        <v>1</v>
      </c>
      <c r="BC96" s="2">
        <f>'PLAZA EGAÑA'!BB11</f>
        <v>1</v>
      </c>
      <c r="BD96" s="2">
        <f>'PLAZA EGAÑA'!BC11</f>
        <v>1</v>
      </c>
      <c r="BE96" s="2">
        <f>'PLAZA EGAÑA'!BD11</f>
        <v>2</v>
      </c>
      <c r="BF96" s="2">
        <f>'PLAZA EGAÑA'!BE11</f>
        <v>2</v>
      </c>
      <c r="BG96" s="2">
        <f>'PLAZA EGAÑA'!BF11</f>
        <v>0</v>
      </c>
      <c r="BH96" s="2">
        <f>'PLAZA EGAÑA'!BG11</f>
        <v>0</v>
      </c>
      <c r="BI96" s="2">
        <f>'PLAZA EGAÑA'!BH11</f>
        <v>0</v>
      </c>
      <c r="BJ96" s="2">
        <f>'PLAZA EGAÑA'!BI11</f>
        <v>1</v>
      </c>
      <c r="BK96" s="2">
        <f>'PLAZA EGAÑA'!BJ11</f>
        <v>0</v>
      </c>
      <c r="BL96" s="2">
        <f>'PLAZA EGAÑA'!BK11</f>
        <v>0</v>
      </c>
      <c r="BM96" s="2">
        <f>'PLAZA EGAÑA'!BL11</f>
        <v>0</v>
      </c>
      <c r="BN96" s="2" t="str">
        <f>'PLAZA EGAÑA'!BM11</f>
        <v/>
      </c>
      <c r="BO96" s="2" t="str">
        <f>'PLAZA EGAÑA'!BN11</f>
        <v/>
      </c>
      <c r="BP96" s="2" t="str">
        <f>'PLAZA EGAÑA'!BO11</f>
        <v/>
      </c>
      <c r="BQ96" s="2" t="str">
        <f>'PLAZA EGAÑA'!BP11</f>
        <v/>
      </c>
      <c r="BR96" s="2"/>
      <c r="BS96" s="2"/>
      <c r="BT96" s="2"/>
      <c r="BU96" s="2"/>
      <c r="BV96" s="2"/>
      <c r="BW96" s="2"/>
    </row>
    <row r="97">
      <c r="A97" s="2"/>
      <c r="B97" s="2" t="str">
        <f>'PLAZA EGAÑA'!A12</f>
        <v>Plaza Egaña</v>
      </c>
      <c r="C97" s="2" t="str">
        <f>'PLAZA EGAÑA'!B12</f>
        <v>Aseo</v>
      </c>
      <c r="D97" s="2" t="str">
        <f>'PLAZA EGAÑA'!C12</f>
        <v>Cloro Gel </v>
      </c>
      <c r="E97" s="2" t="str">
        <f>'PLAZA EGAÑA'!D12</f>
        <v/>
      </c>
      <c r="F97" s="2" t="str">
        <f>'PLAZA EGAÑA'!E12</f>
        <v/>
      </c>
      <c r="G97" s="2" t="str">
        <f>'PLAZA EGAÑA'!F12</f>
        <v/>
      </c>
      <c r="H97" s="2" t="str">
        <f>'PLAZA EGAÑA'!G12</f>
        <v/>
      </c>
      <c r="I97" s="2" t="str">
        <f>'PLAZA EGAÑA'!H12</f>
        <v/>
      </c>
      <c r="J97" s="2" t="str">
        <f>'PLAZA EGAÑA'!I12</f>
        <v/>
      </c>
      <c r="K97" s="2" t="str">
        <f>'PLAZA EGAÑA'!J12</f>
        <v/>
      </c>
      <c r="L97" s="2" t="str">
        <f>'PLAZA EGAÑA'!K12</f>
        <v/>
      </c>
      <c r="M97" s="2" t="str">
        <f>'PLAZA EGAÑA'!L12</f>
        <v/>
      </c>
      <c r="N97" s="2" t="str">
        <f>'PLAZA EGAÑA'!M12</f>
        <v/>
      </c>
      <c r="O97" s="2" t="str">
        <f>'PLAZA EGAÑA'!N12</f>
        <v/>
      </c>
      <c r="P97" s="2" t="str">
        <f>'PLAZA EGAÑA'!O12</f>
        <v/>
      </c>
      <c r="Q97" s="2" t="str">
        <f>'PLAZA EGAÑA'!P12</f>
        <v/>
      </c>
      <c r="R97" s="2" t="str">
        <f>'PLAZA EGAÑA'!Q12</f>
        <v/>
      </c>
      <c r="S97" s="2" t="str">
        <f>'PLAZA EGAÑA'!R12</f>
        <v/>
      </c>
      <c r="T97" s="2" t="str">
        <f>'PLAZA EGAÑA'!S12</f>
        <v/>
      </c>
      <c r="U97" s="2" t="str">
        <f>'PLAZA EGAÑA'!T12</f>
        <v/>
      </c>
      <c r="V97" s="2" t="str">
        <f>'PLAZA EGAÑA'!U12</f>
        <v/>
      </c>
      <c r="W97" s="2" t="str">
        <f>'PLAZA EGAÑA'!V12</f>
        <v>-</v>
      </c>
      <c r="X97" s="2" t="str">
        <f>'PLAZA EGAÑA'!W12</f>
        <v>-</v>
      </c>
      <c r="Y97" s="2" t="str">
        <f>'PLAZA EGAÑA'!X12</f>
        <v>-</v>
      </c>
      <c r="Z97" s="2" t="str">
        <f>'PLAZA EGAÑA'!Y12</f>
        <v>-</v>
      </c>
      <c r="AA97" s="2" t="str">
        <f>'PLAZA EGAÑA'!Z12</f>
        <v>-</v>
      </c>
      <c r="AB97" s="2" t="str">
        <f>'PLAZA EGAÑA'!AA12</f>
        <v>-</v>
      </c>
      <c r="AC97" s="2" t="str">
        <f>'PLAZA EGAÑA'!AB12</f>
        <v>-</v>
      </c>
      <c r="AD97" s="2">
        <f>'PLAZA EGAÑA'!AC12</f>
        <v>0</v>
      </c>
      <c r="AE97" s="2" t="str">
        <f>'PLAZA EGAÑA'!AD12</f>
        <v/>
      </c>
      <c r="AF97" s="2">
        <f>'PLAZA EGAÑA'!AE12</f>
        <v>0</v>
      </c>
      <c r="AG97" s="2">
        <f>'PLAZA EGAÑA'!AF12</f>
        <v>0</v>
      </c>
      <c r="AH97" s="2">
        <f>'PLAZA EGAÑA'!AG12</f>
        <v>0</v>
      </c>
      <c r="AI97" s="2">
        <f>'PLAZA EGAÑA'!AH12</f>
        <v>0</v>
      </c>
      <c r="AJ97" s="2">
        <f>'PLAZA EGAÑA'!AI12</f>
        <v>0</v>
      </c>
      <c r="AK97" s="2">
        <f>'PLAZA EGAÑA'!AJ12</f>
        <v>0</v>
      </c>
      <c r="AL97" s="2">
        <f>'PLAZA EGAÑA'!AK12</f>
        <v>0</v>
      </c>
      <c r="AM97" s="2">
        <f>'PLAZA EGAÑA'!AL12</f>
        <v>0</v>
      </c>
      <c r="AN97" s="2">
        <f>'PLAZA EGAÑA'!AM12</f>
        <v>0</v>
      </c>
      <c r="AO97" s="2">
        <f>'PLAZA EGAÑA'!AN12</f>
        <v>1</v>
      </c>
      <c r="AP97" s="2">
        <f>'PLAZA EGAÑA'!AO12</f>
        <v>3</v>
      </c>
      <c r="AQ97" s="2">
        <f>'PLAZA EGAÑA'!AP12</f>
        <v>2</v>
      </c>
      <c r="AR97" s="2">
        <f>'PLAZA EGAÑA'!AQ12</f>
        <v>0</v>
      </c>
      <c r="AS97" s="2">
        <f>'PLAZA EGAÑA'!AR12</f>
        <v>0</v>
      </c>
      <c r="AT97" s="2">
        <f>'PLAZA EGAÑA'!AS12</f>
        <v>1</v>
      </c>
      <c r="AU97" s="2">
        <f>'PLAZA EGAÑA'!AT12</f>
        <v>1</v>
      </c>
      <c r="AV97" s="2">
        <f>'PLAZA EGAÑA'!AU12</f>
        <v>1</v>
      </c>
      <c r="AW97" s="2">
        <f>'PLAZA EGAÑA'!AV12</f>
        <v>1</v>
      </c>
      <c r="AX97" s="2">
        <f>'PLAZA EGAÑA'!AW12</f>
        <v>1</v>
      </c>
      <c r="AY97" s="2">
        <f>'PLAZA EGAÑA'!AX12</f>
        <v>0</v>
      </c>
      <c r="AZ97" s="2">
        <f>'PLAZA EGAÑA'!AY12</f>
        <v>0</v>
      </c>
      <c r="BA97" s="2">
        <f>'PLAZA EGAÑA'!AZ12</f>
        <v>0</v>
      </c>
      <c r="BB97" s="2">
        <f>'PLAZA EGAÑA'!BA12</f>
        <v>0</v>
      </c>
      <c r="BC97" s="2">
        <f>'PLAZA EGAÑA'!BB12</f>
        <v>0</v>
      </c>
      <c r="BD97" s="2">
        <f>'PLAZA EGAÑA'!BC12</f>
        <v>1</v>
      </c>
      <c r="BE97" s="2">
        <f>'PLAZA EGAÑA'!BD12</f>
        <v>2</v>
      </c>
      <c r="BF97" s="2">
        <f>'PLAZA EGAÑA'!BE12</f>
        <v>2</v>
      </c>
      <c r="BG97" s="2">
        <f>'PLAZA EGAÑA'!BF12</f>
        <v>1</v>
      </c>
      <c r="BH97" s="2">
        <f>'PLAZA EGAÑA'!BG12</f>
        <v>1</v>
      </c>
      <c r="BI97" s="2">
        <f>'PLAZA EGAÑA'!BH12</f>
        <v>1</v>
      </c>
      <c r="BJ97" s="2">
        <f>'PLAZA EGAÑA'!BI12</f>
        <v>1</v>
      </c>
      <c r="BK97" s="2">
        <f>'PLAZA EGAÑA'!BJ12</f>
        <v>1</v>
      </c>
      <c r="BL97" s="2">
        <f>'PLAZA EGAÑA'!BK12</f>
        <v>0</v>
      </c>
      <c r="BM97" s="2">
        <f>'PLAZA EGAÑA'!BL12</f>
        <v>0</v>
      </c>
      <c r="BN97" s="2" t="str">
        <f>'PLAZA EGAÑA'!BM12</f>
        <v/>
      </c>
      <c r="BO97" s="2" t="str">
        <f>'PLAZA EGAÑA'!BN12</f>
        <v/>
      </c>
      <c r="BP97" s="2" t="str">
        <f>'PLAZA EGAÑA'!BO12</f>
        <v/>
      </c>
      <c r="BQ97" s="2" t="str">
        <f>'PLAZA EGAÑA'!BP12</f>
        <v/>
      </c>
      <c r="BR97" s="2"/>
      <c r="BS97" s="2"/>
      <c r="BT97" s="2"/>
      <c r="BU97" s="2"/>
      <c r="BV97" s="2"/>
      <c r="BW97" s="2"/>
    </row>
    <row r="98">
      <c r="A98" s="2"/>
      <c r="B98" s="2" t="str">
        <f>'PLAZA EGAÑA'!A13</f>
        <v>Plaza Egaña</v>
      </c>
      <c r="C98" s="2" t="str">
        <f>'PLAZA EGAÑA'!B13</f>
        <v>Aseo</v>
      </c>
      <c r="D98" s="2" t="str">
        <f>'PLAZA EGAÑA'!C13</f>
        <v>Limpia Piso </v>
      </c>
      <c r="E98" s="2" t="str">
        <f>'PLAZA EGAÑA'!D13</f>
        <v/>
      </c>
      <c r="F98" s="2" t="str">
        <f>'PLAZA EGAÑA'!E13</f>
        <v/>
      </c>
      <c r="G98" s="2" t="str">
        <f>'PLAZA EGAÑA'!F13</f>
        <v/>
      </c>
      <c r="H98" s="2" t="str">
        <f>'PLAZA EGAÑA'!G13</f>
        <v/>
      </c>
      <c r="I98" s="2" t="str">
        <f>'PLAZA EGAÑA'!H13</f>
        <v/>
      </c>
      <c r="J98" s="2" t="str">
        <f>'PLAZA EGAÑA'!I13</f>
        <v/>
      </c>
      <c r="K98" s="2" t="str">
        <f>'PLAZA EGAÑA'!J13</f>
        <v/>
      </c>
      <c r="L98" s="2" t="str">
        <f>'PLAZA EGAÑA'!K13</f>
        <v/>
      </c>
      <c r="M98" s="2" t="str">
        <f>'PLAZA EGAÑA'!L13</f>
        <v/>
      </c>
      <c r="N98" s="2" t="str">
        <f>'PLAZA EGAÑA'!M13</f>
        <v/>
      </c>
      <c r="O98" s="2" t="str">
        <f>'PLAZA EGAÑA'!N13</f>
        <v/>
      </c>
      <c r="P98" s="2" t="str">
        <f>'PLAZA EGAÑA'!O13</f>
        <v/>
      </c>
      <c r="Q98" s="2" t="str">
        <f>'PLAZA EGAÑA'!P13</f>
        <v/>
      </c>
      <c r="R98" s="2" t="str">
        <f>'PLAZA EGAÑA'!Q13</f>
        <v/>
      </c>
      <c r="S98" s="2" t="str">
        <f>'PLAZA EGAÑA'!R13</f>
        <v/>
      </c>
      <c r="T98" s="2" t="str">
        <f>'PLAZA EGAÑA'!S13</f>
        <v/>
      </c>
      <c r="U98" s="2" t="str">
        <f>'PLAZA EGAÑA'!T13</f>
        <v/>
      </c>
      <c r="V98" s="2" t="str">
        <f>'PLAZA EGAÑA'!U13</f>
        <v/>
      </c>
      <c r="W98" s="2" t="str">
        <f>'PLAZA EGAÑA'!V13</f>
        <v>-</v>
      </c>
      <c r="X98" s="2" t="str">
        <f>'PLAZA EGAÑA'!W13</f>
        <v>-</v>
      </c>
      <c r="Y98" s="2" t="str">
        <f>'PLAZA EGAÑA'!X13</f>
        <v>-</v>
      </c>
      <c r="Z98" s="2" t="str">
        <f>'PLAZA EGAÑA'!Y13</f>
        <v>-</v>
      </c>
      <c r="AA98" s="2" t="str">
        <f>'PLAZA EGAÑA'!Z13</f>
        <v>-</v>
      </c>
      <c r="AB98" s="2" t="str">
        <f>'PLAZA EGAÑA'!AA13</f>
        <v>-</v>
      </c>
      <c r="AC98" s="2" t="str">
        <f>'PLAZA EGAÑA'!AB13</f>
        <v>-</v>
      </c>
      <c r="AD98" s="2">
        <f>'PLAZA EGAÑA'!AC13</f>
        <v>1</v>
      </c>
      <c r="AE98" s="2" t="str">
        <f>'PLAZA EGAÑA'!AD13</f>
        <v/>
      </c>
      <c r="AF98" s="2">
        <f>'PLAZA EGAÑA'!AE13</f>
        <v>1</v>
      </c>
      <c r="AG98" s="2">
        <f>'PLAZA EGAÑA'!AF13</f>
        <v>1</v>
      </c>
      <c r="AH98" s="2">
        <f>'PLAZA EGAÑA'!AG13</f>
        <v>1</v>
      </c>
      <c r="AI98" s="2">
        <f>'PLAZA EGAÑA'!AH13</f>
        <v>1</v>
      </c>
      <c r="AJ98" s="2">
        <f>'PLAZA EGAÑA'!AI13</f>
        <v>1</v>
      </c>
      <c r="AK98" s="2">
        <f>'PLAZA EGAÑA'!AJ13</f>
        <v>1</v>
      </c>
      <c r="AL98" s="2">
        <f>'PLAZA EGAÑA'!AK13</f>
        <v>0</v>
      </c>
      <c r="AM98" s="2">
        <f>'PLAZA EGAÑA'!AL13</f>
        <v>0</v>
      </c>
      <c r="AN98" s="2">
        <f>'PLAZA EGAÑA'!AM13</f>
        <v>0</v>
      </c>
      <c r="AO98" s="2">
        <f>'PLAZA EGAÑA'!AN13</f>
        <v>2</v>
      </c>
      <c r="AP98" s="2">
        <f>'PLAZA EGAÑA'!AO13</f>
        <v>1</v>
      </c>
      <c r="AQ98" s="2">
        <f>'PLAZA EGAÑA'!AP13</f>
        <v>1</v>
      </c>
      <c r="AR98" s="2">
        <f>'PLAZA EGAÑA'!AQ13</f>
        <v>1</v>
      </c>
      <c r="AS98" s="2">
        <f>'PLAZA EGAÑA'!AR13</f>
        <v>1</v>
      </c>
      <c r="AT98" s="2">
        <f>'PLAZA EGAÑA'!AS13</f>
        <v>1</v>
      </c>
      <c r="AU98" s="2">
        <f>'PLAZA EGAÑA'!AT13</f>
        <v>1</v>
      </c>
      <c r="AV98" s="2">
        <f>'PLAZA EGAÑA'!AU13</f>
        <v>1</v>
      </c>
      <c r="AW98" s="2">
        <f>'PLAZA EGAÑA'!AV13</f>
        <v>1</v>
      </c>
      <c r="AX98" s="2">
        <f>'PLAZA EGAÑA'!AW13</f>
        <v>1</v>
      </c>
      <c r="AY98" s="2">
        <f>'PLAZA EGAÑA'!AX13</f>
        <v>1</v>
      </c>
      <c r="AZ98" s="2">
        <f>'PLAZA EGAÑA'!AY13</f>
        <v>1</v>
      </c>
      <c r="BA98" s="2">
        <f>'PLAZA EGAÑA'!AZ13</f>
        <v>1</v>
      </c>
      <c r="BB98" s="2">
        <f>'PLAZA EGAÑA'!BA13</f>
        <v>1</v>
      </c>
      <c r="BC98" s="2">
        <f>'PLAZA EGAÑA'!BB13</f>
        <v>1</v>
      </c>
      <c r="BD98" s="2">
        <f>'PLAZA EGAÑA'!BC13</f>
        <v>2</v>
      </c>
      <c r="BE98" s="2">
        <f>'PLAZA EGAÑA'!BD13</f>
        <v>2</v>
      </c>
      <c r="BF98" s="2">
        <f>'PLAZA EGAÑA'!BE13</f>
        <v>2</v>
      </c>
      <c r="BG98" s="2">
        <f>'PLAZA EGAÑA'!BF13</f>
        <v>1</v>
      </c>
      <c r="BH98" s="2">
        <f>'PLAZA EGAÑA'!BG13</f>
        <v>1</v>
      </c>
      <c r="BI98" s="2">
        <f>'PLAZA EGAÑA'!BH13</f>
        <v>1</v>
      </c>
      <c r="BJ98" s="2">
        <f>'PLAZA EGAÑA'!BI13</f>
        <v>1</v>
      </c>
      <c r="BK98" s="2">
        <f>'PLAZA EGAÑA'!BJ13</f>
        <v>1</v>
      </c>
      <c r="BL98" s="2">
        <f>'PLAZA EGAÑA'!BK13</f>
        <v>1</v>
      </c>
      <c r="BM98" s="2">
        <f>'PLAZA EGAÑA'!BL13</f>
        <v>1</v>
      </c>
      <c r="BN98" s="2" t="str">
        <f>'PLAZA EGAÑA'!BM13</f>
        <v/>
      </c>
      <c r="BO98" s="2" t="str">
        <f>'PLAZA EGAÑA'!BN13</f>
        <v/>
      </c>
      <c r="BP98" s="2" t="str">
        <f>'PLAZA EGAÑA'!BO13</f>
        <v/>
      </c>
      <c r="BQ98" s="2" t="str">
        <f>'PLAZA EGAÑA'!BP13</f>
        <v/>
      </c>
      <c r="BR98" s="2"/>
      <c r="BS98" s="2"/>
      <c r="BT98" s="2"/>
      <c r="BU98" s="2"/>
      <c r="BV98" s="2"/>
      <c r="BW98" s="2"/>
    </row>
    <row r="99">
      <c r="A99" s="2"/>
      <c r="B99" s="2" t="str">
        <f>'PLAZA EGAÑA'!A14</f>
        <v>Plaza Egaña</v>
      </c>
      <c r="C99" s="2" t="str">
        <f>'PLAZA EGAÑA'!B14</f>
        <v>Aseo</v>
      </c>
      <c r="D99" s="2" t="str">
        <f>'PLAZA EGAÑA'!C14</f>
        <v>Bolsas Basura 50x70</v>
      </c>
      <c r="E99" s="2" t="str">
        <f>'PLAZA EGAÑA'!D14</f>
        <v/>
      </c>
      <c r="F99" s="2" t="str">
        <f>'PLAZA EGAÑA'!E14</f>
        <v/>
      </c>
      <c r="G99" s="2" t="str">
        <f>'PLAZA EGAÑA'!F14</f>
        <v/>
      </c>
      <c r="H99" s="2" t="str">
        <f>'PLAZA EGAÑA'!G14</f>
        <v/>
      </c>
      <c r="I99" s="2" t="str">
        <f>'PLAZA EGAÑA'!H14</f>
        <v/>
      </c>
      <c r="J99" s="2" t="str">
        <f>'PLAZA EGAÑA'!I14</f>
        <v/>
      </c>
      <c r="K99" s="2" t="str">
        <f>'PLAZA EGAÑA'!J14</f>
        <v/>
      </c>
      <c r="L99" s="2" t="str">
        <f>'PLAZA EGAÑA'!K14</f>
        <v/>
      </c>
      <c r="M99" s="2" t="str">
        <f>'PLAZA EGAÑA'!L14</f>
        <v/>
      </c>
      <c r="N99" s="2" t="str">
        <f>'PLAZA EGAÑA'!M14</f>
        <v/>
      </c>
      <c r="O99" s="2" t="str">
        <f>'PLAZA EGAÑA'!N14</f>
        <v/>
      </c>
      <c r="P99" s="2" t="str">
        <f>'PLAZA EGAÑA'!O14</f>
        <v/>
      </c>
      <c r="Q99" s="2" t="str">
        <f>'PLAZA EGAÑA'!P14</f>
        <v/>
      </c>
      <c r="R99" s="2" t="str">
        <f>'PLAZA EGAÑA'!Q14</f>
        <v/>
      </c>
      <c r="S99" s="2" t="str">
        <f>'PLAZA EGAÑA'!R14</f>
        <v/>
      </c>
      <c r="T99" s="2" t="str">
        <f>'PLAZA EGAÑA'!S14</f>
        <v/>
      </c>
      <c r="U99" s="2" t="str">
        <f>'PLAZA EGAÑA'!T14</f>
        <v/>
      </c>
      <c r="V99" s="2" t="str">
        <f>'PLAZA EGAÑA'!U14</f>
        <v/>
      </c>
      <c r="W99" s="2" t="str">
        <f>'PLAZA EGAÑA'!V14</f>
        <v>-</v>
      </c>
      <c r="X99" s="2" t="str">
        <f>'PLAZA EGAÑA'!W14</f>
        <v>-</v>
      </c>
      <c r="Y99" s="2" t="str">
        <f>'PLAZA EGAÑA'!X14</f>
        <v>-</v>
      </c>
      <c r="Z99" s="2" t="str">
        <f>'PLAZA EGAÑA'!Y14</f>
        <v>-</v>
      </c>
      <c r="AA99" s="2" t="str">
        <f>'PLAZA EGAÑA'!Z14</f>
        <v>-</v>
      </c>
      <c r="AB99" s="2" t="str">
        <f>'PLAZA EGAÑA'!AA14</f>
        <v>-</v>
      </c>
      <c r="AC99" s="2" t="str">
        <f>'PLAZA EGAÑA'!AB14</f>
        <v>-</v>
      </c>
      <c r="AD99" s="2">
        <f>'PLAZA EGAÑA'!AC14</f>
        <v>3</v>
      </c>
      <c r="AE99" s="2" t="str">
        <f>'PLAZA EGAÑA'!AD14</f>
        <v/>
      </c>
      <c r="AF99" s="2">
        <f>'PLAZA EGAÑA'!AE14</f>
        <v>3</v>
      </c>
      <c r="AG99" s="2">
        <f>'PLAZA EGAÑA'!AF14</f>
        <v>3</v>
      </c>
      <c r="AH99" s="2">
        <f>'PLAZA EGAÑA'!AG14</f>
        <v>3</v>
      </c>
      <c r="AI99" s="2">
        <f>'PLAZA EGAÑA'!AH14</f>
        <v>0</v>
      </c>
      <c r="AJ99" s="2">
        <f>'PLAZA EGAÑA'!AI14</f>
        <v>29</v>
      </c>
      <c r="AK99" s="2">
        <f>'PLAZA EGAÑA'!AJ14</f>
        <v>27</v>
      </c>
      <c r="AL99" s="2">
        <f>'PLAZA EGAÑA'!AK14</f>
        <v>25</v>
      </c>
      <c r="AM99" s="2">
        <f>'PLAZA EGAÑA'!AL14</f>
        <v>24</v>
      </c>
      <c r="AN99" s="2">
        <f>'PLAZA EGAÑA'!AM14</f>
        <v>21</v>
      </c>
      <c r="AO99" s="2">
        <f>'PLAZA EGAÑA'!AN14</f>
        <v>45</v>
      </c>
      <c r="AP99" s="2">
        <f>'PLAZA EGAÑA'!AO14</f>
        <v>42</v>
      </c>
      <c r="AQ99" s="2">
        <f>'PLAZA EGAÑA'!AP14</f>
        <v>40</v>
      </c>
      <c r="AR99" s="2">
        <f>'PLAZA EGAÑA'!AQ14</f>
        <v>36</v>
      </c>
      <c r="AS99" s="2">
        <f>'PLAZA EGAÑA'!AR14</f>
        <v>35</v>
      </c>
      <c r="AT99" s="2">
        <f>'PLAZA EGAÑA'!AS14</f>
        <v>59</v>
      </c>
      <c r="AU99" s="2">
        <f>'PLAZA EGAÑA'!AT14</f>
        <v>57</v>
      </c>
      <c r="AV99" s="2">
        <f>'PLAZA EGAÑA'!AU14</f>
        <v>20</v>
      </c>
      <c r="AW99" s="2">
        <f>'PLAZA EGAÑA'!AV14</f>
        <v>19</v>
      </c>
      <c r="AX99" s="2">
        <f>'PLAZA EGAÑA'!AW14</f>
        <v>15</v>
      </c>
      <c r="AY99" s="2">
        <f>'PLAZA EGAÑA'!AX14</f>
        <v>12</v>
      </c>
      <c r="AZ99" s="2">
        <f>'PLAZA EGAÑA'!AY14</f>
        <v>12</v>
      </c>
      <c r="BA99" s="2">
        <f>'PLAZA EGAÑA'!AZ14</f>
        <v>9</v>
      </c>
      <c r="BB99" s="2">
        <f>'PLAZA EGAÑA'!BA14</f>
        <v>6</v>
      </c>
      <c r="BC99" s="2">
        <f>'PLAZA EGAÑA'!BB14</f>
        <v>5</v>
      </c>
      <c r="BD99" s="2">
        <f>'PLAZA EGAÑA'!BC14</f>
        <v>12</v>
      </c>
      <c r="BE99" s="2">
        <f>'PLAZA EGAÑA'!BD14</f>
        <v>12</v>
      </c>
      <c r="BF99" s="2">
        <f>'PLAZA EGAÑA'!BE14</f>
        <v>12</v>
      </c>
      <c r="BG99" s="2">
        <f>'PLAZA EGAÑA'!BF14</f>
        <v>10</v>
      </c>
      <c r="BH99" s="2">
        <f>'PLAZA EGAÑA'!BG14</f>
        <v>7</v>
      </c>
      <c r="BI99" s="2">
        <f>'PLAZA EGAÑA'!BH14</f>
        <v>7</v>
      </c>
      <c r="BJ99" s="2">
        <f>'PLAZA EGAÑA'!BI14</f>
        <v>18</v>
      </c>
      <c r="BK99" s="2">
        <f>'PLAZA EGAÑA'!BJ14</f>
        <v>16</v>
      </c>
      <c r="BL99" s="2">
        <f>'PLAZA EGAÑA'!BK14</f>
        <v>14</v>
      </c>
      <c r="BM99" s="2">
        <f>'PLAZA EGAÑA'!BL14</f>
        <v>11</v>
      </c>
      <c r="BN99" s="2" t="str">
        <f>'PLAZA EGAÑA'!BM14</f>
        <v/>
      </c>
      <c r="BO99" s="2" t="str">
        <f>'PLAZA EGAÑA'!BN14</f>
        <v/>
      </c>
      <c r="BP99" s="2" t="str">
        <f>'PLAZA EGAÑA'!BO14</f>
        <v/>
      </c>
      <c r="BQ99" s="2" t="str">
        <f>'PLAZA EGAÑA'!BP14</f>
        <v/>
      </c>
      <c r="BR99" s="2"/>
      <c r="BS99" s="2"/>
      <c r="BT99" s="2"/>
      <c r="BU99" s="2"/>
      <c r="BV99" s="2"/>
      <c r="BW99" s="2"/>
    </row>
    <row r="100">
      <c r="A100" s="2"/>
      <c r="B100" s="2" t="str">
        <f>'PLAZA EGAÑA'!A15</f>
        <v>Plaza Egaña</v>
      </c>
      <c r="C100" s="2" t="str">
        <f>'PLAZA EGAÑA'!B15</f>
        <v>Aseo</v>
      </c>
      <c r="D100" s="2" t="str">
        <f>'PLAZA EGAÑA'!C15</f>
        <v>Bolsas Basura 70x90</v>
      </c>
      <c r="E100" s="2" t="str">
        <f>'PLAZA EGAÑA'!D15</f>
        <v/>
      </c>
      <c r="F100" s="2" t="str">
        <f>'PLAZA EGAÑA'!E15</f>
        <v/>
      </c>
      <c r="G100" s="2" t="str">
        <f>'PLAZA EGAÑA'!F15</f>
        <v/>
      </c>
      <c r="H100" s="2" t="str">
        <f>'PLAZA EGAÑA'!G15</f>
        <v/>
      </c>
      <c r="I100" s="2" t="str">
        <f>'PLAZA EGAÑA'!H15</f>
        <v/>
      </c>
      <c r="J100" s="2" t="str">
        <f>'PLAZA EGAÑA'!I15</f>
        <v/>
      </c>
      <c r="K100" s="2" t="str">
        <f>'PLAZA EGAÑA'!J15</f>
        <v/>
      </c>
      <c r="L100" s="2" t="str">
        <f>'PLAZA EGAÑA'!K15</f>
        <v/>
      </c>
      <c r="M100" s="2" t="str">
        <f>'PLAZA EGAÑA'!L15</f>
        <v/>
      </c>
      <c r="N100" s="2" t="str">
        <f>'PLAZA EGAÑA'!M15</f>
        <v/>
      </c>
      <c r="O100" s="2" t="str">
        <f>'PLAZA EGAÑA'!N15</f>
        <v/>
      </c>
      <c r="P100" s="2" t="str">
        <f>'PLAZA EGAÑA'!O15</f>
        <v/>
      </c>
      <c r="Q100" s="2" t="str">
        <f>'PLAZA EGAÑA'!P15</f>
        <v/>
      </c>
      <c r="R100" s="2" t="str">
        <f>'PLAZA EGAÑA'!Q15</f>
        <v/>
      </c>
      <c r="S100" s="2" t="str">
        <f>'PLAZA EGAÑA'!R15</f>
        <v/>
      </c>
      <c r="T100" s="2" t="str">
        <f>'PLAZA EGAÑA'!S15</f>
        <v/>
      </c>
      <c r="U100" s="2" t="str">
        <f>'PLAZA EGAÑA'!T15</f>
        <v/>
      </c>
      <c r="V100" s="2" t="str">
        <f>'PLAZA EGAÑA'!U15</f>
        <v/>
      </c>
      <c r="W100" s="2" t="str">
        <f>'PLAZA EGAÑA'!V15</f>
        <v/>
      </c>
      <c r="X100" s="2" t="str">
        <f>'PLAZA EGAÑA'!W15</f>
        <v/>
      </c>
      <c r="Y100" s="2" t="str">
        <f>'PLAZA EGAÑA'!X15</f>
        <v/>
      </c>
      <c r="Z100" s="2" t="str">
        <f>'PLAZA EGAÑA'!Y15</f>
        <v/>
      </c>
      <c r="AA100" s="2" t="str">
        <f>'PLAZA EGAÑA'!Z15</f>
        <v/>
      </c>
      <c r="AB100" s="2" t="str">
        <f>'PLAZA EGAÑA'!AA15</f>
        <v/>
      </c>
      <c r="AC100" s="2" t="str">
        <f>'PLAZA EGAÑA'!AB15</f>
        <v/>
      </c>
      <c r="AD100" s="2" t="str">
        <f>'PLAZA EGAÑA'!AC15</f>
        <v/>
      </c>
      <c r="AE100" s="2" t="str">
        <f>'PLAZA EGAÑA'!AD15</f>
        <v/>
      </c>
      <c r="AF100" s="2" t="str">
        <f>'PLAZA EGAÑA'!AE15</f>
        <v/>
      </c>
      <c r="AG100" s="2" t="str">
        <f>'PLAZA EGAÑA'!AF15</f>
        <v/>
      </c>
      <c r="AH100" s="2" t="str">
        <f>'PLAZA EGAÑA'!AG15</f>
        <v/>
      </c>
      <c r="AI100" s="2" t="str">
        <f>'PLAZA EGAÑA'!AH15</f>
        <v/>
      </c>
      <c r="AJ100" s="2" t="str">
        <f>'PLAZA EGAÑA'!AI15</f>
        <v/>
      </c>
      <c r="AK100" s="2" t="str">
        <f>'PLAZA EGAÑA'!AJ15</f>
        <v/>
      </c>
      <c r="AL100" s="2" t="str">
        <f>'PLAZA EGAÑA'!AK15</f>
        <v/>
      </c>
      <c r="AM100" s="2" t="str">
        <f>'PLAZA EGAÑA'!AL15</f>
        <v/>
      </c>
      <c r="AN100" s="2" t="str">
        <f>'PLAZA EGAÑA'!AM15</f>
        <v/>
      </c>
      <c r="AO100" s="2" t="str">
        <f>'PLAZA EGAÑA'!AN15</f>
        <v/>
      </c>
      <c r="AP100" s="2">
        <f>'PLAZA EGAÑA'!AO15</f>
        <v>0</v>
      </c>
      <c r="AQ100" s="2">
        <f>'PLAZA EGAÑA'!AP15</f>
        <v>0</v>
      </c>
      <c r="AR100" s="2">
        <f>'PLAZA EGAÑA'!AQ15</f>
        <v>0</v>
      </c>
      <c r="AS100" s="2">
        <f>'PLAZA EGAÑA'!AR15</f>
        <v>0</v>
      </c>
      <c r="AT100" s="2">
        <f>'PLAZA EGAÑA'!AS15</f>
        <v>0</v>
      </c>
      <c r="AU100" s="2">
        <f>'PLAZA EGAÑA'!AT15</f>
        <v>0</v>
      </c>
      <c r="AV100" s="2">
        <f>'PLAZA EGAÑA'!AU15</f>
        <v>20</v>
      </c>
      <c r="AW100" s="2">
        <f>'PLAZA EGAÑA'!AV15</f>
        <v>19</v>
      </c>
      <c r="AX100" s="2">
        <f>'PLAZA EGAÑA'!AW15</f>
        <v>15</v>
      </c>
      <c r="AY100" s="2">
        <f>'PLAZA EGAÑA'!AX15</f>
        <v>14</v>
      </c>
      <c r="AZ100" s="2">
        <f>'PLAZA EGAÑA'!AY15</f>
        <v>14</v>
      </c>
      <c r="BA100" s="2">
        <f>'PLAZA EGAÑA'!AZ15</f>
        <v>11</v>
      </c>
      <c r="BB100" s="2">
        <f>'PLAZA EGAÑA'!BA15</f>
        <v>7</v>
      </c>
      <c r="BC100" s="2">
        <f>'PLAZA EGAÑA'!BB15</f>
        <v>6</v>
      </c>
      <c r="BD100" s="2">
        <f>'PLAZA EGAÑA'!BC15</f>
        <v>14</v>
      </c>
      <c r="BE100" s="2">
        <f>'PLAZA EGAÑA'!BD15</f>
        <v>14</v>
      </c>
      <c r="BF100" s="2">
        <f>'PLAZA EGAÑA'!BE15</f>
        <v>14</v>
      </c>
      <c r="BG100" s="2">
        <f>'PLAZA EGAÑA'!BF15</f>
        <v>12</v>
      </c>
      <c r="BH100" s="2">
        <f>'PLAZA EGAÑA'!BG15</f>
        <v>9</v>
      </c>
      <c r="BI100" s="2">
        <f>'PLAZA EGAÑA'!BH15</f>
        <v>9</v>
      </c>
      <c r="BJ100" s="2">
        <f>'PLAZA EGAÑA'!BI15</f>
        <v>20</v>
      </c>
      <c r="BK100" s="2">
        <f>'PLAZA EGAÑA'!BJ15</f>
        <v>18</v>
      </c>
      <c r="BL100" s="2">
        <f>'PLAZA EGAÑA'!BK15</f>
        <v>16</v>
      </c>
      <c r="BM100" s="2">
        <f>'PLAZA EGAÑA'!BL15</f>
        <v>14</v>
      </c>
      <c r="BN100" s="2" t="str">
        <f>'PLAZA EGAÑA'!BM15</f>
        <v/>
      </c>
      <c r="BO100" s="2" t="str">
        <f>'PLAZA EGAÑA'!BN15</f>
        <v/>
      </c>
      <c r="BP100" s="2" t="str">
        <f>'PLAZA EGAÑA'!BO15</f>
        <v/>
      </c>
      <c r="BQ100" s="2" t="str">
        <f>'PLAZA EGAÑA'!BP15</f>
        <v/>
      </c>
      <c r="BR100" s="2"/>
      <c r="BS100" s="2"/>
      <c r="BT100" s="2"/>
      <c r="BU100" s="2"/>
      <c r="BV100" s="2"/>
      <c r="BW100" s="2"/>
    </row>
    <row r="101">
      <c r="A101" s="2"/>
      <c r="B101" s="2" t="str">
        <f>'PLAZA EGAÑA'!A16</f>
        <v>Plaza Egaña</v>
      </c>
      <c r="C101" s="2" t="str">
        <f>'PLAZA EGAÑA'!B16</f>
        <v>Aseo</v>
      </c>
      <c r="D101" s="2" t="str">
        <f>'PLAZA EGAÑA'!C16</f>
        <v>Bolsas Basura 80x110</v>
      </c>
      <c r="E101" s="2" t="str">
        <f>'PLAZA EGAÑA'!D16</f>
        <v/>
      </c>
      <c r="F101" s="2" t="str">
        <f>'PLAZA EGAÑA'!E16</f>
        <v/>
      </c>
      <c r="G101" s="2" t="str">
        <f>'PLAZA EGAÑA'!F16</f>
        <v/>
      </c>
      <c r="H101" s="2" t="str">
        <f>'PLAZA EGAÑA'!G16</f>
        <v/>
      </c>
      <c r="I101" s="2" t="str">
        <f>'PLAZA EGAÑA'!H16</f>
        <v/>
      </c>
      <c r="J101" s="2" t="str">
        <f>'PLAZA EGAÑA'!I16</f>
        <v/>
      </c>
      <c r="K101" s="2" t="str">
        <f>'PLAZA EGAÑA'!J16</f>
        <v/>
      </c>
      <c r="L101" s="2" t="str">
        <f>'PLAZA EGAÑA'!K16</f>
        <v/>
      </c>
      <c r="M101" s="2" t="str">
        <f>'PLAZA EGAÑA'!L16</f>
        <v/>
      </c>
      <c r="N101" s="2" t="str">
        <f>'PLAZA EGAÑA'!M16</f>
        <v/>
      </c>
      <c r="O101" s="2" t="str">
        <f>'PLAZA EGAÑA'!N16</f>
        <v/>
      </c>
      <c r="P101" s="2" t="str">
        <f>'PLAZA EGAÑA'!O16</f>
        <v/>
      </c>
      <c r="Q101" s="2" t="str">
        <f>'PLAZA EGAÑA'!P16</f>
        <v/>
      </c>
      <c r="R101" s="2" t="str">
        <f>'PLAZA EGAÑA'!Q16</f>
        <v/>
      </c>
      <c r="S101" s="2" t="str">
        <f>'PLAZA EGAÑA'!R16</f>
        <v/>
      </c>
      <c r="T101" s="2" t="str">
        <f>'PLAZA EGAÑA'!S16</f>
        <v/>
      </c>
      <c r="U101" s="2" t="str">
        <f>'PLAZA EGAÑA'!T16</f>
        <v/>
      </c>
      <c r="V101" s="2" t="str">
        <f>'PLAZA EGAÑA'!U16</f>
        <v/>
      </c>
      <c r="W101" s="2" t="str">
        <f>'PLAZA EGAÑA'!V16</f>
        <v/>
      </c>
      <c r="X101" s="2" t="str">
        <f>'PLAZA EGAÑA'!W16</f>
        <v/>
      </c>
      <c r="Y101" s="2" t="str">
        <f>'PLAZA EGAÑA'!X16</f>
        <v/>
      </c>
      <c r="Z101" s="2" t="str">
        <f>'PLAZA EGAÑA'!Y16</f>
        <v/>
      </c>
      <c r="AA101" s="2" t="str">
        <f>'PLAZA EGAÑA'!Z16</f>
        <v/>
      </c>
      <c r="AB101" s="2" t="str">
        <f>'PLAZA EGAÑA'!AA16</f>
        <v/>
      </c>
      <c r="AC101" s="2" t="str">
        <f>'PLAZA EGAÑA'!AB16</f>
        <v/>
      </c>
      <c r="AD101" s="2" t="str">
        <f>'PLAZA EGAÑA'!AC16</f>
        <v/>
      </c>
      <c r="AE101" s="2" t="str">
        <f>'PLAZA EGAÑA'!AD16</f>
        <v/>
      </c>
      <c r="AF101" s="2" t="str">
        <f>'PLAZA EGAÑA'!AE16</f>
        <v/>
      </c>
      <c r="AG101" s="2" t="str">
        <f>'PLAZA EGAÑA'!AF16</f>
        <v/>
      </c>
      <c r="AH101" s="2" t="str">
        <f>'PLAZA EGAÑA'!AG16</f>
        <v/>
      </c>
      <c r="AI101" s="2" t="str">
        <f>'PLAZA EGAÑA'!AH16</f>
        <v/>
      </c>
      <c r="AJ101" s="2" t="str">
        <f>'PLAZA EGAÑA'!AI16</f>
        <v/>
      </c>
      <c r="AK101" s="2" t="str">
        <f>'PLAZA EGAÑA'!AJ16</f>
        <v/>
      </c>
      <c r="AL101" s="2" t="str">
        <f>'PLAZA EGAÑA'!AK16</f>
        <v/>
      </c>
      <c r="AM101" s="2" t="str">
        <f>'PLAZA EGAÑA'!AL16</f>
        <v/>
      </c>
      <c r="AN101" s="2" t="str">
        <f>'PLAZA EGAÑA'!AM16</f>
        <v/>
      </c>
      <c r="AO101" s="2" t="str">
        <f>'PLAZA EGAÑA'!AN16</f>
        <v/>
      </c>
      <c r="AP101" s="2">
        <f>'PLAZA EGAÑA'!AO16</f>
        <v>0</v>
      </c>
      <c r="AQ101" s="2">
        <f>'PLAZA EGAÑA'!AP16</f>
        <v>0</v>
      </c>
      <c r="AR101" s="2">
        <f>'PLAZA EGAÑA'!AQ16</f>
        <v>0</v>
      </c>
      <c r="AS101" s="2">
        <f>'PLAZA EGAÑA'!AR16</f>
        <v>0</v>
      </c>
      <c r="AT101" s="2">
        <f>'PLAZA EGAÑA'!AS16</f>
        <v>0</v>
      </c>
      <c r="AU101" s="2">
        <f>'PLAZA EGAÑA'!AT16</f>
        <v>0</v>
      </c>
      <c r="AV101" s="2">
        <f>'PLAZA EGAÑA'!AU16</f>
        <v>30</v>
      </c>
      <c r="AW101" s="2">
        <f>'PLAZA EGAÑA'!AV16</f>
        <v>29</v>
      </c>
      <c r="AX101" s="2">
        <f>'PLAZA EGAÑA'!AW16</f>
        <v>15</v>
      </c>
      <c r="AY101" s="2">
        <f>'PLAZA EGAÑA'!AX16</f>
        <v>13</v>
      </c>
      <c r="AZ101" s="2">
        <f>'PLAZA EGAÑA'!AY16</f>
        <v>13</v>
      </c>
      <c r="BA101" s="2">
        <f>'PLAZA EGAÑA'!AZ16</f>
        <v>9</v>
      </c>
      <c r="BB101" s="2">
        <f>'PLAZA EGAÑA'!BA16</f>
        <v>6</v>
      </c>
      <c r="BC101" s="2">
        <f>'PLAZA EGAÑA'!BB16</f>
        <v>5</v>
      </c>
      <c r="BD101" s="2">
        <f>'PLAZA EGAÑA'!BC16</f>
        <v>12</v>
      </c>
      <c r="BE101" s="2">
        <f>'PLAZA EGAÑA'!BD16</f>
        <v>12</v>
      </c>
      <c r="BF101" s="2">
        <f>'PLAZA EGAÑA'!BE16</f>
        <v>12</v>
      </c>
      <c r="BG101" s="2">
        <f>'PLAZA EGAÑA'!BF16</f>
        <v>10</v>
      </c>
      <c r="BH101" s="2">
        <f>'PLAZA EGAÑA'!BG16</f>
        <v>7</v>
      </c>
      <c r="BI101" s="2">
        <f>'PLAZA EGAÑA'!BH16</f>
        <v>7</v>
      </c>
      <c r="BJ101" s="2">
        <f>'PLAZA EGAÑA'!BI16</f>
        <v>8</v>
      </c>
      <c r="BK101" s="2">
        <f>'PLAZA EGAÑA'!BJ16</f>
        <v>6</v>
      </c>
      <c r="BL101" s="2">
        <f>'PLAZA EGAÑA'!BK16</f>
        <v>4</v>
      </c>
      <c r="BM101" s="2">
        <f>'PLAZA EGAÑA'!BL16</f>
        <v>2</v>
      </c>
      <c r="BN101" s="2" t="str">
        <f>'PLAZA EGAÑA'!BM16</f>
        <v/>
      </c>
      <c r="BO101" s="2" t="str">
        <f>'PLAZA EGAÑA'!BN16</f>
        <v/>
      </c>
      <c r="BP101" s="2" t="str">
        <f>'PLAZA EGAÑA'!BO16</f>
        <v/>
      </c>
      <c r="BQ101" s="2" t="str">
        <f>'PLAZA EGAÑA'!BP16</f>
        <v/>
      </c>
      <c r="BR101" s="2"/>
      <c r="BS101" s="2"/>
      <c r="BT101" s="2"/>
      <c r="BU101" s="2"/>
      <c r="BV101" s="2"/>
      <c r="BW101" s="2"/>
    </row>
    <row r="102">
      <c r="A102" s="2"/>
      <c r="B102" s="2" t="str">
        <f>'PLAZA EGAÑA'!A17</f>
        <v>Plaza Egaña</v>
      </c>
      <c r="C102" s="2" t="str">
        <f>'PLAZA EGAÑA'!B17</f>
        <v>Aseo</v>
      </c>
      <c r="D102" s="2" t="str">
        <f>'PLAZA EGAÑA'!C17</f>
        <v>Esponja 4U </v>
      </c>
      <c r="E102" s="2" t="str">
        <f>'PLAZA EGAÑA'!D17</f>
        <v/>
      </c>
      <c r="F102" s="2" t="str">
        <f>'PLAZA EGAÑA'!E17</f>
        <v/>
      </c>
      <c r="G102" s="2" t="str">
        <f>'PLAZA EGAÑA'!F17</f>
        <v/>
      </c>
      <c r="H102" s="2" t="str">
        <f>'PLAZA EGAÑA'!G17</f>
        <v/>
      </c>
      <c r="I102" s="2" t="str">
        <f>'PLAZA EGAÑA'!H17</f>
        <v/>
      </c>
      <c r="J102" s="2" t="str">
        <f>'PLAZA EGAÑA'!I17</f>
        <v/>
      </c>
      <c r="K102" s="2" t="str">
        <f>'PLAZA EGAÑA'!J17</f>
        <v/>
      </c>
      <c r="L102" s="2" t="str">
        <f>'PLAZA EGAÑA'!K17</f>
        <v/>
      </c>
      <c r="M102" s="2" t="str">
        <f>'PLAZA EGAÑA'!L17</f>
        <v/>
      </c>
      <c r="N102" s="2" t="str">
        <f>'PLAZA EGAÑA'!M17</f>
        <v/>
      </c>
      <c r="O102" s="2" t="str">
        <f>'PLAZA EGAÑA'!N17</f>
        <v/>
      </c>
      <c r="P102" s="2" t="str">
        <f>'PLAZA EGAÑA'!O17</f>
        <v/>
      </c>
      <c r="Q102" s="2" t="str">
        <f>'PLAZA EGAÑA'!P17</f>
        <v/>
      </c>
      <c r="R102" s="2" t="str">
        <f>'PLAZA EGAÑA'!Q17</f>
        <v/>
      </c>
      <c r="S102" s="2" t="str">
        <f>'PLAZA EGAÑA'!R17</f>
        <v/>
      </c>
      <c r="T102" s="2" t="str">
        <f>'PLAZA EGAÑA'!S17</f>
        <v/>
      </c>
      <c r="U102" s="2" t="str">
        <f>'PLAZA EGAÑA'!T17</f>
        <v/>
      </c>
      <c r="V102" s="2" t="str">
        <f>'PLAZA EGAÑA'!U17</f>
        <v/>
      </c>
      <c r="W102" s="2" t="str">
        <f>'PLAZA EGAÑA'!V17</f>
        <v>-</v>
      </c>
      <c r="X102" s="2" t="str">
        <f>'PLAZA EGAÑA'!W17</f>
        <v>-</v>
      </c>
      <c r="Y102" s="2" t="str">
        <f>'PLAZA EGAÑA'!X17</f>
        <v>-</v>
      </c>
      <c r="Z102" s="2" t="str">
        <f>'PLAZA EGAÑA'!Y17</f>
        <v>-</v>
      </c>
      <c r="AA102" s="2" t="str">
        <f>'PLAZA EGAÑA'!Z17</f>
        <v>-</v>
      </c>
      <c r="AB102" s="2" t="str">
        <f>'PLAZA EGAÑA'!AA17</f>
        <v>-</v>
      </c>
      <c r="AC102" s="2" t="str">
        <f>'PLAZA EGAÑA'!AB17</f>
        <v>-</v>
      </c>
      <c r="AD102" s="2">
        <f>'PLAZA EGAÑA'!AC17</f>
        <v>1</v>
      </c>
      <c r="AE102" s="2" t="str">
        <f>'PLAZA EGAÑA'!AD17</f>
        <v/>
      </c>
      <c r="AF102" s="2">
        <f>'PLAZA EGAÑA'!AE17</f>
        <v>1</v>
      </c>
      <c r="AG102" s="2">
        <f>'PLAZA EGAÑA'!AF17</f>
        <v>1</v>
      </c>
      <c r="AH102" s="2">
        <f>'PLAZA EGAÑA'!AG17</f>
        <v>1</v>
      </c>
      <c r="AI102" s="2">
        <f>'PLAZA EGAÑA'!AH17</f>
        <v>0</v>
      </c>
      <c r="AJ102" s="2">
        <f>'PLAZA EGAÑA'!AI17</f>
        <v>1</v>
      </c>
      <c r="AK102" s="2">
        <f>'PLAZA EGAÑA'!AJ17</f>
        <v>0</v>
      </c>
      <c r="AL102" s="2">
        <f>'PLAZA EGAÑA'!AK17</f>
        <v>0</v>
      </c>
      <c r="AM102" s="2">
        <f>'PLAZA EGAÑA'!AL17</f>
        <v>0</v>
      </c>
      <c r="AN102" s="2">
        <f>'PLAZA EGAÑA'!AM17</f>
        <v>0</v>
      </c>
      <c r="AO102" s="2">
        <f>'PLAZA EGAÑA'!AN17</f>
        <v>2</v>
      </c>
      <c r="AP102" s="2">
        <f>'PLAZA EGAÑA'!AO17</f>
        <v>1</v>
      </c>
      <c r="AQ102" s="2">
        <f>'PLAZA EGAÑA'!AP17</f>
        <v>1</v>
      </c>
      <c r="AR102" s="2">
        <f>'PLAZA EGAÑA'!AQ17</f>
        <v>1</v>
      </c>
      <c r="AS102" s="2">
        <f>'PLAZA EGAÑA'!AR17</f>
        <v>1</v>
      </c>
      <c r="AT102" s="2">
        <f>'PLAZA EGAÑA'!AS17</f>
        <v>2</v>
      </c>
      <c r="AU102" s="2">
        <f>'PLAZA EGAÑA'!AT17</f>
        <v>1</v>
      </c>
      <c r="AV102" s="2">
        <f>'PLAZA EGAÑA'!AU17</f>
        <v>1</v>
      </c>
      <c r="AW102" s="2">
        <f>'PLAZA EGAÑA'!AV17</f>
        <v>1</v>
      </c>
      <c r="AX102" s="2">
        <f>'PLAZA EGAÑA'!AW17</f>
        <v>1</v>
      </c>
      <c r="AY102" s="2">
        <f>'PLAZA EGAÑA'!AX17</f>
        <v>1</v>
      </c>
      <c r="AZ102" s="2">
        <f>'PLAZA EGAÑA'!AY17</f>
        <v>1</v>
      </c>
      <c r="BA102" s="2">
        <f>'PLAZA EGAÑA'!AZ17</f>
        <v>1</v>
      </c>
      <c r="BB102" s="2">
        <f>'PLAZA EGAÑA'!BA17</f>
        <v>2</v>
      </c>
      <c r="BC102" s="2">
        <f>'PLAZA EGAÑA'!BB17</f>
        <v>2</v>
      </c>
      <c r="BD102" s="2">
        <f>'PLAZA EGAÑA'!BC17</f>
        <v>2</v>
      </c>
      <c r="BE102" s="2">
        <f>'PLAZA EGAÑA'!BD17</f>
        <v>1</v>
      </c>
      <c r="BF102" s="2">
        <f>'PLAZA EGAÑA'!BE17</f>
        <v>0</v>
      </c>
      <c r="BG102" s="2">
        <f>'PLAZA EGAÑA'!BF17</f>
        <v>0</v>
      </c>
      <c r="BH102" s="2">
        <f>'PLAZA EGAÑA'!BG17</f>
        <v>0</v>
      </c>
      <c r="BI102" s="2">
        <f>'PLAZA EGAÑA'!BH17</f>
        <v>0</v>
      </c>
      <c r="BJ102" s="2">
        <f>'PLAZA EGAÑA'!BI17</f>
        <v>2</v>
      </c>
      <c r="BK102" s="2">
        <f>'PLAZA EGAÑA'!BJ17</f>
        <v>0</v>
      </c>
      <c r="BL102" s="2">
        <f>'PLAZA EGAÑA'!BK17</f>
        <v>0</v>
      </c>
      <c r="BM102" s="2">
        <f>'PLAZA EGAÑA'!BL17</f>
        <v>0</v>
      </c>
      <c r="BN102" s="2" t="str">
        <f>'PLAZA EGAÑA'!BM17</f>
        <v/>
      </c>
      <c r="BO102" s="2" t="str">
        <f>'PLAZA EGAÑA'!BN17</f>
        <v/>
      </c>
      <c r="BP102" s="2" t="str">
        <f>'PLAZA EGAÑA'!BO17</f>
        <v/>
      </c>
      <c r="BQ102" s="2" t="str">
        <f>'PLAZA EGAÑA'!BP17</f>
        <v/>
      </c>
      <c r="BR102" s="2"/>
      <c r="BS102" s="2"/>
      <c r="BT102" s="2"/>
      <c r="BU102" s="2"/>
      <c r="BV102" s="2"/>
      <c r="BW102" s="2"/>
    </row>
    <row r="103">
      <c r="A103" s="2"/>
      <c r="B103" s="2" t="str">
        <f>'PLAZA EGAÑA'!A18</f>
        <v>Plaza Egaña</v>
      </c>
      <c r="C103" s="2" t="str">
        <f>'PLAZA EGAÑA'!B18</f>
        <v>Aseo</v>
      </c>
      <c r="D103" s="2" t="str">
        <f>'PLAZA EGAÑA'!C18</f>
        <v>Mopa Redonda </v>
      </c>
      <c r="E103" s="2" t="str">
        <f>'PLAZA EGAÑA'!D18</f>
        <v/>
      </c>
      <c r="F103" s="2" t="str">
        <f>'PLAZA EGAÑA'!E18</f>
        <v/>
      </c>
      <c r="G103" s="2" t="str">
        <f>'PLAZA EGAÑA'!F18</f>
        <v/>
      </c>
      <c r="H103" s="2" t="str">
        <f>'PLAZA EGAÑA'!G18</f>
        <v/>
      </c>
      <c r="I103" s="2" t="str">
        <f>'PLAZA EGAÑA'!H18</f>
        <v/>
      </c>
      <c r="J103" s="2" t="str">
        <f>'PLAZA EGAÑA'!I18</f>
        <v/>
      </c>
      <c r="K103" s="2" t="str">
        <f>'PLAZA EGAÑA'!J18</f>
        <v/>
      </c>
      <c r="L103" s="2" t="str">
        <f>'PLAZA EGAÑA'!K18</f>
        <v/>
      </c>
      <c r="M103" s="2" t="str">
        <f>'PLAZA EGAÑA'!L18</f>
        <v/>
      </c>
      <c r="N103" s="2" t="str">
        <f>'PLAZA EGAÑA'!M18</f>
        <v/>
      </c>
      <c r="O103" s="2" t="str">
        <f>'PLAZA EGAÑA'!N18</f>
        <v/>
      </c>
      <c r="P103" s="2" t="str">
        <f>'PLAZA EGAÑA'!O18</f>
        <v/>
      </c>
      <c r="Q103" s="2" t="str">
        <f>'PLAZA EGAÑA'!P18</f>
        <v/>
      </c>
      <c r="R103" s="2" t="str">
        <f>'PLAZA EGAÑA'!Q18</f>
        <v/>
      </c>
      <c r="S103" s="2" t="str">
        <f>'PLAZA EGAÑA'!R18</f>
        <v/>
      </c>
      <c r="T103" s="2" t="str">
        <f>'PLAZA EGAÑA'!S18</f>
        <v/>
      </c>
      <c r="U103" s="2" t="str">
        <f>'PLAZA EGAÑA'!T18</f>
        <v/>
      </c>
      <c r="V103" s="2" t="str">
        <f>'PLAZA EGAÑA'!U18</f>
        <v/>
      </c>
      <c r="W103" s="2" t="str">
        <f>'PLAZA EGAÑA'!V18</f>
        <v>-</v>
      </c>
      <c r="X103" s="2" t="str">
        <f>'PLAZA EGAÑA'!W18</f>
        <v>-</v>
      </c>
      <c r="Y103" s="2" t="str">
        <f>'PLAZA EGAÑA'!X18</f>
        <v>-</v>
      </c>
      <c r="Z103" s="2" t="str">
        <f>'PLAZA EGAÑA'!Y18</f>
        <v>-</v>
      </c>
      <c r="AA103" s="2" t="str">
        <f>'PLAZA EGAÑA'!Z18</f>
        <v>-</v>
      </c>
      <c r="AB103" s="2" t="str">
        <f>'PLAZA EGAÑA'!AA18</f>
        <v>-</v>
      </c>
      <c r="AC103" s="2" t="str">
        <f>'PLAZA EGAÑA'!AB18</f>
        <v>-</v>
      </c>
      <c r="AD103" s="2">
        <f>'PLAZA EGAÑA'!AC18</f>
        <v>1</v>
      </c>
      <c r="AE103" s="2" t="str">
        <f>'PLAZA EGAÑA'!AD18</f>
        <v/>
      </c>
      <c r="AF103" s="2">
        <f>'PLAZA EGAÑA'!AE18</f>
        <v>1</v>
      </c>
      <c r="AG103" s="2">
        <f>'PLAZA EGAÑA'!AF18</f>
        <v>1</v>
      </c>
      <c r="AH103" s="2">
        <f>'PLAZA EGAÑA'!AG18</f>
        <v>1</v>
      </c>
      <c r="AI103" s="2">
        <f>'PLAZA EGAÑA'!AH18</f>
        <v>1</v>
      </c>
      <c r="AJ103" s="2">
        <f>'PLAZA EGAÑA'!AI18</f>
        <v>3</v>
      </c>
      <c r="AK103" s="2">
        <f>'PLAZA EGAÑA'!AJ18</f>
        <v>3</v>
      </c>
      <c r="AL103" s="2">
        <f>'PLAZA EGAÑA'!AK18</f>
        <v>3</v>
      </c>
      <c r="AM103" s="2">
        <f>'PLAZA EGAÑA'!AL18</f>
        <v>2</v>
      </c>
      <c r="AN103" s="2">
        <f>'PLAZA EGAÑA'!AM18</f>
        <v>2</v>
      </c>
      <c r="AO103" s="2">
        <f>'PLAZA EGAÑA'!AN18</f>
        <v>4</v>
      </c>
      <c r="AP103" s="2">
        <f>'PLAZA EGAÑA'!AO18</f>
        <v>3</v>
      </c>
      <c r="AQ103" s="2">
        <f>'PLAZA EGAÑA'!AP18</f>
        <v>2</v>
      </c>
      <c r="AR103" s="2">
        <f>'PLAZA EGAÑA'!AQ18</f>
        <v>2</v>
      </c>
      <c r="AS103" s="2">
        <f>'PLAZA EGAÑA'!AR18</f>
        <v>1</v>
      </c>
      <c r="AT103" s="2">
        <f>'PLAZA EGAÑA'!AS18</f>
        <v>3</v>
      </c>
      <c r="AU103" s="2">
        <f>'PLAZA EGAÑA'!AT18</f>
        <v>3</v>
      </c>
      <c r="AV103" s="2">
        <f>'PLAZA EGAÑA'!AU18</f>
        <v>2</v>
      </c>
      <c r="AW103" s="2">
        <f>'PLAZA EGAÑA'!AV18</f>
        <v>2</v>
      </c>
      <c r="AX103" s="2">
        <f>'PLAZA EGAÑA'!AW18</f>
        <v>2</v>
      </c>
      <c r="AY103" s="2">
        <f>'PLAZA EGAÑA'!AX18</f>
        <v>2</v>
      </c>
      <c r="AZ103" s="2">
        <f>'PLAZA EGAÑA'!AY18</f>
        <v>2</v>
      </c>
      <c r="BA103" s="2">
        <f>'PLAZA EGAÑA'!AZ18</f>
        <v>2</v>
      </c>
      <c r="BB103" s="2">
        <f>'PLAZA EGAÑA'!BA18</f>
        <v>2</v>
      </c>
      <c r="BC103" s="2">
        <f>'PLAZA EGAÑA'!BB18</f>
        <v>2</v>
      </c>
      <c r="BD103" s="2">
        <f>'PLAZA EGAÑA'!BC18</f>
        <v>4</v>
      </c>
      <c r="BE103" s="2">
        <f>'PLAZA EGAÑA'!BD18</f>
        <v>4</v>
      </c>
      <c r="BF103" s="2">
        <f>'PLAZA EGAÑA'!BE18</f>
        <v>3</v>
      </c>
      <c r="BG103" s="2">
        <f>'PLAZA EGAÑA'!BF18</f>
        <v>3</v>
      </c>
      <c r="BH103" s="2">
        <f>'PLAZA EGAÑA'!BG18</f>
        <v>3</v>
      </c>
      <c r="BI103" s="2">
        <f>'PLAZA EGAÑA'!BH18</f>
        <v>3</v>
      </c>
      <c r="BJ103" s="2">
        <f>'PLAZA EGAÑA'!BI18</f>
        <v>6</v>
      </c>
      <c r="BK103" s="2">
        <f>'PLAZA EGAÑA'!BJ18</f>
        <v>6</v>
      </c>
      <c r="BL103" s="2">
        <f>'PLAZA EGAÑA'!BK18</f>
        <v>5</v>
      </c>
      <c r="BM103" s="2">
        <f>'PLAZA EGAÑA'!BL18</f>
        <v>4</v>
      </c>
      <c r="BN103" s="2" t="str">
        <f>'PLAZA EGAÑA'!BM18</f>
        <v/>
      </c>
      <c r="BO103" s="2" t="str">
        <f>'PLAZA EGAÑA'!BN18</f>
        <v/>
      </c>
      <c r="BP103" s="2" t="str">
        <f>'PLAZA EGAÑA'!BO18</f>
        <v/>
      </c>
      <c r="BQ103" s="2" t="str">
        <f>'PLAZA EGAÑA'!BP18</f>
        <v/>
      </c>
      <c r="BR103" s="2"/>
      <c r="BS103" s="2"/>
      <c r="BT103" s="2"/>
      <c r="BU103" s="2"/>
      <c r="BV103" s="2"/>
      <c r="BW103" s="2"/>
    </row>
    <row r="104">
      <c r="A104" s="2"/>
      <c r="B104" s="2" t="str">
        <f>NEOHAUS!A2</f>
        <v/>
      </c>
      <c r="C104" s="2" t="str">
        <f>NEOHAUS!B2</f>
        <v/>
      </c>
      <c r="D104" s="22" t="str">
        <f>NEOHAUS!C2</f>
        <v/>
      </c>
      <c r="E104" s="22">
        <f>NEOHAUS!D2</f>
        <v>45811</v>
      </c>
      <c r="F104" s="22">
        <f>NEOHAUS!E2</f>
        <v>45817</v>
      </c>
      <c r="G104" s="22">
        <f>NEOHAUS!F2</f>
        <v>45824</v>
      </c>
      <c r="H104" s="22">
        <f>NEOHAUS!G2</f>
        <v>45831</v>
      </c>
      <c r="I104" s="22">
        <f>NEOHAUS!H2</f>
        <v>45838</v>
      </c>
      <c r="J104" s="22">
        <f>NEOHAUS!I2</f>
        <v>45845</v>
      </c>
      <c r="K104" s="22">
        <f>NEOHAUS!J2</f>
        <v>45852</v>
      </c>
      <c r="L104" s="22">
        <f>NEOHAUS!K2</f>
        <v>45859</v>
      </c>
      <c r="M104" s="22">
        <f>NEOHAUS!L2</f>
        <v>45866</v>
      </c>
      <c r="N104" s="22">
        <f>NEOHAUS!M2</f>
        <v>45873</v>
      </c>
      <c r="O104" s="22">
        <f>NEOHAUS!N2</f>
        <v>45880</v>
      </c>
      <c r="P104" s="22">
        <f>NEOHAUS!O2</f>
        <v>45887</v>
      </c>
      <c r="Q104" s="22">
        <f>NEOHAUS!P2</f>
        <v>45894</v>
      </c>
      <c r="R104" s="22">
        <f>NEOHAUS!Q2</f>
        <v>45915</v>
      </c>
      <c r="S104" s="22">
        <f>NEOHAUS!R2</f>
        <v>45922</v>
      </c>
      <c r="T104" s="22">
        <f>NEOHAUS!S2</f>
        <v>45929</v>
      </c>
      <c r="U104" s="22">
        <f>NEOHAUS!T2</f>
        <v>45936</v>
      </c>
      <c r="V104" s="22">
        <f>NEOHAUS!U2</f>
        <v>45943</v>
      </c>
      <c r="W104" s="22">
        <f>NEOHAUS!V2</f>
        <v>45950</v>
      </c>
      <c r="X104" s="22">
        <f>NEOHAUS!W2</f>
        <v>45957</v>
      </c>
      <c r="Y104" s="22">
        <f>NEOHAUS!X2</f>
        <v>45964</v>
      </c>
      <c r="Z104" s="22">
        <f>NEOHAUS!Y2</f>
        <v>45971</v>
      </c>
      <c r="AA104" s="22">
        <f>NEOHAUS!Z2</f>
        <v>45978</v>
      </c>
      <c r="AB104" s="22">
        <f>NEOHAUS!AA2</f>
        <v>45981</v>
      </c>
      <c r="AC104" s="22">
        <f>NEOHAUS!AB2</f>
        <v>45985</v>
      </c>
      <c r="AD104" s="22">
        <f>NEOHAUS!AC2</f>
        <v>45987</v>
      </c>
      <c r="AE104" s="22">
        <f>NEOHAUS!AD2</f>
        <v>45988</v>
      </c>
      <c r="AF104" s="22">
        <f>NEOHAUS!AE2</f>
        <v>45993</v>
      </c>
      <c r="AG104" s="22">
        <f>NEOHAUS!AF2</f>
        <v>45996</v>
      </c>
      <c r="AH104" s="22">
        <f>NEOHAUS!AG2</f>
        <v>46000</v>
      </c>
      <c r="AI104" s="22">
        <f>NEOHAUS!AH2</f>
        <v>46006</v>
      </c>
      <c r="AJ104" s="22">
        <f>NEOHAUS!AI2</f>
        <v>46013</v>
      </c>
      <c r="AK104" s="22">
        <f>NEOHAUS!AJ2</f>
        <v>46020</v>
      </c>
      <c r="AL104" s="22">
        <f>NEOHAUS!AK2</f>
        <v>46027</v>
      </c>
      <c r="AM104" s="22">
        <f>NEOHAUS!AL2</f>
        <v>46030</v>
      </c>
      <c r="AN104" s="22">
        <f>NEOHAUS!AM2</f>
        <v>46034</v>
      </c>
      <c r="AO104" s="22">
        <f>NEOHAUS!AN2</f>
        <v>46037</v>
      </c>
      <c r="AP104" s="22">
        <f>NEOHAUS!AO2</f>
        <v>46041</v>
      </c>
      <c r="AQ104" s="22">
        <f>NEOHAUS!AP2</f>
        <v>46051</v>
      </c>
      <c r="AR104" s="22">
        <f>NEOHAUS!AQ2</f>
        <v>46055</v>
      </c>
      <c r="AS104" s="22">
        <f>NEOHAUS!AR2</f>
        <v>46065</v>
      </c>
      <c r="AT104" s="22">
        <f>NEOHAUS!AS2</f>
        <v>46069</v>
      </c>
      <c r="AU104" s="22">
        <f>NEOHAUS!AT2</f>
        <v>46072</v>
      </c>
      <c r="AV104" s="22">
        <f>NEOHAUS!AU2</f>
        <v>46076</v>
      </c>
      <c r="AW104" s="22">
        <f>NEOHAUS!AV2</f>
        <v>46079</v>
      </c>
      <c r="AX104" s="22">
        <f>NEOHAUS!AW2</f>
        <v>46083</v>
      </c>
      <c r="AY104" s="22">
        <f>NEOHAUS!AX2</f>
        <v>46086</v>
      </c>
      <c r="AZ104" s="22">
        <f>NEOHAUS!AY2</f>
        <v>46090</v>
      </c>
      <c r="BA104" s="22">
        <f>NEOHAUS!AZ2</f>
        <v>46091</v>
      </c>
      <c r="BB104" s="22">
        <f>NEOHAUS!BA2</f>
        <v>46093</v>
      </c>
      <c r="BC104" s="22">
        <f>NEOHAUS!BB2</f>
        <v>46097</v>
      </c>
      <c r="BD104" s="22">
        <f>NEOHAUS!BC2</f>
        <v>46100</v>
      </c>
      <c r="BE104" s="22">
        <f>NEOHAUS!BD2</f>
        <v>46104</v>
      </c>
      <c r="BF104" s="2" t="str">
        <f>NEOHAUS!BE2</f>
        <v/>
      </c>
      <c r="BG104" s="2" t="str">
        <f>NEOHAUS!BF2</f>
        <v/>
      </c>
      <c r="BH104" s="2" t="str">
        <f>NEOHAUS!BG2</f>
        <v/>
      </c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</row>
    <row r="105">
      <c r="A105" s="2"/>
      <c r="B105" s="2" t="str">
        <f>NEOHAUS!A3</f>
        <v>Sede</v>
      </c>
      <c r="C105" s="2" t="str">
        <f>NEOHAUS!B3</f>
        <v>Proveedor</v>
      </c>
      <c r="D105" s="2" t="str">
        <f>NEOHAUS!C3</f>
        <v>Producto</v>
      </c>
      <c r="E105" s="2" t="str">
        <f>NEOHAUS!D3</f>
        <v>Stock Actual</v>
      </c>
      <c r="F105" s="2" t="str">
        <f>NEOHAUS!E3</f>
        <v>Stock Actual</v>
      </c>
      <c r="G105" s="2" t="str">
        <f>NEOHAUS!F3</f>
        <v>Stock Actual</v>
      </c>
      <c r="H105" s="2" t="str">
        <f>NEOHAUS!G3</f>
        <v>Stock Actual</v>
      </c>
      <c r="I105" s="2" t="str">
        <f>NEOHAUS!H3</f>
        <v>Stock Actual</v>
      </c>
      <c r="J105" s="2" t="str">
        <f>NEOHAUS!I3</f>
        <v>Stock Actual</v>
      </c>
      <c r="K105" s="2" t="str">
        <f>NEOHAUS!J3</f>
        <v>Stock Actual</v>
      </c>
      <c r="L105" s="2" t="str">
        <f>NEOHAUS!K3</f>
        <v>Stock Actual</v>
      </c>
      <c r="M105" s="2" t="str">
        <f>NEOHAUS!L3</f>
        <v>Stock Actual</v>
      </c>
      <c r="N105" s="2" t="str">
        <f>NEOHAUS!M3</f>
        <v>Stock Actual</v>
      </c>
      <c r="O105" s="2" t="str">
        <f>NEOHAUS!N3</f>
        <v>Stock Actual</v>
      </c>
      <c r="P105" s="2" t="str">
        <f>NEOHAUS!O3</f>
        <v>Stock Actual</v>
      </c>
      <c r="Q105" s="2" t="str">
        <f>NEOHAUS!P3</f>
        <v>Stock Actual</v>
      </c>
      <c r="R105" s="2" t="str">
        <f>NEOHAUS!Q3</f>
        <v>Stock Actual</v>
      </c>
      <c r="S105" s="2" t="str">
        <f>NEOHAUS!R3</f>
        <v>Stock Actual</v>
      </c>
      <c r="T105" s="2" t="str">
        <f>NEOHAUS!S3</f>
        <v>Stock Actual</v>
      </c>
      <c r="U105" s="2" t="str">
        <f>NEOHAUS!T3</f>
        <v>Stock Actual</v>
      </c>
      <c r="V105" s="2" t="str">
        <f>NEOHAUS!U3</f>
        <v>Stock Actual</v>
      </c>
      <c r="W105" s="2" t="str">
        <f>NEOHAUS!V3</f>
        <v>Stock Actual</v>
      </c>
      <c r="X105" s="2" t="str">
        <f>NEOHAUS!W3</f>
        <v>Stock Actual</v>
      </c>
      <c r="Y105" s="2" t="str">
        <f>NEOHAUS!X3</f>
        <v>Stock Actual</v>
      </c>
      <c r="Z105" s="2" t="str">
        <f>NEOHAUS!Y3</f>
        <v>Stock Actual</v>
      </c>
      <c r="AA105" s="2" t="str">
        <f>NEOHAUS!Z3</f>
        <v>Stock Actual</v>
      </c>
      <c r="AB105" s="2" t="str">
        <f>NEOHAUS!AA3</f>
        <v>Stock Actual</v>
      </c>
      <c r="AC105" s="2" t="str">
        <f>NEOHAUS!AB3</f>
        <v>Stock Actual</v>
      </c>
      <c r="AD105" s="2" t="str">
        <f>NEOHAUS!AC3</f>
        <v>Stock Actual</v>
      </c>
      <c r="AE105" s="2" t="str">
        <f>NEOHAUS!AD3</f>
        <v>Stock Actual</v>
      </c>
      <c r="AF105" s="2" t="str">
        <f>NEOHAUS!AE3</f>
        <v>Stock Actual</v>
      </c>
      <c r="AG105" s="2" t="str">
        <f>NEOHAUS!AF3</f>
        <v>Stock Actual</v>
      </c>
      <c r="AH105" s="2" t="str">
        <f>NEOHAUS!AG3</f>
        <v>Stock Actual</v>
      </c>
      <c r="AI105" s="2" t="str">
        <f>NEOHAUS!AH3</f>
        <v>Stock Actual</v>
      </c>
      <c r="AJ105" s="2" t="str">
        <f>NEOHAUS!AI3</f>
        <v>Stock Actual</v>
      </c>
      <c r="AK105" s="2" t="str">
        <f>NEOHAUS!AJ3</f>
        <v>Stock Actual</v>
      </c>
      <c r="AL105" s="2" t="str">
        <f>NEOHAUS!AK3</f>
        <v>Stock Actual</v>
      </c>
      <c r="AM105" s="2" t="str">
        <f>NEOHAUS!AL3</f>
        <v>Stock Actual</v>
      </c>
      <c r="AN105" s="2" t="str">
        <f>NEOHAUS!AM3</f>
        <v>Stock Actual</v>
      </c>
      <c r="AO105" s="2" t="str">
        <f>NEOHAUS!AN3</f>
        <v>Stock Actual</v>
      </c>
      <c r="AP105" s="2" t="str">
        <f>NEOHAUS!AO3</f>
        <v>Stock Actual</v>
      </c>
      <c r="AQ105" s="2" t="str">
        <f>NEOHAUS!AP3</f>
        <v>Stock Actual</v>
      </c>
      <c r="AR105" s="2" t="str">
        <f>NEOHAUS!AQ3</f>
        <v>Stock Actual</v>
      </c>
      <c r="AS105" s="2" t="str">
        <f>NEOHAUS!AR3</f>
        <v>Stock Actual</v>
      </c>
      <c r="AT105" s="2" t="str">
        <f>NEOHAUS!AS3</f>
        <v>Stock Actual</v>
      </c>
      <c r="AU105" s="2" t="str">
        <f>NEOHAUS!AT3</f>
        <v>Stock Actual</v>
      </c>
      <c r="AV105" s="2" t="str">
        <f>NEOHAUS!AU3</f>
        <v>Stock Actual</v>
      </c>
      <c r="AW105" s="2" t="str">
        <f>NEOHAUS!AV3</f>
        <v>Stock Actual</v>
      </c>
      <c r="AX105" s="2" t="str">
        <f>NEOHAUS!AW3</f>
        <v>Stock Actual</v>
      </c>
      <c r="AY105" s="2" t="str">
        <f>NEOHAUS!AX3</f>
        <v>Stock Actual</v>
      </c>
      <c r="AZ105" s="2" t="str">
        <f>NEOHAUS!AY3</f>
        <v>Stock Actual</v>
      </c>
      <c r="BA105" s="2" t="str">
        <f>NEOHAUS!AZ3</f>
        <v>Stock Actual</v>
      </c>
      <c r="BB105" s="2" t="str">
        <f>NEOHAUS!BA3</f>
        <v>Stock Actual</v>
      </c>
      <c r="BC105" s="2" t="str">
        <f>NEOHAUS!BB3</f>
        <v>Stock Actual</v>
      </c>
      <c r="BD105" s="2" t="str">
        <f>NEOHAUS!BC3</f>
        <v>Stock Actual</v>
      </c>
      <c r="BE105" s="2" t="str">
        <f>NEOHAUS!BD3</f>
        <v>Stock Actual</v>
      </c>
      <c r="BF105" s="2" t="str">
        <f>NEOHAUS!BE3</f>
        <v/>
      </c>
      <c r="BG105" s="2" t="str">
        <f>NEOHAUS!BF3</f>
        <v/>
      </c>
      <c r="BH105" s="2" t="str">
        <f>NEOHAUS!BG3</f>
        <v/>
      </c>
      <c r="BI105" s="2" t="str">
        <f>NEOHAUS!BH3</f>
        <v/>
      </c>
      <c r="BJ105" s="2" t="str">
        <f>NEOHAUS!BI3</f>
        <v/>
      </c>
      <c r="BK105" s="2" t="str">
        <f>NEOHAUS!BJ3</f>
        <v/>
      </c>
      <c r="BL105" s="2" t="str">
        <f>NEOHAUS!BK3</f>
        <v/>
      </c>
      <c r="BM105" s="2" t="str">
        <f>NEOHAUS!BL3</f>
        <v/>
      </c>
      <c r="BN105" s="2" t="str">
        <f>NEOHAUS!BM3</f>
        <v/>
      </c>
      <c r="BO105" s="2" t="str">
        <f>NEOHAUS!BN3</f>
        <v/>
      </c>
      <c r="BP105" s="2" t="str">
        <f>NEOHAUS!BO3</f>
        <v/>
      </c>
      <c r="BQ105" s="2"/>
      <c r="BR105" s="2"/>
      <c r="BS105" s="2"/>
      <c r="BT105" s="2"/>
      <c r="BU105" s="2"/>
      <c r="BV105" s="2"/>
      <c r="BW105" s="2"/>
    </row>
    <row r="106">
      <c r="A106" s="2"/>
      <c r="B106" s="2" t="str">
        <f>NEOHAUS!A4</f>
        <v>Neohaus</v>
      </c>
      <c r="C106" s="2" t="str">
        <f>NEOHAUS!B4</f>
        <v>Corporate Coffe</v>
      </c>
      <c r="D106" s="2" t="str">
        <f>NEOHAUS!C4</f>
        <v>Cafe Grano (KG)</v>
      </c>
      <c r="E106" s="2" t="str">
        <f>NEOHAUS!D4</f>
        <v>1 KG</v>
      </c>
      <c r="F106" s="2" t="str">
        <f>NEOHAUS!E4</f>
        <v>1 KG</v>
      </c>
      <c r="G106" s="2" t="str">
        <f>NEOHAUS!F4</f>
        <v>1 KG</v>
      </c>
      <c r="H106" s="2" t="str">
        <f>NEOHAUS!G4</f>
        <v>1 KG</v>
      </c>
      <c r="I106" s="2">
        <f>NEOHAUS!H4</f>
        <v>0</v>
      </c>
      <c r="J106" s="2" t="str">
        <f>NEOHAUS!I4</f>
        <v>1 KG</v>
      </c>
      <c r="K106" s="2" t="str">
        <f>NEOHAUS!J4</f>
        <v>1 KG</v>
      </c>
      <c r="L106" s="2" t="str">
        <f>NEOHAUS!K4</f>
        <v>1 KG</v>
      </c>
      <c r="M106" s="2" t="str">
        <f>NEOHAUS!L4</f>
        <v>1 KG</v>
      </c>
      <c r="N106" s="2" t="str">
        <f>NEOHAUS!M4</f>
        <v>1 kg</v>
      </c>
      <c r="O106" s="2">
        <f>NEOHAUS!N4</f>
        <v>0</v>
      </c>
      <c r="P106" s="2">
        <f>NEOHAUS!O4</f>
        <v>0</v>
      </c>
      <c r="Q106" s="2">
        <f>NEOHAUS!P4</f>
        <v>0</v>
      </c>
      <c r="R106" s="2">
        <f>NEOHAUS!Q4</f>
        <v>0</v>
      </c>
      <c r="S106" s="2">
        <f>NEOHAUS!R4</f>
        <v>0</v>
      </c>
      <c r="T106" s="2">
        <f>NEOHAUS!S4</f>
        <v>2</v>
      </c>
      <c r="U106" s="2">
        <f>NEOHAUS!T4</f>
        <v>0</v>
      </c>
      <c r="V106" s="2">
        <f>NEOHAUS!U4</f>
        <v>0</v>
      </c>
      <c r="W106" s="2">
        <f>NEOHAUS!V4</f>
        <v>0</v>
      </c>
      <c r="X106" s="2">
        <f>NEOHAUS!W4</f>
        <v>0</v>
      </c>
      <c r="Y106" s="2">
        <f>NEOHAUS!X4</f>
        <v>1</v>
      </c>
      <c r="Z106" s="2">
        <f>NEOHAUS!Y4</f>
        <v>1</v>
      </c>
      <c r="AA106" s="2" t="str">
        <f>NEOHAUS!Z4</f>
        <v>1 kilo</v>
      </c>
      <c r="AB106" s="2" t="str">
        <f>NEOHAUS!AA4</f>
        <v/>
      </c>
      <c r="AC106" s="2" t="str">
        <f>NEOHAUS!AB4</f>
        <v>1 kilo</v>
      </c>
      <c r="AD106" s="2" t="str">
        <f>NEOHAUS!AC4</f>
        <v>3 kilos</v>
      </c>
      <c r="AE106" s="2" t="str">
        <f>NEOHAUS!AD4</f>
        <v>2 kilos</v>
      </c>
      <c r="AF106" s="2" t="str">
        <f>NEOHAUS!AE4</f>
        <v>Sin stock</v>
      </c>
      <c r="AG106" s="2" t="str">
        <f>NEOHAUS!AF4</f>
        <v>2 kilos</v>
      </c>
      <c r="AH106" s="2" t="str">
        <f>NEOHAUS!AG4</f>
        <v>1 kilo</v>
      </c>
      <c r="AI106" s="2" t="str">
        <f>NEOHAUS!AH4</f>
        <v>sin stock</v>
      </c>
      <c r="AJ106" s="2" t="str">
        <f>NEOHAUS!AI4</f>
        <v>1 kilo</v>
      </c>
      <c r="AK106" s="2" t="str">
        <f>NEOHAUS!AJ4</f>
        <v>1 kilo</v>
      </c>
      <c r="AL106" s="2" t="str">
        <f>NEOHAUS!AK4</f>
        <v>sin stock</v>
      </c>
      <c r="AM106" s="2" t="str">
        <f>NEOHAUS!AL4</f>
        <v>1 kilo</v>
      </c>
      <c r="AN106" s="2" t="str">
        <f>NEOHAUS!AM4</f>
        <v>sin stock</v>
      </c>
      <c r="AO106" s="2" t="str">
        <f>NEOHAUS!AN4</f>
        <v>1 kilo</v>
      </c>
      <c r="AP106" s="2" t="str">
        <f>NEOHAUS!AO4</f>
        <v>sin stock</v>
      </c>
      <c r="AQ106" s="2" t="str">
        <f>NEOHAUS!AP4</f>
        <v>sin stock</v>
      </c>
      <c r="AR106" s="2" t="str">
        <f>NEOHAUS!AQ4</f>
        <v>2 kilos</v>
      </c>
      <c r="AS106" s="2" t="str">
        <f>NEOHAUS!AR4</f>
        <v>1 kilo</v>
      </c>
      <c r="AT106" s="2" t="str">
        <f>NEOHAUS!AS4</f>
        <v>1 kilo</v>
      </c>
      <c r="AU106" s="2" t="str">
        <f>NEOHAUS!AT4</f>
        <v>1 kilo</v>
      </c>
      <c r="AV106" s="2" t="str">
        <f>NEOHAUS!AU4</f>
        <v>1 kilo</v>
      </c>
      <c r="AW106" s="2" t="str">
        <f>NEOHAUS!AV4</f>
        <v>sin stock</v>
      </c>
      <c r="AX106" s="2" t="str">
        <f>NEOHAUS!AW4</f>
        <v>sin stock</v>
      </c>
      <c r="AY106" s="2" t="str">
        <f>NEOHAUS!AX4</f>
        <v>2 kilos</v>
      </c>
      <c r="AZ106" s="2" t="str">
        <f>NEOHAUS!AY4</f>
        <v>1 kilo</v>
      </c>
      <c r="BA106" s="2" t="str">
        <f>NEOHAUS!AZ4</f>
        <v>1 kilo</v>
      </c>
      <c r="BB106" s="2" t="str">
        <f>NEOHAUS!BA4</f>
        <v>3 kilos</v>
      </c>
      <c r="BC106" s="2" t="str">
        <f>NEOHAUS!BB4</f>
        <v>1 kilo</v>
      </c>
      <c r="BD106" s="2" t="str">
        <f>NEOHAUS!BC4</f>
        <v>2 kilos</v>
      </c>
      <c r="BE106" s="2" t="str">
        <f>NEOHAUS!BD4</f>
        <v>1 kilos</v>
      </c>
      <c r="BF106" s="2" t="str">
        <f>NEOHAUS!BE4</f>
        <v/>
      </c>
      <c r="BG106" s="2" t="str">
        <f>NEOHAUS!BF4</f>
        <v/>
      </c>
      <c r="BH106" s="2" t="str">
        <f>NEOHAUS!BG4</f>
        <v/>
      </c>
      <c r="BI106" s="2" t="str">
        <f>NEOHAUS!BH4</f>
        <v/>
      </c>
      <c r="BJ106" s="2" t="str">
        <f>NEOHAUS!BI4</f>
        <v/>
      </c>
      <c r="BK106" s="2" t="str">
        <f>NEOHAUS!BJ4</f>
        <v/>
      </c>
      <c r="BL106" s="2" t="str">
        <f>NEOHAUS!BK4</f>
        <v/>
      </c>
      <c r="BM106" s="2" t="str">
        <f>NEOHAUS!BL4</f>
        <v/>
      </c>
      <c r="BN106" s="2" t="str">
        <f>NEOHAUS!BM4</f>
        <v/>
      </c>
      <c r="BO106" s="2" t="str">
        <f>NEOHAUS!BN4</f>
        <v/>
      </c>
      <c r="BP106" s="2" t="str">
        <f>NEOHAUS!BO4</f>
        <v/>
      </c>
      <c r="BQ106" s="2"/>
      <c r="BR106" s="2"/>
      <c r="BS106" s="2"/>
      <c r="BT106" s="2"/>
      <c r="BU106" s="2"/>
      <c r="BV106" s="2"/>
      <c r="BW106" s="2"/>
    </row>
    <row r="107">
      <c r="A107" s="2"/>
      <c r="B107" s="2" t="str">
        <f>NEOHAUS!A5</f>
        <v>Neohaus</v>
      </c>
      <c r="C107" s="2" t="str">
        <f>NEOHAUS!B5</f>
        <v>Cafeteria</v>
      </c>
      <c r="D107" s="2" t="str">
        <f>NEOHAUS!C5</f>
        <v>Toalla de Papel Jumbo (UN)</v>
      </c>
      <c r="E107" s="2" t="str">
        <f>NEOHAUS!D5</f>
        <v>8 paquetes</v>
      </c>
      <c r="F107" s="2" t="str">
        <f>NEOHAUS!E5</f>
        <v>4 paquetes</v>
      </c>
      <c r="G107" s="2" t="str">
        <f>NEOHAUS!F5</f>
        <v>3 paquetes</v>
      </c>
      <c r="H107" s="2" t="str">
        <f>NEOHAUS!G5</f>
        <v>1 paquete</v>
      </c>
      <c r="I107" s="2">
        <f>NEOHAUS!H5</f>
        <v>0</v>
      </c>
      <c r="J107" s="2" t="str">
        <f>NEOHAUS!I5</f>
        <v>8 paquetes</v>
      </c>
      <c r="K107" s="2" t="str">
        <f>NEOHAUS!J5</f>
        <v>4 paquetes</v>
      </c>
      <c r="L107" s="2" t="str">
        <f>NEOHAUS!K5</f>
        <v>2 paquetes</v>
      </c>
      <c r="M107" s="2" t="str">
        <f>NEOHAUS!L5</f>
        <v>5 paquetes</v>
      </c>
      <c r="N107" s="2" t="str">
        <f>NEOHAUS!M5</f>
        <v>4 paquetes</v>
      </c>
      <c r="O107" s="2">
        <f>NEOHAUS!N5</f>
        <v>0</v>
      </c>
      <c r="P107" s="2">
        <f>NEOHAUS!O5</f>
        <v>0</v>
      </c>
      <c r="Q107" s="2">
        <f>NEOHAUS!P5</f>
        <v>0</v>
      </c>
      <c r="R107" s="2">
        <f>NEOHAUS!Q5</f>
        <v>0</v>
      </c>
      <c r="S107" s="2">
        <f>NEOHAUS!R5</f>
        <v>0</v>
      </c>
      <c r="T107" s="2">
        <f>NEOHAUS!S5</f>
        <v>0</v>
      </c>
      <c r="U107" s="2">
        <f>NEOHAUS!T5</f>
        <v>0</v>
      </c>
      <c r="V107" s="2">
        <f>NEOHAUS!U5</f>
        <v>0</v>
      </c>
      <c r="W107" s="2">
        <f>NEOHAUS!V5</f>
        <v>0</v>
      </c>
      <c r="X107" s="2">
        <f>NEOHAUS!W5</f>
        <v>3</v>
      </c>
      <c r="Y107" s="2">
        <f>NEOHAUS!X5</f>
        <v>2</v>
      </c>
      <c r="Z107" s="2">
        <f>NEOHAUS!Y5</f>
        <v>2</v>
      </c>
      <c r="AA107" s="2">
        <f>NEOHAUS!Z5</f>
        <v>0</v>
      </c>
      <c r="AB107" s="2" t="str">
        <f>NEOHAUS!AA5</f>
        <v>Sin stock</v>
      </c>
      <c r="AC107" s="2" t="str">
        <f>NEOHAUS!AB5</f>
        <v>Sin stock</v>
      </c>
      <c r="AD107" s="2" t="str">
        <f>NEOHAUS!AC5</f>
        <v>Sin stock</v>
      </c>
      <c r="AE107" s="2" t="str">
        <f>NEOHAUS!AD5</f>
        <v>Sin stock</v>
      </c>
      <c r="AF107" s="2" t="str">
        <f>NEOHAUS!AE5</f>
        <v>6 paquetes</v>
      </c>
      <c r="AG107" s="2" t="str">
        <f>NEOHAUS!AF5</f>
        <v>3 paquetes</v>
      </c>
      <c r="AH107" s="2" t="str">
        <f>NEOHAUS!AG5</f>
        <v>2 paquetes</v>
      </c>
      <c r="AI107" s="2" t="str">
        <f>NEOHAUS!AH5</f>
        <v>1 paquetes</v>
      </c>
      <c r="AJ107" s="2" t="str">
        <f>NEOHAUS!AI5</f>
        <v>2 paquetes</v>
      </c>
      <c r="AK107" s="2" t="str">
        <f>NEOHAUS!AJ5</f>
        <v>4 paquetes</v>
      </c>
      <c r="AL107" s="2" t="str">
        <f>NEOHAUS!AK5</f>
        <v>3 paquetes</v>
      </c>
      <c r="AM107" s="2" t="str">
        <f>NEOHAUS!AL5</f>
        <v>2 paquetes</v>
      </c>
      <c r="AN107" s="2" t="str">
        <f>NEOHAUS!AM5</f>
        <v>1 paquete</v>
      </c>
      <c r="AO107" s="2" t="str">
        <f>NEOHAUS!AN5</f>
        <v>1 paquete</v>
      </c>
      <c r="AP107" s="2" t="str">
        <f>NEOHAUS!AO5</f>
        <v>sin stock</v>
      </c>
      <c r="AQ107" s="2" t="str">
        <f>NEOHAUS!AP5</f>
        <v>sin stock</v>
      </c>
      <c r="AR107" s="2" t="str">
        <f>NEOHAUS!AQ5</f>
        <v>3 paquetes</v>
      </c>
      <c r="AS107" s="2" t="str">
        <f>NEOHAUS!AR5</f>
        <v>2 paquetes</v>
      </c>
      <c r="AT107" s="2" t="str">
        <f>NEOHAUS!AS5</f>
        <v>2 paquetes</v>
      </c>
      <c r="AU107" s="2" t="str">
        <f>NEOHAUS!AT5</f>
        <v>2 paquetes</v>
      </c>
      <c r="AV107" s="2" t="str">
        <f>NEOHAUS!AU5</f>
        <v>sin stock</v>
      </c>
      <c r="AW107" s="2" t="str">
        <f>NEOHAUS!AV5</f>
        <v>sin stock</v>
      </c>
      <c r="AX107" s="2" t="str">
        <f>NEOHAUS!AW5</f>
        <v>sin stock</v>
      </c>
      <c r="AY107" s="2" t="str">
        <f>NEOHAUS!AX5</f>
        <v>sin stock</v>
      </c>
      <c r="AZ107" s="2" t="str">
        <f>NEOHAUS!AY5</f>
        <v>sin stock</v>
      </c>
      <c r="BA107" s="2" t="str">
        <f>NEOHAUS!AZ5</f>
        <v>6 paquetes</v>
      </c>
      <c r="BB107" s="2" t="str">
        <f>NEOHAUS!BA5</f>
        <v>3 paquetes</v>
      </c>
      <c r="BC107" s="2" t="str">
        <f>NEOHAUS!BB5</f>
        <v>sin stock</v>
      </c>
      <c r="BD107" s="2" t="str">
        <f>NEOHAUS!BC5</f>
        <v>sin stock</v>
      </c>
      <c r="BE107" s="2" t="str">
        <f>NEOHAUS!BD5</f>
        <v>sin stock</v>
      </c>
      <c r="BF107" s="2" t="str">
        <f>NEOHAUS!BE5</f>
        <v/>
      </c>
      <c r="BG107" s="2" t="str">
        <f>NEOHAUS!BF5</f>
        <v/>
      </c>
      <c r="BH107" s="2" t="str">
        <f>NEOHAUS!BG5</f>
        <v/>
      </c>
      <c r="BI107" s="2" t="str">
        <f>NEOHAUS!BH5</f>
        <v/>
      </c>
      <c r="BJ107" s="2" t="str">
        <f>NEOHAUS!BI5</f>
        <v/>
      </c>
      <c r="BK107" s="2" t="str">
        <f>NEOHAUS!BJ5</f>
        <v/>
      </c>
      <c r="BL107" s="2" t="str">
        <f>NEOHAUS!BK5</f>
        <v/>
      </c>
      <c r="BM107" s="2" t="str">
        <f>NEOHAUS!BL5</f>
        <v/>
      </c>
      <c r="BN107" s="2" t="str">
        <f>NEOHAUS!BM5</f>
        <v/>
      </c>
      <c r="BO107" s="2" t="str">
        <f>NEOHAUS!BN5</f>
        <v/>
      </c>
      <c r="BP107" s="2" t="str">
        <f>NEOHAUS!BO5</f>
        <v/>
      </c>
      <c r="BQ107" s="2"/>
      <c r="BR107" s="2"/>
      <c r="BS107" s="2"/>
      <c r="BT107" s="2"/>
      <c r="BU107" s="2"/>
      <c r="BV107" s="2"/>
      <c r="BW107" s="2"/>
    </row>
    <row r="108">
      <c r="A108" s="2"/>
      <c r="B108" s="2" t="str">
        <f>NEOHAUS!A6</f>
        <v>Neohaus</v>
      </c>
      <c r="C108" s="2" t="str">
        <f>NEOHAUS!B6</f>
        <v>Cafeteria</v>
      </c>
      <c r="D108" s="2" t="str">
        <f>NEOHAUS!C6</f>
        <v>Papel Higienico (UN)</v>
      </c>
      <c r="E108" s="2" t="str">
        <f>NEOHAUS!D6</f>
        <v>14 paquetes</v>
      </c>
      <c r="F108" s="2" t="str">
        <f>NEOHAUS!E6</f>
        <v>10 paquetes</v>
      </c>
      <c r="G108" s="2" t="str">
        <f>NEOHAUS!F6</f>
        <v>9 paquetes</v>
      </c>
      <c r="H108" s="2" t="str">
        <f>NEOHAUS!G6</f>
        <v>7 paquetes</v>
      </c>
      <c r="I108" s="2" t="str">
        <f>NEOHAUS!H6</f>
        <v>4 paquetes</v>
      </c>
      <c r="J108" s="2" t="str">
        <f>NEOHAUS!I6</f>
        <v>14 paquetes</v>
      </c>
      <c r="K108" s="2" t="str">
        <f>NEOHAUS!J6</f>
        <v>10 paquetes</v>
      </c>
      <c r="L108" s="2" t="str">
        <f>NEOHAUS!K6</f>
        <v>7 paquetes</v>
      </c>
      <c r="M108" s="2" t="str">
        <f>NEOHAUS!L6</f>
        <v>9 paquetes</v>
      </c>
      <c r="N108" s="2" t="str">
        <f>NEOHAUS!M6</f>
        <v>12 paquetes</v>
      </c>
      <c r="O108" s="2" t="str">
        <f>NEOHAUS!N6</f>
        <v>9 paquetes</v>
      </c>
      <c r="P108" s="2" t="str">
        <f>NEOHAUS!O6</f>
        <v>8 paquetes</v>
      </c>
      <c r="Q108" s="2" t="str">
        <f>NEOHAUS!P6</f>
        <v>6 paquetes</v>
      </c>
      <c r="R108" s="2" t="str">
        <f>NEOHAUS!Q6</f>
        <v>5 paquetes</v>
      </c>
      <c r="S108" s="2" t="str">
        <f>NEOHAUS!R6</f>
        <v>2 paquetes</v>
      </c>
      <c r="T108" s="2" t="str">
        <f>NEOHAUS!S6</f>
        <v>6 paquetes</v>
      </c>
      <c r="U108" s="2" t="str">
        <f>NEOHAUS!T6</f>
        <v>4 paquetes</v>
      </c>
      <c r="V108" s="2" t="str">
        <f>NEOHAUS!U6</f>
        <v>4 paquetes</v>
      </c>
      <c r="W108" s="2" t="str">
        <f>NEOHAUS!V6</f>
        <v>3 paquetes</v>
      </c>
      <c r="X108" s="2" t="str">
        <f>NEOHAUS!W6</f>
        <v>6 paquetes</v>
      </c>
      <c r="Y108" s="2" t="str">
        <f>NEOHAUS!X6</f>
        <v>5 paquetes</v>
      </c>
      <c r="Z108" s="2" t="str">
        <f>NEOHAUS!Y6</f>
        <v>5 paquetes</v>
      </c>
      <c r="AA108" s="2" t="str">
        <f>NEOHAUS!Z6</f>
        <v>3 paquetes</v>
      </c>
      <c r="AB108" s="2" t="str">
        <f>NEOHAUS!AA6</f>
        <v>3 paquetes</v>
      </c>
      <c r="AC108" s="2" t="str">
        <f>NEOHAUS!AB6</f>
        <v>3 paquetes</v>
      </c>
      <c r="AD108" s="2" t="str">
        <f>NEOHAUS!AC6</f>
        <v>2 paquetes</v>
      </c>
      <c r="AE108" s="2" t="str">
        <f>NEOHAUS!AD6</f>
        <v>2 paquetes</v>
      </c>
      <c r="AF108" s="2" t="str">
        <f>NEOHAUS!AE6</f>
        <v>4 paquetes</v>
      </c>
      <c r="AG108" s="2" t="str">
        <f>NEOHAUS!AF6</f>
        <v>6 paquetes</v>
      </c>
      <c r="AH108" s="2" t="str">
        <f>NEOHAUS!AG6</f>
        <v>4 paquetes</v>
      </c>
      <c r="AI108" s="2" t="str">
        <f>NEOHAUS!AH6</f>
        <v>2 paquetes</v>
      </c>
      <c r="AJ108" s="2" t="str">
        <f>NEOHAUS!AI6</f>
        <v>6 paquetes</v>
      </c>
      <c r="AK108" s="2" t="str">
        <f>NEOHAUS!AJ6</f>
        <v>9 paquetes</v>
      </c>
      <c r="AL108" s="2" t="str">
        <f>NEOHAUS!AK6</f>
        <v>6 paquetes</v>
      </c>
      <c r="AM108" s="2" t="str">
        <f>NEOHAUS!AL6</f>
        <v>6 paquetes</v>
      </c>
      <c r="AN108" s="2" t="str">
        <f>NEOHAUS!AM6</f>
        <v>6 paquetes</v>
      </c>
      <c r="AO108" s="2" t="str">
        <f>NEOHAUS!AN6</f>
        <v>6 paquetes</v>
      </c>
      <c r="AP108" s="2" t="str">
        <f>NEOHAUS!AO6</f>
        <v>4 unidades</v>
      </c>
      <c r="AQ108" s="2" t="str">
        <f>NEOHAUS!AP6</f>
        <v>4 unidades</v>
      </c>
      <c r="AR108" s="2" t="str">
        <f>NEOHAUS!AQ6</f>
        <v>6 paquetes</v>
      </c>
      <c r="AS108" s="2" t="str">
        <f>NEOHAUS!AR6</f>
        <v>4 paquetes</v>
      </c>
      <c r="AT108" s="2" t="str">
        <f>NEOHAUS!AS6</f>
        <v>sin stock</v>
      </c>
      <c r="AU108" s="2" t="str">
        <f>NEOHAUS!AT6</f>
        <v>sin stock</v>
      </c>
      <c r="AV108" s="2" t="str">
        <f>NEOHAUS!AU6</f>
        <v>sin stock</v>
      </c>
      <c r="AW108" s="2" t="str">
        <f>NEOHAUS!AV6</f>
        <v>sin stock</v>
      </c>
      <c r="AX108" s="2" t="str">
        <f>NEOHAUS!AW6</f>
        <v>sin stock</v>
      </c>
      <c r="AY108" s="2" t="str">
        <f>NEOHAUS!AX6</f>
        <v>sin stock</v>
      </c>
      <c r="AZ108" s="2" t="str">
        <f>NEOHAUS!AY6</f>
        <v>sin stock</v>
      </c>
      <c r="BA108" s="2" t="str">
        <f>NEOHAUS!AZ6</f>
        <v>6 paquetes</v>
      </c>
      <c r="BB108" s="2" t="str">
        <f>NEOHAUS!BA6</f>
        <v>6 paquetes</v>
      </c>
      <c r="BC108" s="2" t="str">
        <f>NEOHAUS!BB6</f>
        <v>6 paquetes</v>
      </c>
      <c r="BD108" s="2" t="str">
        <f>NEOHAUS!BC6</f>
        <v>6 paquetes</v>
      </c>
      <c r="BE108" s="2" t="str">
        <f>NEOHAUS!BD6</f>
        <v>4 paquetes</v>
      </c>
      <c r="BF108" s="2" t="str">
        <f>NEOHAUS!BE6</f>
        <v/>
      </c>
      <c r="BG108" s="2" t="str">
        <f>NEOHAUS!BF6</f>
        <v/>
      </c>
      <c r="BH108" s="2" t="str">
        <f>NEOHAUS!BG6</f>
        <v/>
      </c>
      <c r="BI108" s="2" t="str">
        <f>NEOHAUS!BH6</f>
        <v/>
      </c>
      <c r="BJ108" s="2" t="str">
        <f>NEOHAUS!BI6</f>
        <v/>
      </c>
      <c r="BK108" s="2" t="str">
        <f>NEOHAUS!BJ6</f>
        <v/>
      </c>
      <c r="BL108" s="2" t="str">
        <f>NEOHAUS!BK6</f>
        <v/>
      </c>
      <c r="BM108" s="2" t="str">
        <f>NEOHAUS!BL6</f>
        <v/>
      </c>
      <c r="BN108" s="2" t="str">
        <f>NEOHAUS!BM6</f>
        <v/>
      </c>
      <c r="BO108" s="2" t="str">
        <f>NEOHAUS!BN6</f>
        <v/>
      </c>
      <c r="BP108" s="2" t="str">
        <f>NEOHAUS!BO6</f>
        <v/>
      </c>
      <c r="BQ108" s="2"/>
      <c r="BR108" s="2"/>
      <c r="BS108" s="2"/>
      <c r="BT108" s="2"/>
      <c r="BU108" s="2"/>
      <c r="BV108" s="2"/>
      <c r="BW108" s="2"/>
    </row>
    <row r="109">
      <c r="A109" s="2"/>
      <c r="B109" s="2" t="str">
        <f>NEOHAUS!A7</f>
        <v>Neohaus</v>
      </c>
      <c r="C109" s="2" t="str">
        <f>NEOHAUS!B7</f>
        <v>Papelería</v>
      </c>
      <c r="D109" s="2" t="str">
        <f>NEOHAUS!C7</f>
        <v>Resma Papel Fotocopia (UN)</v>
      </c>
      <c r="E109" s="2">
        <f>NEOHAUS!D7</f>
        <v>2</v>
      </c>
      <c r="F109" s="2">
        <f>NEOHAUS!E7</f>
        <v>0</v>
      </c>
      <c r="G109" s="2">
        <f>NEOHAUS!F7</f>
        <v>0</v>
      </c>
      <c r="H109" s="2">
        <f>NEOHAUS!G7</f>
        <v>0</v>
      </c>
      <c r="I109" s="2">
        <f>NEOHAUS!H7</f>
        <v>0</v>
      </c>
      <c r="J109" s="2">
        <f>NEOHAUS!I7</f>
        <v>2</v>
      </c>
      <c r="K109" s="2">
        <f>NEOHAUS!J7</f>
        <v>0</v>
      </c>
      <c r="L109" s="2">
        <f>NEOHAUS!K7</f>
        <v>0</v>
      </c>
      <c r="M109" s="2">
        <f>NEOHAUS!L7</f>
        <v>3</v>
      </c>
      <c r="N109" s="2">
        <f>NEOHAUS!M7</f>
        <v>2</v>
      </c>
      <c r="O109" s="2">
        <f>NEOHAUS!N7</f>
        <v>0</v>
      </c>
      <c r="P109" s="2">
        <f>NEOHAUS!O7</f>
        <v>0</v>
      </c>
      <c r="Q109" s="2">
        <f>NEOHAUS!P7</f>
        <v>0</v>
      </c>
      <c r="R109" s="2">
        <f>NEOHAUS!Q7</f>
        <v>0</v>
      </c>
      <c r="S109" s="2">
        <f>NEOHAUS!R7</f>
        <v>0</v>
      </c>
      <c r="T109" s="2">
        <f>NEOHAUS!S7</f>
        <v>1</v>
      </c>
      <c r="U109" s="2">
        <f>NEOHAUS!T7</f>
        <v>0</v>
      </c>
      <c r="V109" s="2">
        <f>NEOHAUS!U7</f>
        <v>0</v>
      </c>
      <c r="W109" s="2">
        <f>NEOHAUS!V7</f>
        <v>0</v>
      </c>
      <c r="X109" s="2">
        <f>NEOHAUS!W7</f>
        <v>0</v>
      </c>
      <c r="Y109" s="2">
        <f>NEOHAUS!X7</f>
        <v>0</v>
      </c>
      <c r="Z109" s="2">
        <f>NEOHAUS!Y7</f>
        <v>0</v>
      </c>
      <c r="AA109" s="2">
        <f>NEOHAUS!Z7</f>
        <v>0</v>
      </c>
      <c r="AB109" s="2" t="str">
        <f>NEOHAUS!AA7</f>
        <v>Sin stock</v>
      </c>
      <c r="AC109" s="2" t="str">
        <f>NEOHAUS!AB7</f>
        <v>Sin stock</v>
      </c>
      <c r="AD109" s="2" t="str">
        <f>NEOHAUS!AC7</f>
        <v>Sin stock</v>
      </c>
      <c r="AE109" s="2" t="str">
        <f>NEOHAUS!AD7</f>
        <v>Sin stock</v>
      </c>
      <c r="AF109" s="2" t="str">
        <f>NEOHAUS!AE7</f>
        <v>4 paquetes</v>
      </c>
      <c r="AG109" s="2" t="str">
        <f>NEOHAUS!AF7</f>
        <v>1 paquetes</v>
      </c>
      <c r="AH109" s="2" t="str">
        <f>NEOHAUS!AG7</f>
        <v>sin stock</v>
      </c>
      <c r="AI109" s="2" t="str">
        <f>NEOHAUS!AH7</f>
        <v>sin stock</v>
      </c>
      <c r="AJ109" s="2" t="str">
        <f>NEOHAUS!AI7</f>
        <v>5 paquetes</v>
      </c>
      <c r="AK109" s="2" t="str">
        <f>NEOHAUS!AJ7</f>
        <v>1 paquete</v>
      </c>
      <c r="AL109" s="2" t="str">
        <f>NEOHAUS!AK7</f>
        <v>sin stock</v>
      </c>
      <c r="AM109" s="2" t="str">
        <f>NEOHAUS!AL7</f>
        <v>sin stock</v>
      </c>
      <c r="AN109" s="2" t="str">
        <f>NEOHAUS!AM7</f>
        <v>sin stock</v>
      </c>
      <c r="AO109" s="2" t="str">
        <f>NEOHAUS!AN7</f>
        <v>sin stock</v>
      </c>
      <c r="AP109" s="2" t="str">
        <f>NEOHAUS!AO7</f>
        <v>sin stock</v>
      </c>
      <c r="AQ109" s="2" t="str">
        <f>NEOHAUS!AP7</f>
        <v>sin stock</v>
      </c>
      <c r="AR109" s="2" t="str">
        <f>NEOHAUS!AQ7</f>
        <v>sin stock</v>
      </c>
      <c r="AS109" s="2" t="str">
        <f>NEOHAUS!AR7</f>
        <v>sin stock</v>
      </c>
      <c r="AT109" s="2" t="str">
        <f>NEOHAUS!AS7</f>
        <v>sin stock</v>
      </c>
      <c r="AU109" s="2" t="str">
        <f>NEOHAUS!AT7</f>
        <v>sin stock</v>
      </c>
      <c r="AV109" s="2" t="str">
        <f>NEOHAUS!AU7</f>
        <v>sin stock</v>
      </c>
      <c r="AW109" s="2" t="str">
        <f>NEOHAUS!AV7</f>
        <v>sin stock</v>
      </c>
      <c r="AX109" s="2" t="str">
        <f>NEOHAUS!AW7</f>
        <v>sin stock</v>
      </c>
      <c r="AY109" s="2" t="str">
        <f>NEOHAUS!AX7</f>
        <v>sin stock</v>
      </c>
      <c r="AZ109" s="2" t="str">
        <f>NEOHAUS!AY7</f>
        <v>sin stock</v>
      </c>
      <c r="BA109" s="2" t="str">
        <f>NEOHAUS!AZ7</f>
        <v>8 unidades</v>
      </c>
      <c r="BB109" s="2" t="str">
        <f>NEOHAUS!BA7</f>
        <v>5 unidades</v>
      </c>
      <c r="BC109" s="2" t="str">
        <f>NEOHAUS!BB7</f>
        <v>3 unidades</v>
      </c>
      <c r="BD109" s="2" t="str">
        <f>NEOHAUS!BC7</f>
        <v>3 unidades</v>
      </c>
      <c r="BE109" s="2" t="str">
        <f>NEOHAUS!BD7</f>
        <v>2 unidades</v>
      </c>
      <c r="BF109" s="2" t="str">
        <f>NEOHAUS!BE7</f>
        <v/>
      </c>
      <c r="BG109" s="2" t="str">
        <f>NEOHAUS!BF7</f>
        <v/>
      </c>
      <c r="BH109" s="2" t="str">
        <f>NEOHAUS!BG7</f>
        <v/>
      </c>
      <c r="BI109" s="2" t="str">
        <f>NEOHAUS!BH7</f>
        <v/>
      </c>
      <c r="BJ109" s="2" t="str">
        <f>NEOHAUS!BI7</f>
        <v/>
      </c>
      <c r="BK109" s="2" t="str">
        <f>NEOHAUS!BJ7</f>
        <v/>
      </c>
      <c r="BL109" s="2" t="str">
        <f>NEOHAUS!BK7</f>
        <v/>
      </c>
      <c r="BM109" s="2" t="str">
        <f>NEOHAUS!BL7</f>
        <v/>
      </c>
      <c r="BN109" s="2" t="str">
        <f>NEOHAUS!BM7</f>
        <v/>
      </c>
      <c r="BO109" s="2" t="str">
        <f>NEOHAUS!BN7</f>
        <v/>
      </c>
      <c r="BP109" s="2" t="str">
        <f>NEOHAUS!BO7</f>
        <v/>
      </c>
      <c r="BQ109" s="2"/>
      <c r="BR109" s="2"/>
      <c r="BS109" s="2"/>
      <c r="BT109" s="2"/>
      <c r="BU109" s="2"/>
      <c r="BV109" s="2"/>
      <c r="BW109" s="2"/>
    </row>
    <row r="110">
      <c r="A110" s="2"/>
      <c r="B110" s="2" t="str">
        <f>NEOHAUS!A8</f>
        <v>Neohaus</v>
      </c>
      <c r="C110" s="2" t="str">
        <f>NEOHAUS!B8</f>
        <v>Cafeteria</v>
      </c>
      <c r="D110" s="2" t="str">
        <f>NEOHAUS!C8</f>
        <v>Cafe Granulado</v>
      </c>
      <c r="E110" s="2" t="str">
        <f>NEOHAUS!D8</f>
        <v/>
      </c>
      <c r="F110" s="2" t="str">
        <f>NEOHAUS!E8</f>
        <v/>
      </c>
      <c r="G110" s="2" t="str">
        <f>NEOHAUS!F8</f>
        <v/>
      </c>
      <c r="H110" s="2" t="str">
        <f>NEOHAUS!G8</f>
        <v/>
      </c>
      <c r="I110" s="2" t="str">
        <f>NEOHAUS!H8</f>
        <v/>
      </c>
      <c r="J110" s="2" t="str">
        <f>NEOHAUS!I8</f>
        <v/>
      </c>
      <c r="K110" s="2" t="str">
        <f>NEOHAUS!J8</f>
        <v/>
      </c>
      <c r="L110" s="2" t="str">
        <f>NEOHAUS!K8</f>
        <v/>
      </c>
      <c r="M110" s="2" t="str">
        <f>NEOHAUS!L8</f>
        <v/>
      </c>
      <c r="N110" s="2" t="str">
        <f>NEOHAUS!M8</f>
        <v/>
      </c>
      <c r="O110" s="2" t="str">
        <f>NEOHAUS!N8</f>
        <v/>
      </c>
      <c r="P110" s="2" t="str">
        <f>NEOHAUS!O8</f>
        <v/>
      </c>
      <c r="Q110" s="2" t="str">
        <f>NEOHAUS!P8</f>
        <v/>
      </c>
      <c r="R110" s="2" t="str">
        <f>NEOHAUS!Q8</f>
        <v/>
      </c>
      <c r="S110" s="2" t="str">
        <f>NEOHAUS!R8</f>
        <v/>
      </c>
      <c r="T110" s="2" t="str">
        <f>NEOHAUS!S8</f>
        <v/>
      </c>
      <c r="U110" s="2" t="str">
        <f>NEOHAUS!T8</f>
        <v/>
      </c>
      <c r="V110" s="2" t="str">
        <f>NEOHAUS!U8</f>
        <v/>
      </c>
      <c r="W110" s="2" t="str">
        <f>NEOHAUS!V8</f>
        <v/>
      </c>
      <c r="X110" s="2" t="str">
        <f>NEOHAUS!W8</f>
        <v/>
      </c>
      <c r="Y110" s="2" t="str">
        <f>NEOHAUS!X8</f>
        <v/>
      </c>
      <c r="Z110" s="2" t="str">
        <f>NEOHAUS!Y8</f>
        <v/>
      </c>
      <c r="AA110" s="2" t="str">
        <f>NEOHAUS!Z8</f>
        <v/>
      </c>
      <c r="AB110" s="2" t="str">
        <f>NEOHAUS!AA8</f>
        <v/>
      </c>
      <c r="AC110" s="2" t="str">
        <f>NEOHAUS!AB8</f>
        <v/>
      </c>
      <c r="AD110" s="2" t="str">
        <f>NEOHAUS!AC8</f>
        <v/>
      </c>
      <c r="AE110" s="2" t="str">
        <f>NEOHAUS!AD8</f>
        <v/>
      </c>
      <c r="AF110" s="2" t="str">
        <f>NEOHAUS!AE8</f>
        <v/>
      </c>
      <c r="AG110" s="2" t="str">
        <f>NEOHAUS!AF8</f>
        <v/>
      </c>
      <c r="AH110" s="2" t="str">
        <f>NEOHAUS!AG8</f>
        <v/>
      </c>
      <c r="AI110" s="2" t="str">
        <f>NEOHAUS!AH8</f>
        <v/>
      </c>
      <c r="AJ110" s="2" t="str">
        <f>NEOHAUS!AI8</f>
        <v/>
      </c>
      <c r="AK110" s="2" t="str">
        <f>NEOHAUS!AJ8</f>
        <v/>
      </c>
      <c r="AL110" s="2" t="str">
        <f>NEOHAUS!AK8</f>
        <v/>
      </c>
      <c r="AM110" s="2" t="str">
        <f>NEOHAUS!AL8</f>
        <v/>
      </c>
      <c r="AN110" s="2" t="str">
        <f>NEOHAUS!AM8</f>
        <v/>
      </c>
      <c r="AO110" s="2" t="str">
        <f>NEOHAUS!AN8</f>
        <v/>
      </c>
      <c r="AP110" s="2" t="str">
        <f>NEOHAUS!AO8</f>
        <v/>
      </c>
      <c r="AQ110" s="2" t="str">
        <f>NEOHAUS!AP8</f>
        <v/>
      </c>
      <c r="AR110" s="2" t="str">
        <f>NEOHAUS!AQ8</f>
        <v/>
      </c>
      <c r="AS110" s="2" t="str">
        <f>NEOHAUS!AR8</f>
        <v/>
      </c>
      <c r="AT110" s="2" t="str">
        <f>NEOHAUS!AS8</f>
        <v/>
      </c>
      <c r="AU110" s="2" t="str">
        <f>NEOHAUS!AT8</f>
        <v/>
      </c>
      <c r="AV110" s="2" t="str">
        <f>NEOHAUS!AU8</f>
        <v/>
      </c>
      <c r="AW110" s="2" t="str">
        <f>NEOHAUS!AV8</f>
        <v/>
      </c>
      <c r="AX110" s="2" t="str">
        <f>NEOHAUS!AW8</f>
        <v/>
      </c>
      <c r="AY110" s="2" t="str">
        <f>NEOHAUS!AX8</f>
        <v/>
      </c>
      <c r="AZ110" s="2" t="str">
        <f>NEOHAUS!AY8</f>
        <v/>
      </c>
      <c r="BA110" s="2" t="str">
        <f>NEOHAUS!AZ8</f>
        <v/>
      </c>
      <c r="BB110" s="2" t="str">
        <f>NEOHAUS!BA8</f>
        <v/>
      </c>
      <c r="BC110" s="2" t="str">
        <f>NEOHAUS!BB8</f>
        <v>1 unidad</v>
      </c>
      <c r="BD110" s="2" t="str">
        <f>NEOHAUS!BC8</f>
        <v>1 unidad</v>
      </c>
      <c r="BE110" s="2" t="str">
        <f>NEOHAUS!BD8</f>
        <v>1 unidad</v>
      </c>
      <c r="BF110" s="2" t="str">
        <f>NEOHAUS!BE8</f>
        <v/>
      </c>
      <c r="BG110" s="2" t="str">
        <f>NEOHAUS!BF8</f>
        <v/>
      </c>
      <c r="BH110" s="2" t="str">
        <f>NEOHAUS!BG8</f>
        <v/>
      </c>
      <c r="BI110" s="2" t="str">
        <f>NEOHAUS!BH8</f>
        <v/>
      </c>
      <c r="BJ110" s="2" t="str">
        <f>NEOHAUS!BI8</f>
        <v/>
      </c>
      <c r="BK110" s="2" t="str">
        <f>NEOHAUS!BJ8</f>
        <v/>
      </c>
      <c r="BL110" s="2" t="str">
        <f>NEOHAUS!BK8</f>
        <v/>
      </c>
      <c r="BM110" s="2" t="str">
        <f>NEOHAUS!BL8</f>
        <v/>
      </c>
      <c r="BN110" s="2" t="str">
        <f>NEOHAUS!BM8</f>
        <v/>
      </c>
      <c r="BO110" s="2" t="str">
        <f>NEOHAUS!BN8</f>
        <v/>
      </c>
      <c r="BP110" s="2" t="str">
        <f>NEOHAUS!BO8</f>
        <v/>
      </c>
      <c r="BQ110" s="2"/>
      <c r="BR110" s="2"/>
      <c r="BS110" s="2"/>
      <c r="BT110" s="2"/>
      <c r="BU110" s="2"/>
      <c r="BV110" s="2"/>
      <c r="BW110" s="2"/>
    </row>
    <row r="111">
      <c r="A111" s="2"/>
      <c r="B111" s="2" t="str">
        <f>NEOHAUS!A9</f>
        <v>Neohaus</v>
      </c>
      <c r="C111" s="2" t="str">
        <f>NEOHAUS!B9</f>
        <v>Cafeteria</v>
      </c>
      <c r="D111" s="2" t="str">
        <f>NEOHAUS!C9</f>
        <v>Endulzante </v>
      </c>
      <c r="E111" s="2" t="str">
        <f>NEOHAUS!D9</f>
        <v/>
      </c>
      <c r="F111" s="2" t="str">
        <f>NEOHAUS!E9</f>
        <v/>
      </c>
      <c r="G111" s="2" t="str">
        <f>NEOHAUS!F9</f>
        <v/>
      </c>
      <c r="H111" s="2" t="str">
        <f>NEOHAUS!G9</f>
        <v/>
      </c>
      <c r="I111" s="2" t="str">
        <f>NEOHAUS!H9</f>
        <v/>
      </c>
      <c r="J111" s="2" t="str">
        <f>NEOHAUS!I9</f>
        <v/>
      </c>
      <c r="K111" s="2" t="str">
        <f>NEOHAUS!J9</f>
        <v/>
      </c>
      <c r="L111" s="2" t="str">
        <f>NEOHAUS!K9</f>
        <v/>
      </c>
      <c r="M111" s="2" t="str">
        <f>NEOHAUS!L9</f>
        <v/>
      </c>
      <c r="N111" s="2" t="str">
        <f>NEOHAUS!M9</f>
        <v/>
      </c>
      <c r="O111" s="2" t="str">
        <f>NEOHAUS!N9</f>
        <v/>
      </c>
      <c r="P111" s="2" t="str">
        <f>NEOHAUS!O9</f>
        <v/>
      </c>
      <c r="Q111" s="2" t="str">
        <f>NEOHAUS!P9</f>
        <v/>
      </c>
      <c r="R111" s="2" t="str">
        <f>NEOHAUS!Q9</f>
        <v/>
      </c>
      <c r="S111" s="2" t="str">
        <f>NEOHAUS!R9</f>
        <v/>
      </c>
      <c r="T111" s="2" t="str">
        <f>NEOHAUS!S9</f>
        <v/>
      </c>
      <c r="U111" s="2" t="str">
        <f>NEOHAUS!T9</f>
        <v/>
      </c>
      <c r="V111" s="2" t="str">
        <f>NEOHAUS!U9</f>
        <v/>
      </c>
      <c r="W111" s="2" t="str">
        <f>NEOHAUS!V9</f>
        <v/>
      </c>
      <c r="X111" s="2" t="str">
        <f>NEOHAUS!W9</f>
        <v/>
      </c>
      <c r="Y111" s="2" t="str">
        <f>NEOHAUS!X9</f>
        <v/>
      </c>
      <c r="Z111" s="2" t="str">
        <f>NEOHAUS!Y9</f>
        <v/>
      </c>
      <c r="AA111" s="2" t="str">
        <f>NEOHAUS!Z9</f>
        <v>3 paquetes</v>
      </c>
      <c r="AB111" s="2" t="str">
        <f>NEOHAUS!AA9</f>
        <v>2 paquetes</v>
      </c>
      <c r="AC111" s="2" t="str">
        <f>NEOHAUS!AB9</f>
        <v>1.5 paquetes</v>
      </c>
      <c r="AD111" s="2" t="str">
        <f>NEOHAUS!AC9</f>
        <v>2 paquetes</v>
      </c>
      <c r="AE111" s="2" t="str">
        <f>NEOHAUS!AD9</f>
        <v>2 paquetes</v>
      </c>
      <c r="AF111" s="2" t="str">
        <f>NEOHAUS!AE9</f>
        <v>1 unidad</v>
      </c>
      <c r="AG111" s="2" t="str">
        <f>NEOHAUS!AF9</f>
        <v>2 unidades</v>
      </c>
      <c r="AH111" s="2" t="str">
        <f>NEOHAUS!AG9</f>
        <v>1 unidad</v>
      </c>
      <c r="AI111" s="2" t="str">
        <f>NEOHAUS!AH9</f>
        <v>1 unidad</v>
      </c>
      <c r="AJ111" s="2" t="str">
        <f>NEOHAUS!AI9</f>
        <v>3 unidad</v>
      </c>
      <c r="AK111" s="2" t="str">
        <f>NEOHAUS!AJ9</f>
        <v>3 unidades</v>
      </c>
      <c r="AL111" s="2" t="str">
        <f>NEOHAUS!AK9</f>
        <v>3 unidades</v>
      </c>
      <c r="AM111" s="2" t="str">
        <f>NEOHAUS!AL9</f>
        <v>2 unidades</v>
      </c>
      <c r="AN111" s="2" t="str">
        <f>NEOHAUS!AM9</f>
        <v>2 unidades</v>
      </c>
      <c r="AO111" s="2" t="str">
        <f>NEOHAUS!AN9</f>
        <v>2 unidades</v>
      </c>
      <c r="AP111" s="2" t="str">
        <f>NEOHAUS!AO9</f>
        <v>2 unidades</v>
      </c>
      <c r="AQ111" s="2" t="str">
        <f>NEOHAUS!AP9</f>
        <v>3 unidades</v>
      </c>
      <c r="AR111" s="2" t="str">
        <f>NEOHAUS!AQ9</f>
        <v>3 unidades</v>
      </c>
      <c r="AS111" s="2" t="str">
        <f>NEOHAUS!AR9</f>
        <v>2 unidades</v>
      </c>
      <c r="AT111" s="2" t="str">
        <f>NEOHAUS!AS9</f>
        <v>2 unidades</v>
      </c>
      <c r="AU111" s="2" t="str">
        <f>NEOHAUS!AT9</f>
        <v>2 unidades</v>
      </c>
      <c r="AV111" s="2" t="str">
        <f>NEOHAUS!AU9</f>
        <v>2 unidades</v>
      </c>
      <c r="AW111" s="2" t="str">
        <f>NEOHAUS!AV9</f>
        <v>1 unidades</v>
      </c>
      <c r="AX111" s="2" t="str">
        <f>NEOHAUS!AW9</f>
        <v>1 unidades</v>
      </c>
      <c r="AY111" s="2" t="str">
        <f>NEOHAUS!AX9</f>
        <v>1 unidades</v>
      </c>
      <c r="AZ111" s="2" t="str">
        <f>NEOHAUS!AY9</f>
        <v>1 unidades</v>
      </c>
      <c r="BA111" s="2" t="str">
        <f>NEOHAUS!AZ9</f>
        <v>1 unidades</v>
      </c>
      <c r="BB111" s="2" t="str">
        <f>NEOHAUS!BA9</f>
        <v>1 unidad</v>
      </c>
      <c r="BC111" s="2" t="str">
        <f>NEOHAUS!BB9</f>
        <v>1 unidad</v>
      </c>
      <c r="BD111" s="2" t="str">
        <f>NEOHAUS!BC9</f>
        <v>1 unidad</v>
      </c>
      <c r="BE111" s="2" t="str">
        <f>NEOHAUS!BD9</f>
        <v>1 unidad</v>
      </c>
      <c r="BF111" s="2" t="str">
        <f>NEOHAUS!BE9</f>
        <v/>
      </c>
      <c r="BG111" s="2" t="str">
        <f>NEOHAUS!BF9</f>
        <v/>
      </c>
      <c r="BH111" s="2" t="str">
        <f>NEOHAUS!BG9</f>
        <v/>
      </c>
      <c r="BI111" s="2" t="str">
        <f>NEOHAUS!BH9</f>
        <v/>
      </c>
      <c r="BJ111" s="2" t="str">
        <f>NEOHAUS!BI9</f>
        <v/>
      </c>
      <c r="BK111" s="2" t="str">
        <f>NEOHAUS!BJ9</f>
        <v/>
      </c>
      <c r="BL111" s="2" t="str">
        <f>NEOHAUS!BK9</f>
        <v/>
      </c>
      <c r="BM111" s="2" t="str">
        <f>NEOHAUS!BL9</f>
        <v/>
      </c>
      <c r="BN111" s="2" t="str">
        <f>NEOHAUS!BM9</f>
        <v/>
      </c>
      <c r="BO111" s="2" t="str">
        <f>NEOHAUS!BN9</f>
        <v/>
      </c>
      <c r="BP111" s="2" t="str">
        <f>NEOHAUS!BO9</f>
        <v/>
      </c>
      <c r="BQ111" s="2"/>
      <c r="BR111" s="2"/>
      <c r="BS111" s="2"/>
      <c r="BT111" s="2"/>
      <c r="BU111" s="2"/>
      <c r="BV111" s="2"/>
      <c r="BW111" s="2"/>
    </row>
    <row r="112">
      <c r="A112" s="2"/>
      <c r="B112" s="2" t="str">
        <f>NEOHAUS!A10</f>
        <v>Neohaus</v>
      </c>
      <c r="C112" s="2" t="str">
        <f>NEOHAUS!B10</f>
        <v>Cafeteria</v>
      </c>
      <c r="D112" s="2" t="str">
        <f>NEOHAUS!C10</f>
        <v>Vasos de cartón </v>
      </c>
      <c r="E112" s="2" t="str">
        <f>NEOHAUS!D10</f>
        <v/>
      </c>
      <c r="F112" s="2" t="str">
        <f>NEOHAUS!E10</f>
        <v/>
      </c>
      <c r="G112" s="2" t="str">
        <f>NEOHAUS!F10</f>
        <v/>
      </c>
      <c r="H112" s="2" t="str">
        <f>NEOHAUS!G10</f>
        <v/>
      </c>
      <c r="I112" s="2" t="str">
        <f>NEOHAUS!H10</f>
        <v/>
      </c>
      <c r="J112" s="2" t="str">
        <f>NEOHAUS!I10</f>
        <v/>
      </c>
      <c r="K112" s="2" t="str">
        <f>NEOHAUS!J10</f>
        <v/>
      </c>
      <c r="L112" s="2" t="str">
        <f>NEOHAUS!K10</f>
        <v/>
      </c>
      <c r="M112" s="2" t="str">
        <f>NEOHAUS!L10</f>
        <v/>
      </c>
      <c r="N112" s="2" t="str">
        <f>NEOHAUS!M10</f>
        <v/>
      </c>
      <c r="O112" s="2" t="str">
        <f>NEOHAUS!N10</f>
        <v/>
      </c>
      <c r="P112" s="2" t="str">
        <f>NEOHAUS!O10</f>
        <v/>
      </c>
      <c r="Q112" s="2" t="str">
        <f>NEOHAUS!P10</f>
        <v/>
      </c>
      <c r="R112" s="2" t="str">
        <f>NEOHAUS!Q10</f>
        <v/>
      </c>
      <c r="S112" s="2" t="str">
        <f>NEOHAUS!R10</f>
        <v/>
      </c>
      <c r="T112" s="2" t="str">
        <f>NEOHAUS!S10</f>
        <v/>
      </c>
      <c r="U112" s="2" t="str">
        <f>NEOHAUS!T10</f>
        <v/>
      </c>
      <c r="V112" s="2" t="str">
        <f>NEOHAUS!U10</f>
        <v/>
      </c>
      <c r="W112" s="2" t="str">
        <f>NEOHAUS!V10</f>
        <v/>
      </c>
      <c r="X112" s="2" t="str">
        <f>NEOHAUS!W10</f>
        <v/>
      </c>
      <c r="Y112" s="2" t="str">
        <f>NEOHAUS!X10</f>
        <v/>
      </c>
      <c r="Z112" s="2" t="str">
        <f>NEOHAUS!Y10</f>
        <v/>
      </c>
      <c r="AA112" s="2" t="str">
        <f>NEOHAUS!Z10</f>
        <v/>
      </c>
      <c r="AB112" s="2" t="str">
        <f>NEOHAUS!AA10</f>
        <v/>
      </c>
      <c r="AC112" s="2" t="str">
        <f>NEOHAUS!AB10</f>
        <v/>
      </c>
      <c r="AD112" s="2" t="str">
        <f>NEOHAUS!AC10</f>
        <v/>
      </c>
      <c r="AE112" s="2" t="str">
        <f>NEOHAUS!AD10</f>
        <v/>
      </c>
      <c r="AF112" s="2" t="str">
        <f>NEOHAUS!AE10</f>
        <v>8 paquetes</v>
      </c>
      <c r="AG112" s="2" t="str">
        <f>NEOHAUS!AF10</f>
        <v>5 paquetes</v>
      </c>
      <c r="AH112" s="2" t="str">
        <f>NEOHAUS!AG10</f>
        <v>4 paquetes</v>
      </c>
      <c r="AI112" s="2" t="str">
        <f>NEOHAUS!AH10</f>
        <v>1 paquete</v>
      </c>
      <c r="AJ112" s="2" t="str">
        <f>NEOHAUS!AI10</f>
        <v>10 paquete</v>
      </c>
      <c r="AK112" s="2" t="str">
        <f>NEOHAUS!AJ10</f>
        <v>7 paquetes</v>
      </c>
      <c r="AL112" s="2" t="str">
        <f>NEOHAUS!AK10</f>
        <v>5 paquetes</v>
      </c>
      <c r="AM112" s="2" t="str">
        <f>NEOHAUS!AL10</f>
        <v>2 paquetes</v>
      </c>
      <c r="AN112" s="2" t="str">
        <f>NEOHAUS!AM10</f>
        <v>1 paquete</v>
      </c>
      <c r="AO112" s="2" t="str">
        <f>NEOHAUS!AN10</f>
        <v>sin stock</v>
      </c>
      <c r="AP112" s="2" t="str">
        <f>NEOHAUS!AO10</f>
        <v>sin stock</v>
      </c>
      <c r="AQ112" s="2" t="str">
        <f>NEOHAUS!AP10</f>
        <v>6 paquetes</v>
      </c>
      <c r="AR112" s="2" t="str">
        <f>NEOHAUS!AQ10</f>
        <v>5 paquetes</v>
      </c>
      <c r="AS112" s="2" t="str">
        <f>NEOHAUS!AR10</f>
        <v>2 paquetes</v>
      </c>
      <c r="AT112" s="2" t="str">
        <f>NEOHAUS!AS10</f>
        <v>1 paquete</v>
      </c>
      <c r="AU112" s="2" t="str">
        <f>NEOHAUS!AT10</f>
        <v>1 paquete</v>
      </c>
      <c r="AV112" s="2" t="str">
        <f>NEOHAUS!AU10</f>
        <v>sin stock</v>
      </c>
      <c r="AW112" s="2" t="str">
        <f>NEOHAUS!AV10</f>
        <v>sin stock</v>
      </c>
      <c r="AX112" s="2" t="str">
        <f>NEOHAUS!AW10</f>
        <v>sin stock</v>
      </c>
      <c r="AY112" s="2" t="str">
        <f>NEOHAUS!AX10</f>
        <v>sin stock</v>
      </c>
      <c r="AZ112" s="2" t="str">
        <f>NEOHAUS!AY10</f>
        <v>sin stock</v>
      </c>
      <c r="BA112" s="2" t="str">
        <f>NEOHAUS!AZ10</f>
        <v>8 paquetes</v>
      </c>
      <c r="BB112" s="2" t="str">
        <f>NEOHAUS!BA10</f>
        <v>5 paquetes</v>
      </c>
      <c r="BC112" s="2" t="str">
        <f>NEOHAUS!BB10</f>
        <v>3 paquetes</v>
      </c>
      <c r="BD112" s="2" t="str">
        <f>NEOHAUS!BC10</f>
        <v>3 paquetes</v>
      </c>
      <c r="BE112" s="2" t="str">
        <f>NEOHAUS!BD10</f>
        <v>sin stock</v>
      </c>
      <c r="BF112" s="2" t="str">
        <f>NEOHAUS!BE10</f>
        <v/>
      </c>
      <c r="BG112" s="2" t="str">
        <f>NEOHAUS!BF10</f>
        <v/>
      </c>
      <c r="BH112" s="2" t="str">
        <f>NEOHAUS!BG10</f>
        <v/>
      </c>
      <c r="BI112" s="2" t="str">
        <f>NEOHAUS!BH10</f>
        <v/>
      </c>
      <c r="BJ112" s="2" t="str">
        <f>NEOHAUS!BI10</f>
        <v/>
      </c>
      <c r="BK112" s="2" t="str">
        <f>NEOHAUS!BJ10</f>
        <v/>
      </c>
      <c r="BL112" s="2" t="str">
        <f>NEOHAUS!BK10</f>
        <v/>
      </c>
      <c r="BM112" s="2" t="str">
        <f>NEOHAUS!BL10</f>
        <v/>
      </c>
      <c r="BN112" s="2" t="str">
        <f>NEOHAUS!BM10</f>
        <v/>
      </c>
      <c r="BO112" s="2" t="str">
        <f>NEOHAUS!BN10</f>
        <v/>
      </c>
      <c r="BP112" s="2" t="str">
        <f>NEOHAUS!BO10</f>
        <v/>
      </c>
      <c r="BQ112" s="2"/>
      <c r="BR112" s="2"/>
      <c r="BS112" s="2"/>
      <c r="BT112" s="2"/>
      <c r="BU112" s="2"/>
      <c r="BV112" s="2"/>
      <c r="BW112" s="2"/>
    </row>
    <row r="113">
      <c r="A113" s="2"/>
      <c r="B113" s="2" t="str">
        <f>NEOHAUS!A11</f>
        <v>Neohaus</v>
      </c>
      <c r="C113" s="2" t="str">
        <f>NEOHAUS!B11</f>
        <v>Cafeteria</v>
      </c>
      <c r="D113" s="2" t="str">
        <f>NEOHAUS!C11</f>
        <v>Aceite de oliva </v>
      </c>
      <c r="E113" s="2" t="str">
        <f>NEOHAUS!D11</f>
        <v/>
      </c>
      <c r="F113" s="2" t="str">
        <f>NEOHAUS!E11</f>
        <v/>
      </c>
      <c r="G113" s="2" t="str">
        <f>NEOHAUS!F11</f>
        <v/>
      </c>
      <c r="H113" s="2" t="str">
        <f>NEOHAUS!G11</f>
        <v/>
      </c>
      <c r="I113" s="2" t="str">
        <f>NEOHAUS!H11</f>
        <v/>
      </c>
      <c r="J113" s="2" t="str">
        <f>NEOHAUS!I11</f>
        <v/>
      </c>
      <c r="K113" s="2" t="str">
        <f>NEOHAUS!J11</f>
        <v/>
      </c>
      <c r="L113" s="2" t="str">
        <f>NEOHAUS!K11</f>
        <v/>
      </c>
      <c r="M113" s="2" t="str">
        <f>NEOHAUS!L11</f>
        <v/>
      </c>
      <c r="N113" s="2" t="str">
        <f>NEOHAUS!M11</f>
        <v/>
      </c>
      <c r="O113" s="2" t="str">
        <f>NEOHAUS!N11</f>
        <v/>
      </c>
      <c r="P113" s="2" t="str">
        <f>NEOHAUS!O11</f>
        <v/>
      </c>
      <c r="Q113" s="2" t="str">
        <f>NEOHAUS!P11</f>
        <v/>
      </c>
      <c r="R113" s="2" t="str">
        <f>NEOHAUS!Q11</f>
        <v/>
      </c>
      <c r="S113" s="2" t="str">
        <f>NEOHAUS!R11</f>
        <v/>
      </c>
      <c r="T113" s="2" t="str">
        <f>NEOHAUS!S11</f>
        <v/>
      </c>
      <c r="U113" s="2" t="str">
        <f>NEOHAUS!T11</f>
        <v/>
      </c>
      <c r="V113" s="2" t="str">
        <f>NEOHAUS!U11</f>
        <v/>
      </c>
      <c r="W113" s="2" t="str">
        <f>NEOHAUS!V11</f>
        <v/>
      </c>
      <c r="X113" s="2" t="str">
        <f>NEOHAUS!W11</f>
        <v/>
      </c>
      <c r="Y113" s="2" t="str">
        <f>NEOHAUS!X11</f>
        <v/>
      </c>
      <c r="Z113" s="2" t="str">
        <f>NEOHAUS!Y11</f>
        <v/>
      </c>
      <c r="AA113" s="2" t="str">
        <f>NEOHAUS!Z11</f>
        <v>Sin stock</v>
      </c>
      <c r="AB113" s="2" t="str">
        <f>NEOHAUS!AA11</f>
        <v>Sin stock</v>
      </c>
      <c r="AC113" s="2" t="str">
        <f>NEOHAUS!AB11</f>
        <v>Sin stock</v>
      </c>
      <c r="AD113" s="2" t="str">
        <f>NEOHAUS!AC11</f>
        <v>Sin stock</v>
      </c>
      <c r="AE113" s="2" t="str">
        <f>NEOHAUS!AD11</f>
        <v>Sin stock</v>
      </c>
      <c r="AF113" s="2" t="str">
        <f>NEOHAUS!AE11</f>
        <v>Sin stock</v>
      </c>
      <c r="AG113" s="2" t="str">
        <f>NEOHAUS!AF11</f>
        <v>Sin stock</v>
      </c>
      <c r="AH113" s="2" t="str">
        <f>NEOHAUS!AG11</f>
        <v>Sin stock</v>
      </c>
      <c r="AI113" s="2" t="str">
        <f>NEOHAUS!AH11</f>
        <v>Sin stock</v>
      </c>
      <c r="AJ113" s="2" t="str">
        <f>NEOHAUS!AI11</f>
        <v>Sin stock</v>
      </c>
      <c r="AK113" s="2" t="str">
        <f>NEOHAUS!AJ11</f>
        <v>Sin stock</v>
      </c>
      <c r="AL113" s="2" t="str">
        <f>NEOHAUS!AK11</f>
        <v>Sin stock</v>
      </c>
      <c r="AM113" s="2" t="str">
        <f>NEOHAUS!AL11</f>
        <v>Sin stock</v>
      </c>
      <c r="AN113" s="2" t="str">
        <f>NEOHAUS!AM11</f>
        <v>Sin stock</v>
      </c>
      <c r="AO113" s="2" t="str">
        <f>NEOHAUS!AN11</f>
        <v>sin stock</v>
      </c>
      <c r="AP113" s="2" t="str">
        <f>NEOHAUS!AO11</f>
        <v>sin stock</v>
      </c>
      <c r="AQ113" s="2" t="str">
        <f>NEOHAUS!AP11</f>
        <v>2 unidades</v>
      </c>
      <c r="AR113" s="2" t="str">
        <f>NEOHAUS!AQ11</f>
        <v>Sin stock</v>
      </c>
      <c r="AS113" s="2" t="str">
        <f>NEOHAUS!AR11</f>
        <v>Sin stock</v>
      </c>
      <c r="AT113" s="2" t="str">
        <f>NEOHAUS!AS11</f>
        <v>Sin stock</v>
      </c>
      <c r="AU113" s="2" t="str">
        <f>NEOHAUS!AT11</f>
        <v>Sin stock</v>
      </c>
      <c r="AV113" s="2" t="str">
        <f>NEOHAUS!AU11</f>
        <v>Sin stock</v>
      </c>
      <c r="AW113" s="2" t="str">
        <f>NEOHAUS!AV11</f>
        <v>Sin stock</v>
      </c>
      <c r="AX113" s="2" t="str">
        <f>NEOHAUS!AW11</f>
        <v>Sin stock</v>
      </c>
      <c r="AY113" s="2" t="str">
        <f>NEOHAUS!AX11</f>
        <v>Sin stock</v>
      </c>
      <c r="AZ113" s="2" t="str">
        <f>NEOHAUS!AY11</f>
        <v>Sin stock</v>
      </c>
      <c r="BA113" s="2" t="str">
        <f>NEOHAUS!AZ11</f>
        <v>4 unidades</v>
      </c>
      <c r="BB113" s="2" t="str">
        <f>NEOHAUS!BA11</f>
        <v>3 unidades</v>
      </c>
      <c r="BC113" s="2" t="str">
        <f>NEOHAUS!BB11</f>
        <v>3 unidades</v>
      </c>
      <c r="BD113" s="2" t="str">
        <f>NEOHAUS!BC11</f>
        <v>3 unidades</v>
      </c>
      <c r="BE113" s="2" t="str">
        <f>NEOHAUS!BD11</f>
        <v>2 unidades</v>
      </c>
      <c r="BF113" s="2" t="str">
        <f>NEOHAUS!BE11</f>
        <v/>
      </c>
      <c r="BG113" s="2" t="str">
        <f>NEOHAUS!BF11</f>
        <v/>
      </c>
      <c r="BH113" s="2" t="str">
        <f>NEOHAUS!BG11</f>
        <v/>
      </c>
      <c r="BI113" s="2" t="str">
        <f>NEOHAUS!BH11</f>
        <v/>
      </c>
      <c r="BJ113" s="2" t="str">
        <f>NEOHAUS!BI11</f>
        <v/>
      </c>
      <c r="BK113" s="2" t="str">
        <f>NEOHAUS!BJ11</f>
        <v/>
      </c>
      <c r="BL113" s="2" t="str">
        <f>NEOHAUS!BK11</f>
        <v/>
      </c>
      <c r="BM113" s="2" t="str">
        <f>NEOHAUS!BL11</f>
        <v/>
      </c>
      <c r="BN113" s="2" t="str">
        <f>NEOHAUS!BM11</f>
        <v/>
      </c>
      <c r="BO113" s="2" t="str">
        <f>NEOHAUS!BN11</f>
        <v/>
      </c>
      <c r="BP113" s="2" t="str">
        <f>NEOHAUS!BO11</f>
        <v/>
      </c>
      <c r="BQ113" s="2"/>
      <c r="BR113" s="2"/>
      <c r="BS113" s="2"/>
      <c r="BT113" s="2"/>
      <c r="BU113" s="2"/>
      <c r="BV113" s="2"/>
      <c r="BW113" s="2"/>
    </row>
    <row r="114">
      <c r="A114" s="2"/>
      <c r="B114" s="2" t="str">
        <f>NEOHAUS!A12</f>
        <v>Neohaus</v>
      </c>
      <c r="C114" s="2" t="str">
        <f>NEOHAUS!B12</f>
        <v>Aseo</v>
      </c>
      <c r="D114" s="2" t="str">
        <f>NEOHAUS!C12</f>
        <v>Cloro Gel </v>
      </c>
      <c r="E114" s="2" t="str">
        <f>NEOHAUS!D12</f>
        <v/>
      </c>
      <c r="F114" s="2" t="str">
        <f>NEOHAUS!E12</f>
        <v/>
      </c>
      <c r="G114" s="2" t="str">
        <f>NEOHAUS!F12</f>
        <v/>
      </c>
      <c r="H114" s="2" t="str">
        <f>NEOHAUS!G12</f>
        <v/>
      </c>
      <c r="I114" s="2" t="str">
        <f>NEOHAUS!H12</f>
        <v/>
      </c>
      <c r="J114" s="2" t="str">
        <f>NEOHAUS!I12</f>
        <v/>
      </c>
      <c r="K114" s="2" t="str">
        <f>NEOHAUS!J12</f>
        <v/>
      </c>
      <c r="L114" s="2" t="str">
        <f>NEOHAUS!K12</f>
        <v/>
      </c>
      <c r="M114" s="2" t="str">
        <f>NEOHAUS!L12</f>
        <v/>
      </c>
      <c r="N114" s="2" t="str">
        <f>NEOHAUS!M12</f>
        <v/>
      </c>
      <c r="O114" s="2" t="str">
        <f>NEOHAUS!N12</f>
        <v/>
      </c>
      <c r="P114" s="2" t="str">
        <f>NEOHAUS!O12</f>
        <v/>
      </c>
      <c r="Q114" s="2" t="str">
        <f>NEOHAUS!P12</f>
        <v/>
      </c>
      <c r="R114" s="2" t="str">
        <f>NEOHAUS!Q12</f>
        <v/>
      </c>
      <c r="S114" s="2" t="str">
        <f>NEOHAUS!R12</f>
        <v/>
      </c>
      <c r="T114" s="2" t="str">
        <f>NEOHAUS!S12</f>
        <v/>
      </c>
      <c r="U114" s="2" t="str">
        <f>NEOHAUS!T12</f>
        <v>-</v>
      </c>
      <c r="V114" s="2" t="str">
        <f>NEOHAUS!U12</f>
        <v>-</v>
      </c>
      <c r="W114" s="2" t="str">
        <f>NEOHAUS!V12</f>
        <v>-</v>
      </c>
      <c r="X114" s="2" t="str">
        <f>NEOHAUS!W12</f>
        <v>-</v>
      </c>
      <c r="Y114" s="2" t="str">
        <f>NEOHAUS!X12</f>
        <v>-</v>
      </c>
      <c r="Z114" s="2" t="str">
        <f>NEOHAUS!Y12</f>
        <v>-</v>
      </c>
      <c r="AA114" s="2" t="str">
        <f>NEOHAUS!Z12</f>
        <v> 2 unidades</v>
      </c>
      <c r="AB114" s="2" t="str">
        <f>NEOHAUS!AA12</f>
        <v>1 unidad</v>
      </c>
      <c r="AC114" s="2" t="str">
        <f>NEOHAUS!AB12</f>
        <v>1 unidad</v>
      </c>
      <c r="AD114" s="2" t="str">
        <f>NEOHAUS!AC12</f>
        <v>1 unidad</v>
      </c>
      <c r="AE114" s="2" t="str">
        <f>NEOHAUS!AD12</f>
        <v>1 unidad</v>
      </c>
      <c r="AF114" s="2" t="str">
        <f>NEOHAUS!AE12</f>
        <v>1 bidón</v>
      </c>
      <c r="AG114" s="2" t="str">
        <f>NEOHAUS!AF12</f>
        <v>1 bidón</v>
      </c>
      <c r="AH114" s="2" t="str">
        <f>NEOHAUS!AG12</f>
        <v>1 bidón</v>
      </c>
      <c r="AI114" s="2" t="str">
        <f>NEOHAUS!AH12</f>
        <v>1 bidón</v>
      </c>
      <c r="AJ114" s="2" t="str">
        <f>NEOHAUS!AI12</f>
        <v>1 bidón</v>
      </c>
      <c r="AK114" s="2" t="str">
        <f>NEOHAUS!AJ12</f>
        <v>1 bidón</v>
      </c>
      <c r="AL114" s="2" t="str">
        <f>NEOHAUS!AK12</f>
        <v>1 bidón</v>
      </c>
      <c r="AM114" s="2" t="str">
        <f>NEOHAUS!AL12</f>
        <v>1 bidón</v>
      </c>
      <c r="AN114" s="2" t="str">
        <f>NEOHAUS!AM12</f>
        <v>1 bidón</v>
      </c>
      <c r="AO114" s="2" t="str">
        <f>NEOHAUS!AN12</f>
        <v>1 bidón</v>
      </c>
      <c r="AP114" s="2" t="str">
        <f>NEOHAUS!AO12</f>
        <v>1 bidón</v>
      </c>
      <c r="AQ114" s="2" t="str">
        <f>NEOHAUS!AP12</f>
        <v>1 bidón</v>
      </c>
      <c r="AR114" s="2" t="str">
        <f>NEOHAUS!AQ12</f>
        <v>1 bidón</v>
      </c>
      <c r="AS114" s="2" t="str">
        <f>NEOHAUS!AR12</f>
        <v>1 bidón</v>
      </c>
      <c r="AT114" s="2" t="str">
        <f>NEOHAUS!AS12</f>
        <v>1 bidón</v>
      </c>
      <c r="AU114" s="2" t="str">
        <f>NEOHAUS!AT12</f>
        <v>1 bidón</v>
      </c>
      <c r="AV114" s="2" t="str">
        <f>NEOHAUS!AU12</f>
        <v>1 bidón</v>
      </c>
      <c r="AW114" s="2" t="str">
        <f>NEOHAUS!AV12</f>
        <v>1 bidón</v>
      </c>
      <c r="AX114" s="2" t="str">
        <f>NEOHAUS!AW12</f>
        <v>1 bidón</v>
      </c>
      <c r="AY114" s="2" t="str">
        <f>NEOHAUS!AX12</f>
        <v>1 bidón</v>
      </c>
      <c r="AZ114" s="2" t="str">
        <f>NEOHAUS!AY12</f>
        <v>1 bidón</v>
      </c>
      <c r="BA114" s="2" t="str">
        <f>NEOHAUS!AZ12</f>
        <v>1 bidón</v>
      </c>
      <c r="BB114" s="2" t="str">
        <f>NEOHAUS!BA12</f>
        <v>1 bidón</v>
      </c>
      <c r="BC114" s="2" t="str">
        <f>NEOHAUS!BB12</f>
        <v>1 bidón</v>
      </c>
      <c r="BD114" s="2" t="str">
        <f>NEOHAUS!BC12</f>
        <v>1 bidón</v>
      </c>
      <c r="BE114" s="2" t="str">
        <f>NEOHAUS!BD12</f>
        <v>1 bidón</v>
      </c>
      <c r="BF114" s="2" t="str">
        <f>NEOHAUS!BE12</f>
        <v/>
      </c>
      <c r="BG114" s="2" t="str">
        <f>NEOHAUS!BF12</f>
        <v/>
      </c>
      <c r="BH114" s="2" t="str">
        <f>NEOHAUS!BG12</f>
        <v/>
      </c>
      <c r="BI114" s="2" t="str">
        <f>NEOHAUS!BH12</f>
        <v/>
      </c>
      <c r="BJ114" s="2" t="str">
        <f>NEOHAUS!BI12</f>
        <v/>
      </c>
      <c r="BK114" s="2" t="str">
        <f>NEOHAUS!BJ12</f>
        <v/>
      </c>
      <c r="BL114" s="2" t="str">
        <f>NEOHAUS!BK12</f>
        <v/>
      </c>
      <c r="BM114" s="2" t="str">
        <f>NEOHAUS!BL12</f>
        <v/>
      </c>
      <c r="BN114" s="2" t="str">
        <f>NEOHAUS!BM12</f>
        <v/>
      </c>
      <c r="BO114" s="2" t="str">
        <f>NEOHAUS!BN12</f>
        <v/>
      </c>
      <c r="BP114" s="2" t="str">
        <f>NEOHAUS!BO12</f>
        <v/>
      </c>
      <c r="BQ114" s="2"/>
      <c r="BR114" s="2"/>
      <c r="BS114" s="2"/>
      <c r="BT114" s="2"/>
      <c r="BU114" s="2"/>
      <c r="BV114" s="2"/>
      <c r="BW114" s="2"/>
    </row>
    <row r="115">
      <c r="A115" s="2"/>
      <c r="B115" s="2" t="str">
        <f>NEOHAUS!A13</f>
        <v>Neohaus</v>
      </c>
      <c r="C115" s="2" t="str">
        <f>NEOHAUS!B13</f>
        <v>Aseo</v>
      </c>
      <c r="D115" s="2" t="str">
        <f>NEOHAUS!C13</f>
        <v>Limpia Piso </v>
      </c>
      <c r="E115" s="2" t="str">
        <f>NEOHAUS!D13</f>
        <v/>
      </c>
      <c r="F115" s="2" t="str">
        <f>NEOHAUS!E13</f>
        <v/>
      </c>
      <c r="G115" s="2" t="str">
        <f>NEOHAUS!F13</f>
        <v/>
      </c>
      <c r="H115" s="2" t="str">
        <f>NEOHAUS!G13</f>
        <v/>
      </c>
      <c r="I115" s="2" t="str">
        <f>NEOHAUS!H13</f>
        <v/>
      </c>
      <c r="J115" s="2" t="str">
        <f>NEOHAUS!I13</f>
        <v/>
      </c>
      <c r="K115" s="2" t="str">
        <f>NEOHAUS!J13</f>
        <v/>
      </c>
      <c r="L115" s="2" t="str">
        <f>NEOHAUS!K13</f>
        <v/>
      </c>
      <c r="M115" s="2" t="str">
        <f>NEOHAUS!L13</f>
        <v/>
      </c>
      <c r="N115" s="2" t="str">
        <f>NEOHAUS!M13</f>
        <v/>
      </c>
      <c r="O115" s="2" t="str">
        <f>NEOHAUS!N13</f>
        <v/>
      </c>
      <c r="P115" s="2" t="str">
        <f>NEOHAUS!O13</f>
        <v/>
      </c>
      <c r="Q115" s="2" t="str">
        <f>NEOHAUS!P13</f>
        <v/>
      </c>
      <c r="R115" s="2" t="str">
        <f>NEOHAUS!Q13</f>
        <v/>
      </c>
      <c r="S115" s="2" t="str">
        <f>NEOHAUS!R13</f>
        <v/>
      </c>
      <c r="T115" s="2" t="str">
        <f>NEOHAUS!S13</f>
        <v/>
      </c>
      <c r="U115" s="2" t="str">
        <f>NEOHAUS!T13</f>
        <v>-</v>
      </c>
      <c r="V115" s="2" t="str">
        <f>NEOHAUS!U13</f>
        <v>-</v>
      </c>
      <c r="W115" s="2" t="str">
        <f>NEOHAUS!V13</f>
        <v>-</v>
      </c>
      <c r="X115" s="2" t="str">
        <f>NEOHAUS!W13</f>
        <v>-</v>
      </c>
      <c r="Y115" s="2" t="str">
        <f>NEOHAUS!X13</f>
        <v>-</v>
      </c>
      <c r="Z115" s="2" t="str">
        <f>NEOHAUS!Y13</f>
        <v>-</v>
      </c>
      <c r="AA115" s="2" t="str">
        <f>NEOHAUS!Z13</f>
        <v>medio bidón (2.5 litros)</v>
      </c>
      <c r="AB115" s="2" t="str">
        <f>NEOHAUS!AA13</f>
        <v>Sin stock</v>
      </c>
      <c r="AC115" s="2" t="str">
        <f>NEOHAUS!AB13</f>
        <v>Sin stock</v>
      </c>
      <c r="AD115" s="2" t="str">
        <f>NEOHAUS!AC13</f>
        <v>Sin stock</v>
      </c>
      <c r="AE115" s="2" t="str">
        <f>NEOHAUS!AD13</f>
        <v>Sin stock</v>
      </c>
      <c r="AF115" s="2" t="str">
        <f>NEOHAUS!AE13</f>
        <v>1 bidón</v>
      </c>
      <c r="AG115" s="2" t="str">
        <f>NEOHAUS!AF13</f>
        <v>1 bidón</v>
      </c>
      <c r="AH115" s="2" t="str">
        <f>NEOHAUS!AG13</f>
        <v>1 bidón</v>
      </c>
      <c r="AI115" s="2" t="str">
        <f>NEOHAUS!AH13</f>
        <v>1 bidón</v>
      </c>
      <c r="AJ115" s="2" t="str">
        <f>NEOHAUS!AI13</f>
        <v>2 bidones</v>
      </c>
      <c r="AK115" s="2" t="str">
        <f>NEOHAUS!AJ13</f>
        <v>2 bidones</v>
      </c>
      <c r="AL115" s="2" t="str">
        <f>NEOHAUS!AK13</f>
        <v>2 bidones</v>
      </c>
      <c r="AM115" s="2" t="str">
        <f>NEOHAUS!AL13</f>
        <v>1 bidón</v>
      </c>
      <c r="AN115" s="2" t="str">
        <f>NEOHAUS!AM13</f>
        <v>1 bidón</v>
      </c>
      <c r="AO115" s="2" t="str">
        <f>NEOHAUS!AN13</f>
        <v>1 bidón</v>
      </c>
      <c r="AP115" s="2" t="str">
        <f>NEOHAUS!AO13</f>
        <v>1 bidón</v>
      </c>
      <c r="AQ115" s="2" t="str">
        <f>NEOHAUS!AP13</f>
        <v>1 bidón</v>
      </c>
      <c r="AR115" s="2" t="str">
        <f>NEOHAUS!AQ13</f>
        <v>1 bidón</v>
      </c>
      <c r="AS115" s="2" t="str">
        <f>NEOHAUS!AR13</f>
        <v>1 bidón</v>
      </c>
      <c r="AT115" s="2" t="str">
        <f>NEOHAUS!AS13</f>
        <v>1 bidón</v>
      </c>
      <c r="AU115" s="2" t="str">
        <f>NEOHAUS!AT13</f>
        <v>1 bidón</v>
      </c>
      <c r="AV115" s="2" t="str">
        <f>NEOHAUS!AU13</f>
        <v>1 bidón</v>
      </c>
      <c r="AW115" s="2" t="str">
        <f>NEOHAUS!AV13</f>
        <v>1 bidón</v>
      </c>
      <c r="AX115" s="2" t="str">
        <f>NEOHAUS!AW13</f>
        <v>1 bidón</v>
      </c>
      <c r="AY115" s="2" t="str">
        <f>NEOHAUS!AX13</f>
        <v>1 bidón</v>
      </c>
      <c r="AZ115" s="2" t="str">
        <f>NEOHAUS!AY13</f>
        <v>1 bidón</v>
      </c>
      <c r="BA115" s="2" t="str">
        <f>NEOHAUS!AZ13</f>
        <v>1 bidón</v>
      </c>
      <c r="BB115" s="2" t="str">
        <f>NEOHAUS!BA13</f>
        <v>1 bidón</v>
      </c>
      <c r="BC115" s="2" t="str">
        <f>NEOHAUS!BB13</f>
        <v>1 bidón</v>
      </c>
      <c r="BD115" s="2" t="str">
        <f>NEOHAUS!BC13</f>
        <v>1 bidón</v>
      </c>
      <c r="BE115" s="2" t="str">
        <f>NEOHAUS!BD13</f>
        <v>1 bidón</v>
      </c>
      <c r="BF115" s="2" t="str">
        <f>NEOHAUS!BE13</f>
        <v/>
      </c>
      <c r="BG115" s="2" t="str">
        <f>NEOHAUS!BF13</f>
        <v/>
      </c>
      <c r="BH115" s="2" t="str">
        <f>NEOHAUS!BG13</f>
        <v/>
      </c>
      <c r="BI115" s="2" t="str">
        <f>NEOHAUS!BH13</f>
        <v/>
      </c>
      <c r="BJ115" s="2" t="str">
        <f>NEOHAUS!BI13</f>
        <v/>
      </c>
      <c r="BK115" s="2" t="str">
        <f>NEOHAUS!BJ13</f>
        <v/>
      </c>
      <c r="BL115" s="2" t="str">
        <f>NEOHAUS!BK13</f>
        <v/>
      </c>
      <c r="BM115" s="2" t="str">
        <f>NEOHAUS!BL13</f>
        <v/>
      </c>
      <c r="BN115" s="2" t="str">
        <f>NEOHAUS!BM13</f>
        <v/>
      </c>
      <c r="BO115" s="2" t="str">
        <f>NEOHAUS!BN13</f>
        <v/>
      </c>
      <c r="BP115" s="2" t="str">
        <f>NEOHAUS!BO13</f>
        <v/>
      </c>
      <c r="BQ115" s="2"/>
      <c r="BR115" s="2"/>
      <c r="BS115" s="2"/>
      <c r="BT115" s="2"/>
      <c r="BU115" s="2"/>
      <c r="BV115" s="2"/>
      <c r="BW115" s="2"/>
    </row>
    <row r="116">
      <c r="A116" s="2"/>
      <c r="B116" s="2" t="str">
        <f>NEOHAUS!A14</f>
        <v>Neohaus</v>
      </c>
      <c r="C116" s="2" t="str">
        <f>NEOHAUS!B14</f>
        <v>Aseo</v>
      </c>
      <c r="D116" s="2" t="str">
        <f>NEOHAUS!C14</f>
        <v>Bolsas Basura </v>
      </c>
      <c r="E116" s="2" t="str">
        <f>NEOHAUS!D14</f>
        <v/>
      </c>
      <c r="F116" s="2" t="str">
        <f>NEOHAUS!E14</f>
        <v/>
      </c>
      <c r="G116" s="2" t="str">
        <f>NEOHAUS!F14</f>
        <v/>
      </c>
      <c r="H116" s="2" t="str">
        <f>NEOHAUS!G14</f>
        <v/>
      </c>
      <c r="I116" s="2" t="str">
        <f>NEOHAUS!H14</f>
        <v/>
      </c>
      <c r="J116" s="2" t="str">
        <f>NEOHAUS!I14</f>
        <v/>
      </c>
      <c r="K116" s="2" t="str">
        <f>NEOHAUS!J14</f>
        <v/>
      </c>
      <c r="L116" s="2" t="str">
        <f>NEOHAUS!K14</f>
        <v/>
      </c>
      <c r="M116" s="2" t="str">
        <f>NEOHAUS!L14</f>
        <v/>
      </c>
      <c r="N116" s="2" t="str">
        <f>NEOHAUS!M14</f>
        <v/>
      </c>
      <c r="O116" s="2" t="str">
        <f>NEOHAUS!N14</f>
        <v/>
      </c>
      <c r="P116" s="2" t="str">
        <f>NEOHAUS!O14</f>
        <v/>
      </c>
      <c r="Q116" s="2" t="str">
        <f>NEOHAUS!P14</f>
        <v/>
      </c>
      <c r="R116" s="2" t="str">
        <f>NEOHAUS!Q14</f>
        <v/>
      </c>
      <c r="S116" s="2" t="str">
        <f>NEOHAUS!R14</f>
        <v/>
      </c>
      <c r="T116" s="2" t="str">
        <f>NEOHAUS!S14</f>
        <v/>
      </c>
      <c r="U116" s="2" t="str">
        <f>NEOHAUS!T14</f>
        <v>-</v>
      </c>
      <c r="V116" s="2" t="str">
        <f>NEOHAUS!U14</f>
        <v>-</v>
      </c>
      <c r="W116" s="2" t="str">
        <f>NEOHAUS!V14</f>
        <v>-</v>
      </c>
      <c r="X116" s="2" t="str">
        <f>NEOHAUS!W14</f>
        <v>-</v>
      </c>
      <c r="Y116" s="2" t="str">
        <f>NEOHAUS!X14</f>
        <v>-</v>
      </c>
      <c r="Z116" s="2" t="str">
        <f>NEOHAUS!Y14</f>
        <v>-</v>
      </c>
      <c r="AA116" s="2" t="str">
        <f>NEOHAUS!Z14</f>
        <v>2 paquetes de las pequñas, 4 paquetes de las medianas</v>
      </c>
      <c r="AB116" s="2" t="str">
        <f>NEOHAUS!AA14</f>
        <v>1 paquete de las pequeñas, 3 paquetes de las medianas</v>
      </c>
      <c r="AC116" s="2" t="str">
        <f>NEOHAUS!AB14</f>
        <v>1 paquete de las pequeñas, 2 paquetes de las medianas</v>
      </c>
      <c r="AD116" s="2" t="str">
        <f>NEOHAUS!AC14</f>
        <v>1 paquete de las pequeñas, 2 paquetes de las medianas</v>
      </c>
      <c r="AE116" s="2" t="str">
        <f>NEOHAUS!AD14</f>
        <v>1 paquete de las pequeñas, 2 paquetes de las medianas</v>
      </c>
      <c r="AF116" s="2" t="str">
        <f>NEOHAUS!AE14</f>
        <v>5 paquetes de cada tamaño</v>
      </c>
      <c r="AG116" s="2" t="str">
        <f>NEOHAUS!AF14</f>
        <v>4 paquetes de cada tamaño</v>
      </c>
      <c r="AH116" s="2" t="str">
        <f>NEOHAUS!AG14</f>
        <v>4 paquetes de cada tamaño</v>
      </c>
      <c r="AI116" s="2" t="str">
        <f>NEOHAUS!AH14</f>
        <v>4 paquetes de cada tamaño</v>
      </c>
      <c r="AJ116" s="2" t="str">
        <f>NEOHAUS!AI14</f>
        <v>35 paquetes entre todos los tamaños</v>
      </c>
      <c r="AK116" s="2" t="str">
        <f>NEOHAUS!AJ14</f>
        <v>35 paquetes entre todos los tamaños</v>
      </c>
      <c r="AL116" s="2" t="str">
        <f>NEOHAUS!AK14</f>
        <v>22 paquetes entre todos los tamaños</v>
      </c>
      <c r="AM116" s="2" t="str">
        <f>NEOHAUS!AL14</f>
        <v>3 paquetes pequeñas, 5 paquetes medianas, 6 paquetes grandes.</v>
      </c>
      <c r="AN116" s="2" t="str">
        <f>NEOHAUS!AM14</f>
        <v>3 paquetes pequeñas, 5 paquetes medianas, 6 paquetes grandes.</v>
      </c>
      <c r="AO116" s="2" t="str">
        <f>NEOHAUS!AN14</f>
        <v>2 paquetes pequeñas, 3 paquetes medianas, 4 paquetes grandes.</v>
      </c>
      <c r="AP116" s="2" t="str">
        <f>NEOHAUS!AO14</f>
        <v>2 paquetes pequeñas, 3 paquetes medianas, 4 paquetes grandes.</v>
      </c>
      <c r="AQ116" s="2" t="str">
        <f>NEOHAUS!AP14</f>
        <v>2 paquetes pequeñas, 3 paquetes medianas, 4 paquetes grandes.</v>
      </c>
      <c r="AR116" s="2" t="str">
        <f>NEOHAUS!AQ14</f>
        <v>2 paquetes pequeñas, 3 paquetes medianas, 4 paquetes grandes.</v>
      </c>
      <c r="AS116" s="2" t="str">
        <f>NEOHAUS!AR14</f>
        <v>2 paquetes pequeñas, 3 paquetes medianas, 4 paquetes grandes.</v>
      </c>
      <c r="AT116" s="2" t="str">
        <f>NEOHAUS!AS14</f>
        <v>2 paquetes pequeñas, 3 paquetes medianas, 4 paquetes grandes.</v>
      </c>
      <c r="AU116" s="2" t="str">
        <f>NEOHAUS!AT14</f>
        <v>4paquetes pequeñas, 5 paquetes medianas, 6paquetes grandes.</v>
      </c>
      <c r="AV116" s="2" t="str">
        <f>NEOHAUS!AU14</f>
        <v>2 paquetes pequeñas, 3 paquetes medianas, 3 paquetes grandes.</v>
      </c>
      <c r="AW116" s="2" t="str">
        <f>NEOHAUS!AV14</f>
        <v>2 paquetes pequeñas, 3 paquetes medianas, 3 paquetes grandes.</v>
      </c>
      <c r="AX116" s="2" t="str">
        <f>NEOHAUS!AW14</f>
        <v>2 paquetes pequeñas, 3 paquetes medianas, 3 paquetes grandes.</v>
      </c>
      <c r="AY116" s="2" t="str">
        <f>NEOHAUS!AX14</f>
        <v>2 paquetes pequeñas, 3 paquetes medianas, 3 paquetes grandes.</v>
      </c>
      <c r="AZ116" s="2" t="str">
        <f>NEOHAUS!AY14</f>
        <v>2 paquetes pequeñas, 3 paquetes medianas, 3 paquetes grandes.</v>
      </c>
      <c r="BA116" s="2" t="str">
        <f>NEOHAUS!AZ14</f>
        <v>6 paquetes pequeñas, 7 paquetes medianas, 7 paquetes grandes.</v>
      </c>
      <c r="BB116" s="2" t="str">
        <f>NEOHAUS!BA14</f>
        <v>6 paquetes pequeñas, 7 paquetes medianas, 7 paquetes grandes.</v>
      </c>
      <c r="BC116" s="2" t="str">
        <f>NEOHAUS!BB14</f>
        <v>6 paquetes pequeñas, 7 paquetes medianas, 7 paquetes grandes.</v>
      </c>
      <c r="BD116" s="2" t="str">
        <f>NEOHAUS!BC14</f>
        <v>6 paquetes pequeñas, 7 paquetes medianas, 7 paquetes grandes.</v>
      </c>
      <c r="BE116" s="2" t="str">
        <f>NEOHAUS!BD14</f>
        <v>6 paquetes pequeñas, 7 paquetes medianas, 7 paquetes grandes.</v>
      </c>
      <c r="BF116" s="2" t="str">
        <f>NEOHAUS!BE14</f>
        <v/>
      </c>
      <c r="BG116" s="2" t="str">
        <f>NEOHAUS!BF14</f>
        <v/>
      </c>
      <c r="BH116" s="2" t="str">
        <f>NEOHAUS!BG14</f>
        <v/>
      </c>
      <c r="BI116" s="2" t="str">
        <f>NEOHAUS!BH14</f>
        <v/>
      </c>
      <c r="BJ116" s="2" t="str">
        <f>NEOHAUS!BI14</f>
        <v/>
      </c>
      <c r="BK116" s="2" t="str">
        <f>NEOHAUS!BJ14</f>
        <v/>
      </c>
      <c r="BL116" s="2" t="str">
        <f>NEOHAUS!BK14</f>
        <v/>
      </c>
      <c r="BM116" s="2" t="str">
        <f>NEOHAUS!BL14</f>
        <v/>
      </c>
      <c r="BN116" s="2" t="str">
        <f>NEOHAUS!BM14</f>
        <v/>
      </c>
      <c r="BO116" s="2" t="str">
        <f>NEOHAUS!BN14</f>
        <v/>
      </c>
      <c r="BP116" s="2" t="str">
        <f>NEOHAUS!BO14</f>
        <v/>
      </c>
      <c r="BQ116" s="2"/>
      <c r="BR116" s="2"/>
      <c r="BS116" s="2"/>
      <c r="BT116" s="2"/>
      <c r="BU116" s="2"/>
      <c r="BV116" s="2"/>
      <c r="BW116" s="2"/>
    </row>
    <row r="117">
      <c r="A117" s="2"/>
      <c r="B117" s="2" t="str">
        <f>NEOHAUS!A15</f>
        <v>Neohaus</v>
      </c>
      <c r="C117" s="2" t="str">
        <f>NEOHAUS!B15</f>
        <v>Aseo</v>
      </c>
      <c r="D117" s="2" t="str">
        <f>NEOHAUS!C15</f>
        <v>Esponja 4U </v>
      </c>
      <c r="E117" s="2" t="str">
        <f>NEOHAUS!D15</f>
        <v/>
      </c>
      <c r="F117" s="2" t="str">
        <f>NEOHAUS!E15</f>
        <v/>
      </c>
      <c r="G117" s="2" t="str">
        <f>NEOHAUS!F15</f>
        <v/>
      </c>
      <c r="H117" s="2" t="str">
        <f>NEOHAUS!G15</f>
        <v/>
      </c>
      <c r="I117" s="2" t="str">
        <f>NEOHAUS!H15</f>
        <v/>
      </c>
      <c r="J117" s="2" t="str">
        <f>NEOHAUS!I15</f>
        <v/>
      </c>
      <c r="K117" s="2" t="str">
        <f>NEOHAUS!J15</f>
        <v/>
      </c>
      <c r="L117" s="2" t="str">
        <f>NEOHAUS!K15</f>
        <v/>
      </c>
      <c r="M117" s="2" t="str">
        <f>NEOHAUS!L15</f>
        <v/>
      </c>
      <c r="N117" s="2" t="str">
        <f>NEOHAUS!M15</f>
        <v/>
      </c>
      <c r="O117" s="2" t="str">
        <f>NEOHAUS!N15</f>
        <v/>
      </c>
      <c r="P117" s="2" t="str">
        <f>NEOHAUS!O15</f>
        <v/>
      </c>
      <c r="Q117" s="2" t="str">
        <f>NEOHAUS!P15</f>
        <v/>
      </c>
      <c r="R117" s="2" t="str">
        <f>NEOHAUS!Q15</f>
        <v/>
      </c>
      <c r="S117" s="2" t="str">
        <f>NEOHAUS!R15</f>
        <v/>
      </c>
      <c r="T117" s="2" t="str">
        <f>NEOHAUS!S15</f>
        <v/>
      </c>
      <c r="U117" s="2" t="str">
        <f>NEOHAUS!T15</f>
        <v>-</v>
      </c>
      <c r="V117" s="2" t="str">
        <f>NEOHAUS!U15</f>
        <v>-</v>
      </c>
      <c r="W117" s="2" t="str">
        <f>NEOHAUS!V15</f>
        <v>-</v>
      </c>
      <c r="X117" s="2" t="str">
        <f>NEOHAUS!W15</f>
        <v>-</v>
      </c>
      <c r="Y117" s="2" t="str">
        <f>NEOHAUS!X15</f>
        <v>-</v>
      </c>
      <c r="Z117" s="2" t="str">
        <f>NEOHAUS!Y15</f>
        <v>-</v>
      </c>
      <c r="AA117" s="2" t="str">
        <f>NEOHAUS!Z15</f>
        <v>3 unidades de esponja</v>
      </c>
      <c r="AB117" s="2" t="str">
        <f>NEOHAUS!AA15</f>
        <v>1 unidad</v>
      </c>
      <c r="AC117" s="2" t="str">
        <f>NEOHAUS!AB15</f>
        <v>1 unidad</v>
      </c>
      <c r="AD117" s="2" t="str">
        <f>NEOHAUS!AC15</f>
        <v>1 unidad</v>
      </c>
      <c r="AE117" s="2" t="str">
        <f>NEOHAUS!AD15</f>
        <v>1 unidad</v>
      </c>
      <c r="AF117" s="2" t="str">
        <f>NEOHAUS!AE15</f>
        <v>1 paquete</v>
      </c>
      <c r="AG117" s="2" t="str">
        <f>NEOHAUS!AF15</f>
        <v>1 paquete</v>
      </c>
      <c r="AH117" s="2" t="str">
        <f>NEOHAUS!AG15</f>
        <v>1 paquete</v>
      </c>
      <c r="AI117" s="2" t="str">
        <f>NEOHAUS!AH15</f>
        <v>1 paquete</v>
      </c>
      <c r="AJ117" s="2" t="str">
        <f>NEOHAUS!AI15</f>
        <v>2 paquetes</v>
      </c>
      <c r="AK117" s="2" t="str">
        <f>NEOHAUS!AJ15</f>
        <v>2 paquetes</v>
      </c>
      <c r="AL117" s="2" t="str">
        <f>NEOHAUS!AK15</f>
        <v>2 paquetes</v>
      </c>
      <c r="AM117" s="2" t="str">
        <f>NEOHAUS!AL15</f>
        <v>2 paquetes</v>
      </c>
      <c r="AN117" s="2" t="str">
        <f>NEOHAUS!AM15</f>
        <v>2 paquetes</v>
      </c>
      <c r="AO117" s="2" t="str">
        <f>NEOHAUS!AN15</f>
        <v>2 paquetes</v>
      </c>
      <c r="AP117" s="2" t="str">
        <f>NEOHAUS!AO15</f>
        <v>1 paquete</v>
      </c>
      <c r="AQ117" s="2" t="str">
        <f>NEOHAUS!AP15</f>
        <v>1 paquete</v>
      </c>
      <c r="AR117" s="2" t="str">
        <f>NEOHAUS!AQ15</f>
        <v>1 paquete</v>
      </c>
      <c r="AS117" s="2" t="str">
        <f>NEOHAUS!AR15</f>
        <v>1 paquete</v>
      </c>
      <c r="AT117" s="2" t="str">
        <f>NEOHAUS!AS15</f>
        <v>1 paquete</v>
      </c>
      <c r="AU117" s="2" t="str">
        <f>NEOHAUS!AT15</f>
        <v>1 paquete</v>
      </c>
      <c r="AV117" s="2" t="str">
        <f>NEOHAUS!AU15</f>
        <v>1 paquete</v>
      </c>
      <c r="AW117" s="2" t="str">
        <f>NEOHAUS!AV15</f>
        <v>1 paquete</v>
      </c>
      <c r="AX117" s="2" t="str">
        <f>NEOHAUS!AW15</f>
        <v>1 paquete</v>
      </c>
      <c r="AY117" s="2" t="str">
        <f>NEOHAUS!AX15</f>
        <v>sin stock</v>
      </c>
      <c r="AZ117" s="2" t="str">
        <f>NEOHAUS!AY15</f>
        <v>sin stock</v>
      </c>
      <c r="BA117" s="2" t="str">
        <f>NEOHAUS!AZ15</f>
        <v>1 paquete</v>
      </c>
      <c r="BB117" s="2" t="str">
        <f>NEOHAUS!BA15</f>
        <v>1 paquete</v>
      </c>
      <c r="BC117" s="2" t="str">
        <f>NEOHAUS!BB15</f>
        <v>1 paquete</v>
      </c>
      <c r="BD117" s="2" t="str">
        <f>NEOHAUS!BC15</f>
        <v>1 paquete</v>
      </c>
      <c r="BE117" s="2" t="str">
        <f>NEOHAUS!BD15</f>
        <v>1 paquete</v>
      </c>
      <c r="BF117" s="2" t="str">
        <f>NEOHAUS!BE15</f>
        <v/>
      </c>
      <c r="BG117" s="2" t="str">
        <f>NEOHAUS!BF15</f>
        <v/>
      </c>
      <c r="BH117" s="2" t="str">
        <f>NEOHAUS!BG15</f>
        <v/>
      </c>
      <c r="BI117" s="2" t="str">
        <f>NEOHAUS!BH15</f>
        <v/>
      </c>
      <c r="BJ117" s="2" t="str">
        <f>NEOHAUS!BI15</f>
        <v/>
      </c>
      <c r="BK117" s="2" t="str">
        <f>NEOHAUS!BJ15</f>
        <v/>
      </c>
      <c r="BL117" s="2" t="str">
        <f>NEOHAUS!BK15</f>
        <v/>
      </c>
      <c r="BM117" s="2" t="str">
        <f>NEOHAUS!BL15</f>
        <v/>
      </c>
      <c r="BN117" s="2" t="str">
        <f>NEOHAUS!BM15</f>
        <v/>
      </c>
      <c r="BO117" s="2" t="str">
        <f>NEOHAUS!BN15</f>
        <v/>
      </c>
      <c r="BP117" s="2" t="str">
        <f>NEOHAUS!BO15</f>
        <v/>
      </c>
      <c r="BQ117" s="2"/>
      <c r="BR117" s="2"/>
      <c r="BS117" s="2"/>
      <c r="BT117" s="2"/>
      <c r="BU117" s="2"/>
      <c r="BV117" s="2"/>
      <c r="BW117" s="2"/>
    </row>
    <row r="118">
      <c r="A118" s="2"/>
      <c r="B118" s="2" t="str">
        <f>NEOHAUS!A16</f>
        <v>Neohaus</v>
      </c>
      <c r="C118" s="2" t="str">
        <f>NEOHAUS!B16</f>
        <v>Aseo</v>
      </c>
      <c r="D118" s="2" t="str">
        <f>NEOHAUS!C16</f>
        <v>Papel interfoliado</v>
      </c>
      <c r="E118" s="2" t="str">
        <f>NEOHAUS!D16</f>
        <v/>
      </c>
      <c r="F118" s="2" t="str">
        <f>NEOHAUS!E16</f>
        <v/>
      </c>
      <c r="G118" s="2" t="str">
        <f>NEOHAUS!F16</f>
        <v/>
      </c>
      <c r="H118" s="2" t="str">
        <f>NEOHAUS!G16</f>
        <v/>
      </c>
      <c r="I118" s="2" t="str">
        <f>NEOHAUS!H16</f>
        <v/>
      </c>
      <c r="J118" s="2" t="str">
        <f>NEOHAUS!I16</f>
        <v/>
      </c>
      <c r="K118" s="2" t="str">
        <f>NEOHAUS!J16</f>
        <v/>
      </c>
      <c r="L118" s="2" t="str">
        <f>NEOHAUS!K16</f>
        <v/>
      </c>
      <c r="M118" s="2" t="str">
        <f>NEOHAUS!L16</f>
        <v/>
      </c>
      <c r="N118" s="2" t="str">
        <f>NEOHAUS!M16</f>
        <v/>
      </c>
      <c r="O118" s="2" t="str">
        <f>NEOHAUS!N16</f>
        <v/>
      </c>
      <c r="P118" s="2" t="str">
        <f>NEOHAUS!O16</f>
        <v/>
      </c>
      <c r="Q118" s="2" t="str">
        <f>NEOHAUS!P16</f>
        <v/>
      </c>
      <c r="R118" s="2" t="str">
        <f>NEOHAUS!Q16</f>
        <v/>
      </c>
      <c r="S118" s="2" t="str">
        <f>NEOHAUS!R16</f>
        <v/>
      </c>
      <c r="T118" s="2" t="str">
        <f>NEOHAUS!S16</f>
        <v/>
      </c>
      <c r="U118" s="2" t="str">
        <f>NEOHAUS!T16</f>
        <v/>
      </c>
      <c r="V118" s="2" t="str">
        <f>NEOHAUS!U16</f>
        <v/>
      </c>
      <c r="W118" s="2" t="str">
        <f>NEOHAUS!V16</f>
        <v/>
      </c>
      <c r="X118" s="2" t="str">
        <f>NEOHAUS!W16</f>
        <v/>
      </c>
      <c r="Y118" s="2" t="str">
        <f>NEOHAUS!X16</f>
        <v/>
      </c>
      <c r="Z118" s="2" t="str">
        <f>NEOHAUS!Y16</f>
        <v/>
      </c>
      <c r="AA118" s="2" t="str">
        <f>NEOHAUS!Z16</f>
        <v>Sin stock</v>
      </c>
      <c r="AB118" s="2" t="str">
        <f>NEOHAUS!AA16</f>
        <v>Sin stock</v>
      </c>
      <c r="AC118" s="2" t="str">
        <f>NEOHAUS!AB16</f>
        <v>Sin stock</v>
      </c>
      <c r="AD118" s="2" t="str">
        <f>NEOHAUS!AC16</f>
        <v>Sin stock</v>
      </c>
      <c r="AE118" s="2" t="str">
        <f>NEOHAUS!AD16</f>
        <v>Sin stock</v>
      </c>
      <c r="AF118" s="2" t="str">
        <f>NEOHAUS!AE16</f>
        <v>37 unidades</v>
      </c>
      <c r="AG118" s="2" t="str">
        <f>NEOHAUS!AF16</f>
        <v>28 unidades</v>
      </c>
      <c r="AH118" s="2" t="str">
        <f>NEOHAUS!AG16</f>
        <v>21 unidades</v>
      </c>
      <c r="AI118" s="2" t="str">
        <f>NEOHAUS!AH16</f>
        <v>16 unidades</v>
      </c>
      <c r="AJ118" s="2" t="str">
        <f>NEOHAUS!AI16</f>
        <v>30 unidades</v>
      </c>
      <c r="AK118" s="2" t="str">
        <f>NEOHAUS!AJ16</f>
        <v>25 unidades</v>
      </c>
      <c r="AL118" s="2" t="str">
        <f>NEOHAUS!AK16</f>
        <v>18 unidades</v>
      </c>
      <c r="AM118" s="2" t="str">
        <f>NEOHAUS!AL16</f>
        <v>10 unidades</v>
      </c>
      <c r="AN118" s="2" t="str">
        <f>NEOHAUS!AM16</f>
        <v>7 unidades</v>
      </c>
      <c r="AO118" s="2" t="str">
        <f>NEOHAUS!AN16</f>
        <v>2 unidades</v>
      </c>
      <c r="AP118" s="2" t="str">
        <f>NEOHAUS!AO16</f>
        <v>1 unidad</v>
      </c>
      <c r="AQ118" s="2" t="str">
        <f>NEOHAUS!AP16</f>
        <v>20 unidades</v>
      </c>
      <c r="AR118" s="2" t="str">
        <f>NEOHAUS!AQ16</f>
        <v>7 unidades</v>
      </c>
      <c r="AS118" s="2" t="str">
        <f>NEOHAUS!AR16</f>
        <v>47 unidades</v>
      </c>
      <c r="AT118" s="2" t="str">
        <f>NEOHAUS!AS16</f>
        <v>47 unidades</v>
      </c>
      <c r="AU118" s="2" t="str">
        <f>NEOHAUS!AT16</f>
        <v>1 paquete</v>
      </c>
      <c r="AV118" s="2" t="str">
        <f>NEOHAUS!AU16</f>
        <v>1 paquete</v>
      </c>
      <c r="AW118" s="2" t="str">
        <f>NEOHAUS!AV16</f>
        <v>sin stock</v>
      </c>
      <c r="AX118" s="2" t="str">
        <f>NEOHAUS!AW16</f>
        <v>sin stock</v>
      </c>
      <c r="AY118" s="2" t="str">
        <f>NEOHAUS!AX16</f>
        <v>sin stock</v>
      </c>
      <c r="AZ118" s="2" t="str">
        <f>NEOHAUS!AY16</f>
        <v>sin stock</v>
      </c>
      <c r="BA118" s="2" t="str">
        <f>NEOHAUS!AZ16</f>
        <v>8 paquetes</v>
      </c>
      <c r="BB118" s="2" t="str">
        <f>NEOHAUS!BA16</f>
        <v>3 paquetes</v>
      </c>
      <c r="BC118" s="2" t="str">
        <f>NEOHAUS!BB16</f>
        <v>sin stock</v>
      </c>
      <c r="BD118" s="2" t="str">
        <f>NEOHAUS!BC16</f>
        <v>sin stock</v>
      </c>
      <c r="BE118" s="2" t="str">
        <f>NEOHAUS!BD16</f>
        <v>sin stock</v>
      </c>
      <c r="BF118" s="2" t="str">
        <f>NEOHAUS!BE16</f>
        <v/>
      </c>
      <c r="BG118" s="2" t="str">
        <f>NEOHAUS!BF16</f>
        <v/>
      </c>
      <c r="BH118" s="2" t="str">
        <f>NEOHAUS!BG16</f>
        <v/>
      </c>
      <c r="BI118" s="2" t="str">
        <f>NEOHAUS!BH16</f>
        <v/>
      </c>
      <c r="BJ118" s="2" t="str">
        <f>NEOHAUS!BI16</f>
        <v/>
      </c>
      <c r="BK118" s="2" t="str">
        <f>NEOHAUS!BJ16</f>
        <v/>
      </c>
      <c r="BL118" s="2" t="str">
        <f>NEOHAUS!BK16</f>
        <v/>
      </c>
      <c r="BM118" s="2" t="str">
        <f>NEOHAUS!BL16</f>
        <v/>
      </c>
      <c r="BN118" s="2" t="str">
        <f>NEOHAUS!BM16</f>
        <v/>
      </c>
      <c r="BO118" s="2" t="str">
        <f>NEOHAUS!BN16</f>
        <v/>
      </c>
      <c r="BP118" s="2" t="str">
        <f>NEOHAUS!BO16</f>
        <v/>
      </c>
      <c r="BQ118" s="2"/>
      <c r="BR118" s="2"/>
      <c r="BS118" s="2"/>
      <c r="BT118" s="2"/>
      <c r="BU118" s="2"/>
      <c r="BV118" s="2"/>
      <c r="BW118" s="2"/>
    </row>
    <row r="119">
      <c r="A119" s="2"/>
      <c r="B119" s="2" t="str">
        <f>NEOHAUS!A17</f>
        <v>Neohaus</v>
      </c>
      <c r="C119" s="2" t="str">
        <f>NEOHAUS!B17</f>
        <v>Aseo</v>
      </c>
      <c r="D119" s="2" t="str">
        <f>NEOHAUS!C17</f>
        <v>Mopa Redonda </v>
      </c>
      <c r="E119" s="2" t="str">
        <f>NEOHAUS!D17</f>
        <v/>
      </c>
      <c r="F119" s="2" t="str">
        <f>NEOHAUS!E17</f>
        <v/>
      </c>
      <c r="G119" s="2" t="str">
        <f>NEOHAUS!F17</f>
        <v/>
      </c>
      <c r="H119" s="2" t="str">
        <f>NEOHAUS!G17</f>
        <v/>
      </c>
      <c r="I119" s="2" t="str">
        <f>NEOHAUS!H17</f>
        <v/>
      </c>
      <c r="J119" s="2" t="str">
        <f>NEOHAUS!I17</f>
        <v/>
      </c>
      <c r="K119" s="2" t="str">
        <f>NEOHAUS!J17</f>
        <v/>
      </c>
      <c r="L119" s="2" t="str">
        <f>NEOHAUS!K17</f>
        <v/>
      </c>
      <c r="M119" s="2" t="str">
        <f>NEOHAUS!L17</f>
        <v/>
      </c>
      <c r="N119" s="2" t="str">
        <f>NEOHAUS!M17</f>
        <v/>
      </c>
      <c r="O119" s="2" t="str">
        <f>NEOHAUS!N17</f>
        <v/>
      </c>
      <c r="P119" s="2" t="str">
        <f>NEOHAUS!O17</f>
        <v/>
      </c>
      <c r="Q119" s="2" t="str">
        <f>NEOHAUS!P17</f>
        <v/>
      </c>
      <c r="R119" s="2" t="str">
        <f>NEOHAUS!Q17</f>
        <v/>
      </c>
      <c r="S119" s="2" t="str">
        <f>NEOHAUS!R17</f>
        <v/>
      </c>
      <c r="T119" s="2" t="str">
        <f>NEOHAUS!S17</f>
        <v/>
      </c>
      <c r="U119" s="2" t="str">
        <f>NEOHAUS!T17</f>
        <v>-</v>
      </c>
      <c r="V119" s="2" t="str">
        <f>NEOHAUS!U17</f>
        <v>-</v>
      </c>
      <c r="W119" s="2" t="str">
        <f>NEOHAUS!V17</f>
        <v>-</v>
      </c>
      <c r="X119" s="2" t="str">
        <f>NEOHAUS!W17</f>
        <v>-</v>
      </c>
      <c r="Y119" s="2" t="str">
        <f>NEOHAUS!X17</f>
        <v>-</v>
      </c>
      <c r="Z119" s="2" t="str">
        <f>NEOHAUS!Y17</f>
        <v>-</v>
      </c>
      <c r="AA119" s="2" t="str">
        <f>NEOHAUS!Z17</f>
        <v>2 unidades</v>
      </c>
      <c r="AB119" s="2" t="str">
        <f>NEOHAUS!AA17</f>
        <v>2 unidades</v>
      </c>
      <c r="AC119" s="2" t="str">
        <f>NEOHAUS!AB17</f>
        <v>2 unidades</v>
      </c>
      <c r="AD119" s="2" t="str">
        <f>NEOHAUS!AC17</f>
        <v>2 unidades</v>
      </c>
      <c r="AE119" s="2" t="str">
        <f>NEOHAUS!AD17</f>
        <v>2 unidades</v>
      </c>
      <c r="AF119" s="2" t="str">
        <f>NEOHAUS!AE17</f>
        <v>4 unidades</v>
      </c>
      <c r="AG119" s="2" t="str">
        <f>NEOHAUS!AF17</f>
        <v>6 unidades</v>
      </c>
      <c r="AH119" s="2" t="str">
        <f>NEOHAUS!AG17</f>
        <v>5 unidades</v>
      </c>
      <c r="AI119" s="2" t="str">
        <f>NEOHAUS!AH17</f>
        <v>4 unidades</v>
      </c>
      <c r="AJ119" s="2" t="str">
        <f>NEOHAUS!AI17</f>
        <v>6 unidades</v>
      </c>
      <c r="AK119" s="2" t="str">
        <f>NEOHAUS!AJ17</f>
        <v>6 unidades</v>
      </c>
      <c r="AL119" s="2" t="str">
        <f>NEOHAUS!AK17</f>
        <v>5 unidades</v>
      </c>
      <c r="AM119" s="2" t="str">
        <f>NEOHAUS!AL17</f>
        <v>4 unidades</v>
      </c>
      <c r="AN119" s="2" t="str">
        <f>NEOHAUS!AM17</f>
        <v>4 unidades</v>
      </c>
      <c r="AO119" s="2" t="str">
        <f>NEOHAUS!AN17</f>
        <v>4 unidades</v>
      </c>
      <c r="AP119" s="2" t="str">
        <f>NEOHAUS!AO17</f>
        <v>2 unidades</v>
      </c>
      <c r="AQ119" s="2" t="str">
        <f>NEOHAUS!AP17</f>
        <v>2 unidades</v>
      </c>
      <c r="AR119" s="2" t="str">
        <f>NEOHAUS!AQ17</f>
        <v>2 unidades</v>
      </c>
      <c r="AS119" s="2" t="str">
        <f>NEOHAUS!AR17</f>
        <v>2 unidades</v>
      </c>
      <c r="AT119" s="2" t="str">
        <f>NEOHAUS!AS17</f>
        <v>2 unidades</v>
      </c>
      <c r="AU119" s="2" t="str">
        <f>NEOHAUS!AT17</f>
        <v>2 unidades</v>
      </c>
      <c r="AV119" s="2" t="str">
        <f>NEOHAUS!AU17</f>
        <v>2 unidades</v>
      </c>
      <c r="AW119" s="2" t="str">
        <f>NEOHAUS!AV17</f>
        <v>2 unidades</v>
      </c>
      <c r="AX119" s="2" t="str">
        <f>NEOHAUS!AW17</f>
        <v>2 unidades</v>
      </c>
      <c r="AY119" s="2" t="str">
        <f>NEOHAUS!AX17</f>
        <v>sin stock</v>
      </c>
      <c r="AZ119" s="2" t="str">
        <f>NEOHAUS!AY17</f>
        <v>sin stock</v>
      </c>
      <c r="BA119" s="2" t="str">
        <f>NEOHAUS!AZ17</f>
        <v>2 unidades</v>
      </c>
      <c r="BB119" s="2" t="str">
        <f>NEOHAUS!BA17</f>
        <v>2 unidades</v>
      </c>
      <c r="BC119" s="2" t="str">
        <f>NEOHAUS!BB17</f>
        <v>2 unidades</v>
      </c>
      <c r="BD119" s="2" t="str">
        <f>NEOHAUS!BC17</f>
        <v>2 unidades</v>
      </c>
      <c r="BE119" s="2" t="str">
        <f>NEOHAUS!BD17</f>
        <v>2 unidades</v>
      </c>
      <c r="BF119" s="2" t="str">
        <f>NEOHAUS!BE17</f>
        <v/>
      </c>
      <c r="BG119" s="2" t="str">
        <f>NEOHAUS!BF17</f>
        <v/>
      </c>
      <c r="BH119" s="2" t="str">
        <f>NEOHAUS!BG17</f>
        <v/>
      </c>
      <c r="BI119" s="2" t="str">
        <f>NEOHAUS!BH17</f>
        <v/>
      </c>
      <c r="BJ119" s="2" t="str">
        <f>NEOHAUS!BI17</f>
        <v/>
      </c>
      <c r="BK119" s="2" t="str">
        <f>NEOHAUS!BJ17</f>
        <v/>
      </c>
      <c r="BL119" s="2" t="str">
        <f>NEOHAUS!BK17</f>
        <v/>
      </c>
      <c r="BM119" s="2" t="str">
        <f>NEOHAUS!BL17</f>
        <v/>
      </c>
      <c r="BN119" s="2" t="str">
        <f>NEOHAUS!BM17</f>
        <v/>
      </c>
      <c r="BO119" s="2" t="str">
        <f>NEOHAUS!BN17</f>
        <v/>
      </c>
      <c r="BP119" s="2" t="str">
        <f>NEOHAUS!BO17</f>
        <v/>
      </c>
      <c r="BQ119" s="2"/>
      <c r="BR119" s="2"/>
      <c r="BS119" s="2"/>
      <c r="BT119" s="2"/>
      <c r="BU119" s="2"/>
      <c r="BV119" s="2"/>
      <c r="BW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2">
        <f>'FLORIDA CENTER'!R3</f>
        <v>45908</v>
      </c>
      <c r="T121" s="22">
        <f>'FLORIDA CENTER'!S3</f>
        <v>45915</v>
      </c>
      <c r="U121" s="22">
        <f>'FLORIDA CENTER'!T3</f>
        <v>45922</v>
      </c>
      <c r="V121" s="22">
        <f>'FLORIDA CENTER'!U3</f>
        <v>45929</v>
      </c>
      <c r="W121" s="22">
        <f>'FLORIDA CENTER'!V3</f>
        <v>45936</v>
      </c>
      <c r="X121" s="22">
        <f>'FLORIDA CENTER'!W3</f>
        <v>45943</v>
      </c>
      <c r="Y121" s="22">
        <f>'FLORIDA CENTER'!X3</f>
        <v>45950</v>
      </c>
      <c r="Z121" s="22">
        <f>'FLORIDA CENTER'!Y3</f>
        <v>45957</v>
      </c>
      <c r="AA121" s="22">
        <f>'FLORIDA CENTER'!Z3</f>
        <v>45964</v>
      </c>
      <c r="AB121" s="22">
        <f>'FLORIDA CENTER'!AA3</f>
        <v>45971</v>
      </c>
      <c r="AC121" s="22">
        <f>'FLORIDA CENTER'!AB3</f>
        <v>45978</v>
      </c>
      <c r="AD121" s="22">
        <f>'FLORIDA CENTER'!AC3</f>
        <v>45979</v>
      </c>
      <c r="AE121" s="22">
        <f>'FLORIDA CENTER'!AD3</f>
        <v>45987</v>
      </c>
      <c r="AF121" s="22">
        <f>'FLORIDA CENTER'!AE3</f>
        <v>45993</v>
      </c>
      <c r="AG121" s="22">
        <f>'FLORIDA CENTER'!AF3</f>
        <v>46000</v>
      </c>
      <c r="AH121" s="22">
        <f>'FLORIDA CENTER'!AG3</f>
        <v>46006</v>
      </c>
      <c r="AI121" s="22">
        <f>'FLORIDA CENTER'!AH3</f>
        <v>46013</v>
      </c>
      <c r="AJ121" s="22">
        <f>'FLORIDA CENTER'!AI3</f>
        <v>46014</v>
      </c>
      <c r="AK121" s="22">
        <f>'FLORIDA CENTER'!AJ3</f>
        <v>46020</v>
      </c>
      <c r="AL121" s="22">
        <f>'FLORIDA CENTER'!AK3</f>
        <v>46027</v>
      </c>
      <c r="AM121" s="22">
        <f>'FLORIDA CENTER'!AL3</f>
        <v>46030</v>
      </c>
      <c r="AN121" s="22">
        <f>'FLORIDA CENTER'!AM3</f>
        <v>46034</v>
      </c>
      <c r="AO121" s="22">
        <f>'FLORIDA CENTER'!AN3</f>
        <v>46037</v>
      </c>
      <c r="AP121" s="22">
        <f>'FLORIDA CENTER'!AO3</f>
        <v>46041</v>
      </c>
      <c r="AQ121" s="22">
        <f>'FLORIDA CENTER'!AP3</f>
        <v>46044</v>
      </c>
      <c r="AR121" s="22">
        <f>'FLORIDA CENTER'!AQ3</f>
        <v>46045</v>
      </c>
      <c r="AS121" s="22">
        <f>'FLORIDA CENTER'!AR3</f>
        <v>46048</v>
      </c>
      <c r="AT121" s="22">
        <f>'FLORIDA CENTER'!AS3</f>
        <v>46050</v>
      </c>
      <c r="AU121" s="22">
        <f>'FLORIDA CENTER'!AT3</f>
        <v>46051</v>
      </c>
      <c r="AV121" s="22">
        <f>'FLORIDA CENTER'!AU3</f>
        <v>46055</v>
      </c>
      <c r="AW121" s="22">
        <f>'FLORIDA CENTER'!AV3</f>
        <v>46058</v>
      </c>
      <c r="AX121" s="22">
        <f>'FLORIDA CENTER'!AW3</f>
        <v>46062</v>
      </c>
      <c r="AY121" s="22">
        <f>'FLORIDA CENTER'!AX3</f>
        <v>46065</v>
      </c>
      <c r="AZ121" s="22">
        <f>'FLORIDA CENTER'!AY3</f>
        <v>46068</v>
      </c>
      <c r="BA121" s="22">
        <f>'FLORIDA CENTER'!AZ3</f>
        <v>46069</v>
      </c>
      <c r="BB121" s="22">
        <f>'FLORIDA CENTER'!BA3</f>
        <v>46072</v>
      </c>
      <c r="BC121" s="22">
        <f>'FLORIDA CENTER'!BB3</f>
        <v>46076</v>
      </c>
      <c r="BD121" s="22">
        <f>'FLORIDA CENTER'!BC3</f>
        <v>46083</v>
      </c>
      <c r="BE121" s="22">
        <f>'FLORIDA CENTER'!BD3</f>
        <v>46086</v>
      </c>
      <c r="BF121" s="22">
        <f>'FLORIDA CENTER'!BE3</f>
        <v>46090</v>
      </c>
      <c r="BG121" s="22">
        <f>'FLORIDA CENTER'!BF3</f>
        <v>46091</v>
      </c>
      <c r="BH121" s="22">
        <f>'FLORIDA CENTER'!BG3</f>
        <v>46093</v>
      </c>
      <c r="BI121" s="22">
        <f>'FLORIDA CENTER'!BH3</f>
        <v>46097</v>
      </c>
      <c r="BJ121" s="22">
        <f>'FLORIDA CENTER'!BI3</f>
        <v>46100</v>
      </c>
      <c r="BK121" s="22">
        <f>'FLORIDA CENTER'!BJ3</f>
        <v>46104</v>
      </c>
      <c r="BL121" s="22" t="str">
        <f>'FLORIDA CENTER'!BK3</f>
        <v/>
      </c>
      <c r="BM121" s="22" t="str">
        <f>'FLORIDA CENTER'!BL3</f>
        <v/>
      </c>
      <c r="BN121" s="22" t="str">
        <f>'FLORIDA CENTER'!BM3</f>
        <v/>
      </c>
      <c r="BO121" s="22" t="str">
        <f>'FLORIDA CENTER'!BN3</f>
        <v/>
      </c>
      <c r="BP121" s="2" t="str">
        <f>'FLORIDA CENTER'!BO3</f>
        <v/>
      </c>
      <c r="BQ121" s="2" t="str">
        <f>'FLORIDA CENTER'!BP3</f>
        <v/>
      </c>
      <c r="BR121" s="2" t="str">
        <f>'FLORIDA CENTER'!BQ3</f>
        <v/>
      </c>
      <c r="BS121" s="2" t="str">
        <f>'FLORIDA CENTER'!BR3</f>
        <v/>
      </c>
      <c r="BT121" s="2"/>
      <c r="BU121" s="2"/>
      <c r="BV121" s="2"/>
      <c r="BW121" s="2"/>
    </row>
    <row r="122">
      <c r="A122" s="2"/>
      <c r="B122" s="2" t="str">
        <f>'FLORIDA CENTER'!A4</f>
        <v>Sede</v>
      </c>
      <c r="C122" s="2" t="str">
        <f>'FLORIDA CENTER'!B4</f>
        <v>Proveedor</v>
      </c>
      <c r="D122" s="2" t="str">
        <f>'FLORIDA CENTER'!C4</f>
        <v>Producto</v>
      </c>
      <c r="E122" s="2" t="str">
        <f>'FLORIDA CENTER'!D4</f>
        <v>Stock Actual</v>
      </c>
      <c r="F122" s="2" t="str">
        <f>'FLORIDA CENTER'!E4</f>
        <v>Stock Actual</v>
      </c>
      <c r="G122" s="2" t="str">
        <f>'FLORIDA CENTER'!F4</f>
        <v>Stock Actual</v>
      </c>
      <c r="H122" s="2" t="str">
        <f>'FLORIDA CENTER'!G4</f>
        <v>Stock Actual</v>
      </c>
      <c r="I122" s="2" t="str">
        <f>'FLORIDA CENTER'!H4</f>
        <v>Stock Actual</v>
      </c>
      <c r="J122" s="2" t="str">
        <f>'FLORIDA CENTER'!I4</f>
        <v>Stock Actual</v>
      </c>
      <c r="K122" s="2" t="str">
        <f>'FLORIDA CENTER'!J4</f>
        <v>Stock Actual</v>
      </c>
      <c r="L122" s="2" t="str">
        <f>'FLORIDA CENTER'!K4</f>
        <v>Stock Actual</v>
      </c>
      <c r="M122" s="2" t="str">
        <f>'FLORIDA CENTER'!L4</f>
        <v>Stock Actual</v>
      </c>
      <c r="N122" s="2" t="str">
        <f>'FLORIDA CENTER'!M4</f>
        <v>Stock Actual</v>
      </c>
      <c r="O122" s="2" t="str">
        <f>'FLORIDA CENTER'!N4</f>
        <v>Stock Actual</v>
      </c>
      <c r="P122" s="2" t="str">
        <f>'FLORIDA CENTER'!O4</f>
        <v>Stock Actual</v>
      </c>
      <c r="Q122" s="2" t="str">
        <f>'FLORIDA CENTER'!P4</f>
        <v>Stock Actual</v>
      </c>
      <c r="R122" s="2" t="str">
        <f>'FLORIDA CENTER'!Q4</f>
        <v>Stock Actual</v>
      </c>
      <c r="S122" s="2" t="str">
        <f>'FLORIDA CENTER'!R4</f>
        <v>Stock Actual</v>
      </c>
      <c r="T122" s="2" t="str">
        <f>'FLORIDA CENTER'!S4</f>
        <v>Stock Actual</v>
      </c>
      <c r="U122" s="2" t="str">
        <f>'FLORIDA CENTER'!T4</f>
        <v>Stock Actual</v>
      </c>
      <c r="V122" s="2" t="str">
        <f>'FLORIDA CENTER'!U4</f>
        <v>Stock Actual</v>
      </c>
      <c r="W122" s="2" t="str">
        <f>'FLORIDA CENTER'!V4</f>
        <v>Stock Actual</v>
      </c>
      <c r="X122" s="2" t="str">
        <f>'FLORIDA CENTER'!W4</f>
        <v>Stock Actual</v>
      </c>
      <c r="Y122" s="2" t="str">
        <f>'FLORIDA CENTER'!X4</f>
        <v>Stock Actual</v>
      </c>
      <c r="Z122" s="2" t="str">
        <f>'FLORIDA CENTER'!Y4</f>
        <v>Stock Actual</v>
      </c>
      <c r="AA122" s="2" t="str">
        <f>'FLORIDA CENTER'!Z4</f>
        <v>Stock Actual</v>
      </c>
      <c r="AB122" s="2" t="str">
        <f>'FLORIDA CENTER'!AA4</f>
        <v>Stock Actual</v>
      </c>
      <c r="AC122" s="2" t="str">
        <f>'FLORIDA CENTER'!AB4</f>
        <v>Stock Actual</v>
      </c>
      <c r="AD122" s="2" t="str">
        <f>'FLORIDA CENTER'!AC4</f>
        <v>Stock Actual</v>
      </c>
      <c r="AE122" s="2" t="str">
        <f>'FLORIDA CENTER'!AD4</f>
        <v>Stock Actual</v>
      </c>
      <c r="AF122" s="2" t="str">
        <f>'FLORIDA CENTER'!AE4</f>
        <v>Stock Actual</v>
      </c>
      <c r="AG122" s="2" t="str">
        <f>'FLORIDA CENTER'!AF4</f>
        <v>Stock Actual</v>
      </c>
      <c r="AH122" s="2" t="str">
        <f>'FLORIDA CENTER'!AG4</f>
        <v>Stock Actual</v>
      </c>
      <c r="AI122" s="2" t="str">
        <f>'FLORIDA CENTER'!AH4</f>
        <v>Stock Actual</v>
      </c>
      <c r="AJ122" s="2" t="str">
        <f>'FLORIDA CENTER'!AI4</f>
        <v>Stock Actual</v>
      </c>
      <c r="AK122" s="2" t="str">
        <f>'FLORIDA CENTER'!AJ4</f>
        <v>Stock Actual</v>
      </c>
      <c r="AL122" s="2" t="str">
        <f>'FLORIDA CENTER'!AK4</f>
        <v>Stock Actual</v>
      </c>
      <c r="AM122" s="2" t="str">
        <f>'FLORIDA CENTER'!AL4</f>
        <v>Stock Actual</v>
      </c>
      <c r="AN122" s="2" t="str">
        <f>'FLORIDA CENTER'!AM4</f>
        <v>Stock Actual</v>
      </c>
      <c r="AO122" s="2" t="str">
        <f>'FLORIDA CENTER'!AN4</f>
        <v>Stock Actual</v>
      </c>
      <c r="AP122" s="2" t="str">
        <f>'FLORIDA CENTER'!AO4</f>
        <v>Stock Actual</v>
      </c>
      <c r="AQ122" s="2" t="str">
        <f>'FLORIDA CENTER'!AP4</f>
        <v>Stock Actual</v>
      </c>
      <c r="AR122" s="2" t="str">
        <f>'FLORIDA CENTER'!AQ4</f>
        <v>Stock Actual</v>
      </c>
      <c r="AS122" s="2" t="str">
        <f>'FLORIDA CENTER'!AR4</f>
        <v>Stock Actual</v>
      </c>
      <c r="AT122" s="2" t="str">
        <f>'FLORIDA CENTER'!AS4</f>
        <v>Stock Actual</v>
      </c>
      <c r="AU122" s="2" t="str">
        <f>'FLORIDA CENTER'!AT4</f>
        <v>Stock Actual</v>
      </c>
      <c r="AV122" s="2" t="str">
        <f>'FLORIDA CENTER'!AU4</f>
        <v>Stock Actual</v>
      </c>
      <c r="AW122" s="2" t="str">
        <f>'FLORIDA CENTER'!AV4</f>
        <v>Stock Actual</v>
      </c>
      <c r="AX122" s="2" t="str">
        <f>'FLORIDA CENTER'!AW4</f>
        <v>Stock Actual</v>
      </c>
      <c r="AY122" s="2" t="str">
        <f>'FLORIDA CENTER'!AX4</f>
        <v>Stock Actual</v>
      </c>
      <c r="AZ122" s="2" t="str">
        <f>'FLORIDA CENTER'!AY4</f>
        <v>Stock Actual</v>
      </c>
      <c r="BA122" s="2" t="str">
        <f>'FLORIDA CENTER'!AZ4</f>
        <v>Stock Actual</v>
      </c>
      <c r="BB122" s="2" t="str">
        <f>'FLORIDA CENTER'!BA4</f>
        <v>Stock Actual</v>
      </c>
      <c r="BC122" s="2" t="str">
        <f>'FLORIDA CENTER'!BB4</f>
        <v>Stock Actual</v>
      </c>
      <c r="BD122" s="2" t="str">
        <f>'FLORIDA CENTER'!BC4</f>
        <v>Stock Actual</v>
      </c>
      <c r="BE122" s="2" t="str">
        <f>'FLORIDA CENTER'!BD4</f>
        <v>Stock Actual</v>
      </c>
      <c r="BF122" s="2" t="str">
        <f>'FLORIDA CENTER'!BE4</f>
        <v>Stock Actual</v>
      </c>
      <c r="BG122" s="2" t="str">
        <f>'FLORIDA CENTER'!BF4</f>
        <v>Stock Actual</v>
      </c>
      <c r="BH122" s="2" t="str">
        <f>'FLORIDA CENTER'!BG4</f>
        <v>Stock Actual</v>
      </c>
      <c r="BI122" s="2" t="str">
        <f>'FLORIDA CENTER'!BH4</f>
        <v>Stock Actual</v>
      </c>
      <c r="BJ122" s="2" t="str">
        <f>'FLORIDA CENTER'!BI4</f>
        <v>Stock Actual</v>
      </c>
      <c r="BK122" s="2" t="str">
        <f>'FLORIDA CENTER'!BJ4</f>
        <v>Stock Actual</v>
      </c>
      <c r="BL122" s="2" t="str">
        <f>'FLORIDA CENTER'!BK4</f>
        <v/>
      </c>
      <c r="BM122" s="2" t="str">
        <f>'FLORIDA CENTER'!BL4</f>
        <v/>
      </c>
      <c r="BN122" s="2" t="str">
        <f>'FLORIDA CENTER'!BM4</f>
        <v/>
      </c>
      <c r="BO122" s="2" t="str">
        <f>'FLORIDA CENTER'!BN4</f>
        <v/>
      </c>
      <c r="BP122" s="2" t="str">
        <f>'FLORIDA CENTER'!BO4</f>
        <v/>
      </c>
      <c r="BQ122" s="2" t="str">
        <f>'FLORIDA CENTER'!BP4</f>
        <v/>
      </c>
      <c r="BR122" s="2" t="str">
        <f>'FLORIDA CENTER'!BQ4</f>
        <v/>
      </c>
      <c r="BS122" s="2" t="str">
        <f>'FLORIDA CENTER'!BR4</f>
        <v/>
      </c>
      <c r="BT122" s="2"/>
      <c r="BU122" s="2"/>
      <c r="BV122" s="2"/>
      <c r="BW122" s="2"/>
    </row>
    <row r="123">
      <c r="A123" s="2"/>
      <c r="B123" s="2" t="str">
        <f>'FLORIDA CENTER'!A5</f>
        <v>Florida Center</v>
      </c>
      <c r="C123" s="2" t="str">
        <f>'FLORIDA CENTER'!B5</f>
        <v>Cafeteria</v>
      </c>
      <c r="D123" s="2" t="str">
        <f>'FLORIDA CENTER'!C5</f>
        <v>Cafe Grano (KG)</v>
      </c>
      <c r="E123" s="2">
        <f>'FLORIDA CENTER'!D5</f>
        <v>1</v>
      </c>
      <c r="F123" s="2">
        <f>'FLORIDA CENTER'!E5</f>
        <v>1</v>
      </c>
      <c r="G123" s="2">
        <f>'FLORIDA CENTER'!F5</f>
        <v>1</v>
      </c>
      <c r="H123" s="2">
        <f>'FLORIDA CENTER'!G5</f>
        <v>1</v>
      </c>
      <c r="I123" s="2">
        <f>'FLORIDA CENTER'!H5</f>
        <v>1</v>
      </c>
      <c r="J123" s="2">
        <f>'FLORIDA CENTER'!I5</f>
        <v>1</v>
      </c>
      <c r="K123" s="2">
        <f>'FLORIDA CENTER'!J5</f>
        <v>2</v>
      </c>
      <c r="L123" s="2">
        <f>'FLORIDA CENTER'!K5</f>
        <v>2</v>
      </c>
      <c r="M123" s="2">
        <f>'FLORIDA CENTER'!L5</f>
        <v>2</v>
      </c>
      <c r="N123" s="2">
        <f>'FLORIDA CENTER'!M5</f>
        <v>1</v>
      </c>
      <c r="O123" s="2">
        <f>'FLORIDA CENTER'!N5</f>
        <v>2</v>
      </c>
      <c r="P123" s="2">
        <f>'FLORIDA CENTER'!O5</f>
        <v>3</v>
      </c>
      <c r="Q123" s="2">
        <f>'FLORIDA CENTER'!P5</f>
        <v>3</v>
      </c>
      <c r="R123" s="2">
        <f>'FLORIDA CENTER'!Q5</f>
        <v>3</v>
      </c>
      <c r="S123" s="2">
        <f>'FLORIDA CENTER'!R5</f>
        <v>2</v>
      </c>
      <c r="T123" s="2">
        <f>'FLORIDA CENTER'!S5</f>
        <v>1</v>
      </c>
      <c r="U123" s="2">
        <f>'FLORIDA CENTER'!T5</f>
        <v>1</v>
      </c>
      <c r="V123" s="2">
        <f>'FLORIDA CENTER'!U5</f>
        <v>2</v>
      </c>
      <c r="W123" s="2">
        <f>'FLORIDA CENTER'!V5</f>
        <v>4</v>
      </c>
      <c r="X123" s="2">
        <f>'FLORIDA CENTER'!W5</f>
        <v>4</v>
      </c>
      <c r="Y123" s="2">
        <f>'FLORIDA CENTER'!X5</f>
        <v>4</v>
      </c>
      <c r="Z123" s="2">
        <f>'FLORIDA CENTER'!Y5</f>
        <v>2</v>
      </c>
      <c r="AA123" s="2">
        <f>'FLORIDA CENTER'!Z5</f>
        <v>3</v>
      </c>
      <c r="AB123" s="2">
        <f>'FLORIDA CENTER'!AA5</f>
        <v>1</v>
      </c>
      <c r="AC123" s="2">
        <f>'FLORIDA CENTER'!AB5</f>
        <v>11</v>
      </c>
      <c r="AD123" s="2">
        <f>'FLORIDA CENTER'!AC5</f>
        <v>10.5</v>
      </c>
      <c r="AE123" s="2" t="str">
        <f>'FLORIDA CENTER'!AD5</f>
        <v>19
 (bolsas de 500gr)</v>
      </c>
      <c r="AF123" s="2" t="str">
        <f>'FLORIDA CENTER'!AE5</f>
        <v>18
 (bolsas de 500gr)</v>
      </c>
      <c r="AG123" s="2" t="str">
        <f>'FLORIDA CENTER'!AF5</f>
        <v>16
 (bolsas de 500gr)</v>
      </c>
      <c r="AH123" s="2" t="str">
        <f>'FLORIDA CENTER'!AG5</f>
        <v>15
 (bolsas de 500gr)</v>
      </c>
      <c r="AI123" s="2" t="str">
        <f>'FLORIDA CENTER'!AH5</f>
        <v>13
 (bolsas de 500gr)</v>
      </c>
      <c r="AJ123" s="2" t="str">
        <f>'FLORIDA CENTER'!AI5</f>
        <v>13
 (bolsas de 500gr)</v>
      </c>
      <c r="AK123" s="2" t="str">
        <f>'FLORIDA CENTER'!AJ5</f>
        <v>12
 (bolsas de 500gr)</v>
      </c>
      <c r="AL123" s="2" t="str">
        <f>'FLORIDA CENTER'!AK5</f>
        <v>11
 (bolsas de 500gr)</v>
      </c>
      <c r="AM123" s="2" t="str">
        <f>'FLORIDA CENTER'!AL5</f>
        <v>10
 (bolsas de 500gr)</v>
      </c>
      <c r="AN123" s="2" t="str">
        <f>'FLORIDA CENTER'!AM5</f>
        <v>9
 (bolsas de 500gr)</v>
      </c>
      <c r="AO123" s="2" t="str">
        <f>'FLORIDA CENTER'!AN5</f>
        <v>7
 (bolsas de 500gr)</v>
      </c>
      <c r="AP123" s="2" t="str">
        <f>'FLORIDA CENTER'!AO5</f>
        <v>7
 (bolsas de 500gr)</v>
      </c>
      <c r="AQ123" s="2" t="str">
        <f>'FLORIDA CENTER'!AP5</f>
        <v>5
 (bolsas de 500gr)</v>
      </c>
      <c r="AR123" s="2" t="str">
        <f>'FLORIDA CENTER'!AQ5</f>
        <v>5
 (bolsas de 500gr)</v>
      </c>
      <c r="AS123" s="2" t="str">
        <f>'FLORIDA CENTER'!AR5</f>
        <v>4
 (bolsas de 500gr)</v>
      </c>
      <c r="AT123" s="2" t="str">
        <f>'FLORIDA CENTER'!AS5</f>
        <v>20
 (bolsas de 500gr)</v>
      </c>
      <c r="AU123" s="2" t="str">
        <f>'FLORIDA CENTER'!AT5</f>
        <v>19
 (bolsas de 500gr)</v>
      </c>
      <c r="AV123" s="2" t="str">
        <f>'FLORIDA CENTER'!AU5</f>
        <v>18
 (bolsas de 500gr)</v>
      </c>
      <c r="AW123" s="2" t="str">
        <f>'FLORIDA CENTER'!AV5</f>
        <v>17
 (bolsas de 500gr)</v>
      </c>
      <c r="AX123" s="2" t="str">
        <f>'FLORIDA CENTER'!AW5</f>
        <v>16
 (bolsas de 500gr)</v>
      </c>
      <c r="AY123" s="2" t="str">
        <f>'FLORIDA CENTER'!AX5</f>
        <v>15
 (bolsas de 500gr)</v>
      </c>
      <c r="AZ123" s="2" t="str">
        <f>'FLORIDA CENTER'!AY5</f>
        <v>14
 (bolsas de 500gr)</v>
      </c>
      <c r="BA123" s="2" t="str">
        <f>'FLORIDA CENTER'!AZ5</f>
        <v>14
 (bolsas de 500gr)</v>
      </c>
      <c r="BB123" s="2" t="str">
        <f>'FLORIDA CENTER'!BA5</f>
        <v>13
 (bolsas de 500gr)</v>
      </c>
      <c r="BC123" s="2" t="str">
        <f>'FLORIDA CENTER'!BB5</f>
        <v>12
 (bolsas de 500gr)</v>
      </c>
      <c r="BD123" s="2" t="str">
        <f>'FLORIDA CENTER'!BC5</f>
        <v>10
(bolsas de 500gr)</v>
      </c>
      <c r="BE123" s="2" t="str">
        <f>'FLORIDA CENTER'!BD5</f>
        <v>33
(bolsas de 500gr)</v>
      </c>
      <c r="BF123" s="2" t="str">
        <f>'FLORIDA CENTER'!BE5</f>
        <v>31
(bolsas de 500gr)</v>
      </c>
      <c r="BG123" s="2" t="str">
        <f>'FLORIDA CENTER'!BF5</f>
        <v>31
(bolsas de 500gr)</v>
      </c>
      <c r="BH123" s="2" t="str">
        <f>'FLORIDA CENTER'!BG5</f>
        <v>31
(bolsas de 500gr)</v>
      </c>
      <c r="BI123" s="2" t="str">
        <f>'FLORIDA CENTER'!BH5</f>
        <v>29
(bolsas de 500gr)</v>
      </c>
      <c r="BJ123" s="2" t="str">
        <f>'FLORIDA CENTER'!BI5</f>
        <v>28
(bolsas de 500gr)</v>
      </c>
      <c r="BK123" s="2" t="str">
        <f>'FLORIDA CENTER'!BJ5</f>
        <v>27
(bolsas de 500gr)</v>
      </c>
      <c r="BL123" s="2" t="str">
        <f>'FLORIDA CENTER'!BK5</f>
        <v/>
      </c>
      <c r="BM123" s="2" t="str">
        <f>'FLORIDA CENTER'!BL5</f>
        <v/>
      </c>
      <c r="BN123" s="2" t="str">
        <f>'FLORIDA CENTER'!BM5</f>
        <v/>
      </c>
      <c r="BO123" s="2" t="str">
        <f>'FLORIDA CENTER'!BN5</f>
        <v/>
      </c>
      <c r="BP123" s="2" t="str">
        <f>'FLORIDA CENTER'!BO5</f>
        <v/>
      </c>
      <c r="BQ123" s="2" t="str">
        <f>'FLORIDA CENTER'!BP5</f>
        <v/>
      </c>
      <c r="BR123" s="2" t="str">
        <f>'FLORIDA CENTER'!BQ5</f>
        <v/>
      </c>
      <c r="BS123" s="2" t="str">
        <f>'FLORIDA CENTER'!BR5</f>
        <v/>
      </c>
      <c r="BT123" s="2"/>
      <c r="BU123" s="2"/>
      <c r="BV123" s="2"/>
      <c r="BW123" s="2"/>
    </row>
    <row r="124">
      <c r="A124" s="2"/>
      <c r="B124" s="2" t="str">
        <f>'FLORIDA CENTER'!A6</f>
        <v>Florida Center</v>
      </c>
      <c r="C124" s="2" t="str">
        <f>'FLORIDA CENTER'!B6</f>
        <v>Cafeteria</v>
      </c>
      <c r="D124" s="2" t="str">
        <f>'FLORIDA CENTER'!C6</f>
        <v>Café soluble</v>
      </c>
      <c r="E124" s="2" t="str">
        <f>'FLORIDA CENTER'!D6</f>
        <v/>
      </c>
      <c r="F124" s="2" t="str">
        <f>'FLORIDA CENTER'!E6</f>
        <v/>
      </c>
      <c r="G124" s="2" t="str">
        <f>'FLORIDA CENTER'!F6</f>
        <v/>
      </c>
      <c r="H124" s="2" t="str">
        <f>'FLORIDA CENTER'!G6</f>
        <v/>
      </c>
      <c r="I124" s="2" t="str">
        <f>'FLORIDA CENTER'!H6</f>
        <v/>
      </c>
      <c r="J124" s="2" t="str">
        <f>'FLORIDA CENTER'!I6</f>
        <v/>
      </c>
      <c r="K124" s="2" t="str">
        <f>'FLORIDA CENTER'!J6</f>
        <v/>
      </c>
      <c r="L124" s="2" t="str">
        <f>'FLORIDA CENTER'!K6</f>
        <v/>
      </c>
      <c r="M124" s="2" t="str">
        <f>'FLORIDA CENTER'!L6</f>
        <v/>
      </c>
      <c r="N124" s="2" t="str">
        <f>'FLORIDA CENTER'!M6</f>
        <v/>
      </c>
      <c r="O124" s="2" t="str">
        <f>'FLORIDA CENTER'!N6</f>
        <v/>
      </c>
      <c r="P124" s="2" t="str">
        <f>'FLORIDA CENTER'!O6</f>
        <v/>
      </c>
      <c r="Q124" s="2" t="str">
        <f>'FLORIDA CENTER'!P6</f>
        <v/>
      </c>
      <c r="R124" s="2" t="str">
        <f>'FLORIDA CENTER'!Q6</f>
        <v/>
      </c>
      <c r="S124" s="2" t="str">
        <f>'FLORIDA CENTER'!R6</f>
        <v/>
      </c>
      <c r="T124" s="2" t="str">
        <f>'FLORIDA CENTER'!S6</f>
        <v/>
      </c>
      <c r="U124" s="2" t="str">
        <f>'FLORIDA CENTER'!T6</f>
        <v/>
      </c>
      <c r="V124" s="2" t="str">
        <f>'FLORIDA CENTER'!U6</f>
        <v/>
      </c>
      <c r="W124" s="2" t="str">
        <f>'FLORIDA CENTER'!V6</f>
        <v/>
      </c>
      <c r="X124" s="2" t="str">
        <f>'FLORIDA CENTER'!W6</f>
        <v/>
      </c>
      <c r="Y124" s="2" t="str">
        <f>'FLORIDA CENTER'!X6</f>
        <v/>
      </c>
      <c r="Z124" s="2" t="str">
        <f>'FLORIDA CENTER'!Y6</f>
        <v>-</v>
      </c>
      <c r="AA124" s="2" t="str">
        <f>'FLORIDA CENTER'!Z6</f>
        <v>-</v>
      </c>
      <c r="AB124" s="2" t="str">
        <f>'FLORIDA CENTER'!AA6</f>
        <v>-</v>
      </c>
      <c r="AC124" s="2" t="str">
        <f>'FLORIDA CENTER'!AB6</f>
        <v>-</v>
      </c>
      <c r="AD124" s="2" t="str">
        <f>'FLORIDA CENTER'!AC6</f>
        <v>-</v>
      </c>
      <c r="AE124" s="2" t="str">
        <f>'FLORIDA CENTER'!AD6</f>
        <v>-</v>
      </c>
      <c r="AF124" s="2" t="str">
        <f>'FLORIDA CENTER'!AE6</f>
        <v>-</v>
      </c>
      <c r="AG124" s="2" t="str">
        <f>'FLORIDA CENTER'!AF6</f>
        <v>-</v>
      </c>
      <c r="AH124" s="2" t="str">
        <f>'FLORIDA CENTER'!AG6</f>
        <v>-</v>
      </c>
      <c r="AI124" s="2">
        <f>'FLORIDA CENTER'!AH6</f>
        <v>0</v>
      </c>
      <c r="AJ124" s="2">
        <f>'FLORIDA CENTER'!AI6</f>
        <v>2</v>
      </c>
      <c r="AK124" s="2">
        <f>'FLORIDA CENTER'!AJ6</f>
        <v>2</v>
      </c>
      <c r="AL124" s="2">
        <f>'FLORIDA CENTER'!AK6</f>
        <v>2</v>
      </c>
      <c r="AM124" s="2">
        <f>'FLORIDA CENTER'!AL6</f>
        <v>2</v>
      </c>
      <c r="AN124" s="2">
        <f>'FLORIDA CENTER'!AM6</f>
        <v>2</v>
      </c>
      <c r="AO124" s="2">
        <f>'FLORIDA CENTER'!AN6</f>
        <v>2</v>
      </c>
      <c r="AP124" s="2">
        <f>'FLORIDA CENTER'!AO6</f>
        <v>1</v>
      </c>
      <c r="AQ124" s="2">
        <f>'FLORIDA CENTER'!AP6</f>
        <v>2</v>
      </c>
      <c r="AR124" s="2">
        <f>'FLORIDA CENTER'!AQ6</f>
        <v>2</v>
      </c>
      <c r="AS124" s="2">
        <f>'FLORIDA CENTER'!AR6</f>
        <v>2</v>
      </c>
      <c r="AT124" s="2">
        <f>'FLORIDA CENTER'!AS6</f>
        <v>2</v>
      </c>
      <c r="AU124" s="2">
        <f>'FLORIDA CENTER'!AT6</f>
        <v>2</v>
      </c>
      <c r="AV124" s="2">
        <f>'FLORIDA CENTER'!AU6</f>
        <v>2</v>
      </c>
      <c r="AW124" s="2">
        <f>'FLORIDA CENTER'!AV6</f>
        <v>2</v>
      </c>
      <c r="AX124" s="2">
        <f>'FLORIDA CENTER'!AW6</f>
        <v>2</v>
      </c>
      <c r="AY124" s="2">
        <f>'FLORIDA CENTER'!AX6</f>
        <v>2</v>
      </c>
      <c r="AZ124" s="2">
        <f>'FLORIDA CENTER'!AY6</f>
        <v>2</v>
      </c>
      <c r="BA124" s="2">
        <f>'FLORIDA CENTER'!AZ6</f>
        <v>2</v>
      </c>
      <c r="BB124" s="2">
        <f>'FLORIDA CENTER'!BA6</f>
        <v>2</v>
      </c>
      <c r="BC124" s="2">
        <f>'FLORIDA CENTER'!BB6</f>
        <v>2</v>
      </c>
      <c r="BD124" s="2">
        <f>'FLORIDA CENTER'!BC6</f>
        <v>2</v>
      </c>
      <c r="BE124" s="2">
        <f>'FLORIDA CENTER'!BD6</f>
        <v>2</v>
      </c>
      <c r="BF124" s="2">
        <f>'FLORIDA CENTER'!BE6</f>
        <v>1</v>
      </c>
      <c r="BG124" s="2">
        <f>'FLORIDA CENTER'!BF6</f>
        <v>2</v>
      </c>
      <c r="BH124" s="2">
        <f>'FLORIDA CENTER'!BG6</f>
        <v>2</v>
      </c>
      <c r="BI124" s="2">
        <f>'FLORIDA CENTER'!BH6</f>
        <v>2</v>
      </c>
      <c r="BJ124" s="2">
        <f>'FLORIDA CENTER'!BI6</f>
        <v>2</v>
      </c>
      <c r="BK124" s="2">
        <f>'FLORIDA CENTER'!BJ6</f>
        <v>2</v>
      </c>
      <c r="BL124" s="2" t="str">
        <f>'FLORIDA CENTER'!BK6</f>
        <v/>
      </c>
      <c r="BM124" s="2" t="str">
        <f>'FLORIDA CENTER'!BL6</f>
        <v/>
      </c>
      <c r="BN124" s="2" t="str">
        <f>'FLORIDA CENTER'!BM6</f>
        <v/>
      </c>
      <c r="BO124" s="2" t="str">
        <f>'FLORIDA CENTER'!BN6</f>
        <v/>
      </c>
      <c r="BP124" s="2" t="str">
        <f>'FLORIDA CENTER'!BO6</f>
        <v/>
      </c>
      <c r="BQ124" s="2" t="str">
        <f>'FLORIDA CENTER'!BP6</f>
        <v/>
      </c>
      <c r="BR124" s="2" t="str">
        <f>'FLORIDA CENTER'!BQ6</f>
        <v/>
      </c>
      <c r="BS124" s="2" t="str">
        <f>'FLORIDA CENTER'!BR6</f>
        <v/>
      </c>
      <c r="BT124" s="2"/>
      <c r="BU124" s="2"/>
      <c r="BV124" s="2"/>
      <c r="BW124" s="2"/>
    </row>
    <row r="125">
      <c r="A125" s="2"/>
      <c r="B125" s="2" t="str">
        <f>'FLORIDA CENTER'!A7</f>
        <v>Florida Center</v>
      </c>
      <c r="C125" s="2" t="str">
        <f>'FLORIDA CENTER'!B7</f>
        <v>Cafeteria</v>
      </c>
      <c r="D125" s="2" t="str">
        <f>'FLORIDA CENTER'!C7</f>
        <v>Té Negro</v>
      </c>
      <c r="E125" s="2" t="str">
        <f>'FLORIDA CENTER'!D7</f>
        <v/>
      </c>
      <c r="F125" s="2" t="str">
        <f>'FLORIDA CENTER'!E7</f>
        <v/>
      </c>
      <c r="G125" s="2" t="str">
        <f>'FLORIDA CENTER'!F7</f>
        <v/>
      </c>
      <c r="H125" s="2" t="str">
        <f>'FLORIDA CENTER'!G7</f>
        <v/>
      </c>
      <c r="I125" s="2" t="str">
        <f>'FLORIDA CENTER'!H7</f>
        <v/>
      </c>
      <c r="J125" s="2" t="str">
        <f>'FLORIDA CENTER'!I7</f>
        <v/>
      </c>
      <c r="K125" s="2" t="str">
        <f>'FLORIDA CENTER'!J7</f>
        <v/>
      </c>
      <c r="L125" s="2" t="str">
        <f>'FLORIDA CENTER'!K7</f>
        <v/>
      </c>
      <c r="M125" s="2" t="str">
        <f>'FLORIDA CENTER'!L7</f>
        <v/>
      </c>
      <c r="N125" s="2" t="str">
        <f>'FLORIDA CENTER'!M7</f>
        <v/>
      </c>
      <c r="O125" s="2" t="str">
        <f>'FLORIDA CENTER'!N7</f>
        <v/>
      </c>
      <c r="P125" s="2" t="str">
        <f>'FLORIDA CENTER'!O7</f>
        <v/>
      </c>
      <c r="Q125" s="2" t="str">
        <f>'FLORIDA CENTER'!P7</f>
        <v/>
      </c>
      <c r="R125" s="2" t="str">
        <f>'FLORIDA CENTER'!Q7</f>
        <v/>
      </c>
      <c r="S125" s="2" t="str">
        <f>'FLORIDA CENTER'!R7</f>
        <v/>
      </c>
      <c r="T125" s="2" t="str">
        <f>'FLORIDA CENTER'!S7</f>
        <v/>
      </c>
      <c r="U125" s="2" t="str">
        <f>'FLORIDA CENTER'!T7</f>
        <v/>
      </c>
      <c r="V125" s="2" t="str">
        <f>'FLORIDA CENTER'!U7</f>
        <v/>
      </c>
      <c r="W125" s="2" t="str">
        <f>'FLORIDA CENTER'!V7</f>
        <v/>
      </c>
      <c r="X125" s="2" t="str">
        <f>'FLORIDA CENTER'!W7</f>
        <v/>
      </c>
      <c r="Y125" s="2" t="str">
        <f>'FLORIDA CENTER'!X7</f>
        <v/>
      </c>
      <c r="Z125" s="2" t="str">
        <f>'FLORIDA CENTER'!Y7</f>
        <v>-</v>
      </c>
      <c r="AA125" s="2" t="str">
        <f>'FLORIDA CENTER'!Z7</f>
        <v>-</v>
      </c>
      <c r="AB125" s="2" t="str">
        <f>'FLORIDA CENTER'!AA7</f>
        <v>-</v>
      </c>
      <c r="AC125" s="2" t="str">
        <f>'FLORIDA CENTER'!AB7</f>
        <v>-</v>
      </c>
      <c r="AD125" s="2" t="str">
        <f>'FLORIDA CENTER'!AC7</f>
        <v>-</v>
      </c>
      <c r="AE125" s="2" t="str">
        <f>'FLORIDA CENTER'!AD7</f>
        <v>-</v>
      </c>
      <c r="AF125" s="2" t="str">
        <f>'FLORIDA CENTER'!AE7</f>
        <v>-</v>
      </c>
      <c r="AG125" s="2" t="str">
        <f>'FLORIDA CENTER'!AF7</f>
        <v>-</v>
      </c>
      <c r="AH125" s="2" t="str">
        <f>'FLORIDA CENTER'!AG7</f>
        <v>-</v>
      </c>
      <c r="AI125" s="2">
        <f>'FLORIDA CENTER'!AH7</f>
        <v>2</v>
      </c>
      <c r="AJ125" s="2">
        <f>'FLORIDA CENTER'!AI7</f>
        <v>3</v>
      </c>
      <c r="AK125" s="2">
        <f>'FLORIDA CENTER'!AJ7</f>
        <v>3</v>
      </c>
      <c r="AL125" s="2">
        <f>'FLORIDA CENTER'!AK7</f>
        <v>3</v>
      </c>
      <c r="AM125" s="2">
        <f>'FLORIDA CENTER'!AL7</f>
        <v>3</v>
      </c>
      <c r="AN125" s="2">
        <f>'FLORIDA CENTER'!AM7</f>
        <v>3</v>
      </c>
      <c r="AO125" s="2">
        <f>'FLORIDA CENTER'!AN7</f>
        <v>3</v>
      </c>
      <c r="AP125" s="2">
        <f>'FLORIDA CENTER'!AO7</f>
        <v>3</v>
      </c>
      <c r="AQ125" s="2">
        <f>'FLORIDA CENTER'!AP7</f>
        <v>4</v>
      </c>
      <c r="AR125" s="2">
        <f>'FLORIDA CENTER'!AQ7</f>
        <v>4</v>
      </c>
      <c r="AS125" s="2">
        <f>'FLORIDA CENTER'!AR7</f>
        <v>4</v>
      </c>
      <c r="AT125" s="2">
        <f>'FLORIDA CENTER'!AS7</f>
        <v>4</v>
      </c>
      <c r="AU125" s="2">
        <f>'FLORIDA CENTER'!AT7</f>
        <v>4</v>
      </c>
      <c r="AV125" s="2">
        <f>'FLORIDA CENTER'!AU7</f>
        <v>4</v>
      </c>
      <c r="AW125" s="2">
        <f>'FLORIDA CENTER'!AV7</f>
        <v>4</v>
      </c>
      <c r="AX125" s="2">
        <f>'FLORIDA CENTER'!AW7</f>
        <v>4</v>
      </c>
      <c r="AY125" s="2">
        <f>'FLORIDA CENTER'!AX7</f>
        <v>4</v>
      </c>
      <c r="AZ125" s="2">
        <f>'FLORIDA CENTER'!AY7</f>
        <v>4</v>
      </c>
      <c r="BA125" s="2">
        <f>'FLORIDA CENTER'!AZ7</f>
        <v>4</v>
      </c>
      <c r="BB125" s="2">
        <f>'FLORIDA CENTER'!BA7</f>
        <v>4</v>
      </c>
      <c r="BC125" s="2">
        <f>'FLORIDA CENTER'!BB7</f>
        <v>4</v>
      </c>
      <c r="BD125" s="2">
        <f>'FLORIDA CENTER'!BC7</f>
        <v>4</v>
      </c>
      <c r="BE125" s="2">
        <f>'FLORIDA CENTER'!BD7</f>
        <v>4</v>
      </c>
      <c r="BF125" s="2">
        <f>'FLORIDA CENTER'!BE7</f>
        <v>4</v>
      </c>
      <c r="BG125" s="2">
        <f>'FLORIDA CENTER'!BF7</f>
        <v>4</v>
      </c>
      <c r="BH125" s="2">
        <f>'FLORIDA CENTER'!BG7</f>
        <v>4</v>
      </c>
      <c r="BI125" s="2">
        <f>'FLORIDA CENTER'!BH7</f>
        <v>4</v>
      </c>
      <c r="BJ125" s="2">
        <f>'FLORIDA CENTER'!BI7</f>
        <v>4</v>
      </c>
      <c r="BK125" s="2">
        <f>'FLORIDA CENTER'!BJ7</f>
        <v>4</v>
      </c>
      <c r="BL125" s="2" t="str">
        <f>'FLORIDA CENTER'!BK7</f>
        <v/>
      </c>
      <c r="BM125" s="2" t="str">
        <f>'FLORIDA CENTER'!BL7</f>
        <v/>
      </c>
      <c r="BN125" s="2" t="str">
        <f>'FLORIDA CENTER'!BM7</f>
        <v/>
      </c>
      <c r="BO125" s="2" t="str">
        <f>'FLORIDA CENTER'!BN7</f>
        <v/>
      </c>
      <c r="BP125" s="2" t="str">
        <f>'FLORIDA CENTER'!BO7</f>
        <v/>
      </c>
      <c r="BQ125" s="2" t="str">
        <f>'FLORIDA CENTER'!BP7</f>
        <v/>
      </c>
      <c r="BR125" s="2" t="str">
        <f>'FLORIDA CENTER'!BQ7</f>
        <v/>
      </c>
      <c r="BS125" s="2" t="str">
        <f>'FLORIDA CENTER'!BR7</f>
        <v/>
      </c>
      <c r="BT125" s="2"/>
      <c r="BU125" s="2"/>
      <c r="BV125" s="2"/>
      <c r="BW125" s="2"/>
    </row>
    <row r="126">
      <c r="A126" s="2"/>
      <c r="B126" s="2" t="str">
        <f>'FLORIDA CENTER'!A8</f>
        <v>Florida Center</v>
      </c>
      <c r="C126" s="2" t="str">
        <f>'FLORIDA CENTER'!B8</f>
        <v>Cafeteria</v>
      </c>
      <c r="D126" s="2" t="str">
        <f>'FLORIDA CENTER'!C8</f>
        <v>Té Premium</v>
      </c>
      <c r="E126" s="2" t="str">
        <f>'FLORIDA CENTER'!D8</f>
        <v/>
      </c>
      <c r="F126" s="2" t="str">
        <f>'FLORIDA CENTER'!E8</f>
        <v/>
      </c>
      <c r="G126" s="2" t="str">
        <f>'FLORIDA CENTER'!F8</f>
        <v/>
      </c>
      <c r="H126" s="2" t="str">
        <f>'FLORIDA CENTER'!G8</f>
        <v/>
      </c>
      <c r="I126" s="2" t="str">
        <f>'FLORIDA CENTER'!H8</f>
        <v/>
      </c>
      <c r="J126" s="2" t="str">
        <f>'FLORIDA CENTER'!I8</f>
        <v/>
      </c>
      <c r="K126" s="2" t="str">
        <f>'FLORIDA CENTER'!J8</f>
        <v/>
      </c>
      <c r="L126" s="2" t="str">
        <f>'FLORIDA CENTER'!K8</f>
        <v/>
      </c>
      <c r="M126" s="2" t="str">
        <f>'FLORIDA CENTER'!L8</f>
        <v/>
      </c>
      <c r="N126" s="2" t="str">
        <f>'FLORIDA CENTER'!M8</f>
        <v/>
      </c>
      <c r="O126" s="2" t="str">
        <f>'FLORIDA CENTER'!N8</f>
        <v/>
      </c>
      <c r="P126" s="2" t="str">
        <f>'FLORIDA CENTER'!O8</f>
        <v/>
      </c>
      <c r="Q126" s="2" t="str">
        <f>'FLORIDA CENTER'!P8</f>
        <v/>
      </c>
      <c r="R126" s="2" t="str">
        <f>'FLORIDA CENTER'!Q8</f>
        <v/>
      </c>
      <c r="S126" s="2" t="str">
        <f>'FLORIDA CENTER'!R8</f>
        <v/>
      </c>
      <c r="T126" s="2" t="str">
        <f>'FLORIDA CENTER'!S8</f>
        <v/>
      </c>
      <c r="U126" s="2" t="str">
        <f>'FLORIDA CENTER'!T8</f>
        <v/>
      </c>
      <c r="V126" s="2" t="str">
        <f>'FLORIDA CENTER'!U8</f>
        <v/>
      </c>
      <c r="W126" s="2" t="str">
        <f>'FLORIDA CENTER'!V8</f>
        <v/>
      </c>
      <c r="X126" s="2" t="str">
        <f>'FLORIDA CENTER'!W8</f>
        <v/>
      </c>
      <c r="Y126" s="2" t="str">
        <f>'FLORIDA CENTER'!X8</f>
        <v/>
      </c>
      <c r="Z126" s="2" t="str">
        <f>'FLORIDA CENTER'!Y8</f>
        <v>-</v>
      </c>
      <c r="AA126" s="2" t="str">
        <f>'FLORIDA CENTER'!Z8</f>
        <v>-</v>
      </c>
      <c r="AB126" s="2" t="str">
        <f>'FLORIDA CENTER'!AA8</f>
        <v>-</v>
      </c>
      <c r="AC126" s="2" t="str">
        <f>'FLORIDA CENTER'!AB8</f>
        <v>-</v>
      </c>
      <c r="AD126" s="2" t="str">
        <f>'FLORIDA CENTER'!AC8</f>
        <v>-</v>
      </c>
      <c r="AE126" s="2" t="str">
        <f>'FLORIDA CENTER'!AD8</f>
        <v>-</v>
      </c>
      <c r="AF126" s="2" t="str">
        <f>'FLORIDA CENTER'!AE8</f>
        <v>-</v>
      </c>
      <c r="AG126" s="2" t="str">
        <f>'FLORIDA CENTER'!AF8</f>
        <v>-</v>
      </c>
      <c r="AH126" s="2" t="str">
        <f>'FLORIDA CENTER'!AG8</f>
        <v>-</v>
      </c>
      <c r="AI126" s="2">
        <f>'FLORIDA CENTER'!AH8</f>
        <v>1</v>
      </c>
      <c r="AJ126" s="2">
        <f>'FLORIDA CENTER'!AI8</f>
        <v>2</v>
      </c>
      <c r="AK126" s="2">
        <f>'FLORIDA CENTER'!AJ8</f>
        <v>2</v>
      </c>
      <c r="AL126" s="2">
        <f>'FLORIDA CENTER'!AK8</f>
        <v>1</v>
      </c>
      <c r="AM126" s="2">
        <f>'FLORIDA CENTER'!AL8</f>
        <v>1</v>
      </c>
      <c r="AN126" s="2">
        <f>'FLORIDA CENTER'!AM8</f>
        <v>1</v>
      </c>
      <c r="AO126" s="2">
        <f>'FLORIDA CENTER'!AN8</f>
        <v>1</v>
      </c>
      <c r="AP126" s="2">
        <f>'FLORIDA CENTER'!AO8</f>
        <v>1</v>
      </c>
      <c r="AQ126" s="2">
        <f>'FLORIDA CENTER'!AP8</f>
        <v>2</v>
      </c>
      <c r="AR126" s="2">
        <f>'FLORIDA CENTER'!AQ8</f>
        <v>2</v>
      </c>
      <c r="AS126" s="2">
        <f>'FLORIDA CENTER'!AR8</f>
        <v>2</v>
      </c>
      <c r="AT126" s="2">
        <f>'FLORIDA CENTER'!AS8</f>
        <v>2</v>
      </c>
      <c r="AU126" s="2">
        <f>'FLORIDA CENTER'!AT8</f>
        <v>2</v>
      </c>
      <c r="AV126" s="2">
        <f>'FLORIDA CENTER'!AU8</f>
        <v>2</v>
      </c>
      <c r="AW126" s="2">
        <f>'FLORIDA CENTER'!AV8</f>
        <v>2</v>
      </c>
      <c r="AX126" s="2">
        <f>'FLORIDA CENTER'!AW8</f>
        <v>2</v>
      </c>
      <c r="AY126" s="2">
        <f>'FLORIDA CENTER'!AX8</f>
        <v>2</v>
      </c>
      <c r="AZ126" s="2">
        <f>'FLORIDA CENTER'!AY8</f>
        <v>2</v>
      </c>
      <c r="BA126" s="2">
        <f>'FLORIDA CENTER'!AZ8</f>
        <v>2</v>
      </c>
      <c r="BB126" s="2">
        <f>'FLORIDA CENTER'!BA8</f>
        <v>2</v>
      </c>
      <c r="BC126" s="2">
        <f>'FLORIDA CENTER'!BB8</f>
        <v>2</v>
      </c>
      <c r="BD126" s="2">
        <f>'FLORIDA CENTER'!BC8</f>
        <v>1</v>
      </c>
      <c r="BE126" s="2">
        <f>'FLORIDA CENTER'!BD8</f>
        <v>1</v>
      </c>
      <c r="BF126" s="2">
        <f>'FLORIDA CENTER'!BE8</f>
        <v>1</v>
      </c>
      <c r="BG126" s="2">
        <f>'FLORIDA CENTER'!BF8</f>
        <v>2</v>
      </c>
      <c r="BH126" s="2">
        <f>'FLORIDA CENTER'!BG8</f>
        <v>2</v>
      </c>
      <c r="BI126" s="2">
        <f>'FLORIDA CENTER'!BH8</f>
        <v>2</v>
      </c>
      <c r="BJ126" s="2">
        <f>'FLORIDA CENTER'!BI8</f>
        <v>2</v>
      </c>
      <c r="BK126" s="2">
        <f>'FLORIDA CENTER'!BJ8</f>
        <v>2</v>
      </c>
      <c r="BL126" s="2" t="str">
        <f>'FLORIDA CENTER'!BK8</f>
        <v/>
      </c>
      <c r="BM126" s="2" t="str">
        <f>'FLORIDA CENTER'!BL8</f>
        <v/>
      </c>
      <c r="BN126" s="2" t="str">
        <f>'FLORIDA CENTER'!BM8</f>
        <v/>
      </c>
      <c r="BO126" s="2" t="str">
        <f>'FLORIDA CENTER'!BN8</f>
        <v/>
      </c>
      <c r="BP126" s="2" t="str">
        <f>'FLORIDA CENTER'!BO8</f>
        <v/>
      </c>
      <c r="BQ126" s="2" t="str">
        <f>'FLORIDA CENTER'!BP8</f>
        <v/>
      </c>
      <c r="BR126" s="2" t="str">
        <f>'FLORIDA CENTER'!BQ8</f>
        <v/>
      </c>
      <c r="BS126" s="2" t="str">
        <f>'FLORIDA CENTER'!BR8</f>
        <v/>
      </c>
      <c r="BT126" s="2"/>
      <c r="BU126" s="2"/>
      <c r="BV126" s="2"/>
      <c r="BW126" s="2"/>
    </row>
    <row r="127">
      <c r="A127" s="2"/>
      <c r="B127" s="2" t="str">
        <f>'FLORIDA CENTER'!A9</f>
        <v>Florida Center</v>
      </c>
      <c r="C127" s="2" t="str">
        <f>'FLORIDA CENTER'!B9</f>
        <v>Cafeteria</v>
      </c>
      <c r="D127" s="2" t="str">
        <f>'FLORIDA CENTER'!C9</f>
        <v>Supremo de Hierbas</v>
      </c>
      <c r="E127" s="2" t="str">
        <f>'FLORIDA CENTER'!D9</f>
        <v/>
      </c>
      <c r="F127" s="2" t="str">
        <f>'FLORIDA CENTER'!E9</f>
        <v/>
      </c>
      <c r="G127" s="2" t="str">
        <f>'FLORIDA CENTER'!F9</f>
        <v/>
      </c>
      <c r="H127" s="2" t="str">
        <f>'FLORIDA CENTER'!G9</f>
        <v/>
      </c>
      <c r="I127" s="2" t="str">
        <f>'FLORIDA CENTER'!H9</f>
        <v/>
      </c>
      <c r="J127" s="2" t="str">
        <f>'FLORIDA CENTER'!I9</f>
        <v/>
      </c>
      <c r="K127" s="2" t="str">
        <f>'FLORIDA CENTER'!J9</f>
        <v/>
      </c>
      <c r="L127" s="2" t="str">
        <f>'FLORIDA CENTER'!K9</f>
        <v/>
      </c>
      <c r="M127" s="2" t="str">
        <f>'FLORIDA CENTER'!L9</f>
        <v/>
      </c>
      <c r="N127" s="2" t="str">
        <f>'FLORIDA CENTER'!M9</f>
        <v/>
      </c>
      <c r="O127" s="2" t="str">
        <f>'FLORIDA CENTER'!N9</f>
        <v/>
      </c>
      <c r="P127" s="2" t="str">
        <f>'FLORIDA CENTER'!O9</f>
        <v/>
      </c>
      <c r="Q127" s="2" t="str">
        <f>'FLORIDA CENTER'!P9</f>
        <v/>
      </c>
      <c r="R127" s="2" t="str">
        <f>'FLORIDA CENTER'!Q9</f>
        <v/>
      </c>
      <c r="S127" s="2" t="str">
        <f>'FLORIDA CENTER'!R9</f>
        <v/>
      </c>
      <c r="T127" s="2" t="str">
        <f>'FLORIDA CENTER'!S9</f>
        <v/>
      </c>
      <c r="U127" s="2" t="str">
        <f>'FLORIDA CENTER'!T9</f>
        <v/>
      </c>
      <c r="V127" s="2" t="str">
        <f>'FLORIDA CENTER'!U9</f>
        <v/>
      </c>
      <c r="W127" s="2" t="str">
        <f>'FLORIDA CENTER'!V9</f>
        <v/>
      </c>
      <c r="X127" s="2" t="str">
        <f>'FLORIDA CENTER'!W9</f>
        <v/>
      </c>
      <c r="Y127" s="2" t="str">
        <f>'FLORIDA CENTER'!X9</f>
        <v/>
      </c>
      <c r="Z127" s="2" t="str">
        <f>'FLORIDA CENTER'!Y9</f>
        <v>-</v>
      </c>
      <c r="AA127" s="2" t="str">
        <f>'FLORIDA CENTER'!Z9</f>
        <v>-</v>
      </c>
      <c r="AB127" s="2" t="str">
        <f>'FLORIDA CENTER'!AA9</f>
        <v>-</v>
      </c>
      <c r="AC127" s="2" t="str">
        <f>'FLORIDA CENTER'!AB9</f>
        <v>-</v>
      </c>
      <c r="AD127" s="2" t="str">
        <f>'FLORIDA CENTER'!AC9</f>
        <v>-</v>
      </c>
      <c r="AE127" s="2" t="str">
        <f>'FLORIDA CENTER'!AD9</f>
        <v>-</v>
      </c>
      <c r="AF127" s="2" t="str">
        <f>'FLORIDA CENTER'!AE9</f>
        <v>-</v>
      </c>
      <c r="AG127" s="2" t="str">
        <f>'FLORIDA CENTER'!AF9</f>
        <v>-</v>
      </c>
      <c r="AH127" s="2" t="str">
        <f>'FLORIDA CENTER'!AG9</f>
        <v>-</v>
      </c>
      <c r="AI127" s="2">
        <f>'FLORIDA CENTER'!AH9</f>
        <v>1</v>
      </c>
      <c r="AJ127" s="2">
        <f>'FLORIDA CENTER'!AI9</f>
        <v>1</v>
      </c>
      <c r="AK127" s="2">
        <f>'FLORIDA CENTER'!AJ9</f>
        <v>0</v>
      </c>
      <c r="AL127" s="2">
        <f>'FLORIDA CENTER'!AK9</f>
        <v>0</v>
      </c>
      <c r="AM127" s="2">
        <f>'FLORIDA CENTER'!AL9</f>
        <v>0</v>
      </c>
      <c r="AN127" s="2">
        <f>'FLORIDA CENTER'!AM9</f>
        <v>0</v>
      </c>
      <c r="AO127" s="2">
        <f>'FLORIDA CENTER'!AN9</f>
        <v>0</v>
      </c>
      <c r="AP127" s="2">
        <f>'FLORIDA CENTER'!AO9</f>
        <v>0</v>
      </c>
      <c r="AQ127" s="2">
        <f>'FLORIDA CENTER'!AP9</f>
        <v>1</v>
      </c>
      <c r="AR127" s="2">
        <f>'FLORIDA CENTER'!AQ9</f>
        <v>1</v>
      </c>
      <c r="AS127" s="2">
        <f>'FLORIDA CENTER'!AR9</f>
        <v>1</v>
      </c>
      <c r="AT127" s="2">
        <f>'FLORIDA CENTER'!AS9</f>
        <v>1</v>
      </c>
      <c r="AU127" s="2">
        <f>'FLORIDA CENTER'!AT9</f>
        <v>1</v>
      </c>
      <c r="AV127" s="2">
        <f>'FLORIDA CENTER'!AU9</f>
        <v>1</v>
      </c>
      <c r="AW127" s="2">
        <f>'FLORIDA CENTER'!AV9</f>
        <v>1</v>
      </c>
      <c r="AX127" s="2">
        <f>'FLORIDA CENTER'!AW9</f>
        <v>3</v>
      </c>
      <c r="AY127" s="2">
        <f>'FLORIDA CENTER'!AX9</f>
        <v>2</v>
      </c>
      <c r="AZ127" s="2">
        <f>'FLORIDA CENTER'!AY9</f>
        <v>2</v>
      </c>
      <c r="BA127" s="2">
        <f>'FLORIDA CENTER'!AZ9</f>
        <v>2</v>
      </c>
      <c r="BB127" s="2">
        <f>'FLORIDA CENTER'!BA9</f>
        <v>2</v>
      </c>
      <c r="BC127" s="2">
        <f>'FLORIDA CENTER'!BB9</f>
        <v>2</v>
      </c>
      <c r="BD127" s="2">
        <f>'FLORIDA CENTER'!BC9</f>
        <v>2</v>
      </c>
      <c r="BE127" s="2">
        <f>'FLORIDA CENTER'!BD9</f>
        <v>2</v>
      </c>
      <c r="BF127" s="2">
        <f>'FLORIDA CENTER'!BE9</f>
        <v>2</v>
      </c>
      <c r="BG127" s="2">
        <f>'FLORIDA CENTER'!BF9</f>
        <v>4</v>
      </c>
      <c r="BH127" s="2">
        <f>'FLORIDA CENTER'!BG9</f>
        <v>4</v>
      </c>
      <c r="BI127" s="2">
        <f>'FLORIDA CENTER'!BH9</f>
        <v>3</v>
      </c>
      <c r="BJ127" s="2">
        <f>'FLORIDA CENTER'!BI9</f>
        <v>3</v>
      </c>
      <c r="BK127" s="2">
        <f>'FLORIDA CENTER'!BJ9</f>
        <v>3</v>
      </c>
      <c r="BL127" s="2" t="str">
        <f>'FLORIDA CENTER'!BK9</f>
        <v/>
      </c>
      <c r="BM127" s="2" t="str">
        <f>'FLORIDA CENTER'!BL9</f>
        <v/>
      </c>
      <c r="BN127" s="2" t="str">
        <f>'FLORIDA CENTER'!BM9</f>
        <v/>
      </c>
      <c r="BO127" s="2" t="str">
        <f>'FLORIDA CENTER'!BN9</f>
        <v/>
      </c>
      <c r="BP127" s="2" t="str">
        <f>'FLORIDA CENTER'!BO9</f>
        <v/>
      </c>
      <c r="BQ127" s="2" t="str">
        <f>'FLORIDA CENTER'!BP9</f>
        <v/>
      </c>
      <c r="BR127" s="2" t="str">
        <f>'FLORIDA CENTER'!BQ9</f>
        <v/>
      </c>
      <c r="BS127" s="2" t="str">
        <f>'FLORIDA CENTER'!BR9</f>
        <v/>
      </c>
      <c r="BT127" s="2"/>
      <c r="BU127" s="2"/>
      <c r="BV127" s="2"/>
      <c r="BW127" s="2"/>
    </row>
    <row r="128">
      <c r="A128" s="2"/>
      <c r="B128" s="2" t="str">
        <f>'FLORIDA CENTER'!A10</f>
        <v>Florida Center</v>
      </c>
      <c r="C128" s="2" t="str">
        <f>'FLORIDA CENTER'!B10</f>
        <v>Cafeteria</v>
      </c>
      <c r="D128" s="2" t="str">
        <f>'FLORIDA CENTER'!C10</f>
        <v>Toalla de Papel Jumbo (UN)</v>
      </c>
      <c r="E128" s="2">
        <f>'FLORIDA CENTER'!D10</f>
        <v>1</v>
      </c>
      <c r="F128" s="2">
        <f>'FLORIDA CENTER'!E10</f>
        <v>1</v>
      </c>
      <c r="G128" s="2">
        <f>'FLORIDA CENTER'!F10</f>
        <v>1</v>
      </c>
      <c r="H128" s="2">
        <f>'FLORIDA CENTER'!G10</f>
        <v>1</v>
      </c>
      <c r="I128" s="2">
        <f>'FLORIDA CENTER'!H10</f>
        <v>1</v>
      </c>
      <c r="J128" s="2">
        <f>'FLORIDA CENTER'!I10</f>
        <v>1</v>
      </c>
      <c r="K128" s="2" t="str">
        <f>'FLORIDA CENTER'!J10</f>
        <v>-</v>
      </c>
      <c r="L128" s="2">
        <f>'FLORIDA CENTER'!K10</f>
        <v>1</v>
      </c>
      <c r="M128" s="2">
        <f>'FLORIDA CENTER'!L10</f>
        <v>1</v>
      </c>
      <c r="N128" s="2">
        <f>'FLORIDA CENTER'!M10</f>
        <v>1</v>
      </c>
      <c r="O128" s="2">
        <f>'FLORIDA CENTER'!N10</f>
        <v>2</v>
      </c>
      <c r="P128" s="2">
        <f>'FLORIDA CENTER'!O10</f>
        <v>2</v>
      </c>
      <c r="Q128" s="2">
        <f>'FLORIDA CENTER'!P10</f>
        <v>2</v>
      </c>
      <c r="R128" s="2">
        <f>'FLORIDA CENTER'!Q10</f>
        <v>2</v>
      </c>
      <c r="S128" s="2">
        <f>'FLORIDA CENTER'!R10</f>
        <v>3</v>
      </c>
      <c r="T128" s="2">
        <f>'FLORIDA CENTER'!S10</f>
        <v>0</v>
      </c>
      <c r="U128" s="2">
        <f>'FLORIDA CENTER'!T10</f>
        <v>2</v>
      </c>
      <c r="V128" s="2">
        <f>'FLORIDA CENTER'!U10</f>
        <v>2</v>
      </c>
      <c r="W128" s="2">
        <f>'FLORIDA CENTER'!V10</f>
        <v>4</v>
      </c>
      <c r="X128" s="2">
        <f>'FLORIDA CENTER'!W10</f>
        <v>4</v>
      </c>
      <c r="Y128" s="2">
        <f>'FLORIDA CENTER'!X10</f>
        <v>2</v>
      </c>
      <c r="Z128" s="2">
        <f>'FLORIDA CENTER'!Y10</f>
        <v>1</v>
      </c>
      <c r="AA128" s="2">
        <f>'FLORIDA CENTER'!Z10</f>
        <v>3</v>
      </c>
      <c r="AB128" s="2">
        <f>'FLORIDA CENTER'!AA10</f>
        <v>0</v>
      </c>
      <c r="AC128" s="2">
        <f>'FLORIDA CENTER'!AB10</f>
        <v>0</v>
      </c>
      <c r="AD128" s="2">
        <f>'FLORIDA CENTER'!AC10</f>
        <v>4</v>
      </c>
      <c r="AE128" s="2">
        <f>'FLORIDA CENTER'!AD10</f>
        <v>4</v>
      </c>
      <c r="AF128" s="2">
        <f>'FLORIDA CENTER'!AE10</f>
        <v>4</v>
      </c>
      <c r="AG128" s="2">
        <f>'FLORIDA CENTER'!AF10</f>
        <v>2</v>
      </c>
      <c r="AH128" s="2">
        <f>'FLORIDA CENTER'!AG10</f>
        <v>0</v>
      </c>
      <c r="AI128" s="2">
        <f>'FLORIDA CENTER'!AH10</f>
        <v>10</v>
      </c>
      <c r="AJ128" s="2">
        <f>'FLORIDA CENTER'!AI10</f>
        <v>7</v>
      </c>
      <c r="AK128" s="2">
        <f>'FLORIDA CENTER'!AJ10</f>
        <v>6</v>
      </c>
      <c r="AL128" s="2">
        <f>'FLORIDA CENTER'!AK10</f>
        <v>6</v>
      </c>
      <c r="AM128" s="2">
        <f>'FLORIDA CENTER'!AL10</f>
        <v>5</v>
      </c>
      <c r="AN128" s="2">
        <f>'FLORIDA CENTER'!AM10</f>
        <v>5</v>
      </c>
      <c r="AO128" s="2">
        <f>'FLORIDA CENTER'!AN10</f>
        <v>3</v>
      </c>
      <c r="AP128" s="2">
        <f>'FLORIDA CENTER'!AO10</f>
        <v>2</v>
      </c>
      <c r="AQ128" s="2">
        <f>'FLORIDA CENTER'!AP10</f>
        <v>0</v>
      </c>
      <c r="AR128" s="2">
        <f>'FLORIDA CENTER'!AQ10</f>
        <v>0</v>
      </c>
      <c r="AS128" s="2">
        <f>'FLORIDA CENTER'!AR10</f>
        <v>4</v>
      </c>
      <c r="AT128" s="2">
        <f>'FLORIDA CENTER'!AS10</f>
        <v>2</v>
      </c>
      <c r="AU128" s="2">
        <f>'FLORIDA CENTER'!AT10</f>
        <v>1</v>
      </c>
      <c r="AV128" s="2">
        <f>'FLORIDA CENTER'!AU10</f>
        <v>0</v>
      </c>
      <c r="AW128" s="2">
        <f>'FLORIDA CENTER'!AV10</f>
        <v>0</v>
      </c>
      <c r="AX128" s="2">
        <f>'FLORIDA CENTER'!AW10</f>
        <v>12</v>
      </c>
      <c r="AY128" s="2">
        <f>'FLORIDA CENTER'!AX10</f>
        <v>10</v>
      </c>
      <c r="AZ128" s="2">
        <f>'FLORIDA CENTER'!AY10</f>
        <v>8</v>
      </c>
      <c r="BA128" s="2">
        <f>'FLORIDA CENTER'!AZ10</f>
        <v>14</v>
      </c>
      <c r="BB128" s="2">
        <f>'FLORIDA CENTER'!BA10</f>
        <v>13</v>
      </c>
      <c r="BC128" s="2">
        <f>'FLORIDA CENTER'!BB10</f>
        <v>12</v>
      </c>
      <c r="BD128" s="2">
        <f>'FLORIDA CENTER'!BC10</f>
        <v>10</v>
      </c>
      <c r="BE128" s="2">
        <f>'FLORIDA CENTER'!BD10</f>
        <v>8</v>
      </c>
      <c r="BF128" s="2">
        <f>'FLORIDA CENTER'!BE10</f>
        <v>8</v>
      </c>
      <c r="BG128" s="2">
        <f>'FLORIDA CENTER'!BF10</f>
        <v>10</v>
      </c>
      <c r="BH128" s="2">
        <f>'FLORIDA CENTER'!BG10</f>
        <v>10</v>
      </c>
      <c r="BI128" s="2">
        <f>'FLORIDA CENTER'!BH10</f>
        <v>8</v>
      </c>
      <c r="BJ128" s="2">
        <f>'FLORIDA CENTER'!BI10</f>
        <v>8</v>
      </c>
      <c r="BK128" s="2">
        <f>'FLORIDA CENTER'!BJ10</f>
        <v>7</v>
      </c>
      <c r="BL128" s="2" t="str">
        <f>'FLORIDA CENTER'!BK10</f>
        <v/>
      </c>
      <c r="BM128" s="2" t="str">
        <f>'FLORIDA CENTER'!BL10</f>
        <v/>
      </c>
      <c r="BN128" s="2" t="str">
        <f>'FLORIDA CENTER'!BM10</f>
        <v/>
      </c>
      <c r="BO128" s="2" t="str">
        <f>'FLORIDA CENTER'!BN10</f>
        <v/>
      </c>
      <c r="BP128" s="2" t="str">
        <f>'FLORIDA CENTER'!BO10</f>
        <v/>
      </c>
      <c r="BQ128" s="2" t="str">
        <f>'FLORIDA CENTER'!BP10</f>
        <v/>
      </c>
      <c r="BR128" s="2" t="str">
        <f>'FLORIDA CENTER'!BQ10</f>
        <v/>
      </c>
      <c r="BS128" s="2" t="str">
        <f>'FLORIDA CENTER'!BR10</f>
        <v/>
      </c>
      <c r="BT128" s="2"/>
      <c r="BU128" s="2"/>
      <c r="BV128" s="2"/>
      <c r="BW128" s="2"/>
    </row>
    <row r="129">
      <c r="A129" s="2"/>
      <c r="B129" s="2" t="str">
        <f>'FLORIDA CENTER'!A11</f>
        <v>Florida Center</v>
      </c>
      <c r="C129" s="2" t="str">
        <f>'FLORIDA CENTER'!B11</f>
        <v>Cafeteria</v>
      </c>
      <c r="D129" s="2" t="str">
        <f>'FLORIDA CENTER'!C11</f>
        <v>Papel Higienico (UN)</v>
      </c>
      <c r="E129" s="2" t="str">
        <f>'FLORIDA CENTER'!D11</f>
        <v>- </v>
      </c>
      <c r="F129" s="2" t="str">
        <f>'FLORIDA CENTER'!E11</f>
        <v>-</v>
      </c>
      <c r="G129" s="2" t="str">
        <f>'FLORIDA CENTER'!F11</f>
        <v>-</v>
      </c>
      <c r="H129" s="2" t="str">
        <f>'FLORIDA CENTER'!G11</f>
        <v>-</v>
      </c>
      <c r="I129" s="2" t="str">
        <f>'FLORIDA CENTER'!H11</f>
        <v>-</v>
      </c>
      <c r="J129" s="2" t="str">
        <f>'FLORIDA CENTER'!I11</f>
        <v>-</v>
      </c>
      <c r="K129" s="2" t="str">
        <f>'FLORIDA CENTER'!J11</f>
        <v>-</v>
      </c>
      <c r="L129" s="2" t="str">
        <f>'FLORIDA CENTER'!K11</f>
        <v>-</v>
      </c>
      <c r="M129" s="2" t="str">
        <f>'FLORIDA CENTER'!L11</f>
        <v>-</v>
      </c>
      <c r="N129" s="2" t="str">
        <f>'FLORIDA CENTER'!M11</f>
        <v>-</v>
      </c>
      <c r="O129" s="2" t="str">
        <f>'FLORIDA CENTER'!N11</f>
        <v>-</v>
      </c>
      <c r="P129" s="2" t="str">
        <f>'FLORIDA CENTER'!O11</f>
        <v>-</v>
      </c>
      <c r="Q129" s="2" t="str">
        <f>'FLORIDA CENTER'!P11</f>
        <v>-</v>
      </c>
      <c r="R129" s="2" t="str">
        <f>'FLORIDA CENTER'!Q11</f>
        <v>-</v>
      </c>
      <c r="S129" s="2" t="str">
        <f>'FLORIDA CENTER'!R11</f>
        <v>-</v>
      </c>
      <c r="T129" s="2" t="str">
        <f>'FLORIDA CENTER'!S11</f>
        <v>-</v>
      </c>
      <c r="U129" s="2" t="str">
        <f>'FLORIDA CENTER'!T11</f>
        <v>-</v>
      </c>
      <c r="V129" s="2" t="str">
        <f>'FLORIDA CENTER'!U11</f>
        <v>-</v>
      </c>
      <c r="W129" s="2">
        <f>'FLORIDA CENTER'!V11</f>
        <v>6</v>
      </c>
      <c r="X129" s="2">
        <f>'FLORIDA CENTER'!W11</f>
        <v>2</v>
      </c>
      <c r="Y129" s="2">
        <f>'FLORIDA CENTER'!X11</f>
        <v>3</v>
      </c>
      <c r="Z129" s="2">
        <f>'FLORIDA CENTER'!Y11</f>
        <v>3</v>
      </c>
      <c r="AA129" s="2">
        <f>'FLORIDA CENTER'!Z11</f>
        <v>4</v>
      </c>
      <c r="AB129" s="2">
        <f>'FLORIDA CENTER'!AA11</f>
        <v>0</v>
      </c>
      <c r="AC129" s="2">
        <f>'FLORIDA CENTER'!AB11</f>
        <v>0</v>
      </c>
      <c r="AD129" s="2">
        <f>'FLORIDA CENTER'!AC11</f>
        <v>0</v>
      </c>
      <c r="AE129" s="2" t="str">
        <f>'FLORIDA CENTER'!AD11</f>
        <v>-</v>
      </c>
      <c r="AF129" s="2" t="str">
        <f>'FLORIDA CENTER'!AE11</f>
        <v>-</v>
      </c>
      <c r="AG129" s="2" t="str">
        <f>'FLORIDA CENTER'!AF11</f>
        <v>-</v>
      </c>
      <c r="AH129" s="2" t="str">
        <f>'FLORIDA CENTER'!AG11</f>
        <v>-</v>
      </c>
      <c r="AI129" s="2" t="str">
        <f>'FLORIDA CENTER'!AH11</f>
        <v>-</v>
      </c>
      <c r="AJ129" s="2" t="str">
        <f>'FLORIDA CENTER'!AI11</f>
        <v>-</v>
      </c>
      <c r="AK129" s="2" t="str">
        <f>'FLORIDA CENTER'!AJ11</f>
        <v>-</v>
      </c>
      <c r="AL129" s="2" t="str">
        <f>'FLORIDA CENTER'!AK11</f>
        <v>-</v>
      </c>
      <c r="AM129" s="2" t="str">
        <f>'FLORIDA CENTER'!AL11</f>
        <v>-</v>
      </c>
      <c r="AN129" s="2" t="str">
        <f>'FLORIDA CENTER'!AM11</f>
        <v>-</v>
      </c>
      <c r="AO129" s="2" t="str">
        <f>'FLORIDA CENTER'!AN11</f>
        <v>-</v>
      </c>
      <c r="AP129" s="2" t="str">
        <f>'FLORIDA CENTER'!AO11</f>
        <v>-</v>
      </c>
      <c r="AQ129" s="2" t="str">
        <f>'FLORIDA CENTER'!AP11</f>
        <v>-</v>
      </c>
      <c r="AR129" s="2" t="str">
        <f>'FLORIDA CENTER'!AQ11</f>
        <v>-</v>
      </c>
      <c r="AS129" s="2" t="str">
        <f>'FLORIDA CENTER'!AR11</f>
        <v>-</v>
      </c>
      <c r="AT129" s="2" t="str">
        <f>'FLORIDA CENTER'!AS11</f>
        <v>-</v>
      </c>
      <c r="AU129" s="2" t="str">
        <f>'FLORIDA CENTER'!AT11</f>
        <v>-</v>
      </c>
      <c r="AV129" s="2" t="str">
        <f>'FLORIDA CENTER'!AU11</f>
        <v>-</v>
      </c>
      <c r="AW129" s="2" t="str">
        <f>'FLORIDA CENTER'!AV11</f>
        <v>-</v>
      </c>
      <c r="AX129" s="2" t="str">
        <f>'FLORIDA CENTER'!AW11</f>
        <v>-</v>
      </c>
      <c r="AY129" s="2" t="str">
        <f>'FLORIDA CENTER'!AX11</f>
        <v>-</v>
      </c>
      <c r="AZ129" s="2" t="str">
        <f>'FLORIDA CENTER'!AY11</f>
        <v>-</v>
      </c>
      <c r="BA129" s="2" t="str">
        <f>'FLORIDA CENTER'!AZ11</f>
        <v>-</v>
      </c>
      <c r="BB129" s="2" t="str">
        <f>'FLORIDA CENTER'!BA11</f>
        <v>-</v>
      </c>
      <c r="BC129" s="2" t="str">
        <f>'FLORIDA CENTER'!BB11</f>
        <v>-</v>
      </c>
      <c r="BD129" s="2" t="str">
        <f>'FLORIDA CENTER'!BC11</f>
        <v>-</v>
      </c>
      <c r="BE129" s="2" t="str">
        <f>'FLORIDA CENTER'!BD11</f>
        <v>-</v>
      </c>
      <c r="BF129" s="2" t="str">
        <f>'FLORIDA CENTER'!BE11</f>
        <v>-</v>
      </c>
      <c r="BG129" s="2" t="str">
        <f>'FLORIDA CENTER'!BF11</f>
        <v>-</v>
      </c>
      <c r="BH129" s="2" t="str">
        <f>'FLORIDA CENTER'!BG11</f>
        <v>-</v>
      </c>
      <c r="BI129" s="2" t="str">
        <f>'FLORIDA CENTER'!BH11</f>
        <v>-</v>
      </c>
      <c r="BJ129" s="2" t="str">
        <f>'FLORIDA CENTER'!BI11</f>
        <v>-</v>
      </c>
      <c r="BK129" s="2" t="str">
        <f>'FLORIDA CENTER'!BJ11</f>
        <v>-</v>
      </c>
      <c r="BL129" s="2" t="str">
        <f>'FLORIDA CENTER'!BK11</f>
        <v/>
      </c>
      <c r="BM129" s="2" t="str">
        <f>'FLORIDA CENTER'!BL11</f>
        <v/>
      </c>
      <c r="BN129" s="2" t="str">
        <f>'FLORIDA CENTER'!BM11</f>
        <v/>
      </c>
      <c r="BO129" s="2" t="str">
        <f>'FLORIDA CENTER'!BN11</f>
        <v/>
      </c>
      <c r="BP129" s="2" t="str">
        <f>'FLORIDA CENTER'!BO11</f>
        <v/>
      </c>
      <c r="BQ129" s="2" t="str">
        <f>'FLORIDA CENTER'!BP11</f>
        <v/>
      </c>
      <c r="BR129" s="2" t="str">
        <f>'FLORIDA CENTER'!BQ11</f>
        <v/>
      </c>
      <c r="BS129" s="2" t="str">
        <f>'FLORIDA CENTER'!BR11</f>
        <v/>
      </c>
      <c r="BT129" s="2"/>
      <c r="BU129" s="2"/>
      <c r="BV129" s="2"/>
      <c r="BW129" s="2"/>
    </row>
    <row r="130">
      <c r="A130" s="2"/>
      <c r="B130" s="2" t="str">
        <f>'FLORIDA CENTER'!A12</f>
        <v>Florida Center</v>
      </c>
      <c r="C130" s="2" t="str">
        <f>'FLORIDA CENTER'!B12</f>
        <v>Cafeteria</v>
      </c>
      <c r="D130" s="2" t="str">
        <f>'FLORIDA CENTER'!C12</f>
        <v>Servilletas</v>
      </c>
      <c r="E130" s="2" t="str">
        <f>'FLORIDA CENTER'!D12</f>
        <v/>
      </c>
      <c r="F130" s="2" t="str">
        <f>'FLORIDA CENTER'!E12</f>
        <v/>
      </c>
      <c r="G130" s="2" t="str">
        <f>'FLORIDA CENTER'!F12</f>
        <v/>
      </c>
      <c r="H130" s="2" t="str">
        <f>'FLORIDA CENTER'!G12</f>
        <v/>
      </c>
      <c r="I130" s="2" t="str">
        <f>'FLORIDA CENTER'!H12</f>
        <v/>
      </c>
      <c r="J130" s="2" t="str">
        <f>'FLORIDA CENTER'!I12</f>
        <v/>
      </c>
      <c r="K130" s="2" t="str">
        <f>'FLORIDA CENTER'!J12</f>
        <v/>
      </c>
      <c r="L130" s="2" t="str">
        <f>'FLORIDA CENTER'!K12</f>
        <v/>
      </c>
      <c r="M130" s="2" t="str">
        <f>'FLORIDA CENTER'!L12</f>
        <v/>
      </c>
      <c r="N130" s="2" t="str">
        <f>'FLORIDA CENTER'!M12</f>
        <v/>
      </c>
      <c r="O130" s="2" t="str">
        <f>'FLORIDA CENTER'!N12</f>
        <v/>
      </c>
      <c r="P130" s="2" t="str">
        <f>'FLORIDA CENTER'!O12</f>
        <v/>
      </c>
      <c r="Q130" s="2" t="str">
        <f>'FLORIDA CENTER'!P12</f>
        <v/>
      </c>
      <c r="R130" s="2" t="str">
        <f>'FLORIDA CENTER'!Q12</f>
        <v/>
      </c>
      <c r="S130" s="2" t="str">
        <f>'FLORIDA CENTER'!R12</f>
        <v/>
      </c>
      <c r="T130" s="2" t="str">
        <f>'FLORIDA CENTER'!S12</f>
        <v/>
      </c>
      <c r="U130" s="2" t="str">
        <f>'FLORIDA CENTER'!T12</f>
        <v/>
      </c>
      <c r="V130" s="2" t="str">
        <f>'FLORIDA CENTER'!U12</f>
        <v/>
      </c>
      <c r="W130" s="2" t="str">
        <f>'FLORIDA CENTER'!V12</f>
        <v/>
      </c>
      <c r="X130" s="2" t="str">
        <f>'FLORIDA CENTER'!W12</f>
        <v/>
      </c>
      <c r="Y130" s="2" t="str">
        <f>'FLORIDA CENTER'!X12</f>
        <v/>
      </c>
      <c r="Z130" s="2" t="str">
        <f>'FLORIDA CENTER'!Y12</f>
        <v>-</v>
      </c>
      <c r="AA130" s="2" t="str">
        <f>'FLORIDA CENTER'!Z12</f>
        <v>-</v>
      </c>
      <c r="AB130" s="2" t="str">
        <f>'FLORIDA CENTER'!AA12</f>
        <v>-</v>
      </c>
      <c r="AC130" s="2" t="str">
        <f>'FLORIDA CENTER'!AB12</f>
        <v>-</v>
      </c>
      <c r="AD130" s="2" t="str">
        <f>'FLORIDA CENTER'!AC12</f>
        <v>-</v>
      </c>
      <c r="AE130" s="2" t="str">
        <f>'FLORIDA CENTER'!AD12</f>
        <v>-</v>
      </c>
      <c r="AF130" s="2" t="str">
        <f>'FLORIDA CENTER'!AE12</f>
        <v>-</v>
      </c>
      <c r="AG130" s="2" t="str">
        <f>'FLORIDA CENTER'!AF12</f>
        <v>-</v>
      </c>
      <c r="AH130" s="2" t="str">
        <f>'FLORIDA CENTER'!AG12</f>
        <v>-</v>
      </c>
      <c r="AI130" s="2">
        <f>'FLORIDA CENTER'!AH12</f>
        <v>7</v>
      </c>
      <c r="AJ130" s="2">
        <f>'FLORIDA CENTER'!AI12</f>
        <v>12</v>
      </c>
      <c r="AK130" s="2">
        <f>'FLORIDA CENTER'!AJ12</f>
        <v>12</v>
      </c>
      <c r="AL130" s="2">
        <f>'FLORIDA CENTER'!AK12</f>
        <v>11</v>
      </c>
      <c r="AM130" s="2">
        <f>'FLORIDA CENTER'!AL12</f>
        <v>11</v>
      </c>
      <c r="AN130" s="2">
        <f>'FLORIDA CENTER'!AM12</f>
        <v>10</v>
      </c>
      <c r="AO130" s="2">
        <f>'FLORIDA CENTER'!AN12</f>
        <v>8</v>
      </c>
      <c r="AP130" s="2">
        <f>'FLORIDA CENTER'!AO12</f>
        <v>8</v>
      </c>
      <c r="AQ130" s="2">
        <f>'FLORIDA CENTER'!AP12</f>
        <v>7</v>
      </c>
      <c r="AR130" s="2">
        <f>'FLORIDA CENTER'!AQ12</f>
        <v>6</v>
      </c>
      <c r="AS130" s="2">
        <f>'FLORIDA CENTER'!AR12</f>
        <v>6</v>
      </c>
      <c r="AT130" s="2">
        <f>'FLORIDA CENTER'!AS12</f>
        <v>6</v>
      </c>
      <c r="AU130" s="2">
        <f>'FLORIDA CENTER'!AT12</f>
        <v>5</v>
      </c>
      <c r="AV130" s="2">
        <f>'FLORIDA CENTER'!AU12</f>
        <v>4</v>
      </c>
      <c r="AW130" s="2">
        <f>'FLORIDA CENTER'!AV12</f>
        <v>3</v>
      </c>
      <c r="AX130" s="2">
        <f>'FLORIDA CENTER'!AW12</f>
        <v>12</v>
      </c>
      <c r="AY130" s="2">
        <f>'FLORIDA CENTER'!AX12</f>
        <v>12</v>
      </c>
      <c r="AZ130" s="2">
        <f>'FLORIDA CENTER'!AY12</f>
        <v>11</v>
      </c>
      <c r="BA130" s="2">
        <f>'FLORIDA CENTER'!AZ12</f>
        <v>11</v>
      </c>
      <c r="BB130" s="2">
        <f>'FLORIDA CENTER'!BA12</f>
        <v>10</v>
      </c>
      <c r="BC130" s="2">
        <f>'FLORIDA CENTER'!BB12</f>
        <v>9</v>
      </c>
      <c r="BD130" s="2">
        <f>'FLORIDA CENTER'!BC12</f>
        <v>7</v>
      </c>
      <c r="BE130" s="2">
        <f>'FLORIDA CENTER'!BD12</f>
        <v>7</v>
      </c>
      <c r="BF130" s="2">
        <f>'FLORIDA CENTER'!BE12</f>
        <v>6</v>
      </c>
      <c r="BG130" s="2">
        <f>'FLORIDA CENTER'!BF12</f>
        <v>16</v>
      </c>
      <c r="BH130" s="2">
        <f>'FLORIDA CENTER'!BG12</f>
        <v>15</v>
      </c>
      <c r="BI130" s="2">
        <f>'FLORIDA CENTER'!BH12</f>
        <v>14</v>
      </c>
      <c r="BJ130" s="2">
        <f>'FLORIDA CENTER'!BI12</f>
        <v>14</v>
      </c>
      <c r="BK130" s="2">
        <f>'FLORIDA CENTER'!BJ12</f>
        <v>13</v>
      </c>
      <c r="BL130" s="2" t="str">
        <f>'FLORIDA CENTER'!BK12</f>
        <v/>
      </c>
      <c r="BM130" s="2" t="str">
        <f>'FLORIDA CENTER'!BL12</f>
        <v/>
      </c>
      <c r="BN130" s="2" t="str">
        <f>'FLORIDA CENTER'!BM12</f>
        <v/>
      </c>
      <c r="BO130" s="2" t="str">
        <f>'FLORIDA CENTER'!BN12</f>
        <v/>
      </c>
      <c r="BP130" s="2" t="str">
        <f>'FLORIDA CENTER'!BO12</f>
        <v/>
      </c>
      <c r="BQ130" s="2" t="str">
        <f>'FLORIDA CENTER'!BP12</f>
        <v/>
      </c>
      <c r="BR130" s="2" t="str">
        <f>'FLORIDA CENTER'!BQ12</f>
        <v/>
      </c>
      <c r="BS130" s="2" t="str">
        <f>'FLORIDA CENTER'!BR12</f>
        <v/>
      </c>
      <c r="BT130" s="2"/>
      <c r="BU130" s="2"/>
      <c r="BV130" s="2"/>
      <c r="BW130" s="2"/>
    </row>
    <row r="131">
      <c r="A131" s="2"/>
      <c r="B131" s="2" t="str">
        <f>'FLORIDA CENTER'!A13</f>
        <v>Florida Center</v>
      </c>
      <c r="C131" s="2" t="str">
        <f>'FLORIDA CENTER'!B13</f>
        <v>Cafeteria</v>
      </c>
      <c r="D131" s="2" t="str">
        <f>'FLORIDA CENTER'!C13</f>
        <v>Leche Liquida</v>
      </c>
      <c r="E131" s="2" t="str">
        <f>'FLORIDA CENTER'!D13</f>
        <v/>
      </c>
      <c r="F131" s="2" t="str">
        <f>'FLORIDA CENTER'!E13</f>
        <v/>
      </c>
      <c r="G131" s="2" t="str">
        <f>'FLORIDA CENTER'!F13</f>
        <v/>
      </c>
      <c r="H131" s="2" t="str">
        <f>'FLORIDA CENTER'!G13</f>
        <v/>
      </c>
      <c r="I131" s="2" t="str">
        <f>'FLORIDA CENTER'!H13</f>
        <v/>
      </c>
      <c r="J131" s="2" t="str">
        <f>'FLORIDA CENTER'!I13</f>
        <v/>
      </c>
      <c r="K131" s="2" t="str">
        <f>'FLORIDA CENTER'!J13</f>
        <v/>
      </c>
      <c r="L131" s="2" t="str">
        <f>'FLORIDA CENTER'!K13</f>
        <v/>
      </c>
      <c r="M131" s="2" t="str">
        <f>'FLORIDA CENTER'!L13</f>
        <v/>
      </c>
      <c r="N131" s="2" t="str">
        <f>'FLORIDA CENTER'!M13</f>
        <v/>
      </c>
      <c r="O131" s="2" t="str">
        <f>'FLORIDA CENTER'!N13</f>
        <v/>
      </c>
      <c r="P131" s="2" t="str">
        <f>'FLORIDA CENTER'!O13</f>
        <v/>
      </c>
      <c r="Q131" s="2" t="str">
        <f>'FLORIDA CENTER'!P13</f>
        <v/>
      </c>
      <c r="R131" s="2" t="str">
        <f>'FLORIDA CENTER'!Q13</f>
        <v/>
      </c>
      <c r="S131" s="2" t="str">
        <f>'FLORIDA CENTER'!R13</f>
        <v/>
      </c>
      <c r="T131" s="2" t="str">
        <f>'FLORIDA CENTER'!S13</f>
        <v/>
      </c>
      <c r="U131" s="2" t="str">
        <f>'FLORIDA CENTER'!T13</f>
        <v/>
      </c>
      <c r="V131" s="2" t="str">
        <f>'FLORIDA CENTER'!U13</f>
        <v/>
      </c>
      <c r="W131" s="2">
        <f>'FLORIDA CENTER'!V13</f>
        <v>2</v>
      </c>
      <c r="X131" s="2">
        <f>'FLORIDA CENTER'!W13</f>
        <v>2</v>
      </c>
      <c r="Y131" s="2">
        <f>'FLORIDA CENTER'!X13</f>
        <v>2</v>
      </c>
      <c r="Z131" s="2">
        <f>'FLORIDA CENTER'!Y13</f>
        <v>1</v>
      </c>
      <c r="AA131" s="2">
        <f>'FLORIDA CENTER'!Z13</f>
        <v>3</v>
      </c>
      <c r="AB131" s="2">
        <f>'FLORIDA CENTER'!AA13</f>
        <v>1</v>
      </c>
      <c r="AC131" s="2">
        <f>'FLORIDA CENTER'!AB13</f>
        <v>11</v>
      </c>
      <c r="AD131" s="2">
        <f>'FLORIDA CENTER'!AC13</f>
        <v>12</v>
      </c>
      <c r="AE131" s="2">
        <f>'FLORIDA CENTER'!AD13</f>
        <v>12</v>
      </c>
      <c r="AF131" s="2">
        <f>'FLORIDA CENTER'!AE13</f>
        <v>12</v>
      </c>
      <c r="AG131" s="2">
        <f>'FLORIDA CENTER'!AF13</f>
        <v>10</v>
      </c>
      <c r="AH131" s="2">
        <f>'FLORIDA CENTER'!AG13</f>
        <v>10</v>
      </c>
      <c r="AI131" s="2">
        <f>'FLORIDA CENTER'!AH13</f>
        <v>9</v>
      </c>
      <c r="AJ131" s="2">
        <f>'FLORIDA CENTER'!AI13</f>
        <v>20</v>
      </c>
      <c r="AK131" s="2">
        <f>'FLORIDA CENTER'!AJ13</f>
        <v>19</v>
      </c>
      <c r="AL131" s="2">
        <f>'FLORIDA CENTER'!AK13</f>
        <v>19</v>
      </c>
      <c r="AM131" s="2">
        <f>'FLORIDA CENTER'!AL13</f>
        <v>19</v>
      </c>
      <c r="AN131" s="2">
        <f>'FLORIDA CENTER'!AM13</f>
        <v>16</v>
      </c>
      <c r="AO131" s="2">
        <f>'FLORIDA CENTER'!AN13</f>
        <v>15</v>
      </c>
      <c r="AP131" s="2">
        <f>'FLORIDA CENTER'!AO13</f>
        <v>14</v>
      </c>
      <c r="AQ131" s="2">
        <f>'FLORIDA CENTER'!AP13</f>
        <v>25</v>
      </c>
      <c r="AR131" s="2">
        <f>'FLORIDA CENTER'!AQ13</f>
        <v>24</v>
      </c>
      <c r="AS131" s="2">
        <f>'FLORIDA CENTER'!AR13</f>
        <v>23</v>
      </c>
      <c r="AT131" s="2">
        <f>'FLORIDA CENTER'!AS13</f>
        <v>22</v>
      </c>
      <c r="AU131" s="2">
        <f>'FLORIDA CENTER'!AT13</f>
        <v>21</v>
      </c>
      <c r="AV131" s="2">
        <f>'FLORIDA CENTER'!AU13</f>
        <v>21</v>
      </c>
      <c r="AW131" s="2">
        <f>'FLORIDA CENTER'!AV13</f>
        <v>18</v>
      </c>
      <c r="AX131" s="2">
        <f>'FLORIDA CENTER'!AW13</f>
        <v>18</v>
      </c>
      <c r="AY131" s="2">
        <f>'FLORIDA CENTER'!AX13</f>
        <v>18</v>
      </c>
      <c r="AZ131" s="2">
        <f>'FLORIDA CENTER'!AY13</f>
        <v>17</v>
      </c>
      <c r="BA131" s="2">
        <f>'FLORIDA CENTER'!AZ13</f>
        <v>17</v>
      </c>
      <c r="BB131" s="2">
        <f>'FLORIDA CENTER'!BA13</f>
        <v>15</v>
      </c>
      <c r="BC131" s="2">
        <f>'FLORIDA CENTER'!BB13</f>
        <v>14</v>
      </c>
      <c r="BD131" s="2">
        <f>'FLORIDA CENTER'!BC13</f>
        <v>12</v>
      </c>
      <c r="BE131" s="2">
        <f>'FLORIDA CENTER'!BD13</f>
        <v>10</v>
      </c>
      <c r="BF131" s="2">
        <f>'FLORIDA CENTER'!BE13</f>
        <v>9</v>
      </c>
      <c r="BG131" s="2">
        <f>'FLORIDA CENTER'!BF13</f>
        <v>24</v>
      </c>
      <c r="BH131" s="2">
        <f>'FLORIDA CENTER'!BG13</f>
        <v>23</v>
      </c>
      <c r="BI131" s="2">
        <f>'FLORIDA CENTER'!BH13</f>
        <v>22</v>
      </c>
      <c r="BJ131" s="2">
        <f>'FLORIDA CENTER'!BI13</f>
        <v>20</v>
      </c>
      <c r="BK131" s="2">
        <f>'FLORIDA CENTER'!BJ13</f>
        <v>19</v>
      </c>
      <c r="BL131" s="2" t="str">
        <f>'FLORIDA CENTER'!BK13</f>
        <v/>
      </c>
      <c r="BM131" s="2" t="str">
        <f>'FLORIDA CENTER'!BL13</f>
        <v/>
      </c>
      <c r="BN131" s="2" t="str">
        <f>'FLORIDA CENTER'!BM13</f>
        <v/>
      </c>
      <c r="BO131" s="2" t="str">
        <f>'FLORIDA CENTER'!BN13</f>
        <v/>
      </c>
      <c r="BP131" s="2" t="str">
        <f>'FLORIDA CENTER'!BO13</f>
        <v/>
      </c>
      <c r="BQ131" s="2" t="str">
        <f>'FLORIDA CENTER'!BP13</f>
        <v/>
      </c>
      <c r="BR131" s="2" t="str">
        <f>'FLORIDA CENTER'!BQ13</f>
        <v/>
      </c>
      <c r="BS131" s="2" t="str">
        <f>'FLORIDA CENTER'!BR13</f>
        <v/>
      </c>
      <c r="BT131" s="2"/>
      <c r="BU131" s="2"/>
      <c r="BV131" s="2"/>
      <c r="BW131" s="2"/>
    </row>
    <row r="132">
      <c r="A132" s="2"/>
      <c r="B132" s="2" t="str">
        <f>'FLORIDA CENTER'!A14</f>
        <v>Florida Center</v>
      </c>
      <c r="C132" s="2" t="str">
        <f>'FLORIDA CENTER'!B14</f>
        <v>Cafeteria</v>
      </c>
      <c r="D132" s="2" t="str">
        <f>'FLORIDA CENTER'!C14</f>
        <v>Endulzante </v>
      </c>
      <c r="E132" s="2" t="str">
        <f>'FLORIDA CENTER'!D14</f>
        <v/>
      </c>
      <c r="F132" s="2" t="str">
        <f>'FLORIDA CENTER'!E14</f>
        <v/>
      </c>
      <c r="G132" s="2" t="str">
        <f>'FLORIDA CENTER'!F14</f>
        <v/>
      </c>
      <c r="H132" s="2" t="str">
        <f>'FLORIDA CENTER'!G14</f>
        <v/>
      </c>
      <c r="I132" s="2" t="str">
        <f>'FLORIDA CENTER'!H14</f>
        <v/>
      </c>
      <c r="J132" s="2" t="str">
        <f>'FLORIDA CENTER'!I14</f>
        <v/>
      </c>
      <c r="K132" s="2" t="str">
        <f>'FLORIDA CENTER'!J14</f>
        <v/>
      </c>
      <c r="L132" s="2" t="str">
        <f>'FLORIDA CENTER'!K14</f>
        <v/>
      </c>
      <c r="M132" s="2" t="str">
        <f>'FLORIDA CENTER'!L14</f>
        <v/>
      </c>
      <c r="N132" s="2" t="str">
        <f>'FLORIDA CENTER'!M14</f>
        <v/>
      </c>
      <c r="O132" s="2" t="str">
        <f>'FLORIDA CENTER'!N14</f>
        <v/>
      </c>
      <c r="P132" s="2" t="str">
        <f>'FLORIDA CENTER'!O14</f>
        <v/>
      </c>
      <c r="Q132" s="2" t="str">
        <f>'FLORIDA CENTER'!P14</f>
        <v/>
      </c>
      <c r="R132" s="2" t="str">
        <f>'FLORIDA CENTER'!Q14</f>
        <v/>
      </c>
      <c r="S132" s="2" t="str">
        <f>'FLORIDA CENTER'!R14</f>
        <v/>
      </c>
      <c r="T132" s="2" t="str">
        <f>'FLORIDA CENTER'!S14</f>
        <v/>
      </c>
      <c r="U132" s="2" t="str">
        <f>'FLORIDA CENTER'!T14</f>
        <v/>
      </c>
      <c r="V132" s="2" t="str">
        <f>'FLORIDA CENTER'!U14</f>
        <v/>
      </c>
      <c r="W132" s="2" t="str">
        <f>'FLORIDA CENTER'!V14</f>
        <v>-</v>
      </c>
      <c r="X132" s="2">
        <f>'FLORIDA CENTER'!W14</f>
        <v>1</v>
      </c>
      <c r="Y132" s="2" t="str">
        <f>'FLORIDA CENTER'!X14</f>
        <v>-</v>
      </c>
      <c r="Z132" s="2">
        <f>'FLORIDA CENTER'!Y14</f>
        <v>4</v>
      </c>
      <c r="AA132" s="2">
        <f>'FLORIDA CENTER'!Z14</f>
        <v>3</v>
      </c>
      <c r="AB132" s="2">
        <f>'FLORIDA CENTER'!AA14</f>
        <v>3</v>
      </c>
      <c r="AC132" s="2">
        <f>'FLORIDA CENTER'!AB14</f>
        <v>3</v>
      </c>
      <c r="AD132" s="2">
        <f>'FLORIDA CENTER'!AC14</f>
        <v>3</v>
      </c>
      <c r="AE132" s="2">
        <f>'FLORIDA CENTER'!AD14</f>
        <v>4</v>
      </c>
      <c r="AF132" s="2">
        <f>'FLORIDA CENTER'!AE14</f>
        <v>4</v>
      </c>
      <c r="AG132" s="2">
        <f>'FLORIDA CENTER'!AF14</f>
        <v>4</v>
      </c>
      <c r="AH132" s="2">
        <f>'FLORIDA CENTER'!AG14</f>
        <v>4</v>
      </c>
      <c r="AI132" s="2">
        <f>'FLORIDA CENTER'!AH14</f>
        <v>3</v>
      </c>
      <c r="AJ132" s="2">
        <f>'FLORIDA CENTER'!AI14</f>
        <v>4</v>
      </c>
      <c r="AK132" s="2">
        <f>'FLORIDA CENTER'!AJ14</f>
        <v>4</v>
      </c>
      <c r="AL132" s="2">
        <f>'FLORIDA CENTER'!AK14</f>
        <v>4</v>
      </c>
      <c r="AM132" s="2">
        <f>'FLORIDA CENTER'!AL14</f>
        <v>4</v>
      </c>
      <c r="AN132" s="2">
        <f>'FLORIDA CENTER'!AM14</f>
        <v>4</v>
      </c>
      <c r="AO132" s="2">
        <f>'FLORIDA CENTER'!AN14</f>
        <v>4</v>
      </c>
      <c r="AP132" s="2">
        <f>'FLORIDA CENTER'!AO14</f>
        <v>4</v>
      </c>
      <c r="AQ132" s="2">
        <f>'FLORIDA CENTER'!AP14</f>
        <v>5</v>
      </c>
      <c r="AR132" s="2">
        <f>'FLORIDA CENTER'!AQ14</f>
        <v>5</v>
      </c>
      <c r="AS132" s="2">
        <f>'FLORIDA CENTER'!AR14</f>
        <v>5</v>
      </c>
      <c r="AT132" s="2">
        <f>'FLORIDA CENTER'!AS14</f>
        <v>5</v>
      </c>
      <c r="AU132" s="2">
        <f>'FLORIDA CENTER'!AT14</f>
        <v>5</v>
      </c>
      <c r="AV132" s="2">
        <f>'FLORIDA CENTER'!AU14</f>
        <v>5</v>
      </c>
      <c r="AW132" s="2">
        <f>'FLORIDA CENTER'!AV14</f>
        <v>5</v>
      </c>
      <c r="AX132" s="2">
        <f>'FLORIDA CENTER'!AW14</f>
        <v>5</v>
      </c>
      <c r="AY132" s="2">
        <f>'FLORIDA CENTER'!AX14</f>
        <v>5</v>
      </c>
      <c r="AZ132" s="2">
        <f>'FLORIDA CENTER'!AY14</f>
        <v>5</v>
      </c>
      <c r="BA132" s="2">
        <f>'FLORIDA CENTER'!AZ14</f>
        <v>5</v>
      </c>
      <c r="BB132" s="2">
        <f>'FLORIDA CENTER'!BA14</f>
        <v>5</v>
      </c>
      <c r="BC132" s="2">
        <f>'FLORIDA CENTER'!BB14</f>
        <v>5</v>
      </c>
      <c r="BD132" s="2">
        <f>'FLORIDA CENTER'!BC14</f>
        <v>4</v>
      </c>
      <c r="BE132" s="2">
        <f>'FLORIDA CENTER'!BD14</f>
        <v>4</v>
      </c>
      <c r="BF132" s="2">
        <f>'FLORIDA CENTER'!BE14</f>
        <v>4</v>
      </c>
      <c r="BG132" s="2">
        <f>'FLORIDA CENTER'!BF14</f>
        <v>4</v>
      </c>
      <c r="BH132" s="2">
        <f>'FLORIDA CENTER'!BG14</f>
        <v>4</v>
      </c>
      <c r="BI132" s="2">
        <f>'FLORIDA CENTER'!BH14</f>
        <v>4</v>
      </c>
      <c r="BJ132" s="2">
        <f>'FLORIDA CENTER'!BI14</f>
        <v>4</v>
      </c>
      <c r="BK132" s="2">
        <f>'FLORIDA CENTER'!BJ14</f>
        <v>4</v>
      </c>
      <c r="BL132" s="2" t="str">
        <f>'FLORIDA CENTER'!BK14</f>
        <v/>
      </c>
      <c r="BM132" s="2" t="str">
        <f>'FLORIDA CENTER'!BL14</f>
        <v/>
      </c>
      <c r="BN132" s="2" t="str">
        <f>'FLORIDA CENTER'!BM14</f>
        <v/>
      </c>
      <c r="BO132" s="2" t="str">
        <f>'FLORIDA CENTER'!BN14</f>
        <v/>
      </c>
      <c r="BP132" s="2" t="str">
        <f>'FLORIDA CENTER'!BO14</f>
        <v/>
      </c>
      <c r="BQ132" s="2" t="str">
        <f>'FLORIDA CENTER'!BP14</f>
        <v/>
      </c>
      <c r="BR132" s="2" t="str">
        <f>'FLORIDA CENTER'!BQ14</f>
        <v/>
      </c>
      <c r="BS132" s="2" t="str">
        <f>'FLORIDA CENTER'!BR14</f>
        <v/>
      </c>
      <c r="BT132" s="2"/>
      <c r="BU132" s="2"/>
      <c r="BV132" s="2"/>
      <c r="BW132" s="2"/>
    </row>
    <row r="133">
      <c r="A133" s="2"/>
      <c r="B133" s="2" t="str">
        <f>'FLORIDA CENTER'!A15</f>
        <v>Florida Center</v>
      </c>
      <c r="C133" s="2" t="str">
        <f>'FLORIDA CENTER'!B15</f>
        <v>Cafeteria</v>
      </c>
      <c r="D133" s="2" t="str">
        <f>'FLORIDA CENTER'!C15</f>
        <v>Azucar</v>
      </c>
      <c r="E133" s="2" t="str">
        <f>'FLORIDA CENTER'!D15</f>
        <v/>
      </c>
      <c r="F133" s="2" t="str">
        <f>'FLORIDA CENTER'!E15</f>
        <v/>
      </c>
      <c r="G133" s="2" t="str">
        <f>'FLORIDA CENTER'!F15</f>
        <v/>
      </c>
      <c r="H133" s="2" t="str">
        <f>'FLORIDA CENTER'!G15</f>
        <v/>
      </c>
      <c r="I133" s="2" t="str">
        <f>'FLORIDA CENTER'!H15</f>
        <v/>
      </c>
      <c r="J133" s="2" t="str">
        <f>'FLORIDA CENTER'!I15</f>
        <v/>
      </c>
      <c r="K133" s="2" t="str">
        <f>'FLORIDA CENTER'!J15</f>
        <v/>
      </c>
      <c r="L133" s="2" t="str">
        <f>'FLORIDA CENTER'!K15</f>
        <v/>
      </c>
      <c r="M133" s="2" t="str">
        <f>'FLORIDA CENTER'!L15</f>
        <v/>
      </c>
      <c r="N133" s="2" t="str">
        <f>'FLORIDA CENTER'!M15</f>
        <v/>
      </c>
      <c r="O133" s="2" t="str">
        <f>'FLORIDA CENTER'!N15</f>
        <v/>
      </c>
      <c r="P133" s="2" t="str">
        <f>'FLORIDA CENTER'!O15</f>
        <v/>
      </c>
      <c r="Q133" s="2" t="str">
        <f>'FLORIDA CENTER'!P15</f>
        <v/>
      </c>
      <c r="R133" s="2" t="str">
        <f>'FLORIDA CENTER'!Q15</f>
        <v/>
      </c>
      <c r="S133" s="2" t="str">
        <f>'FLORIDA CENTER'!R15</f>
        <v/>
      </c>
      <c r="T133" s="2" t="str">
        <f>'FLORIDA CENTER'!S15</f>
        <v/>
      </c>
      <c r="U133" s="2" t="str">
        <f>'FLORIDA CENTER'!T15</f>
        <v/>
      </c>
      <c r="V133" s="2" t="str">
        <f>'FLORIDA CENTER'!U15</f>
        <v/>
      </c>
      <c r="W133" s="2" t="str">
        <f>'FLORIDA CENTER'!V15</f>
        <v/>
      </c>
      <c r="X133" s="2" t="str">
        <f>'FLORIDA CENTER'!W15</f>
        <v/>
      </c>
      <c r="Y133" s="2" t="str">
        <f>'FLORIDA CENTER'!X15</f>
        <v/>
      </c>
      <c r="Z133" s="2" t="str">
        <f>'FLORIDA CENTER'!Y15</f>
        <v/>
      </c>
      <c r="AA133" s="2" t="str">
        <f>'FLORIDA CENTER'!Z15</f>
        <v/>
      </c>
      <c r="AB133" s="2" t="str">
        <f>'FLORIDA CENTER'!AA15</f>
        <v/>
      </c>
      <c r="AC133" s="2" t="str">
        <f>'FLORIDA CENTER'!AB15</f>
        <v/>
      </c>
      <c r="AD133" s="2" t="str">
        <f>'FLORIDA CENTER'!AC15</f>
        <v/>
      </c>
      <c r="AE133" s="2" t="str">
        <f>'FLORIDA CENTER'!AD15</f>
        <v/>
      </c>
      <c r="AF133" s="2" t="str">
        <f>'FLORIDA CENTER'!AE15</f>
        <v/>
      </c>
      <c r="AG133" s="2" t="str">
        <f>'FLORIDA CENTER'!AF15</f>
        <v/>
      </c>
      <c r="AH133" s="2" t="str">
        <f>'FLORIDA CENTER'!AG15</f>
        <v/>
      </c>
      <c r="AI133" s="2" t="str">
        <f>'FLORIDA CENTER'!AH15</f>
        <v/>
      </c>
      <c r="AJ133" s="2" t="str">
        <f>'FLORIDA CENTER'!AI15</f>
        <v/>
      </c>
      <c r="AK133" s="2" t="str">
        <f>'FLORIDA CENTER'!AJ15</f>
        <v/>
      </c>
      <c r="AL133" s="2" t="str">
        <f>'FLORIDA CENTER'!AK15</f>
        <v>-</v>
      </c>
      <c r="AM133" s="2" t="str">
        <f>'FLORIDA CENTER'!AL15</f>
        <v>-</v>
      </c>
      <c r="AN133" s="2" t="str">
        <f>'FLORIDA CENTER'!AM15</f>
        <v>-</v>
      </c>
      <c r="AO133" s="2" t="str">
        <f>'FLORIDA CENTER'!AN15</f>
        <v>-</v>
      </c>
      <c r="AP133" s="2">
        <f>'FLORIDA CENTER'!AO15</f>
        <v>0</v>
      </c>
      <c r="AQ133" s="2" t="str">
        <f>'FLORIDA CENTER'!AP15</f>
        <v>1Caja</v>
      </c>
      <c r="AR133" s="2" t="str">
        <f>'FLORIDA CENTER'!AQ15</f>
        <v>1Caja</v>
      </c>
      <c r="AS133" s="2" t="str">
        <f>'FLORIDA CENTER'!AR15</f>
        <v>1Caja</v>
      </c>
      <c r="AT133" s="2" t="str">
        <f>'FLORIDA CENTER'!AS15</f>
        <v>1Caja</v>
      </c>
      <c r="AU133" s="2" t="str">
        <f>'FLORIDA CENTER'!AT15</f>
        <v>1Caja</v>
      </c>
      <c r="AV133" s="2" t="str">
        <f>'FLORIDA CENTER'!AU15</f>
        <v>1Caja</v>
      </c>
      <c r="AW133" s="2" t="str">
        <f>'FLORIDA CENTER'!AV15</f>
        <v>1Caja</v>
      </c>
      <c r="AX133" s="2" t="str">
        <f>'FLORIDA CENTER'!AW15</f>
        <v>1Caja</v>
      </c>
      <c r="AY133" s="2" t="str">
        <f>'FLORIDA CENTER'!AX15</f>
        <v>1Caja</v>
      </c>
      <c r="AZ133" s="2" t="str">
        <f>'FLORIDA CENTER'!AY15</f>
        <v>1Caja</v>
      </c>
      <c r="BA133" s="2" t="str">
        <f>'FLORIDA CENTER'!AZ15</f>
        <v>1Caja</v>
      </c>
      <c r="BB133" s="2" t="str">
        <f>'FLORIDA CENTER'!BA15</f>
        <v>1Caja</v>
      </c>
      <c r="BC133" s="2" t="str">
        <f>'FLORIDA CENTER'!BB15</f>
        <v>1Caja</v>
      </c>
      <c r="BD133" s="2" t="str">
        <f>'FLORIDA CENTER'!BC15</f>
        <v>1caja</v>
      </c>
      <c r="BE133" s="2" t="str">
        <f>'FLORIDA CENTER'!BD15</f>
        <v>1caja</v>
      </c>
      <c r="BF133" s="2">
        <f>'FLORIDA CENTER'!BE15</f>
        <v>0</v>
      </c>
      <c r="BG133" s="2">
        <f>'FLORIDA CENTER'!BF15</f>
        <v>0</v>
      </c>
      <c r="BH133" s="2">
        <f>'FLORIDA CENTER'!BG15</f>
        <v>0</v>
      </c>
      <c r="BI133" s="2">
        <f>'FLORIDA CENTER'!BH15</f>
        <v>0</v>
      </c>
      <c r="BJ133" s="2">
        <f>'FLORIDA CENTER'!BI15</f>
        <v>0</v>
      </c>
      <c r="BK133" s="2">
        <f>'FLORIDA CENTER'!BJ15</f>
        <v>0</v>
      </c>
      <c r="BL133" s="2" t="str">
        <f>'FLORIDA CENTER'!BK15</f>
        <v/>
      </c>
      <c r="BM133" s="2" t="str">
        <f>'FLORIDA CENTER'!BL15</f>
        <v/>
      </c>
      <c r="BN133" s="2" t="str">
        <f>'FLORIDA CENTER'!BM15</f>
        <v/>
      </c>
      <c r="BO133" s="2" t="str">
        <f>'FLORIDA CENTER'!BN15</f>
        <v/>
      </c>
      <c r="BP133" s="2" t="str">
        <f>'FLORIDA CENTER'!BO15</f>
        <v/>
      </c>
      <c r="BQ133" s="2" t="str">
        <f>'FLORIDA CENTER'!BP15</f>
        <v/>
      </c>
      <c r="BR133" s="2" t="str">
        <f>'FLORIDA CENTER'!BQ15</f>
        <v/>
      </c>
      <c r="BS133" s="2" t="str">
        <f>'FLORIDA CENTER'!BR15</f>
        <v/>
      </c>
      <c r="BT133" s="2"/>
      <c r="BU133" s="2"/>
      <c r="BV133" s="2"/>
      <c r="BW133" s="2"/>
    </row>
    <row r="134">
      <c r="A134" s="2"/>
      <c r="B134" s="2" t="str">
        <f>'FLORIDA CENTER'!A16</f>
        <v>Florida Center</v>
      </c>
      <c r="C134" s="2" t="str">
        <f>'FLORIDA CENTER'!B16</f>
        <v>Cafeteria</v>
      </c>
      <c r="D134" s="2" t="str">
        <f>'FLORIDA CENTER'!C16</f>
        <v>Aceite de Oliva</v>
      </c>
      <c r="E134" s="2" t="str">
        <f>'FLORIDA CENTER'!D16</f>
        <v/>
      </c>
      <c r="F134" s="2" t="str">
        <f>'FLORIDA CENTER'!E16</f>
        <v/>
      </c>
      <c r="G134" s="2" t="str">
        <f>'FLORIDA CENTER'!F16</f>
        <v/>
      </c>
      <c r="H134" s="2" t="str">
        <f>'FLORIDA CENTER'!G16</f>
        <v/>
      </c>
      <c r="I134" s="2" t="str">
        <f>'FLORIDA CENTER'!H16</f>
        <v/>
      </c>
      <c r="J134" s="2" t="str">
        <f>'FLORIDA CENTER'!I16</f>
        <v/>
      </c>
      <c r="K134" s="2" t="str">
        <f>'FLORIDA CENTER'!J16</f>
        <v/>
      </c>
      <c r="L134" s="2" t="str">
        <f>'FLORIDA CENTER'!K16</f>
        <v/>
      </c>
      <c r="M134" s="2" t="str">
        <f>'FLORIDA CENTER'!L16</f>
        <v/>
      </c>
      <c r="N134" s="2" t="str">
        <f>'FLORIDA CENTER'!M16</f>
        <v/>
      </c>
      <c r="O134" s="2" t="str">
        <f>'FLORIDA CENTER'!N16</f>
        <v/>
      </c>
      <c r="P134" s="2" t="str">
        <f>'FLORIDA CENTER'!O16</f>
        <v/>
      </c>
      <c r="Q134" s="2" t="str">
        <f>'FLORIDA CENTER'!P16</f>
        <v/>
      </c>
      <c r="R134" s="2" t="str">
        <f>'FLORIDA CENTER'!Q16</f>
        <v/>
      </c>
      <c r="S134" s="2" t="str">
        <f>'FLORIDA CENTER'!R16</f>
        <v/>
      </c>
      <c r="T134" s="2" t="str">
        <f>'FLORIDA CENTER'!S16</f>
        <v/>
      </c>
      <c r="U134" s="2" t="str">
        <f>'FLORIDA CENTER'!T16</f>
        <v/>
      </c>
      <c r="V134" s="2" t="str">
        <f>'FLORIDA CENTER'!U16</f>
        <v/>
      </c>
      <c r="W134" s="2" t="str">
        <f>'FLORIDA CENTER'!V16</f>
        <v/>
      </c>
      <c r="X134" s="2" t="str">
        <f>'FLORIDA CENTER'!W16</f>
        <v/>
      </c>
      <c r="Y134" s="2" t="str">
        <f>'FLORIDA CENTER'!X16</f>
        <v/>
      </c>
      <c r="Z134" s="2" t="str">
        <f>'FLORIDA CENTER'!Y16</f>
        <v/>
      </c>
      <c r="AA134" s="2" t="str">
        <f>'FLORIDA CENTER'!Z16</f>
        <v/>
      </c>
      <c r="AB134" s="2" t="str">
        <f>'FLORIDA CENTER'!AA16</f>
        <v/>
      </c>
      <c r="AC134" s="2" t="str">
        <f>'FLORIDA CENTER'!AB16</f>
        <v/>
      </c>
      <c r="AD134" s="2" t="str">
        <f>'FLORIDA CENTER'!AC16</f>
        <v/>
      </c>
      <c r="AE134" s="2" t="str">
        <f>'FLORIDA CENTER'!AD16</f>
        <v/>
      </c>
      <c r="AF134" s="2" t="str">
        <f>'FLORIDA CENTER'!AE16</f>
        <v/>
      </c>
      <c r="AG134" s="2" t="str">
        <f>'FLORIDA CENTER'!AF16</f>
        <v/>
      </c>
      <c r="AH134" s="2" t="str">
        <f>'FLORIDA CENTER'!AG16</f>
        <v/>
      </c>
      <c r="AI134" s="2" t="str">
        <f>'FLORIDA CENTER'!AH16</f>
        <v/>
      </c>
      <c r="AJ134" s="2" t="str">
        <f>'FLORIDA CENTER'!AI16</f>
        <v/>
      </c>
      <c r="AK134" s="2" t="str">
        <f>'FLORIDA CENTER'!AJ16</f>
        <v/>
      </c>
      <c r="AL134" s="2" t="str">
        <f>'FLORIDA CENTER'!AK16</f>
        <v/>
      </c>
      <c r="AM134" s="2" t="str">
        <f>'FLORIDA CENTER'!AL16</f>
        <v/>
      </c>
      <c r="AN134" s="2" t="str">
        <f>'FLORIDA CENTER'!AM16</f>
        <v/>
      </c>
      <c r="AO134" s="2" t="str">
        <f>'FLORIDA CENTER'!AN16</f>
        <v/>
      </c>
      <c r="AP134" s="2" t="str">
        <f>'FLORIDA CENTER'!AO16</f>
        <v/>
      </c>
      <c r="AQ134" s="2" t="str">
        <f>'FLORIDA CENTER'!AP16</f>
        <v/>
      </c>
      <c r="AR134" s="2" t="str">
        <f>'FLORIDA CENTER'!AQ16</f>
        <v/>
      </c>
      <c r="AS134" s="2" t="str">
        <f>'FLORIDA CENTER'!AR16</f>
        <v/>
      </c>
      <c r="AT134" s="2" t="str">
        <f>'FLORIDA CENTER'!AS16</f>
        <v/>
      </c>
      <c r="AU134" s="2" t="str">
        <f>'FLORIDA CENTER'!AT16</f>
        <v/>
      </c>
      <c r="AV134" s="2" t="str">
        <f>'FLORIDA CENTER'!AU16</f>
        <v/>
      </c>
      <c r="AW134" s="2" t="str">
        <f>'FLORIDA CENTER'!AV16</f>
        <v/>
      </c>
      <c r="AX134" s="2" t="str">
        <f>'FLORIDA CENTER'!AW16</f>
        <v/>
      </c>
      <c r="AY134" s="2" t="str">
        <f>'FLORIDA CENTER'!AX16</f>
        <v/>
      </c>
      <c r="AZ134" s="2" t="str">
        <f>'FLORIDA CENTER'!AY16</f>
        <v/>
      </c>
      <c r="BA134" s="2" t="str">
        <f>'FLORIDA CENTER'!AZ16</f>
        <v/>
      </c>
      <c r="BB134" s="2" t="str">
        <f>'FLORIDA CENTER'!BA16</f>
        <v/>
      </c>
      <c r="BC134" s="2" t="str">
        <f>'FLORIDA CENTER'!BB16</f>
        <v>-</v>
      </c>
      <c r="BD134" s="2" t="str">
        <f>'FLORIDA CENTER'!BC16</f>
        <v>-</v>
      </c>
      <c r="BE134" s="2" t="str">
        <f>'FLORIDA CENTER'!BD16</f>
        <v>-</v>
      </c>
      <c r="BF134" s="2">
        <f>'FLORIDA CENTER'!BE16</f>
        <v>3</v>
      </c>
      <c r="BG134" s="2">
        <f>'FLORIDA CENTER'!BF16</f>
        <v>4</v>
      </c>
      <c r="BH134" s="2">
        <f>'FLORIDA CENTER'!BG16</f>
        <v>4</v>
      </c>
      <c r="BI134" s="2">
        <f>'FLORIDA CENTER'!BH16</f>
        <v>4</v>
      </c>
      <c r="BJ134" s="2">
        <f>'FLORIDA CENTER'!BI16</f>
        <v>4</v>
      </c>
      <c r="BK134" s="2">
        <f>'FLORIDA CENTER'!BJ16</f>
        <v>3</v>
      </c>
      <c r="BL134" s="2" t="str">
        <f>'FLORIDA CENTER'!BK16</f>
        <v/>
      </c>
      <c r="BM134" s="2" t="str">
        <f>'FLORIDA CENTER'!BL16</f>
        <v/>
      </c>
      <c r="BN134" s="2" t="str">
        <f>'FLORIDA CENTER'!BM16</f>
        <v/>
      </c>
      <c r="BO134" s="2" t="str">
        <f>'FLORIDA CENTER'!BN16</f>
        <v/>
      </c>
      <c r="BP134" s="2" t="str">
        <f>'FLORIDA CENTER'!BO16</f>
        <v/>
      </c>
      <c r="BQ134" s="2" t="str">
        <f>'FLORIDA CENTER'!BP16</f>
        <v/>
      </c>
      <c r="BR134" s="2" t="str">
        <f>'FLORIDA CENTER'!BQ16</f>
        <v/>
      </c>
      <c r="BS134" s="2" t="str">
        <f>'FLORIDA CENTER'!BR16</f>
        <v/>
      </c>
      <c r="BT134" s="2"/>
      <c r="BU134" s="2"/>
      <c r="BV134" s="2"/>
      <c r="BW134" s="2"/>
    </row>
    <row r="135">
      <c r="A135" s="2"/>
      <c r="B135" s="2" t="str">
        <f>'FLORIDA CENTER'!A17</f>
        <v>Florida Center</v>
      </c>
      <c r="C135" s="2" t="str">
        <f>'FLORIDA CENTER'!B17</f>
        <v>Cafeteria</v>
      </c>
      <c r="D135" s="2" t="str">
        <f>'FLORIDA CENTER'!C17</f>
        <v>Aceto Balsámico</v>
      </c>
      <c r="E135" s="2" t="str">
        <f>'FLORIDA CENTER'!D17</f>
        <v/>
      </c>
      <c r="F135" s="2" t="str">
        <f>'FLORIDA CENTER'!E17</f>
        <v/>
      </c>
      <c r="G135" s="2" t="str">
        <f>'FLORIDA CENTER'!F17</f>
        <v/>
      </c>
      <c r="H135" s="2" t="str">
        <f>'FLORIDA CENTER'!G17</f>
        <v/>
      </c>
      <c r="I135" s="2" t="str">
        <f>'FLORIDA CENTER'!H17</f>
        <v/>
      </c>
      <c r="J135" s="2" t="str">
        <f>'FLORIDA CENTER'!I17</f>
        <v/>
      </c>
      <c r="K135" s="2" t="str">
        <f>'FLORIDA CENTER'!J17</f>
        <v/>
      </c>
      <c r="L135" s="2" t="str">
        <f>'FLORIDA CENTER'!K17</f>
        <v/>
      </c>
      <c r="M135" s="2" t="str">
        <f>'FLORIDA CENTER'!L17</f>
        <v/>
      </c>
      <c r="N135" s="2" t="str">
        <f>'FLORIDA CENTER'!M17</f>
        <v/>
      </c>
      <c r="O135" s="2" t="str">
        <f>'FLORIDA CENTER'!N17</f>
        <v/>
      </c>
      <c r="P135" s="2" t="str">
        <f>'FLORIDA CENTER'!O17</f>
        <v/>
      </c>
      <c r="Q135" s="2" t="str">
        <f>'FLORIDA CENTER'!P17</f>
        <v/>
      </c>
      <c r="R135" s="2" t="str">
        <f>'FLORIDA CENTER'!Q17</f>
        <v/>
      </c>
      <c r="S135" s="2" t="str">
        <f>'FLORIDA CENTER'!R17</f>
        <v/>
      </c>
      <c r="T135" s="2" t="str">
        <f>'FLORIDA CENTER'!S17</f>
        <v/>
      </c>
      <c r="U135" s="2" t="str">
        <f>'FLORIDA CENTER'!T17</f>
        <v/>
      </c>
      <c r="V135" s="2" t="str">
        <f>'FLORIDA CENTER'!U17</f>
        <v/>
      </c>
      <c r="W135" s="2" t="str">
        <f>'FLORIDA CENTER'!V17</f>
        <v/>
      </c>
      <c r="X135" s="2" t="str">
        <f>'FLORIDA CENTER'!W17</f>
        <v/>
      </c>
      <c r="Y135" s="2" t="str">
        <f>'FLORIDA CENTER'!X17</f>
        <v/>
      </c>
      <c r="Z135" s="2" t="str">
        <f>'FLORIDA CENTER'!Y17</f>
        <v/>
      </c>
      <c r="AA135" s="2" t="str">
        <f>'FLORIDA CENTER'!Z17</f>
        <v/>
      </c>
      <c r="AB135" s="2" t="str">
        <f>'FLORIDA CENTER'!AA17</f>
        <v/>
      </c>
      <c r="AC135" s="2" t="str">
        <f>'FLORIDA CENTER'!AB17</f>
        <v/>
      </c>
      <c r="AD135" s="2" t="str">
        <f>'FLORIDA CENTER'!AC17</f>
        <v/>
      </c>
      <c r="AE135" s="2" t="str">
        <f>'FLORIDA CENTER'!AD17</f>
        <v/>
      </c>
      <c r="AF135" s="2" t="str">
        <f>'FLORIDA CENTER'!AE17</f>
        <v/>
      </c>
      <c r="AG135" s="2" t="str">
        <f>'FLORIDA CENTER'!AF17</f>
        <v/>
      </c>
      <c r="AH135" s="2" t="str">
        <f>'FLORIDA CENTER'!AG17</f>
        <v/>
      </c>
      <c r="AI135" s="2" t="str">
        <f>'FLORIDA CENTER'!AH17</f>
        <v/>
      </c>
      <c r="AJ135" s="2" t="str">
        <f>'FLORIDA CENTER'!AI17</f>
        <v/>
      </c>
      <c r="AK135" s="2" t="str">
        <f>'FLORIDA CENTER'!AJ17</f>
        <v/>
      </c>
      <c r="AL135" s="2" t="str">
        <f>'FLORIDA CENTER'!AK17</f>
        <v/>
      </c>
      <c r="AM135" s="2" t="str">
        <f>'FLORIDA CENTER'!AL17</f>
        <v/>
      </c>
      <c r="AN135" s="2" t="str">
        <f>'FLORIDA CENTER'!AM17</f>
        <v/>
      </c>
      <c r="AO135" s="2" t="str">
        <f>'FLORIDA CENTER'!AN17</f>
        <v/>
      </c>
      <c r="AP135" s="2" t="str">
        <f>'FLORIDA CENTER'!AO17</f>
        <v/>
      </c>
      <c r="AQ135" s="2" t="str">
        <f>'FLORIDA CENTER'!AP17</f>
        <v/>
      </c>
      <c r="AR135" s="2" t="str">
        <f>'FLORIDA CENTER'!AQ17</f>
        <v/>
      </c>
      <c r="AS135" s="2" t="str">
        <f>'FLORIDA CENTER'!AR17</f>
        <v/>
      </c>
      <c r="AT135" s="2" t="str">
        <f>'FLORIDA CENTER'!AS17</f>
        <v/>
      </c>
      <c r="AU135" s="2" t="str">
        <f>'FLORIDA CENTER'!AT17</f>
        <v/>
      </c>
      <c r="AV135" s="2" t="str">
        <f>'FLORIDA CENTER'!AU17</f>
        <v/>
      </c>
      <c r="AW135" s="2" t="str">
        <f>'FLORIDA CENTER'!AV17</f>
        <v/>
      </c>
      <c r="AX135" s="2" t="str">
        <f>'FLORIDA CENTER'!AW17</f>
        <v/>
      </c>
      <c r="AY135" s="2" t="str">
        <f>'FLORIDA CENTER'!AX17</f>
        <v/>
      </c>
      <c r="AZ135" s="2" t="str">
        <f>'FLORIDA CENTER'!AY17</f>
        <v/>
      </c>
      <c r="BA135" s="2" t="str">
        <f>'FLORIDA CENTER'!AZ17</f>
        <v/>
      </c>
      <c r="BB135" s="2" t="str">
        <f>'FLORIDA CENTER'!BA17</f>
        <v/>
      </c>
      <c r="BC135" s="2" t="str">
        <f>'FLORIDA CENTER'!BB17</f>
        <v>-</v>
      </c>
      <c r="BD135" s="2" t="str">
        <f>'FLORIDA CENTER'!BC17</f>
        <v>-</v>
      </c>
      <c r="BE135" s="2" t="str">
        <f>'FLORIDA CENTER'!BD17</f>
        <v>-</v>
      </c>
      <c r="BF135" s="2">
        <f>'FLORIDA CENTER'!BE17</f>
        <v>2</v>
      </c>
      <c r="BG135" s="2">
        <f>'FLORIDA CENTER'!BF17</f>
        <v>4</v>
      </c>
      <c r="BH135" s="2">
        <f>'FLORIDA CENTER'!BG17</f>
        <v>4</v>
      </c>
      <c r="BI135" s="2">
        <f>'FLORIDA CENTER'!BH17</f>
        <v>4</v>
      </c>
      <c r="BJ135" s="2">
        <f>'FLORIDA CENTER'!BI17</f>
        <v>4</v>
      </c>
      <c r="BK135" s="2">
        <f>'FLORIDA CENTER'!BJ17</f>
        <v>4</v>
      </c>
      <c r="BL135" s="2" t="str">
        <f>'FLORIDA CENTER'!BK17</f>
        <v/>
      </c>
      <c r="BM135" s="2" t="str">
        <f>'FLORIDA CENTER'!BL17</f>
        <v/>
      </c>
      <c r="BN135" s="2" t="str">
        <f>'FLORIDA CENTER'!BM17</f>
        <v/>
      </c>
      <c r="BO135" s="2" t="str">
        <f>'FLORIDA CENTER'!BN17</f>
        <v/>
      </c>
      <c r="BP135" s="2" t="str">
        <f>'FLORIDA CENTER'!BO17</f>
        <v/>
      </c>
      <c r="BQ135" s="2" t="str">
        <f>'FLORIDA CENTER'!BP17</f>
        <v/>
      </c>
      <c r="BR135" s="2" t="str">
        <f>'FLORIDA CENTER'!BQ17</f>
        <v/>
      </c>
      <c r="BS135" s="2" t="str">
        <f>'FLORIDA CENTER'!BR17</f>
        <v/>
      </c>
      <c r="BT135" s="2"/>
      <c r="BU135" s="2"/>
      <c r="BV135" s="2"/>
      <c r="BW135" s="2"/>
    </row>
    <row r="136">
      <c r="A136" s="2"/>
      <c r="B136" s="2" t="str">
        <f>'FLORIDA CENTER'!A18</f>
        <v>Florida Center</v>
      </c>
      <c r="C136" s="2" t="str">
        <f>'FLORIDA CENTER'!B18</f>
        <v>Cafeteria</v>
      </c>
      <c r="D136" s="2" t="str">
        <f>'FLORIDA CENTER'!C18</f>
        <v>Vinagre</v>
      </c>
      <c r="E136" s="2" t="str">
        <f>'FLORIDA CENTER'!D18</f>
        <v/>
      </c>
      <c r="F136" s="2" t="str">
        <f>'FLORIDA CENTER'!E18</f>
        <v/>
      </c>
      <c r="G136" s="2" t="str">
        <f>'FLORIDA CENTER'!F18</f>
        <v/>
      </c>
      <c r="H136" s="2" t="str">
        <f>'FLORIDA CENTER'!G18</f>
        <v/>
      </c>
      <c r="I136" s="2" t="str">
        <f>'FLORIDA CENTER'!H18</f>
        <v/>
      </c>
      <c r="J136" s="2" t="str">
        <f>'FLORIDA CENTER'!I18</f>
        <v/>
      </c>
      <c r="K136" s="2" t="str">
        <f>'FLORIDA CENTER'!J18</f>
        <v/>
      </c>
      <c r="L136" s="2" t="str">
        <f>'FLORIDA CENTER'!K18</f>
        <v/>
      </c>
      <c r="M136" s="2" t="str">
        <f>'FLORIDA CENTER'!L18</f>
        <v/>
      </c>
      <c r="N136" s="2" t="str">
        <f>'FLORIDA CENTER'!M18</f>
        <v/>
      </c>
      <c r="O136" s="2" t="str">
        <f>'FLORIDA CENTER'!N18</f>
        <v/>
      </c>
      <c r="P136" s="2" t="str">
        <f>'FLORIDA CENTER'!O18</f>
        <v/>
      </c>
      <c r="Q136" s="2" t="str">
        <f>'FLORIDA CENTER'!P18</f>
        <v/>
      </c>
      <c r="R136" s="2" t="str">
        <f>'FLORIDA CENTER'!Q18</f>
        <v/>
      </c>
      <c r="S136" s="2" t="str">
        <f>'FLORIDA CENTER'!R18</f>
        <v/>
      </c>
      <c r="T136" s="2" t="str">
        <f>'FLORIDA CENTER'!S18</f>
        <v/>
      </c>
      <c r="U136" s="2" t="str">
        <f>'FLORIDA CENTER'!T18</f>
        <v/>
      </c>
      <c r="V136" s="2" t="str">
        <f>'FLORIDA CENTER'!U18</f>
        <v/>
      </c>
      <c r="W136" s="2" t="str">
        <f>'FLORIDA CENTER'!V18</f>
        <v/>
      </c>
      <c r="X136" s="2" t="str">
        <f>'FLORIDA CENTER'!W18</f>
        <v/>
      </c>
      <c r="Y136" s="2" t="str">
        <f>'FLORIDA CENTER'!X18</f>
        <v/>
      </c>
      <c r="Z136" s="2" t="str">
        <f>'FLORIDA CENTER'!Y18</f>
        <v/>
      </c>
      <c r="AA136" s="2" t="str">
        <f>'FLORIDA CENTER'!Z18</f>
        <v/>
      </c>
      <c r="AB136" s="2" t="str">
        <f>'FLORIDA CENTER'!AA18</f>
        <v/>
      </c>
      <c r="AC136" s="2" t="str">
        <f>'FLORIDA CENTER'!AB18</f>
        <v/>
      </c>
      <c r="AD136" s="2" t="str">
        <f>'FLORIDA CENTER'!AC18</f>
        <v/>
      </c>
      <c r="AE136" s="2" t="str">
        <f>'FLORIDA CENTER'!AD18</f>
        <v/>
      </c>
      <c r="AF136" s="2" t="str">
        <f>'FLORIDA CENTER'!AE18</f>
        <v/>
      </c>
      <c r="AG136" s="2" t="str">
        <f>'FLORIDA CENTER'!AF18</f>
        <v/>
      </c>
      <c r="AH136" s="2" t="str">
        <f>'FLORIDA CENTER'!AG18</f>
        <v/>
      </c>
      <c r="AI136" s="2" t="str">
        <f>'FLORIDA CENTER'!AH18</f>
        <v/>
      </c>
      <c r="AJ136" s="2" t="str">
        <f>'FLORIDA CENTER'!AI18</f>
        <v/>
      </c>
      <c r="AK136" s="2" t="str">
        <f>'FLORIDA CENTER'!AJ18</f>
        <v/>
      </c>
      <c r="AL136" s="2" t="str">
        <f>'FLORIDA CENTER'!AK18</f>
        <v/>
      </c>
      <c r="AM136" s="2" t="str">
        <f>'FLORIDA CENTER'!AL18</f>
        <v/>
      </c>
      <c r="AN136" s="2" t="str">
        <f>'FLORIDA CENTER'!AM18</f>
        <v/>
      </c>
      <c r="AO136" s="2" t="str">
        <f>'FLORIDA CENTER'!AN18</f>
        <v/>
      </c>
      <c r="AP136" s="2" t="str">
        <f>'FLORIDA CENTER'!AO18</f>
        <v/>
      </c>
      <c r="AQ136" s="2" t="str">
        <f>'FLORIDA CENTER'!AP18</f>
        <v/>
      </c>
      <c r="AR136" s="2" t="str">
        <f>'FLORIDA CENTER'!AQ18</f>
        <v/>
      </c>
      <c r="AS136" s="2" t="str">
        <f>'FLORIDA CENTER'!AR18</f>
        <v/>
      </c>
      <c r="AT136" s="2" t="str">
        <f>'FLORIDA CENTER'!AS18</f>
        <v/>
      </c>
      <c r="AU136" s="2" t="str">
        <f>'FLORIDA CENTER'!AT18</f>
        <v/>
      </c>
      <c r="AV136" s="2" t="str">
        <f>'FLORIDA CENTER'!AU18</f>
        <v/>
      </c>
      <c r="AW136" s="2" t="str">
        <f>'FLORIDA CENTER'!AV18</f>
        <v/>
      </c>
      <c r="AX136" s="2" t="str">
        <f>'FLORIDA CENTER'!AW18</f>
        <v/>
      </c>
      <c r="AY136" s="2" t="str">
        <f>'FLORIDA CENTER'!AX18</f>
        <v/>
      </c>
      <c r="AZ136" s="2" t="str">
        <f>'FLORIDA CENTER'!AY18</f>
        <v/>
      </c>
      <c r="BA136" s="2" t="str">
        <f>'FLORIDA CENTER'!AZ18</f>
        <v/>
      </c>
      <c r="BB136" s="2" t="str">
        <f>'FLORIDA CENTER'!BA18</f>
        <v/>
      </c>
      <c r="BC136" s="2" t="str">
        <f>'FLORIDA CENTER'!BB18</f>
        <v>-</v>
      </c>
      <c r="BD136" s="2" t="str">
        <f>'FLORIDA CENTER'!BC18</f>
        <v>-</v>
      </c>
      <c r="BE136" s="2" t="str">
        <f>'FLORIDA CENTER'!BD18</f>
        <v>-</v>
      </c>
      <c r="BF136" s="2">
        <f>'FLORIDA CENTER'!BE18</f>
        <v>2</v>
      </c>
      <c r="BG136" s="2">
        <f>'FLORIDA CENTER'!BF18</f>
        <v>3</v>
      </c>
      <c r="BH136" s="2">
        <f>'FLORIDA CENTER'!BG18</f>
        <v>3</v>
      </c>
      <c r="BI136" s="2">
        <f>'FLORIDA CENTER'!BH18</f>
        <v>3</v>
      </c>
      <c r="BJ136" s="2">
        <f>'FLORIDA CENTER'!BI18</f>
        <v>3</v>
      </c>
      <c r="BK136" s="2">
        <f>'FLORIDA CENTER'!BJ18</f>
        <v>3</v>
      </c>
      <c r="BL136" s="2" t="str">
        <f>'FLORIDA CENTER'!BK18</f>
        <v/>
      </c>
      <c r="BM136" s="2" t="str">
        <f>'FLORIDA CENTER'!BL18</f>
        <v/>
      </c>
      <c r="BN136" s="2" t="str">
        <f>'FLORIDA CENTER'!BM18</f>
        <v/>
      </c>
      <c r="BO136" s="2" t="str">
        <f>'FLORIDA CENTER'!BN18</f>
        <v/>
      </c>
      <c r="BP136" s="2" t="str">
        <f>'FLORIDA CENTER'!BO18</f>
        <v/>
      </c>
      <c r="BQ136" s="2" t="str">
        <f>'FLORIDA CENTER'!BP18</f>
        <v/>
      </c>
      <c r="BR136" s="2" t="str">
        <f>'FLORIDA CENTER'!BQ18</f>
        <v/>
      </c>
      <c r="BS136" s="2" t="str">
        <f>'FLORIDA CENTER'!BR18</f>
        <v/>
      </c>
      <c r="BT136" s="2"/>
      <c r="BU136" s="2"/>
      <c r="BV136" s="2"/>
      <c r="BW136" s="2"/>
    </row>
    <row r="137">
      <c r="A137" s="2"/>
      <c r="B137" s="2" t="str">
        <f>'FLORIDA CENTER'!A19</f>
        <v>Florida Center</v>
      </c>
      <c r="C137" s="2" t="str">
        <f>'FLORIDA CENTER'!B19</f>
        <v>Cafeteria</v>
      </c>
      <c r="D137" s="2" t="str">
        <f>'FLORIDA CENTER'!C19</f>
        <v>Ensencia de Limón </v>
      </c>
      <c r="E137" s="2" t="str">
        <f>'FLORIDA CENTER'!D19</f>
        <v/>
      </c>
      <c r="F137" s="2" t="str">
        <f>'FLORIDA CENTER'!E19</f>
        <v/>
      </c>
      <c r="G137" s="2" t="str">
        <f>'FLORIDA CENTER'!F19</f>
        <v/>
      </c>
      <c r="H137" s="2" t="str">
        <f>'FLORIDA CENTER'!G19</f>
        <v/>
      </c>
      <c r="I137" s="2" t="str">
        <f>'FLORIDA CENTER'!H19</f>
        <v/>
      </c>
      <c r="J137" s="2" t="str">
        <f>'FLORIDA CENTER'!I19</f>
        <v/>
      </c>
      <c r="K137" s="2" t="str">
        <f>'FLORIDA CENTER'!J19</f>
        <v/>
      </c>
      <c r="L137" s="2" t="str">
        <f>'FLORIDA CENTER'!K19</f>
        <v/>
      </c>
      <c r="M137" s="2" t="str">
        <f>'FLORIDA CENTER'!L19</f>
        <v/>
      </c>
      <c r="N137" s="2" t="str">
        <f>'FLORIDA CENTER'!M19</f>
        <v/>
      </c>
      <c r="O137" s="2" t="str">
        <f>'FLORIDA CENTER'!N19</f>
        <v/>
      </c>
      <c r="P137" s="2" t="str">
        <f>'FLORIDA CENTER'!O19</f>
        <v/>
      </c>
      <c r="Q137" s="2" t="str">
        <f>'FLORIDA CENTER'!P19</f>
        <v/>
      </c>
      <c r="R137" s="2" t="str">
        <f>'FLORIDA CENTER'!Q19</f>
        <v/>
      </c>
      <c r="S137" s="2" t="str">
        <f>'FLORIDA CENTER'!R19</f>
        <v/>
      </c>
      <c r="T137" s="2" t="str">
        <f>'FLORIDA CENTER'!S19</f>
        <v/>
      </c>
      <c r="U137" s="2" t="str">
        <f>'FLORIDA CENTER'!T19</f>
        <v/>
      </c>
      <c r="V137" s="2" t="str">
        <f>'FLORIDA CENTER'!U19</f>
        <v/>
      </c>
      <c r="W137" s="2" t="str">
        <f>'FLORIDA CENTER'!V19</f>
        <v/>
      </c>
      <c r="X137" s="2" t="str">
        <f>'FLORIDA CENTER'!W19</f>
        <v/>
      </c>
      <c r="Y137" s="2" t="str">
        <f>'FLORIDA CENTER'!X19</f>
        <v/>
      </c>
      <c r="Z137" s="2" t="str">
        <f>'FLORIDA CENTER'!Y19</f>
        <v/>
      </c>
      <c r="AA137" s="2" t="str">
        <f>'FLORIDA CENTER'!Z19</f>
        <v/>
      </c>
      <c r="AB137" s="2" t="str">
        <f>'FLORIDA CENTER'!AA19</f>
        <v/>
      </c>
      <c r="AC137" s="2" t="str">
        <f>'FLORIDA CENTER'!AB19</f>
        <v/>
      </c>
      <c r="AD137" s="2" t="str">
        <f>'FLORIDA CENTER'!AC19</f>
        <v/>
      </c>
      <c r="AE137" s="2" t="str">
        <f>'FLORIDA CENTER'!AD19</f>
        <v/>
      </c>
      <c r="AF137" s="2" t="str">
        <f>'FLORIDA CENTER'!AE19</f>
        <v/>
      </c>
      <c r="AG137" s="2" t="str">
        <f>'FLORIDA CENTER'!AF19</f>
        <v/>
      </c>
      <c r="AH137" s="2" t="str">
        <f>'FLORIDA CENTER'!AG19</f>
        <v/>
      </c>
      <c r="AI137" s="2" t="str">
        <f>'FLORIDA CENTER'!AH19</f>
        <v/>
      </c>
      <c r="AJ137" s="2" t="str">
        <f>'FLORIDA CENTER'!AI19</f>
        <v/>
      </c>
      <c r="AK137" s="2" t="str">
        <f>'FLORIDA CENTER'!AJ19</f>
        <v/>
      </c>
      <c r="AL137" s="2" t="str">
        <f>'FLORIDA CENTER'!AK19</f>
        <v/>
      </c>
      <c r="AM137" s="2" t="str">
        <f>'FLORIDA CENTER'!AL19</f>
        <v/>
      </c>
      <c r="AN137" s="2" t="str">
        <f>'FLORIDA CENTER'!AM19</f>
        <v/>
      </c>
      <c r="AO137" s="2" t="str">
        <f>'FLORIDA CENTER'!AN19</f>
        <v/>
      </c>
      <c r="AP137" s="2" t="str">
        <f>'FLORIDA CENTER'!AO19</f>
        <v/>
      </c>
      <c r="AQ137" s="2" t="str">
        <f>'FLORIDA CENTER'!AP19</f>
        <v/>
      </c>
      <c r="AR137" s="2" t="str">
        <f>'FLORIDA CENTER'!AQ19</f>
        <v/>
      </c>
      <c r="AS137" s="2" t="str">
        <f>'FLORIDA CENTER'!AR19</f>
        <v/>
      </c>
      <c r="AT137" s="2" t="str">
        <f>'FLORIDA CENTER'!AS19</f>
        <v/>
      </c>
      <c r="AU137" s="2" t="str">
        <f>'FLORIDA CENTER'!AT19</f>
        <v/>
      </c>
      <c r="AV137" s="2" t="str">
        <f>'FLORIDA CENTER'!AU19</f>
        <v/>
      </c>
      <c r="AW137" s="2" t="str">
        <f>'FLORIDA CENTER'!AV19</f>
        <v/>
      </c>
      <c r="AX137" s="2" t="str">
        <f>'FLORIDA CENTER'!AW19</f>
        <v/>
      </c>
      <c r="AY137" s="2" t="str">
        <f>'FLORIDA CENTER'!AX19</f>
        <v/>
      </c>
      <c r="AZ137" s="2" t="str">
        <f>'FLORIDA CENTER'!AY19</f>
        <v/>
      </c>
      <c r="BA137" s="2" t="str">
        <f>'FLORIDA CENTER'!AZ19</f>
        <v/>
      </c>
      <c r="BB137" s="2" t="str">
        <f>'FLORIDA CENTER'!BA19</f>
        <v/>
      </c>
      <c r="BC137" s="2" t="str">
        <f>'FLORIDA CENTER'!BB19</f>
        <v>-</v>
      </c>
      <c r="BD137" s="2" t="str">
        <f>'FLORIDA CENTER'!BC19</f>
        <v>-</v>
      </c>
      <c r="BE137" s="2" t="str">
        <f>'FLORIDA CENTER'!BD19</f>
        <v>-</v>
      </c>
      <c r="BF137" s="2" t="str">
        <f>'FLORIDA CENTER'!BE19</f>
        <v>-</v>
      </c>
      <c r="BG137" s="2" t="str">
        <f>'FLORIDA CENTER'!BF19</f>
        <v>-</v>
      </c>
      <c r="BH137" s="2" t="str">
        <f>'FLORIDA CENTER'!BG19</f>
        <v>-</v>
      </c>
      <c r="BI137" s="2">
        <f>'FLORIDA CENTER'!BH19</f>
        <v>3</v>
      </c>
      <c r="BJ137" s="2">
        <f>'FLORIDA CENTER'!BI19</f>
        <v>3</v>
      </c>
      <c r="BK137" s="2">
        <f>'FLORIDA CENTER'!BJ19</f>
        <v>3</v>
      </c>
      <c r="BL137" s="2" t="str">
        <f>'FLORIDA CENTER'!BK19</f>
        <v/>
      </c>
      <c r="BM137" s="2" t="str">
        <f>'FLORIDA CENTER'!BL19</f>
        <v/>
      </c>
      <c r="BN137" s="2" t="str">
        <f>'FLORIDA CENTER'!BM19</f>
        <v/>
      </c>
      <c r="BO137" s="2" t="str">
        <f>'FLORIDA CENTER'!BN19</f>
        <v/>
      </c>
      <c r="BP137" s="2" t="str">
        <f>'FLORIDA CENTER'!BO19</f>
        <v/>
      </c>
      <c r="BQ137" s="2" t="str">
        <f>'FLORIDA CENTER'!BP19</f>
        <v/>
      </c>
      <c r="BR137" s="2" t="str">
        <f>'FLORIDA CENTER'!BQ19</f>
        <v/>
      </c>
      <c r="BS137" s="2" t="str">
        <f>'FLORIDA CENTER'!BR19</f>
        <v/>
      </c>
      <c r="BT137" s="2"/>
      <c r="BU137" s="2"/>
      <c r="BV137" s="2"/>
      <c r="BW137" s="2"/>
    </row>
    <row r="138">
      <c r="A138" s="2"/>
      <c r="B138" s="2" t="str">
        <f>'FLORIDA CENTER'!A20</f>
        <v>Florida Center</v>
      </c>
      <c r="C138" s="2" t="str">
        <f>'FLORIDA CENTER'!B20</f>
        <v>Cafeteria</v>
      </c>
      <c r="D138" s="2" t="str">
        <f>'FLORIDA CENTER'!C20</f>
        <v>Removedores</v>
      </c>
      <c r="E138" s="2" t="str">
        <f>'FLORIDA CENTER'!D20</f>
        <v/>
      </c>
      <c r="F138" s="2" t="str">
        <f>'FLORIDA CENTER'!E20</f>
        <v/>
      </c>
      <c r="G138" s="2" t="str">
        <f>'FLORIDA CENTER'!F20</f>
        <v/>
      </c>
      <c r="H138" s="2" t="str">
        <f>'FLORIDA CENTER'!G20</f>
        <v/>
      </c>
      <c r="I138" s="2" t="str">
        <f>'FLORIDA CENTER'!H20</f>
        <v/>
      </c>
      <c r="J138" s="2" t="str">
        <f>'FLORIDA CENTER'!I20</f>
        <v/>
      </c>
      <c r="K138" s="2" t="str">
        <f>'FLORIDA CENTER'!J20</f>
        <v/>
      </c>
      <c r="L138" s="2" t="str">
        <f>'FLORIDA CENTER'!K20</f>
        <v/>
      </c>
      <c r="M138" s="2" t="str">
        <f>'FLORIDA CENTER'!L20</f>
        <v/>
      </c>
      <c r="N138" s="2" t="str">
        <f>'FLORIDA CENTER'!M20</f>
        <v/>
      </c>
      <c r="O138" s="2" t="str">
        <f>'FLORIDA CENTER'!N20</f>
        <v/>
      </c>
      <c r="P138" s="2" t="str">
        <f>'FLORIDA CENTER'!O20</f>
        <v/>
      </c>
      <c r="Q138" s="2" t="str">
        <f>'FLORIDA CENTER'!P20</f>
        <v/>
      </c>
      <c r="R138" s="2" t="str">
        <f>'FLORIDA CENTER'!Q20</f>
        <v/>
      </c>
      <c r="S138" s="2" t="str">
        <f>'FLORIDA CENTER'!R20</f>
        <v/>
      </c>
      <c r="T138" s="2" t="str">
        <f>'FLORIDA CENTER'!S20</f>
        <v/>
      </c>
      <c r="U138" s="2" t="str">
        <f>'FLORIDA CENTER'!T20</f>
        <v/>
      </c>
      <c r="V138" s="2" t="str">
        <f>'FLORIDA CENTER'!U20</f>
        <v/>
      </c>
      <c r="W138" s="2" t="str">
        <f>'FLORIDA CENTER'!V20</f>
        <v/>
      </c>
      <c r="X138" s="2" t="str">
        <f>'FLORIDA CENTER'!W20</f>
        <v/>
      </c>
      <c r="Y138" s="2" t="str">
        <f>'FLORIDA CENTER'!X20</f>
        <v/>
      </c>
      <c r="Z138" s="2" t="str">
        <f>'FLORIDA CENTER'!Y20</f>
        <v>-</v>
      </c>
      <c r="AA138" s="2" t="str">
        <f>'FLORIDA CENTER'!Z20</f>
        <v>-</v>
      </c>
      <c r="AB138" s="2" t="str">
        <f>'FLORIDA CENTER'!AA20</f>
        <v>-</v>
      </c>
      <c r="AC138" s="2" t="str">
        <f>'FLORIDA CENTER'!AB20</f>
        <v>-</v>
      </c>
      <c r="AD138" s="2" t="str">
        <f>'FLORIDA CENTER'!AC20</f>
        <v>-</v>
      </c>
      <c r="AE138" s="2" t="str">
        <f>'FLORIDA CENTER'!AD20</f>
        <v>-</v>
      </c>
      <c r="AF138" s="2" t="str">
        <f>'FLORIDA CENTER'!AE20</f>
        <v>-</v>
      </c>
      <c r="AG138" s="2" t="str">
        <f>'FLORIDA CENTER'!AF20</f>
        <v>-</v>
      </c>
      <c r="AH138" s="2" t="str">
        <f>'FLORIDA CENTER'!AG20</f>
        <v>-</v>
      </c>
      <c r="AI138" s="2">
        <f>'FLORIDA CENTER'!AH20</f>
        <v>2</v>
      </c>
      <c r="AJ138" s="2">
        <f>'FLORIDA CENTER'!AI20</f>
        <v>8</v>
      </c>
      <c r="AK138" s="2">
        <f>'FLORIDA CENTER'!AJ20</f>
        <v>8</v>
      </c>
      <c r="AL138" s="2">
        <f>'FLORIDA CENTER'!AK20</f>
        <v>8</v>
      </c>
      <c r="AM138" s="2">
        <f>'FLORIDA CENTER'!AL20</f>
        <v>8</v>
      </c>
      <c r="AN138" s="2">
        <f>'FLORIDA CENTER'!AM20</f>
        <v>7</v>
      </c>
      <c r="AO138" s="2">
        <f>'FLORIDA CENTER'!AN20</f>
        <v>6</v>
      </c>
      <c r="AP138" s="2">
        <f>'FLORIDA CENTER'!AO20</f>
        <v>6</v>
      </c>
      <c r="AQ138" s="2">
        <f>'FLORIDA CENTER'!AP20</f>
        <v>11</v>
      </c>
      <c r="AR138" s="2">
        <f>'FLORIDA CENTER'!AQ20</f>
        <v>11</v>
      </c>
      <c r="AS138" s="2">
        <f>'FLORIDA CENTER'!AR20</f>
        <v>11</v>
      </c>
      <c r="AT138" s="2">
        <f>'FLORIDA CENTER'!AS20</f>
        <v>11</v>
      </c>
      <c r="AU138" s="2">
        <f>'FLORIDA CENTER'!AT20</f>
        <v>10</v>
      </c>
      <c r="AV138" s="2">
        <f>'FLORIDA CENTER'!AU20</f>
        <v>10</v>
      </c>
      <c r="AW138" s="2">
        <f>'FLORIDA CENTER'!AV20</f>
        <v>9</v>
      </c>
      <c r="AX138" s="2">
        <f>'FLORIDA CENTER'!AW20</f>
        <v>9</v>
      </c>
      <c r="AY138" s="2">
        <f>'FLORIDA CENTER'!AX20</f>
        <v>8</v>
      </c>
      <c r="AZ138" s="2">
        <f>'FLORIDA CENTER'!AY20</f>
        <v>8</v>
      </c>
      <c r="BA138" s="2">
        <f>'FLORIDA CENTER'!AZ20</f>
        <v>8</v>
      </c>
      <c r="BB138" s="2">
        <f>'FLORIDA CENTER'!BA20</f>
        <v>8</v>
      </c>
      <c r="BC138" s="2">
        <f>'FLORIDA CENTER'!BB20</f>
        <v>7</v>
      </c>
      <c r="BD138" s="2">
        <f>'FLORIDA CENTER'!BC20</f>
        <v>7</v>
      </c>
      <c r="BE138" s="2">
        <f>'FLORIDA CENTER'!BD20</f>
        <v>6</v>
      </c>
      <c r="BF138" s="2">
        <f>'FLORIDA CENTER'!BE20</f>
        <v>6</v>
      </c>
      <c r="BG138" s="2">
        <f>'FLORIDA CENTER'!BF20</f>
        <v>13</v>
      </c>
      <c r="BH138" s="2">
        <f>'FLORIDA CENTER'!BG20</f>
        <v>12</v>
      </c>
      <c r="BI138" s="2">
        <f>'FLORIDA CENTER'!BH20</f>
        <v>12</v>
      </c>
      <c r="BJ138" s="2">
        <f>'FLORIDA CENTER'!BI20</f>
        <v>11</v>
      </c>
      <c r="BK138" s="2">
        <f>'FLORIDA CENTER'!BJ20</f>
        <v>11</v>
      </c>
      <c r="BL138" s="2" t="str">
        <f>'FLORIDA CENTER'!BK20</f>
        <v/>
      </c>
      <c r="BM138" s="2" t="str">
        <f>'FLORIDA CENTER'!BL20</f>
        <v/>
      </c>
      <c r="BN138" s="2" t="str">
        <f>'FLORIDA CENTER'!BM20</f>
        <v/>
      </c>
      <c r="BO138" s="2" t="str">
        <f>'FLORIDA CENTER'!BN20</f>
        <v/>
      </c>
      <c r="BP138" s="2" t="str">
        <f>'FLORIDA CENTER'!BO20</f>
        <v/>
      </c>
      <c r="BQ138" s="2" t="str">
        <f>'FLORIDA CENTER'!BP20</f>
        <v/>
      </c>
      <c r="BR138" s="2" t="str">
        <f>'FLORIDA CENTER'!BQ20</f>
        <v/>
      </c>
      <c r="BS138" s="2" t="str">
        <f>'FLORIDA CENTER'!BR20</f>
        <v/>
      </c>
      <c r="BT138" s="2"/>
      <c r="BU138" s="2"/>
      <c r="BV138" s="2"/>
      <c r="BW138" s="2"/>
    </row>
    <row r="139">
      <c r="A139" s="2"/>
      <c r="B139" s="2" t="str">
        <f>'FLORIDA CENTER'!A21</f>
        <v>Florida Center</v>
      </c>
      <c r="C139" s="2" t="str">
        <f>'FLORIDA CENTER'!B21</f>
        <v>Cafeteria</v>
      </c>
      <c r="D139" s="2" t="str">
        <f>'FLORIDA CENTER'!C21</f>
        <v>Vasos Polipapel</v>
      </c>
      <c r="E139" s="2" t="str">
        <f>'FLORIDA CENTER'!D21</f>
        <v/>
      </c>
      <c r="F139" s="2" t="str">
        <f>'FLORIDA CENTER'!E21</f>
        <v/>
      </c>
      <c r="G139" s="2" t="str">
        <f>'FLORIDA CENTER'!F21</f>
        <v/>
      </c>
      <c r="H139" s="2" t="str">
        <f>'FLORIDA CENTER'!G21</f>
        <v/>
      </c>
      <c r="I139" s="2" t="str">
        <f>'FLORIDA CENTER'!H21</f>
        <v/>
      </c>
      <c r="J139" s="2" t="str">
        <f>'FLORIDA CENTER'!I21</f>
        <v/>
      </c>
      <c r="K139" s="2" t="str">
        <f>'FLORIDA CENTER'!J21</f>
        <v/>
      </c>
      <c r="L139" s="2" t="str">
        <f>'FLORIDA CENTER'!K21</f>
        <v/>
      </c>
      <c r="M139" s="2" t="str">
        <f>'FLORIDA CENTER'!L21</f>
        <v/>
      </c>
      <c r="N139" s="2" t="str">
        <f>'FLORIDA CENTER'!M21</f>
        <v/>
      </c>
      <c r="O139" s="2" t="str">
        <f>'FLORIDA CENTER'!N21</f>
        <v/>
      </c>
      <c r="P139" s="2" t="str">
        <f>'FLORIDA CENTER'!O21</f>
        <v/>
      </c>
      <c r="Q139" s="2" t="str">
        <f>'FLORIDA CENTER'!P21</f>
        <v/>
      </c>
      <c r="R139" s="2" t="str">
        <f>'FLORIDA CENTER'!Q21</f>
        <v/>
      </c>
      <c r="S139" s="2" t="str">
        <f>'FLORIDA CENTER'!R21</f>
        <v/>
      </c>
      <c r="T139" s="2" t="str">
        <f>'FLORIDA CENTER'!S21</f>
        <v/>
      </c>
      <c r="U139" s="2" t="str">
        <f>'FLORIDA CENTER'!T21</f>
        <v/>
      </c>
      <c r="V139" s="2" t="str">
        <f>'FLORIDA CENTER'!U21</f>
        <v/>
      </c>
      <c r="W139" s="2" t="str">
        <f>'FLORIDA CENTER'!V21</f>
        <v/>
      </c>
      <c r="X139" s="2" t="str">
        <f>'FLORIDA CENTER'!W21</f>
        <v/>
      </c>
      <c r="Y139" s="2" t="str">
        <f>'FLORIDA CENTER'!X21</f>
        <v/>
      </c>
      <c r="Z139" s="2" t="str">
        <f>'FLORIDA CENTER'!Y21</f>
        <v>-</v>
      </c>
      <c r="AA139" s="2" t="str">
        <f>'FLORIDA CENTER'!Z21</f>
        <v>-</v>
      </c>
      <c r="AB139" s="2" t="str">
        <f>'FLORIDA CENTER'!AA21</f>
        <v>-</v>
      </c>
      <c r="AC139" s="2" t="str">
        <f>'FLORIDA CENTER'!AB21</f>
        <v>10 Paquetes</v>
      </c>
      <c r="AD139" s="2" t="str">
        <f>'FLORIDA CENTER'!AC21</f>
        <v>4 Paquetes</v>
      </c>
      <c r="AE139" s="2" t="str">
        <f>'FLORIDA CENTER'!AD21</f>
        <v>3 Paquetes</v>
      </c>
      <c r="AF139" s="2" t="str">
        <f>'FLORIDA CENTER'!AE21</f>
        <v>3 Paquetes</v>
      </c>
      <c r="AG139" s="2" t="str">
        <f>'FLORIDA CENTER'!AF21</f>
        <v>1 Paquete</v>
      </c>
      <c r="AH139" s="2" t="str">
        <f>'FLORIDA CENTER'!AG21</f>
        <v>5 Paquetes</v>
      </c>
      <c r="AI139" s="2" t="str">
        <f>'FLORIDA CENTER'!AH21</f>
        <v>1 Paquetes</v>
      </c>
      <c r="AJ139" s="2">
        <f>'FLORIDA CENTER'!AI21</f>
        <v>0</v>
      </c>
      <c r="AK139" s="2">
        <f>'FLORIDA CENTER'!AJ21</f>
        <v>0</v>
      </c>
      <c r="AL139" s="2">
        <f>'FLORIDA CENTER'!AK21</f>
        <v>100</v>
      </c>
      <c r="AM139" s="2">
        <f>'FLORIDA CENTER'!AL21</f>
        <v>100</v>
      </c>
      <c r="AN139" s="2">
        <f>'FLORIDA CENTER'!AM21</f>
        <v>80</v>
      </c>
      <c r="AO139" s="2">
        <f>'FLORIDA CENTER'!AN21</f>
        <v>60</v>
      </c>
      <c r="AP139" s="2">
        <f>'FLORIDA CENTER'!AO21</f>
        <v>60</v>
      </c>
      <c r="AQ139" s="2">
        <f>'FLORIDA CENTER'!AP21</f>
        <v>260</v>
      </c>
      <c r="AR139" s="2">
        <f>'FLORIDA CENTER'!AQ21</f>
        <v>260</v>
      </c>
      <c r="AS139" s="2">
        <f>'FLORIDA CENTER'!AR21</f>
        <v>260</v>
      </c>
      <c r="AT139" s="2">
        <f>'FLORIDA CENTER'!AS21</f>
        <v>260</v>
      </c>
      <c r="AU139" s="2">
        <f>'FLORIDA CENTER'!AT21</f>
        <v>260</v>
      </c>
      <c r="AV139" s="2">
        <f>'FLORIDA CENTER'!AU21</f>
        <v>260</v>
      </c>
      <c r="AW139" s="2">
        <f>'FLORIDA CENTER'!AV21</f>
        <v>260</v>
      </c>
      <c r="AX139" s="2">
        <f>'FLORIDA CENTER'!AW21</f>
        <v>260</v>
      </c>
      <c r="AY139" s="2">
        <f>'FLORIDA CENTER'!AX21</f>
        <v>250</v>
      </c>
      <c r="AZ139" s="2">
        <f>'FLORIDA CENTER'!AY21</f>
        <v>250</v>
      </c>
      <c r="BA139" s="2">
        <f>'FLORIDA CENTER'!AZ21</f>
        <v>250</v>
      </c>
      <c r="BB139" s="2">
        <f>'FLORIDA CENTER'!BA21</f>
        <v>250</v>
      </c>
      <c r="BC139" s="2" t="str">
        <f>'FLORIDA CENTER'!BB21</f>
        <v>250 U</v>
      </c>
      <c r="BD139" s="2" t="str">
        <f>'FLORIDA CENTER'!BC21</f>
        <v>250 U</v>
      </c>
      <c r="BE139" s="2" t="str">
        <f>'FLORIDA CENTER'!BD21</f>
        <v>239 U</v>
      </c>
      <c r="BF139" s="2" t="str">
        <f>'FLORIDA CENTER'!BE21</f>
        <v>239 U</v>
      </c>
      <c r="BG139" s="2" t="str">
        <f>'FLORIDA CENTER'!BF21</f>
        <v>239 U</v>
      </c>
      <c r="BH139" s="2" t="str">
        <f>'FLORIDA CENTER'!BG21</f>
        <v>189 U</v>
      </c>
      <c r="BI139" s="2" t="str">
        <f>'FLORIDA CENTER'!BH21</f>
        <v>189U</v>
      </c>
      <c r="BJ139" s="2" t="str">
        <f>'FLORIDA CENTER'!BI21</f>
        <v>189U</v>
      </c>
      <c r="BK139" s="2" t="str">
        <f>'FLORIDA CENTER'!BJ21</f>
        <v>189U</v>
      </c>
      <c r="BL139" s="2" t="str">
        <f>'FLORIDA CENTER'!BK21</f>
        <v/>
      </c>
      <c r="BM139" s="2" t="str">
        <f>'FLORIDA CENTER'!BL21</f>
        <v/>
      </c>
      <c r="BN139" s="2" t="str">
        <f>'FLORIDA CENTER'!BM21</f>
        <v/>
      </c>
      <c r="BO139" s="2" t="str">
        <f>'FLORIDA CENTER'!BN21</f>
        <v/>
      </c>
      <c r="BP139" s="2" t="str">
        <f>'FLORIDA CENTER'!BO21</f>
        <v/>
      </c>
      <c r="BQ139" s="2" t="str">
        <f>'FLORIDA CENTER'!BP21</f>
        <v/>
      </c>
      <c r="BR139" s="2" t="str">
        <f>'FLORIDA CENTER'!BQ21</f>
        <v/>
      </c>
      <c r="BS139" s="2" t="str">
        <f>'FLORIDA CENTER'!BR21</f>
        <v/>
      </c>
      <c r="BT139" s="2"/>
      <c r="BU139" s="2"/>
      <c r="BV139" s="2"/>
      <c r="BW139" s="2"/>
    </row>
    <row r="140">
      <c r="A140" s="2"/>
      <c r="B140" s="2" t="str">
        <f>'FLORIDA CENTER'!A22</f>
        <v>Florida Center</v>
      </c>
      <c r="C140" s="2" t="str">
        <f>'FLORIDA CENTER'!B22</f>
        <v>Aseo</v>
      </c>
      <c r="D140" s="2" t="str">
        <f>'FLORIDA CENTER'!C22</f>
        <v>Cloro Gel</v>
      </c>
      <c r="E140" s="2" t="str">
        <f>'FLORIDA CENTER'!D22</f>
        <v/>
      </c>
      <c r="F140" s="2" t="str">
        <f>'FLORIDA CENTER'!E22</f>
        <v/>
      </c>
      <c r="G140" s="2" t="str">
        <f>'FLORIDA CENTER'!F22</f>
        <v/>
      </c>
      <c r="H140" s="2" t="str">
        <f>'FLORIDA CENTER'!G22</f>
        <v/>
      </c>
      <c r="I140" s="2" t="str">
        <f>'FLORIDA CENTER'!H22</f>
        <v/>
      </c>
      <c r="J140" s="2" t="str">
        <f>'FLORIDA CENTER'!I22</f>
        <v/>
      </c>
      <c r="K140" s="2" t="str">
        <f>'FLORIDA CENTER'!J22</f>
        <v/>
      </c>
      <c r="L140" s="2" t="str">
        <f>'FLORIDA CENTER'!K22</f>
        <v/>
      </c>
      <c r="M140" s="2" t="str">
        <f>'FLORIDA CENTER'!L22</f>
        <v/>
      </c>
      <c r="N140" s="2" t="str">
        <f>'FLORIDA CENTER'!M22</f>
        <v/>
      </c>
      <c r="O140" s="2" t="str">
        <f>'FLORIDA CENTER'!N22</f>
        <v/>
      </c>
      <c r="P140" s="2" t="str">
        <f>'FLORIDA CENTER'!O22</f>
        <v/>
      </c>
      <c r="Q140" s="2" t="str">
        <f>'FLORIDA CENTER'!P22</f>
        <v/>
      </c>
      <c r="R140" s="2" t="str">
        <f>'FLORIDA CENTER'!Q22</f>
        <v/>
      </c>
      <c r="S140" s="2" t="str">
        <f>'FLORIDA CENTER'!R22</f>
        <v/>
      </c>
      <c r="T140" s="2" t="str">
        <f>'FLORIDA CENTER'!S22</f>
        <v/>
      </c>
      <c r="U140" s="2" t="str">
        <f>'FLORIDA CENTER'!T22</f>
        <v/>
      </c>
      <c r="V140" s="2" t="str">
        <f>'FLORIDA CENTER'!U22</f>
        <v/>
      </c>
      <c r="W140" s="2" t="str">
        <f>'FLORIDA CENTER'!V22</f>
        <v/>
      </c>
      <c r="X140" s="2" t="str">
        <f>'FLORIDA CENTER'!W22</f>
        <v/>
      </c>
      <c r="Y140" s="2" t="str">
        <f>'FLORIDA CENTER'!X22</f>
        <v/>
      </c>
      <c r="Z140" s="2">
        <f>'FLORIDA CENTER'!Y22</f>
        <v>2</v>
      </c>
      <c r="AA140" s="2">
        <f>'FLORIDA CENTER'!Z22</f>
        <v>1</v>
      </c>
      <c r="AB140" s="2">
        <f>'FLORIDA CENTER'!AA22</f>
        <v>1</v>
      </c>
      <c r="AC140" s="2">
        <f>'FLORIDA CENTER'!AB22</f>
        <v>1</v>
      </c>
      <c r="AD140" s="2">
        <f>'FLORIDA CENTER'!AC22</f>
        <v>1</v>
      </c>
      <c r="AE140" s="2">
        <f>'FLORIDA CENTER'!AD22</f>
        <v>2</v>
      </c>
      <c r="AF140" s="2">
        <f>'FLORIDA CENTER'!AE22</f>
        <v>2</v>
      </c>
      <c r="AG140" s="2">
        <f>'FLORIDA CENTER'!AF22</f>
        <v>2</v>
      </c>
      <c r="AH140" s="2">
        <f>'FLORIDA CENTER'!AG22</f>
        <v>2</v>
      </c>
      <c r="AI140" s="2">
        <f>'FLORIDA CENTER'!AH22</f>
        <v>3</v>
      </c>
      <c r="AJ140" s="2">
        <f>'FLORIDA CENTER'!AI22</f>
        <v>3</v>
      </c>
      <c r="AK140" s="2">
        <f>'FLORIDA CENTER'!AJ22</f>
        <v>3</v>
      </c>
      <c r="AL140" s="2">
        <f>'FLORIDA CENTER'!AK22</f>
        <v>3</v>
      </c>
      <c r="AM140" s="2">
        <f>'FLORIDA CENTER'!AL22</f>
        <v>3</v>
      </c>
      <c r="AN140" s="2">
        <f>'FLORIDA CENTER'!AM22</f>
        <v>3</v>
      </c>
      <c r="AO140" s="2">
        <f>'FLORIDA CENTER'!AN22</f>
        <v>3</v>
      </c>
      <c r="AP140" s="2">
        <f>'FLORIDA CENTER'!AO22</f>
        <v>3</v>
      </c>
      <c r="AQ140" s="2">
        <f>'FLORIDA CENTER'!AP22</f>
        <v>3</v>
      </c>
      <c r="AR140" s="2">
        <f>'FLORIDA CENTER'!AQ22</f>
        <v>4</v>
      </c>
      <c r="AS140" s="2">
        <f>'FLORIDA CENTER'!AR22</f>
        <v>4</v>
      </c>
      <c r="AT140" s="2">
        <f>'FLORIDA CENTER'!AS22</f>
        <v>4</v>
      </c>
      <c r="AU140" s="2">
        <f>'FLORIDA CENTER'!AT22</f>
        <v>3</v>
      </c>
      <c r="AV140" s="2">
        <f>'FLORIDA CENTER'!AU22</f>
        <v>3</v>
      </c>
      <c r="AW140" s="2">
        <f>'FLORIDA CENTER'!AV22</f>
        <v>2</v>
      </c>
      <c r="AX140" s="2">
        <f>'FLORIDA CENTER'!AW22</f>
        <v>2</v>
      </c>
      <c r="AY140" s="2">
        <f>'FLORIDA CENTER'!AX22</f>
        <v>2</v>
      </c>
      <c r="AZ140" s="2">
        <f>'FLORIDA CENTER'!AY22</f>
        <v>2</v>
      </c>
      <c r="BA140" s="2">
        <f>'FLORIDA CENTER'!AZ22</f>
        <v>2</v>
      </c>
      <c r="BB140" s="2">
        <f>'FLORIDA CENTER'!BA22</f>
        <v>2</v>
      </c>
      <c r="BC140" s="2">
        <f>'FLORIDA CENTER'!BB22</f>
        <v>2</v>
      </c>
      <c r="BD140" s="2">
        <f>'FLORIDA CENTER'!BC22</f>
        <v>2</v>
      </c>
      <c r="BE140" s="2">
        <f>'FLORIDA CENTER'!BD22</f>
        <v>2</v>
      </c>
      <c r="BF140" s="2">
        <f>'FLORIDA CENTER'!BE22</f>
        <v>2</v>
      </c>
      <c r="BG140" s="2">
        <f>'FLORIDA CENTER'!BF22</f>
        <v>2</v>
      </c>
      <c r="BH140" s="2">
        <f>'FLORIDA CENTER'!BG22</f>
        <v>2</v>
      </c>
      <c r="BI140" s="2">
        <f>'FLORIDA CENTER'!BH22</f>
        <v>2</v>
      </c>
      <c r="BJ140" s="2">
        <f>'FLORIDA CENTER'!BI22</f>
        <v>2</v>
      </c>
      <c r="BK140" s="2">
        <f>'FLORIDA CENTER'!BJ22</f>
        <v>2</v>
      </c>
      <c r="BL140" s="2" t="str">
        <f>'FLORIDA CENTER'!BK22</f>
        <v/>
      </c>
      <c r="BM140" s="2" t="str">
        <f>'FLORIDA CENTER'!BL22</f>
        <v/>
      </c>
      <c r="BN140" s="2" t="str">
        <f>'FLORIDA CENTER'!BM22</f>
        <v/>
      </c>
      <c r="BO140" s="2" t="str">
        <f>'FLORIDA CENTER'!BN22</f>
        <v/>
      </c>
      <c r="BP140" s="2" t="str">
        <f>'FLORIDA CENTER'!BO22</f>
        <v/>
      </c>
      <c r="BQ140" s="2" t="str">
        <f>'FLORIDA CENTER'!BP22</f>
        <v/>
      </c>
      <c r="BR140" s="2" t="str">
        <f>'FLORIDA CENTER'!BQ22</f>
        <v/>
      </c>
      <c r="BS140" s="2" t="str">
        <f>'FLORIDA CENTER'!BR22</f>
        <v/>
      </c>
      <c r="BT140" s="2"/>
      <c r="BU140" s="2"/>
      <c r="BV140" s="2"/>
      <c r="BW140" s="2"/>
    </row>
    <row r="141">
      <c r="A141" s="2"/>
      <c r="B141" s="2" t="str">
        <f>'FLORIDA CENTER'!A23</f>
        <v>Florida Center</v>
      </c>
      <c r="C141" s="2" t="str">
        <f>'FLORIDA CENTER'!B23</f>
        <v>Aseo</v>
      </c>
      <c r="D141" s="2" t="str">
        <f>'FLORIDA CENTER'!C23</f>
        <v>Limpia Piso</v>
      </c>
      <c r="E141" s="2" t="str">
        <f>'FLORIDA CENTER'!D23</f>
        <v/>
      </c>
      <c r="F141" s="2" t="str">
        <f>'FLORIDA CENTER'!E23</f>
        <v/>
      </c>
      <c r="G141" s="2" t="str">
        <f>'FLORIDA CENTER'!F23</f>
        <v/>
      </c>
      <c r="H141" s="2" t="str">
        <f>'FLORIDA CENTER'!G23</f>
        <v/>
      </c>
      <c r="I141" s="2" t="str">
        <f>'FLORIDA CENTER'!H23</f>
        <v/>
      </c>
      <c r="J141" s="2" t="str">
        <f>'FLORIDA CENTER'!I23</f>
        <v/>
      </c>
      <c r="K141" s="2" t="str">
        <f>'FLORIDA CENTER'!J23</f>
        <v/>
      </c>
      <c r="L141" s="2" t="str">
        <f>'FLORIDA CENTER'!K23</f>
        <v/>
      </c>
      <c r="M141" s="2" t="str">
        <f>'FLORIDA CENTER'!L23</f>
        <v/>
      </c>
      <c r="N141" s="2" t="str">
        <f>'FLORIDA CENTER'!M23</f>
        <v/>
      </c>
      <c r="O141" s="2" t="str">
        <f>'FLORIDA CENTER'!N23</f>
        <v/>
      </c>
      <c r="P141" s="2" t="str">
        <f>'FLORIDA CENTER'!O23</f>
        <v/>
      </c>
      <c r="Q141" s="2" t="str">
        <f>'FLORIDA CENTER'!P23</f>
        <v/>
      </c>
      <c r="R141" s="2" t="str">
        <f>'FLORIDA CENTER'!Q23</f>
        <v/>
      </c>
      <c r="S141" s="2" t="str">
        <f>'FLORIDA CENTER'!R23</f>
        <v/>
      </c>
      <c r="T141" s="2" t="str">
        <f>'FLORIDA CENTER'!S23</f>
        <v/>
      </c>
      <c r="U141" s="2" t="str">
        <f>'FLORIDA CENTER'!T23</f>
        <v/>
      </c>
      <c r="V141" s="2" t="str">
        <f>'FLORIDA CENTER'!U23</f>
        <v/>
      </c>
      <c r="W141" s="2" t="str">
        <f>'FLORIDA CENTER'!V23</f>
        <v/>
      </c>
      <c r="X141" s="2" t="str">
        <f>'FLORIDA CENTER'!W23</f>
        <v/>
      </c>
      <c r="Y141" s="2" t="str">
        <f>'FLORIDA CENTER'!X23</f>
        <v/>
      </c>
      <c r="Z141" s="2" t="str">
        <f>'FLORIDA CENTER'!Y23</f>
        <v>-</v>
      </c>
      <c r="AA141" s="2" t="str">
        <f>'FLORIDA CENTER'!Z23</f>
        <v>-</v>
      </c>
      <c r="AB141" s="2" t="str">
        <f>'FLORIDA CENTER'!AA23</f>
        <v>-</v>
      </c>
      <c r="AC141" s="2">
        <f>'FLORIDA CENTER'!AB23</f>
        <v>0</v>
      </c>
      <c r="AD141" s="2">
        <f>'FLORIDA CENTER'!AC23</f>
        <v>0</v>
      </c>
      <c r="AE141" s="2">
        <f>'FLORIDA CENTER'!AD23</f>
        <v>1</v>
      </c>
      <c r="AF141" s="2">
        <f>'FLORIDA CENTER'!AE23</f>
        <v>1</v>
      </c>
      <c r="AG141" s="2">
        <f>'FLORIDA CENTER'!AF23</f>
        <v>1</v>
      </c>
      <c r="AH141" s="2">
        <f>'FLORIDA CENTER'!AG23</f>
        <v>1</v>
      </c>
      <c r="AI141" s="2">
        <f>'FLORIDA CENTER'!AH23</f>
        <v>3</v>
      </c>
      <c r="AJ141" s="2">
        <f>'FLORIDA CENTER'!AI23</f>
        <v>3</v>
      </c>
      <c r="AK141" s="2">
        <f>'FLORIDA CENTER'!AJ23</f>
        <v>3</v>
      </c>
      <c r="AL141" s="2">
        <f>'FLORIDA CENTER'!AK23</f>
        <v>3</v>
      </c>
      <c r="AM141" s="2">
        <f>'FLORIDA CENTER'!AL23</f>
        <v>3</v>
      </c>
      <c r="AN141" s="2">
        <f>'FLORIDA CENTER'!AM23</f>
        <v>3</v>
      </c>
      <c r="AO141" s="2">
        <f>'FLORIDA CENTER'!AN23</f>
        <v>3</v>
      </c>
      <c r="AP141" s="2">
        <f>'FLORIDA CENTER'!AO23</f>
        <v>3</v>
      </c>
      <c r="AQ141" s="2">
        <f>'FLORIDA CENTER'!AP23</f>
        <v>3</v>
      </c>
      <c r="AR141" s="2">
        <f>'FLORIDA CENTER'!AQ23</f>
        <v>4</v>
      </c>
      <c r="AS141" s="2">
        <f>'FLORIDA CENTER'!AR23</f>
        <v>4</v>
      </c>
      <c r="AT141" s="2">
        <f>'FLORIDA CENTER'!AS23</f>
        <v>4</v>
      </c>
      <c r="AU141" s="2">
        <f>'FLORIDA CENTER'!AT23</f>
        <v>4</v>
      </c>
      <c r="AV141" s="2">
        <f>'FLORIDA CENTER'!AU23</f>
        <v>4</v>
      </c>
      <c r="AW141" s="2">
        <f>'FLORIDA CENTER'!AV23</f>
        <v>4</v>
      </c>
      <c r="AX141" s="2">
        <f>'FLORIDA CENTER'!AW23</f>
        <v>4</v>
      </c>
      <c r="AY141" s="2">
        <f>'FLORIDA CENTER'!AX23</f>
        <v>4</v>
      </c>
      <c r="AZ141" s="2">
        <f>'FLORIDA CENTER'!AY23</f>
        <v>4</v>
      </c>
      <c r="BA141" s="2">
        <f>'FLORIDA CENTER'!AZ23</f>
        <v>4</v>
      </c>
      <c r="BB141" s="2">
        <f>'FLORIDA CENTER'!BA23</f>
        <v>4</v>
      </c>
      <c r="BC141" s="2">
        <f>'FLORIDA CENTER'!BB23</f>
        <v>4</v>
      </c>
      <c r="BD141" s="2">
        <f>'FLORIDA CENTER'!BC23</f>
        <v>3</v>
      </c>
      <c r="BE141" s="2">
        <f>'FLORIDA CENTER'!BD23</f>
        <v>3</v>
      </c>
      <c r="BF141" s="2">
        <f>'FLORIDA CENTER'!BE23</f>
        <v>3</v>
      </c>
      <c r="BG141" s="2">
        <f>'FLORIDA CENTER'!BF23</f>
        <v>4</v>
      </c>
      <c r="BH141" s="2">
        <f>'FLORIDA CENTER'!BG23</f>
        <v>4</v>
      </c>
      <c r="BI141" s="2">
        <f>'FLORIDA CENTER'!BH23</f>
        <v>4</v>
      </c>
      <c r="BJ141" s="2">
        <f>'FLORIDA CENTER'!BI23</f>
        <v>4</v>
      </c>
      <c r="BK141" s="2">
        <f>'FLORIDA CENTER'!BJ23</f>
        <v>4</v>
      </c>
      <c r="BL141" s="2" t="str">
        <f>'FLORIDA CENTER'!BK23</f>
        <v/>
      </c>
      <c r="BM141" s="2" t="str">
        <f>'FLORIDA CENTER'!BL23</f>
        <v/>
      </c>
      <c r="BN141" s="2" t="str">
        <f>'FLORIDA CENTER'!BM23</f>
        <v/>
      </c>
      <c r="BO141" s="2" t="str">
        <f>'FLORIDA CENTER'!BN23</f>
        <v/>
      </c>
      <c r="BP141" s="2" t="str">
        <f>'FLORIDA CENTER'!BO23</f>
        <v/>
      </c>
      <c r="BQ141" s="2" t="str">
        <f>'FLORIDA CENTER'!BP23</f>
        <v/>
      </c>
      <c r="BR141" s="2" t="str">
        <f>'FLORIDA CENTER'!BQ23</f>
        <v/>
      </c>
      <c r="BS141" s="2" t="str">
        <f>'FLORIDA CENTER'!BR23</f>
        <v/>
      </c>
      <c r="BT141" s="2"/>
      <c r="BU141" s="2"/>
      <c r="BV141" s="2"/>
      <c r="BW141" s="2"/>
    </row>
    <row r="142">
      <c r="A142" s="2"/>
      <c r="B142" s="2" t="str">
        <f>'FLORIDA CENTER'!A24</f>
        <v>Florida Center</v>
      </c>
      <c r="C142" s="2" t="str">
        <f>'FLORIDA CENTER'!B24</f>
        <v>Aseo</v>
      </c>
      <c r="D142" s="2" t="str">
        <f>'FLORIDA CENTER'!C24</f>
        <v>Limpia vidrio</v>
      </c>
      <c r="E142" s="2" t="str">
        <f>'FLORIDA CENTER'!D24</f>
        <v/>
      </c>
      <c r="F142" s="2" t="str">
        <f>'FLORIDA CENTER'!E24</f>
        <v/>
      </c>
      <c r="G142" s="2" t="str">
        <f>'FLORIDA CENTER'!F24</f>
        <v/>
      </c>
      <c r="H142" s="2" t="str">
        <f>'FLORIDA CENTER'!G24</f>
        <v/>
      </c>
      <c r="I142" s="2" t="str">
        <f>'FLORIDA CENTER'!H24</f>
        <v/>
      </c>
      <c r="J142" s="2" t="str">
        <f>'FLORIDA CENTER'!I24</f>
        <v/>
      </c>
      <c r="K142" s="2" t="str">
        <f>'FLORIDA CENTER'!J24</f>
        <v/>
      </c>
      <c r="L142" s="2" t="str">
        <f>'FLORIDA CENTER'!K24</f>
        <v/>
      </c>
      <c r="M142" s="2" t="str">
        <f>'FLORIDA CENTER'!L24</f>
        <v/>
      </c>
      <c r="N142" s="2" t="str">
        <f>'FLORIDA CENTER'!M24</f>
        <v/>
      </c>
      <c r="O142" s="2" t="str">
        <f>'FLORIDA CENTER'!N24</f>
        <v/>
      </c>
      <c r="P142" s="2" t="str">
        <f>'FLORIDA CENTER'!O24</f>
        <v/>
      </c>
      <c r="Q142" s="2" t="str">
        <f>'FLORIDA CENTER'!P24</f>
        <v/>
      </c>
      <c r="R142" s="2" t="str">
        <f>'FLORIDA CENTER'!Q24</f>
        <v/>
      </c>
      <c r="S142" s="2" t="str">
        <f>'FLORIDA CENTER'!R24</f>
        <v/>
      </c>
      <c r="T142" s="2" t="str">
        <f>'FLORIDA CENTER'!S24</f>
        <v/>
      </c>
      <c r="U142" s="2" t="str">
        <f>'FLORIDA CENTER'!T24</f>
        <v/>
      </c>
      <c r="V142" s="2" t="str">
        <f>'FLORIDA CENTER'!U24</f>
        <v/>
      </c>
      <c r="W142" s="2" t="str">
        <f>'FLORIDA CENTER'!V24</f>
        <v/>
      </c>
      <c r="X142" s="2" t="str">
        <f>'FLORIDA CENTER'!W24</f>
        <v/>
      </c>
      <c r="Y142" s="2" t="str">
        <f>'FLORIDA CENTER'!X24</f>
        <v/>
      </c>
      <c r="Z142" s="2" t="str">
        <f>'FLORIDA CENTER'!Y24</f>
        <v/>
      </c>
      <c r="AA142" s="2" t="str">
        <f>'FLORIDA CENTER'!Z24</f>
        <v/>
      </c>
      <c r="AB142" s="2" t="str">
        <f>'FLORIDA CENTER'!AA24</f>
        <v/>
      </c>
      <c r="AC142" s="2" t="str">
        <f>'FLORIDA CENTER'!AB24</f>
        <v/>
      </c>
      <c r="AD142" s="2" t="str">
        <f>'FLORIDA CENTER'!AC24</f>
        <v/>
      </c>
      <c r="AE142" s="2" t="str">
        <f>'FLORIDA CENTER'!AD24</f>
        <v/>
      </c>
      <c r="AF142" s="2" t="str">
        <f>'FLORIDA CENTER'!AE24</f>
        <v/>
      </c>
      <c r="AG142" s="2" t="str">
        <f>'FLORIDA CENTER'!AF24</f>
        <v/>
      </c>
      <c r="AH142" s="2" t="str">
        <f>'FLORIDA CENTER'!AG24</f>
        <v/>
      </c>
      <c r="AI142" s="2" t="str">
        <f>'FLORIDA CENTER'!AH24</f>
        <v/>
      </c>
      <c r="AJ142" s="2" t="str">
        <f>'FLORIDA CENTER'!AI24</f>
        <v/>
      </c>
      <c r="AK142" s="2" t="str">
        <f>'FLORIDA CENTER'!AJ24</f>
        <v/>
      </c>
      <c r="AL142" s="2" t="str">
        <f>'FLORIDA CENTER'!AK24</f>
        <v>-</v>
      </c>
      <c r="AM142" s="2" t="str">
        <f>'FLORIDA CENTER'!AL24</f>
        <v>-</v>
      </c>
      <c r="AN142" s="2" t="str">
        <f>'FLORIDA CENTER'!AM24</f>
        <v>-</v>
      </c>
      <c r="AO142" s="2" t="str">
        <f>'FLORIDA CENTER'!AN24</f>
        <v>-</v>
      </c>
      <c r="AP142" s="2" t="str">
        <f>'FLORIDA CENTER'!AO24</f>
        <v>-</v>
      </c>
      <c r="AQ142" s="2">
        <f>'FLORIDA CENTER'!AP24</f>
        <v>1</v>
      </c>
      <c r="AR142" s="2">
        <f>'FLORIDA CENTER'!AQ24</f>
        <v>2</v>
      </c>
      <c r="AS142" s="2">
        <f>'FLORIDA CENTER'!AR24</f>
        <v>1</v>
      </c>
      <c r="AT142" s="2">
        <f>'FLORIDA CENTER'!AS24</f>
        <v>1</v>
      </c>
      <c r="AU142" s="2">
        <f>'FLORIDA CENTER'!AT24</f>
        <v>1</v>
      </c>
      <c r="AV142" s="2">
        <f>'FLORIDA CENTER'!AU24</f>
        <v>1</v>
      </c>
      <c r="AW142" s="2">
        <f>'FLORIDA CENTER'!AV24</f>
        <v>1</v>
      </c>
      <c r="AX142" s="2">
        <f>'FLORIDA CENTER'!AW24</f>
        <v>1</v>
      </c>
      <c r="AY142" s="2">
        <f>'FLORIDA CENTER'!AX24</f>
        <v>1</v>
      </c>
      <c r="AZ142" s="2">
        <f>'FLORIDA CENTER'!AY24</f>
        <v>1</v>
      </c>
      <c r="BA142" s="2">
        <f>'FLORIDA CENTER'!AZ24</f>
        <v>1</v>
      </c>
      <c r="BB142" s="2">
        <f>'FLORIDA CENTER'!BA24</f>
        <v>1</v>
      </c>
      <c r="BC142" s="2">
        <f>'FLORIDA CENTER'!BB24</f>
        <v>1</v>
      </c>
      <c r="BD142" s="2">
        <f>'FLORIDA CENTER'!BC24</f>
        <v>1</v>
      </c>
      <c r="BE142" s="2">
        <f>'FLORIDA CENTER'!BD24</f>
        <v>1</v>
      </c>
      <c r="BF142" s="2">
        <f>'FLORIDA CENTER'!BE24</f>
        <v>1</v>
      </c>
      <c r="BG142" s="2">
        <f>'FLORIDA CENTER'!BF24</f>
        <v>1</v>
      </c>
      <c r="BH142" s="2">
        <f>'FLORIDA CENTER'!BG24</f>
        <v>1</v>
      </c>
      <c r="BI142" s="2">
        <f>'FLORIDA CENTER'!BH24</f>
        <v>1</v>
      </c>
      <c r="BJ142" s="2">
        <f>'FLORIDA CENTER'!BI24</f>
        <v>1</v>
      </c>
      <c r="BK142" s="2">
        <f>'FLORIDA CENTER'!BJ24</f>
        <v>1</v>
      </c>
      <c r="BL142" s="2" t="str">
        <f>'FLORIDA CENTER'!BK24</f>
        <v/>
      </c>
      <c r="BM142" s="2" t="str">
        <f>'FLORIDA CENTER'!BL24</f>
        <v/>
      </c>
      <c r="BN142" s="2" t="str">
        <f>'FLORIDA CENTER'!BM24</f>
        <v/>
      </c>
      <c r="BO142" s="2" t="str">
        <f>'FLORIDA CENTER'!BN24</f>
        <v/>
      </c>
      <c r="BP142" s="2" t="str">
        <f>'FLORIDA CENTER'!BO24</f>
        <v/>
      </c>
      <c r="BQ142" s="2" t="str">
        <f>'FLORIDA CENTER'!BP24</f>
        <v/>
      </c>
      <c r="BR142" s="2" t="str">
        <f>'FLORIDA CENTER'!BQ24</f>
        <v/>
      </c>
      <c r="BS142" s="2" t="str">
        <f>'FLORIDA CENTER'!BR24</f>
        <v/>
      </c>
      <c r="BT142" s="2"/>
      <c r="BU142" s="2"/>
      <c r="BV142" s="2"/>
      <c r="BW142" s="2"/>
    </row>
    <row r="143">
      <c r="A143" s="2"/>
      <c r="B143" s="2" t="str">
        <f>'FLORIDA CENTER'!A25</f>
        <v>Florida Center</v>
      </c>
      <c r="C143" s="2" t="str">
        <f>'FLORIDA CENTER'!B25</f>
        <v>Aseo</v>
      </c>
      <c r="D143" s="2" t="str">
        <f>'FLORIDA CENTER'!C25</f>
        <v>Bolsas Basura 50x70</v>
      </c>
      <c r="E143" s="2" t="str">
        <f>'FLORIDA CENTER'!D25</f>
        <v/>
      </c>
      <c r="F143" s="2" t="str">
        <f>'FLORIDA CENTER'!E25</f>
        <v/>
      </c>
      <c r="G143" s="2" t="str">
        <f>'FLORIDA CENTER'!F25</f>
        <v/>
      </c>
      <c r="H143" s="2" t="str">
        <f>'FLORIDA CENTER'!G25</f>
        <v/>
      </c>
      <c r="I143" s="2" t="str">
        <f>'FLORIDA CENTER'!H25</f>
        <v/>
      </c>
      <c r="J143" s="2" t="str">
        <f>'FLORIDA CENTER'!I25</f>
        <v/>
      </c>
      <c r="K143" s="2" t="str">
        <f>'FLORIDA CENTER'!J25</f>
        <v/>
      </c>
      <c r="L143" s="2" t="str">
        <f>'FLORIDA CENTER'!K25</f>
        <v/>
      </c>
      <c r="M143" s="2" t="str">
        <f>'FLORIDA CENTER'!L25</f>
        <v/>
      </c>
      <c r="N143" s="2" t="str">
        <f>'FLORIDA CENTER'!M25</f>
        <v/>
      </c>
      <c r="O143" s="2" t="str">
        <f>'FLORIDA CENTER'!N25</f>
        <v/>
      </c>
      <c r="P143" s="2" t="str">
        <f>'FLORIDA CENTER'!O25</f>
        <v/>
      </c>
      <c r="Q143" s="2" t="str">
        <f>'FLORIDA CENTER'!P25</f>
        <v/>
      </c>
      <c r="R143" s="2" t="str">
        <f>'FLORIDA CENTER'!Q25</f>
        <v/>
      </c>
      <c r="S143" s="2" t="str">
        <f>'FLORIDA CENTER'!R25</f>
        <v/>
      </c>
      <c r="T143" s="2" t="str">
        <f>'FLORIDA CENTER'!S25</f>
        <v/>
      </c>
      <c r="U143" s="2" t="str">
        <f>'FLORIDA CENTER'!T25</f>
        <v/>
      </c>
      <c r="V143" s="2" t="str">
        <f>'FLORIDA CENTER'!U25</f>
        <v/>
      </c>
      <c r="W143" s="2" t="str">
        <f>'FLORIDA CENTER'!V25</f>
        <v/>
      </c>
      <c r="X143" s="2" t="str">
        <f>'FLORIDA CENTER'!W25</f>
        <v/>
      </c>
      <c r="Y143" s="2" t="str">
        <f>'FLORIDA CENTER'!X25</f>
        <v/>
      </c>
      <c r="Z143" s="2" t="str">
        <f>'FLORIDA CENTER'!Y25</f>
        <v>-</v>
      </c>
      <c r="AA143" s="2" t="str">
        <f>'FLORIDA CENTER'!Z25</f>
        <v>-</v>
      </c>
      <c r="AB143" s="2" t="str">
        <f>'FLORIDA CENTER'!AA25</f>
        <v>-</v>
      </c>
      <c r="AC143" s="2">
        <f>'FLORIDA CENTER'!AB25</f>
        <v>0</v>
      </c>
      <c r="AD143" s="2">
        <f>'FLORIDA CENTER'!AC25</f>
        <v>10</v>
      </c>
      <c r="AE143" s="2">
        <f>'FLORIDA CENTER'!AD25</f>
        <v>6</v>
      </c>
      <c r="AF143" s="2">
        <f>'FLORIDA CENTER'!AE25</f>
        <v>6</v>
      </c>
      <c r="AG143" s="2">
        <f>'FLORIDA CENTER'!AF25</f>
        <v>5</v>
      </c>
      <c r="AH143" s="2">
        <f>'FLORIDA CENTER'!AG25</f>
        <v>5</v>
      </c>
      <c r="AI143" s="2">
        <f>'FLORIDA CENTER'!AH25</f>
        <v>8</v>
      </c>
      <c r="AJ143" s="2">
        <f>'FLORIDA CENTER'!AI25</f>
        <v>8</v>
      </c>
      <c r="AK143" s="2">
        <f>'FLORIDA CENTER'!AJ25</f>
        <v>8</v>
      </c>
      <c r="AL143" s="2">
        <f>'FLORIDA CENTER'!AK25</f>
        <v>5</v>
      </c>
      <c r="AM143" s="2">
        <f>'FLORIDA CENTER'!AL25</f>
        <v>5</v>
      </c>
      <c r="AN143" s="2">
        <f>'FLORIDA CENTER'!AM25</f>
        <v>5</v>
      </c>
      <c r="AO143" s="2">
        <f>'FLORIDA CENTER'!AN25</f>
        <v>5</v>
      </c>
      <c r="AP143" s="2">
        <f>'FLORIDA CENTER'!AO25</f>
        <v>5</v>
      </c>
      <c r="AQ143" s="2">
        <f>'FLORIDA CENTER'!AP25</f>
        <v>4</v>
      </c>
      <c r="AR143" s="2">
        <f>'FLORIDA CENTER'!AQ25</f>
        <v>12</v>
      </c>
      <c r="AS143" s="2">
        <f>'FLORIDA CENTER'!AR25</f>
        <v>12</v>
      </c>
      <c r="AT143" s="2">
        <f>'FLORIDA CENTER'!AS25</f>
        <v>12</v>
      </c>
      <c r="AU143" s="2">
        <f>'FLORIDA CENTER'!AT25</f>
        <v>11</v>
      </c>
      <c r="AV143" s="2">
        <f>'FLORIDA CENTER'!AU25</f>
        <v>11</v>
      </c>
      <c r="AW143" s="2">
        <f>'FLORIDA CENTER'!AV25</f>
        <v>10</v>
      </c>
      <c r="AX143" s="2">
        <f>'FLORIDA CENTER'!AW25</f>
        <v>20</v>
      </c>
      <c r="AY143" s="2">
        <f>'FLORIDA CENTER'!AX25</f>
        <v>19</v>
      </c>
      <c r="AZ143" s="2">
        <f>'FLORIDA CENTER'!AY25</f>
        <v>18</v>
      </c>
      <c r="BA143" s="2">
        <f>'FLORIDA CENTER'!AZ25</f>
        <v>27</v>
      </c>
      <c r="BB143" s="2">
        <f>'FLORIDA CENTER'!BA25</f>
        <v>26</v>
      </c>
      <c r="BC143" s="2">
        <f>'FLORIDA CENTER'!BB25</f>
        <v>25</v>
      </c>
      <c r="BD143" s="2">
        <f>'FLORIDA CENTER'!BC25</f>
        <v>23</v>
      </c>
      <c r="BE143" s="2">
        <f>'FLORIDA CENTER'!BD25</f>
        <v>22</v>
      </c>
      <c r="BF143" s="2">
        <f>'FLORIDA CENTER'!BE25</f>
        <v>22</v>
      </c>
      <c r="BG143" s="2">
        <f>'FLORIDA CENTER'!BF25</f>
        <v>22</v>
      </c>
      <c r="BH143" s="2">
        <f>'FLORIDA CENTER'!BG25</f>
        <v>20</v>
      </c>
      <c r="BI143" s="2">
        <f>'FLORIDA CENTER'!BH25</f>
        <v>18</v>
      </c>
      <c r="BJ143" s="2">
        <f>'FLORIDA CENTER'!BI25</f>
        <v>18</v>
      </c>
      <c r="BK143" s="2">
        <f>'FLORIDA CENTER'!BJ25</f>
        <v>16</v>
      </c>
      <c r="BL143" s="2" t="str">
        <f>'FLORIDA CENTER'!BK25</f>
        <v/>
      </c>
      <c r="BM143" s="2" t="str">
        <f>'FLORIDA CENTER'!BL25</f>
        <v/>
      </c>
      <c r="BN143" s="2" t="str">
        <f>'FLORIDA CENTER'!BM25</f>
        <v/>
      </c>
      <c r="BO143" s="2" t="str">
        <f>'FLORIDA CENTER'!BN25</f>
        <v/>
      </c>
      <c r="BP143" s="2" t="str">
        <f>'FLORIDA CENTER'!BO25</f>
        <v/>
      </c>
      <c r="BQ143" s="2" t="str">
        <f>'FLORIDA CENTER'!BP25</f>
        <v/>
      </c>
      <c r="BR143" s="2" t="str">
        <f>'FLORIDA CENTER'!BQ25</f>
        <v/>
      </c>
      <c r="BS143" s="2" t="str">
        <f>'FLORIDA CENTER'!BR25</f>
        <v/>
      </c>
      <c r="BT143" s="2"/>
      <c r="BU143" s="2"/>
      <c r="BV143" s="2"/>
      <c r="BW143" s="2"/>
    </row>
    <row r="144">
      <c r="A144" s="2"/>
      <c r="B144" s="2" t="str">
        <f>'FLORIDA CENTER'!A26</f>
        <v>Florida Center</v>
      </c>
      <c r="C144" s="2" t="str">
        <f>'FLORIDA CENTER'!B26</f>
        <v>Aseo</v>
      </c>
      <c r="D144" s="2" t="str">
        <f>'FLORIDA CENTER'!C26</f>
        <v>Bolsas Basura 70x90</v>
      </c>
      <c r="E144" s="2" t="str">
        <f>'FLORIDA CENTER'!D26</f>
        <v/>
      </c>
      <c r="F144" s="2" t="str">
        <f>'FLORIDA CENTER'!E26</f>
        <v/>
      </c>
      <c r="G144" s="2" t="str">
        <f>'FLORIDA CENTER'!F26</f>
        <v/>
      </c>
      <c r="H144" s="2" t="str">
        <f>'FLORIDA CENTER'!G26</f>
        <v/>
      </c>
      <c r="I144" s="2" t="str">
        <f>'FLORIDA CENTER'!H26</f>
        <v/>
      </c>
      <c r="J144" s="2" t="str">
        <f>'FLORIDA CENTER'!I26</f>
        <v/>
      </c>
      <c r="K144" s="2" t="str">
        <f>'FLORIDA CENTER'!J26</f>
        <v/>
      </c>
      <c r="L144" s="2" t="str">
        <f>'FLORIDA CENTER'!K26</f>
        <v/>
      </c>
      <c r="M144" s="2" t="str">
        <f>'FLORIDA CENTER'!L26</f>
        <v/>
      </c>
      <c r="N144" s="2" t="str">
        <f>'FLORIDA CENTER'!M26</f>
        <v/>
      </c>
      <c r="O144" s="2" t="str">
        <f>'FLORIDA CENTER'!N26</f>
        <v/>
      </c>
      <c r="P144" s="2" t="str">
        <f>'FLORIDA CENTER'!O26</f>
        <v/>
      </c>
      <c r="Q144" s="2" t="str">
        <f>'FLORIDA CENTER'!P26</f>
        <v/>
      </c>
      <c r="R144" s="2" t="str">
        <f>'FLORIDA CENTER'!Q26</f>
        <v/>
      </c>
      <c r="S144" s="2" t="str">
        <f>'FLORIDA CENTER'!R26</f>
        <v/>
      </c>
      <c r="T144" s="2" t="str">
        <f>'FLORIDA CENTER'!S26</f>
        <v/>
      </c>
      <c r="U144" s="2" t="str">
        <f>'FLORIDA CENTER'!T26</f>
        <v/>
      </c>
      <c r="V144" s="2" t="str">
        <f>'FLORIDA CENTER'!U26</f>
        <v/>
      </c>
      <c r="W144" s="2" t="str">
        <f>'FLORIDA CENTER'!V26</f>
        <v/>
      </c>
      <c r="X144" s="2" t="str">
        <f>'FLORIDA CENTER'!W26</f>
        <v/>
      </c>
      <c r="Y144" s="2" t="str">
        <f>'FLORIDA CENTER'!X26</f>
        <v/>
      </c>
      <c r="Z144" s="2" t="str">
        <f>'FLORIDA CENTER'!Y26</f>
        <v>-</v>
      </c>
      <c r="AA144" s="2" t="str">
        <f>'FLORIDA CENTER'!Z26</f>
        <v>-</v>
      </c>
      <c r="AB144" s="2" t="str">
        <f>'FLORIDA CENTER'!AA26</f>
        <v>-</v>
      </c>
      <c r="AC144" s="2">
        <f>'FLORIDA CENTER'!AB26</f>
        <v>0</v>
      </c>
      <c r="AD144" s="2">
        <f>'FLORIDA CENTER'!AC26</f>
        <v>6</v>
      </c>
      <c r="AE144" s="2">
        <f>'FLORIDA CENTER'!AD26</f>
        <v>2</v>
      </c>
      <c r="AF144" s="2">
        <f>'FLORIDA CENTER'!AE26</f>
        <v>2</v>
      </c>
      <c r="AG144" s="2">
        <f>'FLORIDA CENTER'!AF26</f>
        <v>0</v>
      </c>
      <c r="AH144" s="2">
        <f>'FLORIDA CENTER'!AG26</f>
        <v>0</v>
      </c>
      <c r="AI144" s="2">
        <f>'FLORIDA CENTER'!AH26</f>
        <v>5</v>
      </c>
      <c r="AJ144" s="2">
        <f>'FLORIDA CENTER'!AI26</f>
        <v>4</v>
      </c>
      <c r="AK144" s="2">
        <f>'FLORIDA CENTER'!AJ26</f>
        <v>4</v>
      </c>
      <c r="AL144" s="2">
        <f>'FLORIDA CENTER'!AK26</f>
        <v>3</v>
      </c>
      <c r="AM144" s="2">
        <f>'FLORIDA CENTER'!AL26</f>
        <v>3</v>
      </c>
      <c r="AN144" s="2">
        <f>'FLORIDA CENTER'!AM26</f>
        <v>1</v>
      </c>
      <c r="AO144" s="2">
        <f>'FLORIDA CENTER'!AN26</f>
        <v>1</v>
      </c>
      <c r="AP144" s="2">
        <f>'FLORIDA CENTER'!AO26</f>
        <v>0</v>
      </c>
      <c r="AQ144" s="2">
        <f>'FLORIDA CENTER'!AP26</f>
        <v>0</v>
      </c>
      <c r="AR144" s="2">
        <f>'FLORIDA CENTER'!AQ26</f>
        <v>5</v>
      </c>
      <c r="AS144" s="2">
        <f>'FLORIDA CENTER'!AR26</f>
        <v>5</v>
      </c>
      <c r="AT144" s="2">
        <f>'FLORIDA CENTER'!AS26</f>
        <v>5</v>
      </c>
      <c r="AU144" s="2">
        <f>'FLORIDA CENTER'!AT26</f>
        <v>3</v>
      </c>
      <c r="AV144" s="2">
        <f>'FLORIDA CENTER'!AU26</f>
        <v>3</v>
      </c>
      <c r="AW144" s="2">
        <f>'FLORIDA CENTER'!AV26</f>
        <v>2</v>
      </c>
      <c r="AX144" s="2">
        <f>'FLORIDA CENTER'!AW26</f>
        <v>8</v>
      </c>
      <c r="AY144" s="2">
        <f>'FLORIDA CENTER'!AX26</f>
        <v>7</v>
      </c>
      <c r="AZ144" s="2">
        <f>'FLORIDA CENTER'!AY26</f>
        <v>6</v>
      </c>
      <c r="BA144" s="2">
        <f>'FLORIDA CENTER'!AZ26</f>
        <v>11</v>
      </c>
      <c r="BB144" s="2">
        <f>'FLORIDA CENTER'!BA26</f>
        <v>10</v>
      </c>
      <c r="BC144" s="2">
        <f>'FLORIDA CENTER'!BB26</f>
        <v>9</v>
      </c>
      <c r="BD144" s="2">
        <f>'FLORIDA CENTER'!BC26</f>
        <v>8</v>
      </c>
      <c r="BE144" s="2">
        <f>'FLORIDA CENTER'!BD26</f>
        <v>7</v>
      </c>
      <c r="BF144" s="2">
        <f>'FLORIDA CENTER'!BE26</f>
        <v>7</v>
      </c>
      <c r="BG144" s="2">
        <f>'FLORIDA CENTER'!BF26</f>
        <v>7</v>
      </c>
      <c r="BH144" s="2">
        <f>'FLORIDA CENTER'!BG26</f>
        <v>5</v>
      </c>
      <c r="BI144" s="2">
        <f>'FLORIDA CENTER'!BH26</f>
        <v>5</v>
      </c>
      <c r="BJ144" s="2">
        <f>'FLORIDA CENTER'!BI26</f>
        <v>5</v>
      </c>
      <c r="BK144" s="2">
        <f>'FLORIDA CENTER'!BJ26</f>
        <v>4</v>
      </c>
      <c r="BL144" s="2" t="str">
        <f>'FLORIDA CENTER'!BK26</f>
        <v/>
      </c>
      <c r="BM144" s="2" t="str">
        <f>'FLORIDA CENTER'!BL26</f>
        <v/>
      </c>
      <c r="BN144" s="2" t="str">
        <f>'FLORIDA CENTER'!BM26</f>
        <v/>
      </c>
      <c r="BO144" s="2" t="str">
        <f>'FLORIDA CENTER'!BN26</f>
        <v/>
      </c>
      <c r="BP144" s="2" t="str">
        <f>'FLORIDA CENTER'!BO26</f>
        <v/>
      </c>
      <c r="BQ144" s="2" t="str">
        <f>'FLORIDA CENTER'!BP26</f>
        <v/>
      </c>
      <c r="BR144" s="2" t="str">
        <f>'FLORIDA CENTER'!BQ26</f>
        <v/>
      </c>
      <c r="BS144" s="2" t="str">
        <f>'FLORIDA CENTER'!BR26</f>
        <v/>
      </c>
      <c r="BT144" s="2"/>
      <c r="BU144" s="2"/>
      <c r="BV144" s="2"/>
      <c r="BW144" s="2"/>
    </row>
    <row r="145">
      <c r="A145" s="2"/>
      <c r="B145" s="2" t="str">
        <f>'FLORIDA CENTER'!A27</f>
        <v>Florida Center</v>
      </c>
      <c r="C145" s="2" t="str">
        <f>'FLORIDA CENTER'!B27</f>
        <v>Aseo</v>
      </c>
      <c r="D145" s="2" t="str">
        <f>'FLORIDA CENTER'!C27</f>
        <v>Bolsas Basura 80x110</v>
      </c>
      <c r="E145" s="2" t="str">
        <f>'FLORIDA CENTER'!D27</f>
        <v/>
      </c>
      <c r="F145" s="2" t="str">
        <f>'FLORIDA CENTER'!E27</f>
        <v/>
      </c>
      <c r="G145" s="2" t="str">
        <f>'FLORIDA CENTER'!F27</f>
        <v/>
      </c>
      <c r="H145" s="2" t="str">
        <f>'FLORIDA CENTER'!G27</f>
        <v/>
      </c>
      <c r="I145" s="2" t="str">
        <f>'FLORIDA CENTER'!H27</f>
        <v/>
      </c>
      <c r="J145" s="2" t="str">
        <f>'FLORIDA CENTER'!I27</f>
        <v/>
      </c>
      <c r="K145" s="2" t="str">
        <f>'FLORIDA CENTER'!J27</f>
        <v/>
      </c>
      <c r="L145" s="2" t="str">
        <f>'FLORIDA CENTER'!K27</f>
        <v/>
      </c>
      <c r="M145" s="2" t="str">
        <f>'FLORIDA CENTER'!L27</f>
        <v/>
      </c>
      <c r="N145" s="2" t="str">
        <f>'FLORIDA CENTER'!M27</f>
        <v/>
      </c>
      <c r="O145" s="2" t="str">
        <f>'FLORIDA CENTER'!N27</f>
        <v/>
      </c>
      <c r="P145" s="2" t="str">
        <f>'FLORIDA CENTER'!O27</f>
        <v/>
      </c>
      <c r="Q145" s="2" t="str">
        <f>'FLORIDA CENTER'!P27</f>
        <v/>
      </c>
      <c r="R145" s="2" t="str">
        <f>'FLORIDA CENTER'!Q27</f>
        <v/>
      </c>
      <c r="S145" s="2" t="str">
        <f>'FLORIDA CENTER'!R27</f>
        <v/>
      </c>
      <c r="T145" s="2" t="str">
        <f>'FLORIDA CENTER'!S27</f>
        <v/>
      </c>
      <c r="U145" s="2" t="str">
        <f>'FLORIDA CENTER'!T27</f>
        <v/>
      </c>
      <c r="V145" s="2" t="str">
        <f>'FLORIDA CENTER'!U27</f>
        <v/>
      </c>
      <c r="W145" s="2" t="str">
        <f>'FLORIDA CENTER'!V27</f>
        <v/>
      </c>
      <c r="X145" s="2" t="str">
        <f>'FLORIDA CENTER'!W27</f>
        <v/>
      </c>
      <c r="Y145" s="2" t="str">
        <f>'FLORIDA CENTER'!X27</f>
        <v/>
      </c>
      <c r="Z145" s="2" t="str">
        <f>'FLORIDA CENTER'!Y27</f>
        <v>-</v>
      </c>
      <c r="AA145" s="2" t="str">
        <f>'FLORIDA CENTER'!Z27</f>
        <v>-</v>
      </c>
      <c r="AB145" s="2" t="str">
        <f>'FLORIDA CENTER'!AA27</f>
        <v>-</v>
      </c>
      <c r="AC145" s="2">
        <f>'FLORIDA CENTER'!AB27</f>
        <v>11</v>
      </c>
      <c r="AD145" s="2">
        <f>'FLORIDA CENTER'!AC27</f>
        <v>17</v>
      </c>
      <c r="AE145" s="2">
        <f>'FLORIDA CENTER'!AD27</f>
        <v>13</v>
      </c>
      <c r="AF145" s="2">
        <f>'FLORIDA CENTER'!AE27</f>
        <v>13</v>
      </c>
      <c r="AG145" s="2">
        <f>'FLORIDA CENTER'!AF27</f>
        <v>12</v>
      </c>
      <c r="AH145" s="2">
        <f>'FLORIDA CENTER'!AG27</f>
        <v>12</v>
      </c>
      <c r="AI145" s="2">
        <f>'FLORIDA CENTER'!AH27</f>
        <v>15</v>
      </c>
      <c r="AJ145" s="2">
        <f>'FLORIDA CENTER'!AI27</f>
        <v>15</v>
      </c>
      <c r="AK145" s="2">
        <f>'FLORIDA CENTER'!AJ27</f>
        <v>15</v>
      </c>
      <c r="AL145" s="2">
        <f>'FLORIDA CENTER'!AK27</f>
        <v>14</v>
      </c>
      <c r="AM145" s="2">
        <f>'FLORIDA CENTER'!AL27</f>
        <v>14</v>
      </c>
      <c r="AN145" s="2">
        <f>'FLORIDA CENTER'!AM27</f>
        <v>14</v>
      </c>
      <c r="AO145" s="2">
        <f>'FLORIDA CENTER'!AN27</f>
        <v>13</v>
      </c>
      <c r="AP145" s="2">
        <f>'FLORIDA CENTER'!AO27</f>
        <v>13</v>
      </c>
      <c r="AQ145" s="2">
        <f>'FLORIDA CENTER'!AP27</f>
        <v>13</v>
      </c>
      <c r="AR145" s="2">
        <f>'FLORIDA CENTER'!AQ27</f>
        <v>18</v>
      </c>
      <c r="AS145" s="2">
        <f>'FLORIDA CENTER'!AR27</f>
        <v>17</v>
      </c>
      <c r="AT145" s="2">
        <f>'FLORIDA CENTER'!AS27</f>
        <v>17</v>
      </c>
      <c r="AU145" s="2">
        <f>'FLORIDA CENTER'!AT27</f>
        <v>17</v>
      </c>
      <c r="AV145" s="2">
        <f>'FLORIDA CENTER'!AU27</f>
        <v>17</v>
      </c>
      <c r="AW145" s="2">
        <f>'FLORIDA CENTER'!AV27</f>
        <v>17</v>
      </c>
      <c r="AX145" s="2">
        <f>'FLORIDA CENTER'!AW27</f>
        <v>16</v>
      </c>
      <c r="AY145" s="2">
        <f>'FLORIDA CENTER'!AX27</f>
        <v>16</v>
      </c>
      <c r="AZ145" s="2">
        <f>'FLORIDA CENTER'!AY27</f>
        <v>16</v>
      </c>
      <c r="BA145" s="2">
        <f>'FLORIDA CENTER'!AZ27</f>
        <v>16</v>
      </c>
      <c r="BB145" s="2">
        <f>'FLORIDA CENTER'!BA27</f>
        <v>16</v>
      </c>
      <c r="BC145" s="2">
        <f>'FLORIDA CENTER'!BB27</f>
        <v>15</v>
      </c>
      <c r="BD145" s="2">
        <f>'FLORIDA CENTER'!BC27</f>
        <v>15</v>
      </c>
      <c r="BE145" s="2">
        <f>'FLORIDA CENTER'!BD27</f>
        <v>15</v>
      </c>
      <c r="BF145" s="2">
        <f>'FLORIDA CENTER'!BE27</f>
        <v>14</v>
      </c>
      <c r="BG145" s="2">
        <f>'FLORIDA CENTER'!BF27</f>
        <v>14</v>
      </c>
      <c r="BH145" s="2">
        <f>'FLORIDA CENTER'!BG27</f>
        <v>13</v>
      </c>
      <c r="BI145" s="2">
        <f>'FLORIDA CENTER'!BH27</f>
        <v>13</v>
      </c>
      <c r="BJ145" s="2">
        <f>'FLORIDA CENTER'!BI27</f>
        <v>13</v>
      </c>
      <c r="BK145" s="2">
        <f>'FLORIDA CENTER'!BJ27</f>
        <v>13</v>
      </c>
      <c r="BL145" s="2" t="str">
        <f>'FLORIDA CENTER'!BK27</f>
        <v/>
      </c>
      <c r="BM145" s="2" t="str">
        <f>'FLORIDA CENTER'!BL27</f>
        <v/>
      </c>
      <c r="BN145" s="2" t="str">
        <f>'FLORIDA CENTER'!BM27</f>
        <v/>
      </c>
      <c r="BO145" s="2" t="str">
        <f>'FLORIDA CENTER'!BN27</f>
        <v/>
      </c>
      <c r="BP145" s="2" t="str">
        <f>'FLORIDA CENTER'!BO27</f>
        <v/>
      </c>
      <c r="BQ145" s="2" t="str">
        <f>'FLORIDA CENTER'!BP27</f>
        <v/>
      </c>
      <c r="BR145" s="2" t="str">
        <f>'FLORIDA CENTER'!BQ27</f>
        <v/>
      </c>
      <c r="BS145" s="2" t="str">
        <f>'FLORIDA CENTER'!BR27</f>
        <v/>
      </c>
      <c r="BT145" s="2"/>
      <c r="BU145" s="2"/>
      <c r="BV145" s="2"/>
      <c r="BW145" s="2"/>
    </row>
    <row r="146">
      <c r="A146" s="2"/>
      <c r="B146" s="2" t="str">
        <f>'FLORIDA CENTER'!A28</f>
        <v>Florida Center</v>
      </c>
      <c r="C146" s="2" t="str">
        <f>'FLORIDA CENTER'!B28</f>
        <v>Aseo</v>
      </c>
      <c r="D146" s="2" t="str">
        <f>'FLORIDA CENTER'!C28</f>
        <v>Esponja 4U</v>
      </c>
      <c r="E146" s="2" t="str">
        <f>'FLORIDA CENTER'!D28</f>
        <v/>
      </c>
      <c r="F146" s="2" t="str">
        <f>'FLORIDA CENTER'!E28</f>
        <v/>
      </c>
      <c r="G146" s="2" t="str">
        <f>'FLORIDA CENTER'!F28</f>
        <v/>
      </c>
      <c r="H146" s="2" t="str">
        <f>'FLORIDA CENTER'!G28</f>
        <v/>
      </c>
      <c r="I146" s="2" t="str">
        <f>'FLORIDA CENTER'!H28</f>
        <v/>
      </c>
      <c r="J146" s="2" t="str">
        <f>'FLORIDA CENTER'!I28</f>
        <v/>
      </c>
      <c r="K146" s="2" t="str">
        <f>'FLORIDA CENTER'!J28</f>
        <v/>
      </c>
      <c r="L146" s="2" t="str">
        <f>'FLORIDA CENTER'!K28</f>
        <v/>
      </c>
      <c r="M146" s="2" t="str">
        <f>'FLORIDA CENTER'!L28</f>
        <v/>
      </c>
      <c r="N146" s="2" t="str">
        <f>'FLORIDA CENTER'!M28</f>
        <v/>
      </c>
      <c r="O146" s="2" t="str">
        <f>'FLORIDA CENTER'!N28</f>
        <v/>
      </c>
      <c r="P146" s="2" t="str">
        <f>'FLORIDA CENTER'!O28</f>
        <v/>
      </c>
      <c r="Q146" s="2" t="str">
        <f>'FLORIDA CENTER'!P28</f>
        <v/>
      </c>
      <c r="R146" s="2" t="str">
        <f>'FLORIDA CENTER'!Q28</f>
        <v/>
      </c>
      <c r="S146" s="2" t="str">
        <f>'FLORIDA CENTER'!R28</f>
        <v/>
      </c>
      <c r="T146" s="2" t="str">
        <f>'FLORIDA CENTER'!S28</f>
        <v/>
      </c>
      <c r="U146" s="2" t="str">
        <f>'FLORIDA CENTER'!T28</f>
        <v/>
      </c>
      <c r="V146" s="2" t="str">
        <f>'FLORIDA CENTER'!U28</f>
        <v/>
      </c>
      <c r="W146" s="2" t="str">
        <f>'FLORIDA CENTER'!V28</f>
        <v/>
      </c>
      <c r="X146" s="2" t="str">
        <f>'FLORIDA CENTER'!W28</f>
        <v/>
      </c>
      <c r="Y146" s="2" t="str">
        <f>'FLORIDA CENTER'!X28</f>
        <v/>
      </c>
      <c r="Z146" s="2" t="str">
        <f>'FLORIDA CENTER'!Y28</f>
        <v>-</v>
      </c>
      <c r="AA146" s="2" t="str">
        <f>'FLORIDA CENTER'!Z28</f>
        <v>-</v>
      </c>
      <c r="AB146" s="2" t="str">
        <f>'FLORIDA CENTER'!AA28</f>
        <v>-</v>
      </c>
      <c r="AC146" s="2">
        <f>'FLORIDA CENTER'!AB28</f>
        <v>3</v>
      </c>
      <c r="AD146" s="2">
        <f>'FLORIDA CENTER'!AC28</f>
        <v>3</v>
      </c>
      <c r="AE146" s="2" t="str">
        <f>'FLORIDA CENTER'!AD28</f>
        <v>12U</v>
      </c>
      <c r="AF146" s="2" t="str">
        <f>'FLORIDA CENTER'!AE28</f>
        <v>11U</v>
      </c>
      <c r="AG146" s="2" t="str">
        <f>'FLORIDA CENTER'!AF28</f>
        <v>11U</v>
      </c>
      <c r="AH146" s="2" t="str">
        <f>'FLORIDA CENTER'!AG28</f>
        <v>11U</v>
      </c>
      <c r="AI146" s="2" t="str">
        <f>'FLORIDA CENTER'!AH28</f>
        <v>16U</v>
      </c>
      <c r="AJ146" s="2" t="str">
        <f>'FLORIDA CENTER'!AI28</f>
        <v>16U</v>
      </c>
      <c r="AK146" s="2" t="str">
        <f>'FLORIDA CENTER'!AJ28</f>
        <v>16U</v>
      </c>
      <c r="AL146" s="2" t="str">
        <f>'FLORIDA CENTER'!AK28</f>
        <v>16U</v>
      </c>
      <c r="AM146" s="2" t="str">
        <f>'FLORIDA CENTER'!AL28</f>
        <v>15U</v>
      </c>
      <c r="AN146" s="2" t="str">
        <f>'FLORIDA CENTER'!AM28</f>
        <v>15U</v>
      </c>
      <c r="AO146" s="2" t="str">
        <f>'FLORIDA CENTER'!AN28</f>
        <v>15U</v>
      </c>
      <c r="AP146" s="2" t="str">
        <f>'FLORIDA CENTER'!AO28</f>
        <v>15U</v>
      </c>
      <c r="AQ146" s="2" t="str">
        <f>'FLORIDA CENTER'!AP28</f>
        <v>14U</v>
      </c>
      <c r="AR146" s="2" t="str">
        <f>'FLORIDA CENTER'!AQ28</f>
        <v>18U</v>
      </c>
      <c r="AS146" s="2" t="str">
        <f>'FLORIDA CENTER'!AR28</f>
        <v>17U</v>
      </c>
      <c r="AT146" s="2" t="str">
        <f>'FLORIDA CENTER'!AS28</f>
        <v>17U</v>
      </c>
      <c r="AU146" s="2" t="str">
        <f>'FLORIDA CENTER'!AT28</f>
        <v>16U</v>
      </c>
      <c r="AV146" s="2" t="str">
        <f>'FLORIDA CENTER'!AU28</f>
        <v>15U</v>
      </c>
      <c r="AW146" s="2" t="str">
        <f>'FLORIDA CENTER'!AV28</f>
        <v>15U</v>
      </c>
      <c r="AX146" s="2" t="str">
        <f>'FLORIDA CENTER'!AW28</f>
        <v>14U</v>
      </c>
      <c r="AY146" s="2" t="str">
        <f>'FLORIDA CENTER'!AX28</f>
        <v>14U</v>
      </c>
      <c r="AZ146" s="2" t="str">
        <f>'FLORIDA CENTER'!AY28</f>
        <v>13U</v>
      </c>
      <c r="BA146" s="2" t="str">
        <f>'FLORIDA CENTER'!AZ28</f>
        <v>13U</v>
      </c>
      <c r="BB146" s="2" t="str">
        <f>'FLORIDA CENTER'!BA28</f>
        <v>13U</v>
      </c>
      <c r="BC146" s="2" t="str">
        <f>'FLORIDA CENTER'!BB28</f>
        <v>12U</v>
      </c>
      <c r="BD146" s="2" t="str">
        <f>'FLORIDA CENTER'!BC28</f>
        <v>10U</v>
      </c>
      <c r="BE146" s="2" t="str">
        <f>'FLORIDA CENTER'!BD28</f>
        <v>10U</v>
      </c>
      <c r="BF146" s="2" t="str">
        <f>'FLORIDA CENTER'!BE28</f>
        <v>10U</v>
      </c>
      <c r="BG146" s="2" t="str">
        <f>'FLORIDA CENTER'!BF28</f>
        <v>10U</v>
      </c>
      <c r="BH146" s="2" t="str">
        <f>'FLORIDA CENTER'!BG28</f>
        <v>9U</v>
      </c>
      <c r="BI146" s="2" t="str">
        <f>'FLORIDA CENTER'!BH28</f>
        <v>8U</v>
      </c>
      <c r="BJ146" s="2" t="str">
        <f>'FLORIDA CENTER'!BI28</f>
        <v>7U</v>
      </c>
      <c r="BK146" s="2" t="str">
        <f>'FLORIDA CENTER'!BJ28</f>
        <v>6U</v>
      </c>
      <c r="BL146" s="2" t="str">
        <f>'FLORIDA CENTER'!BK28</f>
        <v/>
      </c>
      <c r="BM146" s="2" t="str">
        <f>'FLORIDA CENTER'!BL28</f>
        <v/>
      </c>
      <c r="BN146" s="2" t="str">
        <f>'FLORIDA CENTER'!BM28</f>
        <v/>
      </c>
      <c r="BO146" s="2" t="str">
        <f>'FLORIDA CENTER'!BN28</f>
        <v/>
      </c>
      <c r="BP146" s="2" t="str">
        <f>'FLORIDA CENTER'!BO28</f>
        <v/>
      </c>
      <c r="BQ146" s="2" t="str">
        <f>'FLORIDA CENTER'!BP28</f>
        <v/>
      </c>
      <c r="BR146" s="2" t="str">
        <f>'FLORIDA CENTER'!BQ28</f>
        <v/>
      </c>
      <c r="BS146" s="2" t="str">
        <f>'FLORIDA CENTER'!BR28</f>
        <v/>
      </c>
      <c r="BT146" s="2"/>
      <c r="BU146" s="2"/>
      <c r="BV146" s="2"/>
      <c r="BW146" s="2"/>
    </row>
    <row r="147">
      <c r="A147" s="2"/>
      <c r="B147" s="2" t="str">
        <f>'FLORIDA CENTER'!A29</f>
        <v>Florida Center</v>
      </c>
      <c r="C147" s="2" t="str">
        <f>'FLORIDA CENTER'!B29</f>
        <v>Aseo</v>
      </c>
      <c r="D147" s="2" t="str">
        <f>'FLORIDA CENTER'!C29</f>
        <v>Paño Esponja</v>
      </c>
      <c r="E147" s="2" t="str">
        <f>'FLORIDA CENTER'!D29</f>
        <v/>
      </c>
      <c r="F147" s="2" t="str">
        <f>'FLORIDA CENTER'!E29</f>
        <v/>
      </c>
      <c r="G147" s="2" t="str">
        <f>'FLORIDA CENTER'!F29</f>
        <v/>
      </c>
      <c r="H147" s="2" t="str">
        <f>'FLORIDA CENTER'!G29</f>
        <v/>
      </c>
      <c r="I147" s="2" t="str">
        <f>'FLORIDA CENTER'!H29</f>
        <v/>
      </c>
      <c r="J147" s="2" t="str">
        <f>'FLORIDA CENTER'!I29</f>
        <v/>
      </c>
      <c r="K147" s="2" t="str">
        <f>'FLORIDA CENTER'!J29</f>
        <v/>
      </c>
      <c r="L147" s="2" t="str">
        <f>'FLORIDA CENTER'!K29</f>
        <v/>
      </c>
      <c r="M147" s="2" t="str">
        <f>'FLORIDA CENTER'!L29</f>
        <v/>
      </c>
      <c r="N147" s="2" t="str">
        <f>'FLORIDA CENTER'!M29</f>
        <v/>
      </c>
      <c r="O147" s="2" t="str">
        <f>'FLORIDA CENTER'!N29</f>
        <v/>
      </c>
      <c r="P147" s="2" t="str">
        <f>'FLORIDA CENTER'!O29</f>
        <v/>
      </c>
      <c r="Q147" s="2" t="str">
        <f>'FLORIDA CENTER'!P29</f>
        <v/>
      </c>
      <c r="R147" s="2" t="str">
        <f>'FLORIDA CENTER'!Q29</f>
        <v/>
      </c>
      <c r="S147" s="2" t="str">
        <f>'FLORIDA CENTER'!R29</f>
        <v/>
      </c>
      <c r="T147" s="2" t="str">
        <f>'FLORIDA CENTER'!S29</f>
        <v/>
      </c>
      <c r="U147" s="2" t="str">
        <f>'FLORIDA CENTER'!T29</f>
        <v/>
      </c>
      <c r="V147" s="2" t="str">
        <f>'FLORIDA CENTER'!U29</f>
        <v/>
      </c>
      <c r="W147" s="2" t="str">
        <f>'FLORIDA CENTER'!V29</f>
        <v/>
      </c>
      <c r="X147" s="2" t="str">
        <f>'FLORIDA CENTER'!W29</f>
        <v/>
      </c>
      <c r="Y147" s="2" t="str">
        <f>'FLORIDA CENTER'!X29</f>
        <v/>
      </c>
      <c r="Z147" s="2" t="str">
        <f>'FLORIDA CENTER'!Y29</f>
        <v/>
      </c>
      <c r="AA147" s="2" t="str">
        <f>'FLORIDA CENTER'!Z29</f>
        <v/>
      </c>
      <c r="AB147" s="2" t="str">
        <f>'FLORIDA CENTER'!AA29</f>
        <v/>
      </c>
      <c r="AC147" s="2" t="str">
        <f>'FLORIDA CENTER'!AB29</f>
        <v/>
      </c>
      <c r="AD147" s="2" t="str">
        <f>'FLORIDA CENTER'!AC29</f>
        <v/>
      </c>
      <c r="AE147" s="2" t="str">
        <f>'FLORIDA CENTER'!AD29</f>
        <v/>
      </c>
      <c r="AF147" s="2" t="str">
        <f>'FLORIDA CENTER'!AE29</f>
        <v/>
      </c>
      <c r="AG147" s="2" t="str">
        <f>'FLORIDA CENTER'!AF29</f>
        <v/>
      </c>
      <c r="AH147" s="2" t="str">
        <f>'FLORIDA CENTER'!AG29</f>
        <v/>
      </c>
      <c r="AI147" s="2" t="str">
        <f>'FLORIDA CENTER'!AH29</f>
        <v/>
      </c>
      <c r="AJ147" s="2" t="str">
        <f>'FLORIDA CENTER'!AI29</f>
        <v/>
      </c>
      <c r="AK147" s="2" t="str">
        <f>'FLORIDA CENTER'!AJ29</f>
        <v/>
      </c>
      <c r="AL147" s="2" t="str">
        <f>'FLORIDA CENTER'!AK29</f>
        <v/>
      </c>
      <c r="AM147" s="2" t="str">
        <f>'FLORIDA CENTER'!AL29</f>
        <v/>
      </c>
      <c r="AN147" s="2" t="str">
        <f>'FLORIDA CENTER'!AM29</f>
        <v/>
      </c>
      <c r="AO147" s="2" t="str">
        <f>'FLORIDA CENTER'!AN29</f>
        <v/>
      </c>
      <c r="AP147" s="2" t="str">
        <f>'FLORIDA CENTER'!AO29</f>
        <v/>
      </c>
      <c r="AQ147" s="2" t="str">
        <f>'FLORIDA CENTER'!AP29</f>
        <v/>
      </c>
      <c r="AR147" s="2" t="str">
        <f>'FLORIDA CENTER'!AQ29</f>
        <v/>
      </c>
      <c r="AS147" s="2" t="str">
        <f>'FLORIDA CENTER'!AR29</f>
        <v/>
      </c>
      <c r="AT147" s="2" t="str">
        <f>'FLORIDA CENTER'!AS29</f>
        <v/>
      </c>
      <c r="AU147" s="2" t="str">
        <f>'FLORIDA CENTER'!AT29</f>
        <v>-</v>
      </c>
      <c r="AV147" s="2" t="str">
        <f>'FLORIDA CENTER'!AU29</f>
        <v>-</v>
      </c>
      <c r="AW147" s="2" t="str">
        <f>'FLORIDA CENTER'!AV29</f>
        <v>-</v>
      </c>
      <c r="AX147" s="2" t="str">
        <f>'FLORIDA CENTER'!AW29</f>
        <v>-</v>
      </c>
      <c r="AY147" s="2" t="str">
        <f>'FLORIDA CENTER'!AX29</f>
        <v>-</v>
      </c>
      <c r="AZ147" s="2">
        <f>'FLORIDA CENTER'!AY29</f>
        <v>1</v>
      </c>
      <c r="BA147" s="2">
        <f>'FLORIDA CENTER'!AZ29</f>
        <v>3</v>
      </c>
      <c r="BB147" s="2">
        <f>'FLORIDA CENTER'!BA29</f>
        <v>3</v>
      </c>
      <c r="BC147" s="2">
        <f>'FLORIDA CENTER'!BB29</f>
        <v>3</v>
      </c>
      <c r="BD147" s="2">
        <f>'FLORIDA CENTER'!BC29</f>
        <v>2</v>
      </c>
      <c r="BE147" s="2">
        <f>'FLORIDA CENTER'!BD29</f>
        <v>2</v>
      </c>
      <c r="BF147" s="2">
        <f>'FLORIDA CENTER'!BE29</f>
        <v>2</v>
      </c>
      <c r="BG147" s="2">
        <f>'FLORIDA CENTER'!BF29</f>
        <v>2</v>
      </c>
      <c r="BH147" s="2">
        <f>'FLORIDA CENTER'!BG29</f>
        <v>2</v>
      </c>
      <c r="BI147" s="2">
        <f>'FLORIDA CENTER'!BH29</f>
        <v>2</v>
      </c>
      <c r="BJ147" s="2">
        <f>'FLORIDA CENTER'!BI29</f>
        <v>2</v>
      </c>
      <c r="BK147" s="2">
        <f>'FLORIDA CENTER'!BJ29</f>
        <v>2</v>
      </c>
      <c r="BL147" s="2" t="str">
        <f>'FLORIDA CENTER'!BK29</f>
        <v/>
      </c>
      <c r="BM147" s="2" t="str">
        <f>'FLORIDA CENTER'!BL29</f>
        <v/>
      </c>
      <c r="BN147" s="2" t="str">
        <f>'FLORIDA CENTER'!BM29</f>
        <v/>
      </c>
      <c r="BO147" s="2" t="str">
        <f>'FLORIDA CENTER'!BN29</f>
        <v/>
      </c>
      <c r="BP147" s="2" t="str">
        <f>'FLORIDA CENTER'!BO29</f>
        <v/>
      </c>
      <c r="BQ147" s="2" t="str">
        <f>'FLORIDA CENTER'!BP29</f>
        <v/>
      </c>
      <c r="BR147" s="2" t="str">
        <f>'FLORIDA CENTER'!BQ29</f>
        <v/>
      </c>
      <c r="BS147" s="2" t="str">
        <f>'FLORIDA CENTER'!BR29</f>
        <v/>
      </c>
      <c r="BT147" s="2"/>
      <c r="BU147" s="2"/>
      <c r="BV147" s="2"/>
      <c r="BW147" s="2"/>
    </row>
    <row r="148">
      <c r="A148" s="2"/>
      <c r="B148" s="2" t="str">
        <f>'FLORIDA CENTER'!A30</f>
        <v>Florida Center</v>
      </c>
      <c r="C148" s="2" t="str">
        <f>'FLORIDA CENTER'!B30</f>
        <v>Aseo</v>
      </c>
      <c r="D148" s="2" t="str">
        <f>'FLORIDA CENTER'!C30</f>
        <v>Mopa Redonda</v>
      </c>
      <c r="E148" s="2" t="str">
        <f>'FLORIDA CENTER'!D30</f>
        <v/>
      </c>
      <c r="F148" s="2" t="str">
        <f>'FLORIDA CENTER'!E30</f>
        <v/>
      </c>
      <c r="G148" s="2" t="str">
        <f>'FLORIDA CENTER'!F30</f>
        <v/>
      </c>
      <c r="H148" s="2" t="str">
        <f>'FLORIDA CENTER'!G30</f>
        <v/>
      </c>
      <c r="I148" s="2" t="str">
        <f>'FLORIDA CENTER'!H30</f>
        <v/>
      </c>
      <c r="J148" s="2" t="str">
        <f>'FLORIDA CENTER'!I30</f>
        <v/>
      </c>
      <c r="K148" s="2" t="str">
        <f>'FLORIDA CENTER'!J30</f>
        <v/>
      </c>
      <c r="L148" s="2" t="str">
        <f>'FLORIDA CENTER'!K30</f>
        <v/>
      </c>
      <c r="M148" s="2" t="str">
        <f>'FLORIDA CENTER'!L30</f>
        <v/>
      </c>
      <c r="N148" s="2" t="str">
        <f>'FLORIDA CENTER'!M30</f>
        <v/>
      </c>
      <c r="O148" s="2" t="str">
        <f>'FLORIDA CENTER'!N30</f>
        <v/>
      </c>
      <c r="P148" s="2" t="str">
        <f>'FLORIDA CENTER'!O30</f>
        <v/>
      </c>
      <c r="Q148" s="2" t="str">
        <f>'FLORIDA CENTER'!P30</f>
        <v/>
      </c>
      <c r="R148" s="2" t="str">
        <f>'FLORIDA CENTER'!Q30</f>
        <v/>
      </c>
      <c r="S148" s="2" t="str">
        <f>'FLORIDA CENTER'!R30</f>
        <v/>
      </c>
      <c r="T148" s="2" t="str">
        <f>'FLORIDA CENTER'!S30</f>
        <v/>
      </c>
      <c r="U148" s="2" t="str">
        <f>'FLORIDA CENTER'!T30</f>
        <v/>
      </c>
      <c r="V148" s="2" t="str">
        <f>'FLORIDA CENTER'!U30</f>
        <v/>
      </c>
      <c r="W148" s="2" t="str">
        <f>'FLORIDA CENTER'!V30</f>
        <v/>
      </c>
      <c r="X148" s="2" t="str">
        <f>'FLORIDA CENTER'!W30</f>
        <v/>
      </c>
      <c r="Y148" s="2" t="str">
        <f>'FLORIDA CENTER'!X30</f>
        <v/>
      </c>
      <c r="Z148" s="2">
        <f>'FLORIDA CENTER'!Y30</f>
        <v>4</v>
      </c>
      <c r="AA148" s="2">
        <f>'FLORIDA CENTER'!Z30</f>
        <v>4</v>
      </c>
      <c r="AB148" s="2">
        <f>'FLORIDA CENTER'!AA30</f>
        <v>4</v>
      </c>
      <c r="AC148" s="2">
        <f>'FLORIDA CENTER'!AB30</f>
        <v>4</v>
      </c>
      <c r="AD148" s="2">
        <f>'FLORIDA CENTER'!AC30</f>
        <v>4</v>
      </c>
      <c r="AE148" s="2">
        <f>'FLORIDA CENTER'!AD30</f>
        <v>4</v>
      </c>
      <c r="AF148" s="2">
        <f>'FLORIDA CENTER'!AE30</f>
        <v>3</v>
      </c>
      <c r="AG148" s="2">
        <f>'FLORIDA CENTER'!AF30</f>
        <v>3</v>
      </c>
      <c r="AH148" s="2">
        <f>'FLORIDA CENTER'!AG30</f>
        <v>2</v>
      </c>
      <c r="AI148" s="2">
        <f>'FLORIDA CENTER'!AH30</f>
        <v>4</v>
      </c>
      <c r="AJ148" s="2">
        <f>'FLORIDA CENTER'!AI30</f>
        <v>4</v>
      </c>
      <c r="AK148" s="2">
        <f>'FLORIDA CENTER'!AJ30</f>
        <v>3</v>
      </c>
      <c r="AL148" s="2">
        <f>'FLORIDA CENTER'!AK30</f>
        <v>3</v>
      </c>
      <c r="AM148" s="2">
        <f>'FLORIDA CENTER'!AL30</f>
        <v>3</v>
      </c>
      <c r="AN148" s="2">
        <f>'FLORIDA CENTER'!AM30</f>
        <v>3</v>
      </c>
      <c r="AO148" s="2">
        <f>'FLORIDA CENTER'!AN30</f>
        <v>2</v>
      </c>
      <c r="AP148" s="2">
        <f>'FLORIDA CENTER'!AO30</f>
        <v>2</v>
      </c>
      <c r="AQ148" s="2">
        <f>'FLORIDA CENTER'!AP30</f>
        <v>2</v>
      </c>
      <c r="AR148" s="2">
        <f>'FLORIDA CENTER'!AQ30</f>
        <v>2</v>
      </c>
      <c r="AS148" s="2">
        <f>'FLORIDA CENTER'!AR30</f>
        <v>2</v>
      </c>
      <c r="AT148" s="2">
        <f>'FLORIDA CENTER'!AS30</f>
        <v>2</v>
      </c>
      <c r="AU148" s="2">
        <f>'FLORIDA CENTER'!AT30</f>
        <v>1</v>
      </c>
      <c r="AV148" s="2">
        <f>'FLORIDA CENTER'!AU30</f>
        <v>1</v>
      </c>
      <c r="AW148" s="2">
        <f>'FLORIDA CENTER'!AV30</f>
        <v>1</v>
      </c>
      <c r="AX148" s="2">
        <f>'FLORIDA CENTER'!AW30</f>
        <v>4</v>
      </c>
      <c r="AY148" s="2">
        <f>'FLORIDA CENTER'!AX30</f>
        <v>4</v>
      </c>
      <c r="AZ148" s="2">
        <f>'FLORIDA CENTER'!AY30</f>
        <v>4</v>
      </c>
      <c r="BA148" s="2">
        <f>'FLORIDA CENTER'!AZ30</f>
        <v>3</v>
      </c>
      <c r="BB148" s="2">
        <f>'FLORIDA CENTER'!BA30</f>
        <v>3</v>
      </c>
      <c r="BC148" s="2">
        <f>'FLORIDA CENTER'!BB30</f>
        <v>3</v>
      </c>
      <c r="BD148" s="2">
        <f>'FLORIDA CENTER'!BC30</f>
        <v>2</v>
      </c>
      <c r="BE148" s="2">
        <f>'FLORIDA CENTER'!BD30</f>
        <v>2</v>
      </c>
      <c r="BF148" s="2">
        <f>'FLORIDA CENTER'!BE30</f>
        <v>2</v>
      </c>
      <c r="BG148" s="2">
        <f>'FLORIDA CENTER'!BF30</f>
        <v>2</v>
      </c>
      <c r="BH148" s="2">
        <f>'FLORIDA CENTER'!BG30</f>
        <v>2</v>
      </c>
      <c r="BI148" s="2">
        <f>'FLORIDA CENTER'!BH30</f>
        <v>1</v>
      </c>
      <c r="BJ148" s="2">
        <f>'FLORIDA CENTER'!BI30</f>
        <v>1</v>
      </c>
      <c r="BK148" s="2">
        <f>'FLORIDA CENTER'!BJ30</f>
        <v>1</v>
      </c>
      <c r="BL148" s="2" t="str">
        <f>'FLORIDA CENTER'!BK30</f>
        <v/>
      </c>
      <c r="BM148" s="2" t="str">
        <f>'FLORIDA CENTER'!BL30</f>
        <v/>
      </c>
      <c r="BN148" s="2" t="str">
        <f>'FLORIDA CENTER'!BM30</f>
        <v/>
      </c>
      <c r="BO148" s="2" t="str">
        <f>'FLORIDA CENTER'!BN30</f>
        <v/>
      </c>
      <c r="BP148" s="2" t="str">
        <f>'FLORIDA CENTER'!BO30</f>
        <v/>
      </c>
      <c r="BQ148" s="2" t="str">
        <f>'FLORIDA CENTER'!BP30</f>
        <v/>
      </c>
      <c r="BR148" s="2" t="str">
        <f>'FLORIDA CENTER'!BQ30</f>
        <v/>
      </c>
      <c r="BS148" s="2" t="str">
        <f>'FLORIDA CENTER'!BR30</f>
        <v/>
      </c>
      <c r="BT148" s="2"/>
      <c r="BU148" s="2"/>
      <c r="BV148" s="2"/>
      <c r="BW148" s="2"/>
    </row>
    <row r="149">
      <c r="A149" s="2"/>
      <c r="B149" s="2" t="str">
        <f>'FLORIDA CENTER'!A31</f>
        <v>Florida Center</v>
      </c>
      <c r="C149" s="2" t="str">
        <f>'FLORIDA CENTER'!B31</f>
        <v>Aseo</v>
      </c>
      <c r="D149" s="2" t="str">
        <f>'FLORIDA CENTER'!C31</f>
        <v>Mopa Avión</v>
      </c>
      <c r="E149" s="2" t="str">
        <f>'FLORIDA CENTER'!D31</f>
        <v/>
      </c>
      <c r="F149" s="2" t="str">
        <f>'FLORIDA CENTER'!E31</f>
        <v/>
      </c>
      <c r="G149" s="2" t="str">
        <f>'FLORIDA CENTER'!F31</f>
        <v/>
      </c>
      <c r="H149" s="2" t="str">
        <f>'FLORIDA CENTER'!G31</f>
        <v/>
      </c>
      <c r="I149" s="2" t="str">
        <f>'FLORIDA CENTER'!H31</f>
        <v/>
      </c>
      <c r="J149" s="2" t="str">
        <f>'FLORIDA CENTER'!I31</f>
        <v/>
      </c>
      <c r="K149" s="2" t="str">
        <f>'FLORIDA CENTER'!J31</f>
        <v/>
      </c>
      <c r="L149" s="2" t="str">
        <f>'FLORIDA CENTER'!K31</f>
        <v/>
      </c>
      <c r="M149" s="2" t="str">
        <f>'FLORIDA CENTER'!L31</f>
        <v/>
      </c>
      <c r="N149" s="2" t="str">
        <f>'FLORIDA CENTER'!M31</f>
        <v/>
      </c>
      <c r="O149" s="2" t="str">
        <f>'FLORIDA CENTER'!N31</f>
        <v/>
      </c>
      <c r="P149" s="2" t="str">
        <f>'FLORIDA CENTER'!O31</f>
        <v/>
      </c>
      <c r="Q149" s="2" t="str">
        <f>'FLORIDA CENTER'!P31</f>
        <v/>
      </c>
      <c r="R149" s="2" t="str">
        <f>'FLORIDA CENTER'!Q31</f>
        <v/>
      </c>
      <c r="S149" s="2" t="str">
        <f>'FLORIDA CENTER'!R31</f>
        <v/>
      </c>
      <c r="T149" s="2" t="str">
        <f>'FLORIDA CENTER'!S31</f>
        <v/>
      </c>
      <c r="U149" s="2" t="str">
        <f>'FLORIDA CENTER'!T31</f>
        <v/>
      </c>
      <c r="V149" s="2" t="str">
        <f>'FLORIDA CENTER'!U31</f>
        <v/>
      </c>
      <c r="W149" s="2" t="str">
        <f>'FLORIDA CENTER'!V31</f>
        <v/>
      </c>
      <c r="X149" s="2" t="str">
        <f>'FLORIDA CENTER'!W31</f>
        <v/>
      </c>
      <c r="Y149" s="2" t="str">
        <f>'FLORIDA CENTER'!X31</f>
        <v/>
      </c>
      <c r="Z149" s="2" t="str">
        <f>'FLORIDA CENTER'!Y31</f>
        <v>-</v>
      </c>
      <c r="AA149" s="2" t="str">
        <f>'FLORIDA CENTER'!Z31</f>
        <v>-</v>
      </c>
      <c r="AB149" s="2" t="str">
        <f>'FLORIDA CENTER'!AA31</f>
        <v>-</v>
      </c>
      <c r="AC149" s="2" t="str">
        <f>'FLORIDA CENTER'!AB31</f>
        <v>-</v>
      </c>
      <c r="AD149" s="2" t="str">
        <f>'FLORIDA CENTER'!AC31</f>
        <v>-</v>
      </c>
      <c r="AE149" s="2" t="str">
        <f>'FLORIDA CENTER'!AD31</f>
        <v>-</v>
      </c>
      <c r="AF149" s="2" t="str">
        <f>'FLORIDA CENTER'!AE31</f>
        <v>-</v>
      </c>
      <c r="AG149" s="2" t="str">
        <f>'FLORIDA CENTER'!AF31</f>
        <v>-</v>
      </c>
      <c r="AH149" s="2" t="str">
        <f>'FLORIDA CENTER'!AG31</f>
        <v>-</v>
      </c>
      <c r="AI149" s="2">
        <f>'FLORIDA CENTER'!AH31</f>
        <v>2</v>
      </c>
      <c r="AJ149" s="2">
        <f>'FLORIDA CENTER'!AI31</f>
        <v>2</v>
      </c>
      <c r="AK149" s="2">
        <f>'FLORIDA CENTER'!AJ31</f>
        <v>2</v>
      </c>
      <c r="AL149" s="2">
        <f>'FLORIDA CENTER'!AK31</f>
        <v>1</v>
      </c>
      <c r="AM149" s="2">
        <f>'FLORIDA CENTER'!AL31</f>
        <v>1</v>
      </c>
      <c r="AN149" s="2">
        <f>'FLORIDA CENTER'!AM31</f>
        <v>1</v>
      </c>
      <c r="AO149" s="2">
        <f>'FLORIDA CENTER'!AN31</f>
        <v>1</v>
      </c>
      <c r="AP149" s="2">
        <f>'FLORIDA CENTER'!AO31</f>
        <v>1</v>
      </c>
      <c r="AQ149" s="2">
        <f>'FLORIDA CENTER'!AP31</f>
        <v>1</v>
      </c>
      <c r="AR149" s="2">
        <f>'FLORIDA CENTER'!AQ31</f>
        <v>1</v>
      </c>
      <c r="AS149" s="2">
        <f>'FLORIDA CENTER'!AR31</f>
        <v>1</v>
      </c>
      <c r="AT149" s="2">
        <f>'FLORIDA CENTER'!AS31</f>
        <v>1</v>
      </c>
      <c r="AU149" s="2">
        <f>'FLORIDA CENTER'!AT31</f>
        <v>0</v>
      </c>
      <c r="AV149" s="2">
        <f>'FLORIDA CENTER'!AU31</f>
        <v>0</v>
      </c>
      <c r="AW149" s="2">
        <f>'FLORIDA CENTER'!AV31</f>
        <v>0</v>
      </c>
      <c r="AX149" s="2">
        <f>'FLORIDA CENTER'!AW31</f>
        <v>2</v>
      </c>
      <c r="AY149" s="2">
        <f>'FLORIDA CENTER'!AX31</f>
        <v>2</v>
      </c>
      <c r="AZ149" s="2">
        <f>'FLORIDA CENTER'!AY31</f>
        <v>2</v>
      </c>
      <c r="BA149" s="2">
        <f>'FLORIDA CENTER'!AZ31</f>
        <v>2</v>
      </c>
      <c r="BB149" s="2">
        <f>'FLORIDA CENTER'!BA31</f>
        <v>2</v>
      </c>
      <c r="BC149" s="2">
        <f>'FLORIDA CENTER'!BB31</f>
        <v>2</v>
      </c>
      <c r="BD149" s="2">
        <f>'FLORIDA CENTER'!BC31</f>
        <v>2</v>
      </c>
      <c r="BE149" s="2">
        <f>'FLORIDA CENTER'!BD31</f>
        <v>2</v>
      </c>
      <c r="BF149" s="2">
        <f>'FLORIDA CENTER'!BE31</f>
        <v>2</v>
      </c>
      <c r="BG149" s="2">
        <f>'FLORIDA CENTER'!BF31</f>
        <v>2</v>
      </c>
      <c r="BH149" s="2">
        <f>'FLORIDA CENTER'!BG31</f>
        <v>2</v>
      </c>
      <c r="BI149" s="2">
        <f>'FLORIDA CENTER'!BH31</f>
        <v>2</v>
      </c>
      <c r="BJ149" s="2">
        <f>'FLORIDA CENTER'!BI31</f>
        <v>2</v>
      </c>
      <c r="BK149" s="2">
        <f>'FLORIDA CENTER'!BJ31</f>
        <v>2</v>
      </c>
      <c r="BL149" s="2" t="str">
        <f>'FLORIDA CENTER'!BK31</f>
        <v/>
      </c>
      <c r="BM149" s="2" t="str">
        <f>'FLORIDA CENTER'!BL31</f>
        <v/>
      </c>
      <c r="BN149" s="2" t="str">
        <f>'FLORIDA CENTER'!BM31</f>
        <v/>
      </c>
      <c r="BO149" s="2" t="str">
        <f>'FLORIDA CENTER'!BN31</f>
        <v/>
      </c>
      <c r="BP149" s="2" t="str">
        <f>'FLORIDA CENTER'!BO31</f>
        <v/>
      </c>
      <c r="BQ149" s="2" t="str">
        <f>'FLORIDA CENTER'!BP31</f>
        <v/>
      </c>
      <c r="BR149" s="2" t="str">
        <f>'FLORIDA CENTER'!BQ31</f>
        <v/>
      </c>
      <c r="BS149" s="2" t="str">
        <f>'FLORIDA CENTER'!BR31</f>
        <v/>
      </c>
      <c r="BT149" s="2"/>
      <c r="BU149" s="2"/>
      <c r="BV149" s="2"/>
      <c r="BW149" s="2"/>
    </row>
    <row r="150">
      <c r="A150" s="2"/>
      <c r="B150" s="2" t="str">
        <f>'FLORIDA CENTER'!A32</f>
        <v>Florida Center</v>
      </c>
      <c r="C150" s="2" t="str">
        <f>'FLORIDA CENTER'!B32</f>
        <v>Aseo</v>
      </c>
      <c r="D150" s="2" t="str">
        <f>'FLORIDA CENTER'!C32</f>
        <v>Lavalozas</v>
      </c>
      <c r="E150" s="2" t="str">
        <f>'FLORIDA CENTER'!D32</f>
        <v/>
      </c>
      <c r="F150" s="2" t="str">
        <f>'FLORIDA CENTER'!E32</f>
        <v/>
      </c>
      <c r="G150" s="2" t="str">
        <f>'FLORIDA CENTER'!F32</f>
        <v/>
      </c>
      <c r="H150" s="2" t="str">
        <f>'FLORIDA CENTER'!G32</f>
        <v/>
      </c>
      <c r="I150" s="2" t="str">
        <f>'FLORIDA CENTER'!H32</f>
        <v/>
      </c>
      <c r="J150" s="2" t="str">
        <f>'FLORIDA CENTER'!I32</f>
        <v/>
      </c>
      <c r="K150" s="2" t="str">
        <f>'FLORIDA CENTER'!J32</f>
        <v/>
      </c>
      <c r="L150" s="2" t="str">
        <f>'FLORIDA CENTER'!K32</f>
        <v/>
      </c>
      <c r="M150" s="2" t="str">
        <f>'FLORIDA CENTER'!L32</f>
        <v/>
      </c>
      <c r="N150" s="2" t="str">
        <f>'FLORIDA CENTER'!M32</f>
        <v/>
      </c>
      <c r="O150" s="2" t="str">
        <f>'FLORIDA CENTER'!N32</f>
        <v/>
      </c>
      <c r="P150" s="2" t="str">
        <f>'FLORIDA CENTER'!O32</f>
        <v/>
      </c>
      <c r="Q150" s="2" t="str">
        <f>'FLORIDA CENTER'!P32</f>
        <v/>
      </c>
      <c r="R150" s="2" t="str">
        <f>'FLORIDA CENTER'!Q32</f>
        <v/>
      </c>
      <c r="S150" s="2" t="str">
        <f>'FLORIDA CENTER'!R32</f>
        <v/>
      </c>
      <c r="T150" s="2" t="str">
        <f>'FLORIDA CENTER'!S32</f>
        <v/>
      </c>
      <c r="U150" s="2" t="str">
        <f>'FLORIDA CENTER'!T32</f>
        <v/>
      </c>
      <c r="V150" s="2" t="str">
        <f>'FLORIDA CENTER'!U32</f>
        <v/>
      </c>
      <c r="W150" s="2" t="str">
        <f>'FLORIDA CENTER'!V32</f>
        <v/>
      </c>
      <c r="X150" s="2" t="str">
        <f>'FLORIDA CENTER'!W32</f>
        <v/>
      </c>
      <c r="Y150" s="2" t="str">
        <f>'FLORIDA CENTER'!X32</f>
        <v/>
      </c>
      <c r="Z150" s="2" t="str">
        <f>'FLORIDA CENTER'!Y32</f>
        <v>-</v>
      </c>
      <c r="AA150" s="2" t="str">
        <f>'FLORIDA CENTER'!Z32</f>
        <v>-</v>
      </c>
      <c r="AB150" s="2" t="str">
        <f>'FLORIDA CENTER'!AA32</f>
        <v>-</v>
      </c>
      <c r="AC150" s="2" t="str">
        <f>'FLORIDA CENTER'!AB32</f>
        <v>-</v>
      </c>
      <c r="AD150" s="2" t="str">
        <f>'FLORIDA CENTER'!AC32</f>
        <v>-</v>
      </c>
      <c r="AE150" s="2" t="str">
        <f>'FLORIDA CENTER'!AD32</f>
        <v>-</v>
      </c>
      <c r="AF150" s="2" t="str">
        <f>'FLORIDA CENTER'!AE32</f>
        <v>-</v>
      </c>
      <c r="AG150" s="2" t="str">
        <f>'FLORIDA CENTER'!AF32</f>
        <v>-</v>
      </c>
      <c r="AH150" s="2" t="str">
        <f>'FLORIDA CENTER'!AG32</f>
        <v>-</v>
      </c>
      <c r="AI150" s="2">
        <f>'FLORIDA CENTER'!AH32</f>
        <v>1</v>
      </c>
      <c r="AJ150" s="2">
        <f>'FLORIDA CENTER'!AI32</f>
        <v>1</v>
      </c>
      <c r="AK150" s="2">
        <f>'FLORIDA CENTER'!AJ32</f>
        <v>1</v>
      </c>
      <c r="AL150" s="2">
        <f>'FLORIDA CENTER'!AK32</f>
        <v>1</v>
      </c>
      <c r="AM150" s="2">
        <f>'FLORIDA CENTER'!AL32</f>
        <v>1</v>
      </c>
      <c r="AN150" s="2">
        <f>'FLORIDA CENTER'!AM32</f>
        <v>1</v>
      </c>
      <c r="AO150" s="2">
        <f>'FLORIDA CENTER'!AN32</f>
        <v>1</v>
      </c>
      <c r="AP150" s="2">
        <f>'FLORIDA CENTER'!AO32</f>
        <v>1</v>
      </c>
      <c r="AQ150" s="2">
        <f>'FLORIDA CENTER'!AP32</f>
        <v>1</v>
      </c>
      <c r="AR150" s="2">
        <f>'FLORIDA CENTER'!AQ32</f>
        <v>2</v>
      </c>
      <c r="AS150" s="2">
        <f>'FLORIDA CENTER'!AR32</f>
        <v>2</v>
      </c>
      <c r="AT150" s="2">
        <f>'FLORIDA CENTER'!AS32</f>
        <v>2</v>
      </c>
      <c r="AU150" s="2">
        <f>'FLORIDA CENTER'!AT32</f>
        <v>2</v>
      </c>
      <c r="AV150" s="2">
        <f>'FLORIDA CENTER'!AU32</f>
        <v>2</v>
      </c>
      <c r="AW150" s="2">
        <f>'FLORIDA CENTER'!AV32</f>
        <v>1</v>
      </c>
      <c r="AX150" s="2">
        <f>'FLORIDA CENTER'!AW32</f>
        <v>2</v>
      </c>
      <c r="AY150" s="2">
        <f>'FLORIDA CENTER'!AX32</f>
        <v>2</v>
      </c>
      <c r="AZ150" s="2">
        <f>'FLORIDA CENTER'!AY32</f>
        <v>2</v>
      </c>
      <c r="BA150" s="2">
        <f>'FLORIDA CENTER'!AZ32</f>
        <v>2</v>
      </c>
      <c r="BB150" s="2">
        <f>'FLORIDA CENTER'!BA32</f>
        <v>2</v>
      </c>
      <c r="BC150" s="2">
        <f>'FLORIDA CENTER'!BB32</f>
        <v>2</v>
      </c>
      <c r="BD150" s="2">
        <f>'FLORIDA CENTER'!BC32</f>
        <v>2</v>
      </c>
      <c r="BE150" s="2">
        <f>'FLORIDA CENTER'!BD32</f>
        <v>2</v>
      </c>
      <c r="BF150" s="2">
        <f>'FLORIDA CENTER'!BE32</f>
        <v>2</v>
      </c>
      <c r="BG150" s="2">
        <f>'FLORIDA CENTER'!BF32</f>
        <v>2</v>
      </c>
      <c r="BH150" s="2">
        <f>'FLORIDA CENTER'!BG32</f>
        <v>2</v>
      </c>
      <c r="BI150" s="2">
        <f>'FLORIDA CENTER'!BH32</f>
        <v>2</v>
      </c>
      <c r="BJ150" s="2">
        <f>'FLORIDA CENTER'!BI32</f>
        <v>2</v>
      </c>
      <c r="BK150" s="2">
        <f>'FLORIDA CENTER'!BJ32</f>
        <v>2</v>
      </c>
      <c r="BL150" s="2" t="str">
        <f>'FLORIDA CENTER'!BK32</f>
        <v/>
      </c>
      <c r="BM150" s="2" t="str">
        <f>'FLORIDA CENTER'!BL32</f>
        <v/>
      </c>
      <c r="BN150" s="2" t="str">
        <f>'FLORIDA CENTER'!BM32</f>
        <v/>
      </c>
      <c r="BO150" s="2" t="str">
        <f>'FLORIDA CENTER'!BN32</f>
        <v/>
      </c>
      <c r="BP150" s="2" t="str">
        <f>'FLORIDA CENTER'!BO32</f>
        <v/>
      </c>
      <c r="BQ150" s="2" t="str">
        <f>'FLORIDA CENTER'!BP32</f>
        <v/>
      </c>
      <c r="BR150" s="2" t="str">
        <f>'FLORIDA CENTER'!BQ32</f>
        <v/>
      </c>
      <c r="BS150" s="2" t="str">
        <f>'FLORIDA CENTER'!BR32</f>
        <v/>
      </c>
      <c r="BT150" s="2"/>
      <c r="BU150" s="2"/>
      <c r="BV150" s="2"/>
      <c r="BW150" s="2"/>
    </row>
    <row r="151">
      <c r="A151" s="2"/>
      <c r="B151" s="2" t="str">
        <f>'FLORIDA CENTER'!A33</f>
        <v>Florida Center</v>
      </c>
      <c r="C151" s="2" t="str">
        <f>'FLORIDA CENTER'!B33</f>
        <v>Aseo</v>
      </c>
      <c r="D151" s="2" t="str">
        <f>'FLORIDA CENTER'!C33</f>
        <v>Desodorante Ambiental</v>
      </c>
      <c r="E151" s="2" t="str">
        <f>'FLORIDA CENTER'!D33</f>
        <v/>
      </c>
      <c r="F151" s="2" t="str">
        <f>'FLORIDA CENTER'!E33</f>
        <v/>
      </c>
      <c r="G151" s="2" t="str">
        <f>'FLORIDA CENTER'!F33</f>
        <v/>
      </c>
      <c r="H151" s="2" t="str">
        <f>'FLORIDA CENTER'!G33</f>
        <v/>
      </c>
      <c r="I151" s="2" t="str">
        <f>'FLORIDA CENTER'!H33</f>
        <v/>
      </c>
      <c r="J151" s="2" t="str">
        <f>'FLORIDA CENTER'!I33</f>
        <v/>
      </c>
      <c r="K151" s="2" t="str">
        <f>'FLORIDA CENTER'!J33</f>
        <v/>
      </c>
      <c r="L151" s="2" t="str">
        <f>'FLORIDA CENTER'!K33</f>
        <v/>
      </c>
      <c r="M151" s="2" t="str">
        <f>'FLORIDA CENTER'!L33</f>
        <v/>
      </c>
      <c r="N151" s="2" t="str">
        <f>'FLORIDA CENTER'!M33</f>
        <v/>
      </c>
      <c r="O151" s="2" t="str">
        <f>'FLORIDA CENTER'!N33</f>
        <v/>
      </c>
      <c r="P151" s="2" t="str">
        <f>'FLORIDA CENTER'!O33</f>
        <v/>
      </c>
      <c r="Q151" s="2" t="str">
        <f>'FLORIDA CENTER'!P33</f>
        <v/>
      </c>
      <c r="R151" s="2" t="str">
        <f>'FLORIDA CENTER'!Q33</f>
        <v/>
      </c>
      <c r="S151" s="2" t="str">
        <f>'FLORIDA CENTER'!R33</f>
        <v/>
      </c>
      <c r="T151" s="2" t="str">
        <f>'FLORIDA CENTER'!S33</f>
        <v/>
      </c>
      <c r="U151" s="2" t="str">
        <f>'FLORIDA CENTER'!T33</f>
        <v/>
      </c>
      <c r="V151" s="2" t="str">
        <f>'FLORIDA CENTER'!U33</f>
        <v/>
      </c>
      <c r="W151" s="2" t="str">
        <f>'FLORIDA CENTER'!V33</f>
        <v/>
      </c>
      <c r="X151" s="2" t="str">
        <f>'FLORIDA CENTER'!W33</f>
        <v/>
      </c>
      <c r="Y151" s="2" t="str">
        <f>'FLORIDA CENTER'!X33</f>
        <v/>
      </c>
      <c r="Z151" s="2" t="str">
        <f>'FLORIDA CENTER'!Y33</f>
        <v>-</v>
      </c>
      <c r="AA151" s="2" t="str">
        <f>'FLORIDA CENTER'!Z33</f>
        <v>-</v>
      </c>
      <c r="AB151" s="2" t="str">
        <f>'FLORIDA CENTER'!AA33</f>
        <v>-</v>
      </c>
      <c r="AC151" s="2" t="str">
        <f>'FLORIDA CENTER'!AB33</f>
        <v>-</v>
      </c>
      <c r="AD151" s="2" t="str">
        <f>'FLORIDA CENTER'!AC33</f>
        <v>-</v>
      </c>
      <c r="AE151" s="2" t="str">
        <f>'FLORIDA CENTER'!AD33</f>
        <v>-</v>
      </c>
      <c r="AF151" s="2" t="str">
        <f>'FLORIDA CENTER'!AE33</f>
        <v>-</v>
      </c>
      <c r="AG151" s="2" t="str">
        <f>'FLORIDA CENTER'!AF33</f>
        <v>-</v>
      </c>
      <c r="AH151" s="2" t="str">
        <f>'FLORIDA CENTER'!AG33</f>
        <v>-</v>
      </c>
      <c r="AI151" s="2">
        <f>'FLORIDA CENTER'!AH33</f>
        <v>10</v>
      </c>
      <c r="AJ151" s="2">
        <f>'FLORIDA CENTER'!AI33</f>
        <v>10</v>
      </c>
      <c r="AK151" s="2">
        <f>'FLORIDA CENTER'!AJ33</f>
        <v>10</v>
      </c>
      <c r="AL151" s="2">
        <f>'FLORIDA CENTER'!AK33</f>
        <v>9</v>
      </c>
      <c r="AM151" s="2">
        <f>'FLORIDA CENTER'!AL33</f>
        <v>9</v>
      </c>
      <c r="AN151" s="2">
        <f>'FLORIDA CENTER'!AM33</f>
        <v>9</v>
      </c>
      <c r="AO151" s="2">
        <f>'FLORIDA CENTER'!AN33</f>
        <v>9</v>
      </c>
      <c r="AP151" s="2">
        <f>'FLORIDA CENTER'!AO33</f>
        <v>9</v>
      </c>
      <c r="AQ151" s="2">
        <f>'FLORIDA CENTER'!AP33</f>
        <v>8</v>
      </c>
      <c r="AR151" s="2">
        <f>'FLORIDA CENTER'!AQ33</f>
        <v>15</v>
      </c>
      <c r="AS151" s="2">
        <f>'FLORIDA CENTER'!AR33</f>
        <v>15</v>
      </c>
      <c r="AT151" s="2">
        <f>'FLORIDA CENTER'!AS33</f>
        <v>15</v>
      </c>
      <c r="AU151" s="2">
        <f>'FLORIDA CENTER'!AT33</f>
        <v>15</v>
      </c>
      <c r="AV151" s="2">
        <f>'FLORIDA CENTER'!AU33</f>
        <v>15</v>
      </c>
      <c r="AW151" s="2">
        <f>'FLORIDA CENTER'!AV33</f>
        <v>14</v>
      </c>
      <c r="AX151" s="2">
        <f>'FLORIDA CENTER'!AW33</f>
        <v>14</v>
      </c>
      <c r="AY151" s="2">
        <f>'FLORIDA CENTER'!AX33</f>
        <v>14</v>
      </c>
      <c r="AZ151" s="2">
        <f>'FLORIDA CENTER'!AY33</f>
        <v>13</v>
      </c>
      <c r="BA151" s="2">
        <f>'FLORIDA CENTER'!AZ33</f>
        <v>21</v>
      </c>
      <c r="BB151" s="2">
        <f>'FLORIDA CENTER'!BA33</f>
        <v>21</v>
      </c>
      <c r="BC151" s="2">
        <f>'FLORIDA CENTER'!BB33</f>
        <v>16</v>
      </c>
      <c r="BD151" s="2">
        <f>'FLORIDA CENTER'!BC33</f>
        <v>15</v>
      </c>
      <c r="BE151" s="2">
        <f>'FLORIDA CENTER'!BD33</f>
        <v>14</v>
      </c>
      <c r="BF151" s="2">
        <f>'FLORIDA CENTER'!BE33</f>
        <v>13</v>
      </c>
      <c r="BG151" s="2">
        <f>'FLORIDA CENTER'!BF33</f>
        <v>13</v>
      </c>
      <c r="BH151" s="2">
        <f>'FLORIDA CENTER'!BG33</f>
        <v>13</v>
      </c>
      <c r="BI151" s="2">
        <f>'FLORIDA CENTER'!BH33</f>
        <v>13</v>
      </c>
      <c r="BJ151" s="2">
        <f>'FLORIDA CENTER'!BI33</f>
        <v>13</v>
      </c>
      <c r="BK151" s="2">
        <f>'FLORIDA CENTER'!BJ33</f>
        <v>12</v>
      </c>
      <c r="BL151" s="2" t="str">
        <f>'FLORIDA CENTER'!BK33</f>
        <v/>
      </c>
      <c r="BM151" s="2" t="str">
        <f>'FLORIDA CENTER'!BL33</f>
        <v/>
      </c>
      <c r="BN151" s="2" t="str">
        <f>'FLORIDA CENTER'!BM33</f>
        <v/>
      </c>
      <c r="BO151" s="2" t="str">
        <f>'FLORIDA CENTER'!BN33</f>
        <v/>
      </c>
      <c r="BP151" s="2" t="str">
        <f>'FLORIDA CENTER'!BO33</f>
        <v/>
      </c>
      <c r="BQ151" s="2" t="str">
        <f>'FLORIDA CENTER'!BP33</f>
        <v/>
      </c>
      <c r="BR151" s="2" t="str">
        <f>'FLORIDA CENTER'!BQ33</f>
        <v/>
      </c>
      <c r="BS151" s="2" t="str">
        <f>'FLORIDA CENTER'!BR33</f>
        <v/>
      </c>
      <c r="BT151" s="2"/>
      <c r="BU151" s="2"/>
      <c r="BV151" s="2"/>
      <c r="BW151" s="2"/>
    </row>
    <row r="152">
      <c r="A152" s="2"/>
      <c r="B152" s="2" t="str">
        <f>'FLORIDA CENTER'!A34</f>
        <v>Florida Center</v>
      </c>
      <c r="C152" s="2" t="str">
        <f>'FLORIDA CENTER'!B34</f>
        <v>Aseo</v>
      </c>
      <c r="D152" s="2" t="str">
        <f>'FLORIDA CENTER'!C34</f>
        <v>Igenix</v>
      </c>
      <c r="E152" s="2" t="str">
        <f>'FLORIDA CENTER'!D34</f>
        <v/>
      </c>
      <c r="F152" s="2" t="str">
        <f>'FLORIDA CENTER'!E34</f>
        <v/>
      </c>
      <c r="G152" s="2" t="str">
        <f>'FLORIDA CENTER'!F34</f>
        <v/>
      </c>
      <c r="H152" s="2" t="str">
        <f>'FLORIDA CENTER'!G34</f>
        <v/>
      </c>
      <c r="I152" s="2" t="str">
        <f>'FLORIDA CENTER'!H34</f>
        <v/>
      </c>
      <c r="J152" s="2" t="str">
        <f>'FLORIDA CENTER'!I34</f>
        <v/>
      </c>
      <c r="K152" s="2" t="str">
        <f>'FLORIDA CENTER'!J34</f>
        <v/>
      </c>
      <c r="L152" s="2" t="str">
        <f>'FLORIDA CENTER'!K34</f>
        <v/>
      </c>
      <c r="M152" s="2" t="str">
        <f>'FLORIDA CENTER'!L34</f>
        <v/>
      </c>
      <c r="N152" s="2" t="str">
        <f>'FLORIDA CENTER'!M34</f>
        <v/>
      </c>
      <c r="O152" s="2" t="str">
        <f>'FLORIDA CENTER'!N34</f>
        <v/>
      </c>
      <c r="P152" s="2" t="str">
        <f>'FLORIDA CENTER'!O34</f>
        <v/>
      </c>
      <c r="Q152" s="2" t="str">
        <f>'FLORIDA CENTER'!P34</f>
        <v/>
      </c>
      <c r="R152" s="2" t="str">
        <f>'FLORIDA CENTER'!Q34</f>
        <v/>
      </c>
      <c r="S152" s="2" t="str">
        <f>'FLORIDA CENTER'!R34</f>
        <v/>
      </c>
      <c r="T152" s="2" t="str">
        <f>'FLORIDA CENTER'!S34</f>
        <v/>
      </c>
      <c r="U152" s="2" t="str">
        <f>'FLORIDA CENTER'!T34</f>
        <v/>
      </c>
      <c r="V152" s="2" t="str">
        <f>'FLORIDA CENTER'!U34</f>
        <v/>
      </c>
      <c r="W152" s="2" t="str">
        <f>'FLORIDA CENTER'!V34</f>
        <v/>
      </c>
      <c r="X152" s="2" t="str">
        <f>'FLORIDA CENTER'!W34</f>
        <v/>
      </c>
      <c r="Y152" s="2" t="str">
        <f>'FLORIDA CENTER'!X34</f>
        <v/>
      </c>
      <c r="Z152" s="2" t="str">
        <f>'FLORIDA CENTER'!Y34</f>
        <v/>
      </c>
      <c r="AA152" s="2" t="str">
        <f>'FLORIDA CENTER'!Z34</f>
        <v/>
      </c>
      <c r="AB152" s="2" t="str">
        <f>'FLORIDA CENTER'!AA34</f>
        <v/>
      </c>
      <c r="AC152" s="2" t="str">
        <f>'FLORIDA CENTER'!AB34</f>
        <v/>
      </c>
      <c r="AD152" s="2" t="str">
        <f>'FLORIDA CENTER'!AC34</f>
        <v/>
      </c>
      <c r="AE152" s="2" t="str">
        <f>'FLORIDA CENTER'!AD34</f>
        <v/>
      </c>
      <c r="AF152" s="2" t="str">
        <f>'FLORIDA CENTER'!AE34</f>
        <v/>
      </c>
      <c r="AG152" s="2" t="str">
        <f>'FLORIDA CENTER'!AF34</f>
        <v/>
      </c>
      <c r="AH152" s="2" t="str">
        <f>'FLORIDA CENTER'!AG34</f>
        <v/>
      </c>
      <c r="AI152" s="2" t="str">
        <f>'FLORIDA CENTER'!AH34</f>
        <v/>
      </c>
      <c r="AJ152" s="2" t="str">
        <f>'FLORIDA CENTER'!AI34</f>
        <v/>
      </c>
      <c r="AK152" s="2" t="str">
        <f>'FLORIDA CENTER'!AJ34</f>
        <v/>
      </c>
      <c r="AL152" s="2" t="str">
        <f>'FLORIDA CENTER'!AK34</f>
        <v/>
      </c>
      <c r="AM152" s="2" t="str">
        <f>'FLORIDA CENTER'!AL34</f>
        <v/>
      </c>
      <c r="AN152" s="2" t="str">
        <f>'FLORIDA CENTER'!AM34</f>
        <v/>
      </c>
      <c r="AO152" s="2" t="str">
        <f>'FLORIDA CENTER'!AN34</f>
        <v/>
      </c>
      <c r="AP152" s="2" t="str">
        <f>'FLORIDA CENTER'!AO34</f>
        <v/>
      </c>
      <c r="AQ152" s="2" t="str">
        <f>'FLORIDA CENTER'!AP34</f>
        <v/>
      </c>
      <c r="AR152" s="2" t="str">
        <f>'FLORIDA CENTER'!AQ34</f>
        <v/>
      </c>
      <c r="AS152" s="2" t="str">
        <f>'FLORIDA CENTER'!AR34</f>
        <v/>
      </c>
      <c r="AT152" s="2" t="str">
        <f>'FLORIDA CENTER'!AS34</f>
        <v/>
      </c>
      <c r="AU152" s="2" t="str">
        <f>'FLORIDA CENTER'!AT34</f>
        <v/>
      </c>
      <c r="AV152" s="2" t="str">
        <f>'FLORIDA CENTER'!AU34</f>
        <v/>
      </c>
      <c r="AW152" s="2" t="str">
        <f>'FLORIDA CENTER'!AV34</f>
        <v/>
      </c>
      <c r="AX152" s="2" t="str">
        <f>'FLORIDA CENTER'!AW34</f>
        <v/>
      </c>
      <c r="AY152" s="2" t="str">
        <f>'FLORIDA CENTER'!AX34</f>
        <v/>
      </c>
      <c r="AZ152" s="2" t="str">
        <f>'FLORIDA CENTER'!AY34</f>
        <v/>
      </c>
      <c r="BA152" s="2" t="str">
        <f>'FLORIDA CENTER'!AZ34</f>
        <v/>
      </c>
      <c r="BB152" s="2" t="str">
        <f>'FLORIDA CENTER'!BA34</f>
        <v/>
      </c>
      <c r="BC152" s="2">
        <f>'FLORIDA CENTER'!BB34</f>
        <v>4</v>
      </c>
      <c r="BD152" s="2">
        <f>'FLORIDA CENTER'!BC34</f>
        <v>4</v>
      </c>
      <c r="BE152" s="2">
        <f>'FLORIDA CENTER'!BD34</f>
        <v>4</v>
      </c>
      <c r="BF152" s="2">
        <f>'FLORIDA CENTER'!BE34</f>
        <v>4</v>
      </c>
      <c r="BG152" s="2">
        <f>'FLORIDA CENTER'!BF34</f>
        <v>6</v>
      </c>
      <c r="BH152" s="2">
        <f>'FLORIDA CENTER'!BG34</f>
        <v>6</v>
      </c>
      <c r="BI152" s="2">
        <f>'FLORIDA CENTER'!BH34</f>
        <v>6</v>
      </c>
      <c r="BJ152" s="2">
        <f>'FLORIDA CENTER'!BI34</f>
        <v>5</v>
      </c>
      <c r="BK152" s="2">
        <f>'FLORIDA CENTER'!BJ34</f>
        <v>5</v>
      </c>
      <c r="BL152" s="2" t="str">
        <f>'FLORIDA CENTER'!BK34</f>
        <v/>
      </c>
      <c r="BM152" s="2" t="str">
        <f>'FLORIDA CENTER'!BL34</f>
        <v/>
      </c>
      <c r="BN152" s="2" t="str">
        <f>'FLORIDA CENTER'!BM34</f>
        <v/>
      </c>
      <c r="BO152" s="2" t="str">
        <f>'FLORIDA CENTER'!BN34</f>
        <v/>
      </c>
      <c r="BP152" s="2" t="str">
        <f>'FLORIDA CENTER'!BO34</f>
        <v/>
      </c>
      <c r="BQ152" s="2" t="str">
        <f>'FLORIDA CENTER'!BP34</f>
        <v/>
      </c>
      <c r="BR152" s="2" t="str">
        <f>'FLORIDA CENTER'!BQ34</f>
        <v/>
      </c>
      <c r="BS152" s="2" t="str">
        <f>'FLORIDA CENTER'!BR34</f>
        <v/>
      </c>
      <c r="BT152" s="2"/>
      <c r="BU152" s="2"/>
      <c r="BV152" s="2"/>
      <c r="BW152" s="2"/>
    </row>
    <row r="153">
      <c r="A153" s="2"/>
      <c r="B153" s="2" t="str">
        <f>'FLORIDA CENTER'!A35</f>
        <v>Florida Center</v>
      </c>
      <c r="C153" s="2" t="str">
        <f>'FLORIDA CENTER'!B35</f>
        <v>Aseo</v>
      </c>
      <c r="D153" s="2" t="str">
        <f>'FLORIDA CENTER'!C35</f>
        <v>CIF</v>
      </c>
      <c r="E153" s="2" t="str">
        <f>'FLORIDA CENTER'!D35</f>
        <v/>
      </c>
      <c r="F153" s="2" t="str">
        <f>'FLORIDA CENTER'!E35</f>
        <v/>
      </c>
      <c r="G153" s="2" t="str">
        <f>'FLORIDA CENTER'!F35</f>
        <v/>
      </c>
      <c r="H153" s="2" t="str">
        <f>'FLORIDA CENTER'!G35</f>
        <v/>
      </c>
      <c r="I153" s="2" t="str">
        <f>'FLORIDA CENTER'!H35</f>
        <v/>
      </c>
      <c r="J153" s="2" t="str">
        <f>'FLORIDA CENTER'!I35</f>
        <v/>
      </c>
      <c r="K153" s="2" t="str">
        <f>'FLORIDA CENTER'!J35</f>
        <v/>
      </c>
      <c r="L153" s="2" t="str">
        <f>'FLORIDA CENTER'!K35</f>
        <v/>
      </c>
      <c r="M153" s="2" t="str">
        <f>'FLORIDA CENTER'!L35</f>
        <v/>
      </c>
      <c r="N153" s="2" t="str">
        <f>'FLORIDA CENTER'!M35</f>
        <v/>
      </c>
      <c r="O153" s="2" t="str">
        <f>'FLORIDA CENTER'!N35</f>
        <v/>
      </c>
      <c r="P153" s="2" t="str">
        <f>'FLORIDA CENTER'!O35</f>
        <v/>
      </c>
      <c r="Q153" s="2" t="str">
        <f>'FLORIDA CENTER'!P35</f>
        <v/>
      </c>
      <c r="R153" s="2" t="str">
        <f>'FLORIDA CENTER'!Q35</f>
        <v/>
      </c>
      <c r="S153" s="2" t="str">
        <f>'FLORIDA CENTER'!R35</f>
        <v/>
      </c>
      <c r="T153" s="2" t="str">
        <f>'FLORIDA CENTER'!S35</f>
        <v/>
      </c>
      <c r="U153" s="2" t="str">
        <f>'FLORIDA CENTER'!T35</f>
        <v/>
      </c>
      <c r="V153" s="2" t="str">
        <f>'FLORIDA CENTER'!U35</f>
        <v/>
      </c>
      <c r="W153" s="2" t="str">
        <f>'FLORIDA CENTER'!V35</f>
        <v/>
      </c>
      <c r="X153" s="2" t="str">
        <f>'FLORIDA CENTER'!W35</f>
        <v/>
      </c>
      <c r="Y153" s="2" t="str">
        <f>'FLORIDA CENTER'!X35</f>
        <v/>
      </c>
      <c r="Z153" s="2" t="str">
        <f>'FLORIDA CENTER'!Y35</f>
        <v/>
      </c>
      <c r="AA153" s="2" t="str">
        <f>'FLORIDA CENTER'!Z35</f>
        <v/>
      </c>
      <c r="AB153" s="2" t="str">
        <f>'FLORIDA CENTER'!AA35</f>
        <v/>
      </c>
      <c r="AC153" s="2" t="str">
        <f>'FLORIDA CENTER'!AB35</f>
        <v/>
      </c>
      <c r="AD153" s="2" t="str">
        <f>'FLORIDA CENTER'!AC35</f>
        <v/>
      </c>
      <c r="AE153" s="2" t="str">
        <f>'FLORIDA CENTER'!AD35</f>
        <v/>
      </c>
      <c r="AF153" s="2" t="str">
        <f>'FLORIDA CENTER'!AE35</f>
        <v/>
      </c>
      <c r="AG153" s="2" t="str">
        <f>'FLORIDA CENTER'!AF35</f>
        <v/>
      </c>
      <c r="AH153" s="2" t="str">
        <f>'FLORIDA CENTER'!AG35</f>
        <v/>
      </c>
      <c r="AI153" s="2" t="str">
        <f>'FLORIDA CENTER'!AH35</f>
        <v/>
      </c>
      <c r="AJ153" s="2" t="str">
        <f>'FLORIDA CENTER'!AI35</f>
        <v/>
      </c>
      <c r="AK153" s="2" t="str">
        <f>'FLORIDA CENTER'!AJ35</f>
        <v/>
      </c>
      <c r="AL153" s="2" t="str">
        <f>'FLORIDA CENTER'!AK35</f>
        <v>-</v>
      </c>
      <c r="AM153" s="2" t="str">
        <f>'FLORIDA CENTER'!AL35</f>
        <v>-</v>
      </c>
      <c r="AN153" s="2" t="str">
        <f>'FLORIDA CENTER'!AM35</f>
        <v>-</v>
      </c>
      <c r="AO153" s="2" t="str">
        <f>'FLORIDA CENTER'!AN35</f>
        <v>-</v>
      </c>
      <c r="AP153" s="2" t="str">
        <f>'FLORIDA CENTER'!AO35</f>
        <v>-</v>
      </c>
      <c r="AQ153" s="2">
        <f>'FLORIDA CENTER'!AP35</f>
        <v>0</v>
      </c>
      <c r="AR153" s="2">
        <f>'FLORIDA CENTER'!AQ35</f>
        <v>1</v>
      </c>
      <c r="AS153" s="2">
        <f>'FLORIDA CENTER'!AR35</f>
        <v>0</v>
      </c>
      <c r="AT153" s="2">
        <f>'FLORIDA CENTER'!AS35</f>
        <v>0</v>
      </c>
      <c r="AU153" s="2">
        <f>'FLORIDA CENTER'!AT35</f>
        <v>0</v>
      </c>
      <c r="AV153" s="2">
        <f>'FLORIDA CENTER'!AU35</f>
        <v>0</v>
      </c>
      <c r="AW153" s="2">
        <f>'FLORIDA CENTER'!AV35</f>
        <v>0</v>
      </c>
      <c r="AX153" s="2">
        <f>'FLORIDA CENTER'!AW35</f>
        <v>0</v>
      </c>
      <c r="AY153" s="2">
        <f>'FLORIDA CENTER'!AX35</f>
        <v>0</v>
      </c>
      <c r="AZ153" s="2">
        <f>'FLORIDA CENTER'!AY35</f>
        <v>0</v>
      </c>
      <c r="BA153" s="2">
        <f>'FLORIDA CENTER'!AZ35</f>
        <v>0</v>
      </c>
      <c r="BB153" s="2">
        <f>'FLORIDA CENTER'!BA35</f>
        <v>0</v>
      </c>
      <c r="BC153" s="2">
        <f>'FLORIDA CENTER'!BB35</f>
        <v>0</v>
      </c>
      <c r="BD153" s="2">
        <f>'FLORIDA CENTER'!BC35</f>
        <v>0</v>
      </c>
      <c r="BE153" s="2">
        <f>'FLORIDA CENTER'!BD35</f>
        <v>0</v>
      </c>
      <c r="BF153" s="2">
        <f>'FLORIDA CENTER'!BE35</f>
        <v>0</v>
      </c>
      <c r="BG153" s="2">
        <f>'FLORIDA CENTER'!BF35</f>
        <v>0</v>
      </c>
      <c r="BH153" s="2">
        <f>'FLORIDA CENTER'!BG35</f>
        <v>0</v>
      </c>
      <c r="BI153" s="2">
        <f>'FLORIDA CENTER'!BH35</f>
        <v>0</v>
      </c>
      <c r="BJ153" s="2">
        <f>'FLORIDA CENTER'!BI35</f>
        <v>0</v>
      </c>
      <c r="BK153" s="2">
        <f>'FLORIDA CENTER'!BJ35</f>
        <v>0</v>
      </c>
      <c r="BL153" s="2" t="str">
        <f>'FLORIDA CENTER'!BK35</f>
        <v/>
      </c>
      <c r="BM153" s="2" t="str">
        <f>'FLORIDA CENTER'!BL35</f>
        <v/>
      </c>
      <c r="BN153" s="2" t="str">
        <f>'FLORIDA CENTER'!BM35</f>
        <v/>
      </c>
      <c r="BO153" s="2" t="str">
        <f>'FLORIDA CENTER'!BN35</f>
        <v/>
      </c>
      <c r="BP153" s="2" t="str">
        <f>'FLORIDA CENTER'!BO35</f>
        <v/>
      </c>
      <c r="BQ153" s="2" t="str">
        <f>'FLORIDA CENTER'!BP35</f>
        <v/>
      </c>
      <c r="BR153" s="2" t="str">
        <f>'FLORIDA CENTER'!BQ35</f>
        <v/>
      </c>
      <c r="BS153" s="2" t="str">
        <f>'FLORIDA CENTER'!BR35</f>
        <v/>
      </c>
      <c r="BT153" s="2"/>
      <c r="BU153" s="2"/>
      <c r="BV153" s="2"/>
      <c r="BW153" s="2"/>
    </row>
    <row r="154">
      <c r="A154" s="2"/>
      <c r="B154" s="2" t="str">
        <f>'FLORIDA CENTER'!A36</f>
        <v>Florida Center</v>
      </c>
      <c r="C154" s="2" t="str">
        <f>'FLORIDA CENTER'!B36</f>
        <v>Aseo</v>
      </c>
      <c r="D154" s="2" t="str">
        <f>'FLORIDA CENTER'!C36</f>
        <v>Lustra Mueble</v>
      </c>
      <c r="E154" s="2" t="str">
        <f>'FLORIDA CENTER'!D36</f>
        <v/>
      </c>
      <c r="F154" s="2" t="str">
        <f>'FLORIDA CENTER'!E36</f>
        <v/>
      </c>
      <c r="G154" s="2" t="str">
        <f>'FLORIDA CENTER'!F36</f>
        <v/>
      </c>
      <c r="H154" s="2" t="str">
        <f>'FLORIDA CENTER'!G36</f>
        <v/>
      </c>
      <c r="I154" s="2" t="str">
        <f>'FLORIDA CENTER'!H36</f>
        <v/>
      </c>
      <c r="J154" s="2" t="str">
        <f>'FLORIDA CENTER'!I36</f>
        <v/>
      </c>
      <c r="K154" s="2" t="str">
        <f>'FLORIDA CENTER'!J36</f>
        <v/>
      </c>
      <c r="L154" s="2" t="str">
        <f>'FLORIDA CENTER'!K36</f>
        <v/>
      </c>
      <c r="M154" s="2" t="str">
        <f>'FLORIDA CENTER'!L36</f>
        <v/>
      </c>
      <c r="N154" s="2" t="str">
        <f>'FLORIDA CENTER'!M36</f>
        <v/>
      </c>
      <c r="O154" s="2" t="str">
        <f>'FLORIDA CENTER'!N36</f>
        <v/>
      </c>
      <c r="P154" s="2" t="str">
        <f>'FLORIDA CENTER'!O36</f>
        <v/>
      </c>
      <c r="Q154" s="2" t="str">
        <f>'FLORIDA CENTER'!P36</f>
        <v/>
      </c>
      <c r="R154" s="2" t="str">
        <f>'FLORIDA CENTER'!Q36</f>
        <v/>
      </c>
      <c r="S154" s="2" t="str">
        <f>'FLORIDA CENTER'!R36</f>
        <v/>
      </c>
      <c r="T154" s="2" t="str">
        <f>'FLORIDA CENTER'!S36</f>
        <v/>
      </c>
      <c r="U154" s="2" t="str">
        <f>'FLORIDA CENTER'!T36</f>
        <v/>
      </c>
      <c r="V154" s="2" t="str">
        <f>'FLORIDA CENTER'!U36</f>
        <v/>
      </c>
      <c r="W154" s="2" t="str">
        <f>'FLORIDA CENTER'!V36</f>
        <v/>
      </c>
      <c r="X154" s="2" t="str">
        <f>'FLORIDA CENTER'!W36</f>
        <v/>
      </c>
      <c r="Y154" s="2" t="str">
        <f>'FLORIDA CENTER'!X36</f>
        <v/>
      </c>
      <c r="Z154" s="2" t="str">
        <f>'FLORIDA CENTER'!Y36</f>
        <v/>
      </c>
      <c r="AA154" s="2" t="str">
        <f>'FLORIDA CENTER'!Z36</f>
        <v/>
      </c>
      <c r="AB154" s="2" t="str">
        <f>'FLORIDA CENTER'!AA36</f>
        <v/>
      </c>
      <c r="AC154" s="2" t="str">
        <f>'FLORIDA CENTER'!AB36</f>
        <v/>
      </c>
      <c r="AD154" s="2" t="str">
        <f>'FLORIDA CENTER'!AC36</f>
        <v/>
      </c>
      <c r="AE154" s="2" t="str">
        <f>'FLORIDA CENTER'!AD36</f>
        <v/>
      </c>
      <c r="AF154" s="2" t="str">
        <f>'FLORIDA CENTER'!AE36</f>
        <v/>
      </c>
      <c r="AG154" s="2" t="str">
        <f>'FLORIDA CENTER'!AF36</f>
        <v/>
      </c>
      <c r="AH154" s="2" t="str">
        <f>'FLORIDA CENTER'!AG36</f>
        <v/>
      </c>
      <c r="AI154" s="2" t="str">
        <f>'FLORIDA CENTER'!AH36</f>
        <v/>
      </c>
      <c r="AJ154" s="2" t="str">
        <f>'FLORIDA CENTER'!AI36</f>
        <v/>
      </c>
      <c r="AK154" s="2" t="str">
        <f>'FLORIDA CENTER'!AJ36</f>
        <v/>
      </c>
      <c r="AL154" s="2" t="str">
        <f>'FLORIDA CENTER'!AK36</f>
        <v>-</v>
      </c>
      <c r="AM154" s="2" t="str">
        <f>'FLORIDA CENTER'!AL36</f>
        <v>-</v>
      </c>
      <c r="AN154" s="2" t="str">
        <f>'FLORIDA CENTER'!AM36</f>
        <v>-</v>
      </c>
      <c r="AO154" s="2" t="str">
        <f>'FLORIDA CENTER'!AN36</f>
        <v>-</v>
      </c>
      <c r="AP154" s="2" t="str">
        <f>'FLORIDA CENTER'!AO36</f>
        <v>-</v>
      </c>
      <c r="AQ154" s="2">
        <f>'FLORIDA CENTER'!AP36</f>
        <v>5</v>
      </c>
      <c r="AR154" s="2">
        <f>'FLORIDA CENTER'!AQ36</f>
        <v>6</v>
      </c>
      <c r="AS154" s="2">
        <f>'FLORIDA CENTER'!AR36</f>
        <v>6</v>
      </c>
      <c r="AT154" s="2">
        <f>'FLORIDA CENTER'!AS36</f>
        <v>6</v>
      </c>
      <c r="AU154" s="2">
        <f>'FLORIDA CENTER'!AT36</f>
        <v>6</v>
      </c>
      <c r="AV154" s="2">
        <f>'FLORIDA CENTER'!AU36</f>
        <v>6</v>
      </c>
      <c r="AW154" s="2">
        <f>'FLORIDA CENTER'!AV36</f>
        <v>6</v>
      </c>
      <c r="AX154" s="2">
        <f>'FLORIDA CENTER'!AW36</f>
        <v>6</v>
      </c>
      <c r="AY154" s="2">
        <f>'FLORIDA CENTER'!AX36</f>
        <v>6</v>
      </c>
      <c r="AZ154" s="2">
        <f>'FLORIDA CENTER'!AY36</f>
        <v>6</v>
      </c>
      <c r="BA154" s="2">
        <f>'FLORIDA CENTER'!AZ36</f>
        <v>6</v>
      </c>
      <c r="BB154" s="2">
        <f>'FLORIDA CENTER'!BA36</f>
        <v>6</v>
      </c>
      <c r="BC154" s="2">
        <f>'FLORIDA CENTER'!BB36</f>
        <v>6</v>
      </c>
      <c r="BD154" s="2">
        <f>'FLORIDA CENTER'!BC36</f>
        <v>6</v>
      </c>
      <c r="BE154" s="2">
        <f>'FLORIDA CENTER'!BD36</f>
        <v>6</v>
      </c>
      <c r="BF154" s="2">
        <f>'FLORIDA CENTER'!BE36</f>
        <v>6</v>
      </c>
      <c r="BG154" s="2">
        <f>'FLORIDA CENTER'!BF36</f>
        <v>6</v>
      </c>
      <c r="BH154" s="2">
        <f>'FLORIDA CENTER'!BG36</f>
        <v>6</v>
      </c>
      <c r="BI154" s="2">
        <f>'FLORIDA CENTER'!BH36</f>
        <v>6</v>
      </c>
      <c r="BJ154" s="2">
        <f>'FLORIDA CENTER'!BI36</f>
        <v>6</v>
      </c>
      <c r="BK154" s="2">
        <f>'FLORIDA CENTER'!BJ36</f>
        <v>6</v>
      </c>
      <c r="BL154" s="2" t="str">
        <f>'FLORIDA CENTER'!BK36</f>
        <v/>
      </c>
      <c r="BM154" s="2" t="str">
        <f>'FLORIDA CENTER'!BL36</f>
        <v/>
      </c>
      <c r="BN154" s="2" t="str">
        <f>'FLORIDA CENTER'!BM36</f>
        <v/>
      </c>
      <c r="BO154" s="2" t="str">
        <f>'FLORIDA CENTER'!BN36</f>
        <v/>
      </c>
      <c r="BP154" s="2" t="str">
        <f>'FLORIDA CENTER'!BO36</f>
        <v/>
      </c>
      <c r="BQ154" s="2" t="str">
        <f>'FLORIDA CENTER'!BP36</f>
        <v/>
      </c>
      <c r="BR154" s="2" t="str">
        <f>'FLORIDA CENTER'!BQ36</f>
        <v/>
      </c>
      <c r="BS154" s="2" t="str">
        <f>'FLORIDA CENTER'!BR36</f>
        <v/>
      </c>
      <c r="BT154" s="2"/>
      <c r="BU154" s="2"/>
      <c r="BV154" s="2"/>
      <c r="BW154" s="2"/>
    </row>
    <row r="155">
      <c r="A155" s="2"/>
      <c r="B155" s="2" t="str">
        <f>'FLORIDA CENTER'!A37</f>
        <v>Florida Center</v>
      </c>
      <c r="C155" s="2" t="str">
        <f>'FLORIDA CENTER'!B37</f>
        <v>Aseo</v>
      </c>
      <c r="D155" s="2" t="str">
        <f>'FLORIDA CENTER'!C37</f>
        <v>Guantes Multiuso</v>
      </c>
      <c r="E155" s="2" t="str">
        <f>'FLORIDA CENTER'!D37</f>
        <v/>
      </c>
      <c r="F155" s="2" t="str">
        <f>'FLORIDA CENTER'!E37</f>
        <v/>
      </c>
      <c r="G155" s="2" t="str">
        <f>'FLORIDA CENTER'!F37</f>
        <v/>
      </c>
      <c r="H155" s="2" t="str">
        <f>'FLORIDA CENTER'!G37</f>
        <v/>
      </c>
      <c r="I155" s="2" t="str">
        <f>'FLORIDA CENTER'!H37</f>
        <v/>
      </c>
      <c r="J155" s="2" t="str">
        <f>'FLORIDA CENTER'!I37</f>
        <v/>
      </c>
      <c r="K155" s="2" t="str">
        <f>'FLORIDA CENTER'!J37</f>
        <v/>
      </c>
      <c r="L155" s="2" t="str">
        <f>'FLORIDA CENTER'!K37</f>
        <v/>
      </c>
      <c r="M155" s="2" t="str">
        <f>'FLORIDA CENTER'!L37</f>
        <v/>
      </c>
      <c r="N155" s="2" t="str">
        <f>'FLORIDA CENTER'!M37</f>
        <v/>
      </c>
      <c r="O155" s="2" t="str">
        <f>'FLORIDA CENTER'!N37</f>
        <v/>
      </c>
      <c r="P155" s="2" t="str">
        <f>'FLORIDA CENTER'!O37</f>
        <v/>
      </c>
      <c r="Q155" s="2" t="str">
        <f>'FLORIDA CENTER'!P37</f>
        <v/>
      </c>
      <c r="R155" s="2" t="str">
        <f>'FLORIDA CENTER'!Q37</f>
        <v/>
      </c>
      <c r="S155" s="2" t="str">
        <f>'FLORIDA CENTER'!R37</f>
        <v/>
      </c>
      <c r="T155" s="2" t="str">
        <f>'FLORIDA CENTER'!S37</f>
        <v/>
      </c>
      <c r="U155" s="2" t="str">
        <f>'FLORIDA CENTER'!T37</f>
        <v/>
      </c>
      <c r="V155" s="2" t="str">
        <f>'FLORIDA CENTER'!U37</f>
        <v/>
      </c>
      <c r="W155" s="2" t="str">
        <f>'FLORIDA CENTER'!V37</f>
        <v/>
      </c>
      <c r="X155" s="2" t="str">
        <f>'FLORIDA CENTER'!W37</f>
        <v/>
      </c>
      <c r="Y155" s="2" t="str">
        <f>'FLORIDA CENTER'!X37</f>
        <v/>
      </c>
      <c r="Z155" s="2" t="str">
        <f>'FLORIDA CENTER'!Y37</f>
        <v>-</v>
      </c>
      <c r="AA155" s="2" t="str">
        <f>'FLORIDA CENTER'!Z37</f>
        <v>-</v>
      </c>
      <c r="AB155" s="2" t="str">
        <f>'FLORIDA CENTER'!AA37</f>
        <v>-</v>
      </c>
      <c r="AC155" s="2" t="str">
        <f>'FLORIDA CENTER'!AB37</f>
        <v>-</v>
      </c>
      <c r="AD155" s="2" t="str">
        <f>'FLORIDA CENTER'!AC37</f>
        <v>-</v>
      </c>
      <c r="AE155" s="2" t="str">
        <f>'FLORIDA CENTER'!AD37</f>
        <v>-</v>
      </c>
      <c r="AF155" s="2" t="str">
        <f>'FLORIDA CENTER'!AE37</f>
        <v>-</v>
      </c>
      <c r="AG155" s="2" t="str">
        <f>'FLORIDA CENTER'!AF37</f>
        <v>-</v>
      </c>
      <c r="AH155" s="2" t="str">
        <f>'FLORIDA CENTER'!AG37</f>
        <v>-</v>
      </c>
      <c r="AI155" s="2">
        <f>'FLORIDA CENTER'!AH37</f>
        <v>6</v>
      </c>
      <c r="AJ155" s="2">
        <f>'FLORIDA CENTER'!AI37</f>
        <v>6</v>
      </c>
      <c r="AK155" s="2">
        <f>'FLORIDA CENTER'!AJ37</f>
        <v>6</v>
      </c>
      <c r="AL155" s="2">
        <f>'FLORIDA CENTER'!AK37</f>
        <v>6</v>
      </c>
      <c r="AM155" s="2">
        <f>'FLORIDA CENTER'!AL37</f>
        <v>6</v>
      </c>
      <c r="AN155" s="2">
        <f>'FLORIDA CENTER'!AM37</f>
        <v>5</v>
      </c>
      <c r="AO155" s="2">
        <f>'FLORIDA CENTER'!AN37</f>
        <v>5</v>
      </c>
      <c r="AP155" s="2">
        <f>'FLORIDA CENTER'!AO37</f>
        <v>5</v>
      </c>
      <c r="AQ155" s="2">
        <f>'FLORIDA CENTER'!AP37</f>
        <v>5</v>
      </c>
      <c r="AR155" s="2">
        <f>'FLORIDA CENTER'!AQ37</f>
        <v>5</v>
      </c>
      <c r="AS155" s="2">
        <f>'FLORIDA CENTER'!AR37</f>
        <v>5</v>
      </c>
      <c r="AT155" s="2">
        <f>'FLORIDA CENTER'!AS37</f>
        <v>5</v>
      </c>
      <c r="AU155" s="2">
        <f>'FLORIDA CENTER'!AT37</f>
        <v>5</v>
      </c>
      <c r="AV155" s="2">
        <f>'FLORIDA CENTER'!AU37</f>
        <v>5</v>
      </c>
      <c r="AW155" s="2">
        <f>'FLORIDA CENTER'!AV37</f>
        <v>5</v>
      </c>
      <c r="AX155" s="2">
        <f>'FLORIDA CENTER'!AW37</f>
        <v>5</v>
      </c>
      <c r="AY155" s="2">
        <f>'FLORIDA CENTER'!AX37</f>
        <v>5</v>
      </c>
      <c r="AZ155" s="2">
        <f>'FLORIDA CENTER'!AY37</f>
        <v>5</v>
      </c>
      <c r="BA155" s="2">
        <f>'FLORIDA CENTER'!AZ37</f>
        <v>5</v>
      </c>
      <c r="BB155" s="2">
        <f>'FLORIDA CENTER'!BA37</f>
        <v>5</v>
      </c>
      <c r="BC155" s="2">
        <f>'FLORIDA CENTER'!BB37</f>
        <v>5</v>
      </c>
      <c r="BD155" s="2">
        <f>'FLORIDA CENTER'!BC37</f>
        <v>5</v>
      </c>
      <c r="BE155" s="2">
        <f>'FLORIDA CENTER'!BD37</f>
        <v>5</v>
      </c>
      <c r="BF155" s="2">
        <f>'FLORIDA CENTER'!BE37</f>
        <v>5</v>
      </c>
      <c r="BG155" s="2">
        <f>'FLORIDA CENTER'!BF37</f>
        <v>5</v>
      </c>
      <c r="BH155" s="2">
        <f>'FLORIDA CENTER'!BG37</f>
        <v>4</v>
      </c>
      <c r="BI155" s="2">
        <f>'FLORIDA CENTER'!BH37</f>
        <v>4</v>
      </c>
      <c r="BJ155" s="2">
        <f>'FLORIDA CENTER'!BI37</f>
        <v>4</v>
      </c>
      <c r="BK155" s="2">
        <f>'FLORIDA CENTER'!BJ37</f>
        <v>4</v>
      </c>
      <c r="BL155" s="2" t="str">
        <f>'FLORIDA CENTER'!BK37</f>
        <v/>
      </c>
      <c r="BM155" s="2" t="str">
        <f>'FLORIDA CENTER'!BL37</f>
        <v/>
      </c>
      <c r="BN155" s="2" t="str">
        <f>'FLORIDA CENTER'!BM37</f>
        <v/>
      </c>
      <c r="BO155" s="2" t="str">
        <f>'FLORIDA CENTER'!BN37</f>
        <v/>
      </c>
      <c r="BP155" s="2" t="str">
        <f>'FLORIDA CENTER'!BO37</f>
        <v/>
      </c>
      <c r="BQ155" s="2" t="str">
        <f>'FLORIDA CENTER'!BP37</f>
        <v/>
      </c>
      <c r="BR155" s="2" t="str">
        <f>'FLORIDA CENTER'!BQ37</f>
        <v/>
      </c>
      <c r="BS155" s="2" t="str">
        <f>'FLORIDA CENTER'!BR37</f>
        <v/>
      </c>
      <c r="BT155" s="2"/>
      <c r="BU155" s="2"/>
      <c r="BV155" s="2"/>
      <c r="BW155" s="2"/>
    </row>
    <row r="156">
      <c r="A156" s="2"/>
      <c r="B156" s="2" t="str">
        <f>'FLORIDA CENTER'!A38</f>
        <v>Florida Center</v>
      </c>
      <c r="C156" s="2" t="str">
        <f>'FLORIDA CENTER'!B38</f>
        <v>Aseo</v>
      </c>
      <c r="D156" s="2" t="str">
        <f>'FLORIDA CENTER'!C38</f>
        <v>Paños Multiuso Azul</v>
      </c>
      <c r="E156" s="2" t="str">
        <f>'FLORIDA CENTER'!D38</f>
        <v/>
      </c>
      <c r="F156" s="2" t="str">
        <f>'FLORIDA CENTER'!E38</f>
        <v/>
      </c>
      <c r="G156" s="2" t="str">
        <f>'FLORIDA CENTER'!F38</f>
        <v/>
      </c>
      <c r="H156" s="2" t="str">
        <f>'FLORIDA CENTER'!G38</f>
        <v/>
      </c>
      <c r="I156" s="2" t="str">
        <f>'FLORIDA CENTER'!H38</f>
        <v/>
      </c>
      <c r="J156" s="2" t="str">
        <f>'FLORIDA CENTER'!I38</f>
        <v/>
      </c>
      <c r="K156" s="2" t="str">
        <f>'FLORIDA CENTER'!J38</f>
        <v/>
      </c>
      <c r="L156" s="2" t="str">
        <f>'FLORIDA CENTER'!K38</f>
        <v/>
      </c>
      <c r="M156" s="2" t="str">
        <f>'FLORIDA CENTER'!L38</f>
        <v/>
      </c>
      <c r="N156" s="2" t="str">
        <f>'FLORIDA CENTER'!M38</f>
        <v/>
      </c>
      <c r="O156" s="2" t="str">
        <f>'FLORIDA CENTER'!N38</f>
        <v/>
      </c>
      <c r="P156" s="2" t="str">
        <f>'FLORIDA CENTER'!O38</f>
        <v/>
      </c>
      <c r="Q156" s="2" t="str">
        <f>'FLORIDA CENTER'!P38</f>
        <v/>
      </c>
      <c r="R156" s="2" t="str">
        <f>'FLORIDA CENTER'!Q38</f>
        <v/>
      </c>
      <c r="S156" s="2" t="str">
        <f>'FLORIDA CENTER'!R38</f>
        <v/>
      </c>
      <c r="T156" s="2" t="str">
        <f>'FLORIDA CENTER'!S38</f>
        <v/>
      </c>
      <c r="U156" s="2" t="str">
        <f>'FLORIDA CENTER'!T38</f>
        <v/>
      </c>
      <c r="V156" s="2" t="str">
        <f>'FLORIDA CENTER'!U38</f>
        <v/>
      </c>
      <c r="W156" s="2" t="str">
        <f>'FLORIDA CENTER'!V38</f>
        <v/>
      </c>
      <c r="X156" s="2" t="str">
        <f>'FLORIDA CENTER'!W38</f>
        <v/>
      </c>
      <c r="Y156" s="2" t="str">
        <f>'FLORIDA CENTER'!X38</f>
        <v/>
      </c>
      <c r="Z156" s="2" t="str">
        <f>'FLORIDA CENTER'!Y38</f>
        <v>-</v>
      </c>
      <c r="AA156" s="2" t="str">
        <f>'FLORIDA CENTER'!Z38</f>
        <v>-</v>
      </c>
      <c r="AB156" s="2" t="str">
        <f>'FLORIDA CENTER'!AA38</f>
        <v>-</v>
      </c>
      <c r="AC156" s="2" t="str">
        <f>'FLORIDA CENTER'!AB38</f>
        <v>-</v>
      </c>
      <c r="AD156" s="2" t="str">
        <f>'FLORIDA CENTER'!AC38</f>
        <v>-</v>
      </c>
      <c r="AE156" s="2" t="str">
        <f>'FLORIDA CENTER'!AD38</f>
        <v>-</v>
      </c>
      <c r="AF156" s="2" t="str">
        <f>'FLORIDA CENTER'!AE38</f>
        <v>-</v>
      </c>
      <c r="AG156" s="2" t="str">
        <f>'FLORIDA CENTER'!AF38</f>
        <v>-</v>
      </c>
      <c r="AH156" s="2" t="str">
        <f>'FLORIDA CENTER'!AG38</f>
        <v>-</v>
      </c>
      <c r="AI156" s="2">
        <f>'FLORIDA CENTER'!AH38</f>
        <v>4</v>
      </c>
      <c r="AJ156" s="2">
        <f>'FLORIDA CENTER'!AI38</f>
        <v>4</v>
      </c>
      <c r="AK156" s="2">
        <f>'FLORIDA CENTER'!AJ38</f>
        <v>4</v>
      </c>
      <c r="AL156" s="2">
        <f>'FLORIDA CENTER'!AK38</f>
        <v>4</v>
      </c>
      <c r="AM156" s="2">
        <f>'FLORIDA CENTER'!AL38</f>
        <v>4</v>
      </c>
      <c r="AN156" s="2">
        <f>'FLORIDA CENTER'!AM38</f>
        <v>4</v>
      </c>
      <c r="AO156" s="2">
        <f>'FLORIDA CENTER'!AN38</f>
        <v>4</v>
      </c>
      <c r="AP156" s="2">
        <f>'FLORIDA CENTER'!AO38</f>
        <v>3</v>
      </c>
      <c r="AQ156" s="2">
        <f>'FLORIDA CENTER'!AP38</f>
        <v>3</v>
      </c>
      <c r="AR156" s="2">
        <f>'FLORIDA CENTER'!AQ38</f>
        <v>4</v>
      </c>
      <c r="AS156" s="2">
        <f>'FLORIDA CENTER'!AR38</f>
        <v>4</v>
      </c>
      <c r="AT156" s="2">
        <f>'FLORIDA CENTER'!AS38</f>
        <v>4</v>
      </c>
      <c r="AU156" s="2">
        <f>'FLORIDA CENTER'!AT38</f>
        <v>4</v>
      </c>
      <c r="AV156" s="2">
        <f>'FLORIDA CENTER'!AU38</f>
        <v>4</v>
      </c>
      <c r="AW156" s="2">
        <f>'FLORIDA CENTER'!AV38</f>
        <v>4</v>
      </c>
      <c r="AX156" s="2">
        <f>'FLORIDA CENTER'!AW38</f>
        <v>4</v>
      </c>
      <c r="AY156" s="2">
        <f>'FLORIDA CENTER'!AX38</f>
        <v>4</v>
      </c>
      <c r="AZ156" s="2">
        <f>'FLORIDA CENTER'!AY38</f>
        <v>4</v>
      </c>
      <c r="BA156" s="2">
        <f>'FLORIDA CENTER'!AZ38</f>
        <v>4</v>
      </c>
      <c r="BB156" s="2">
        <f>'FLORIDA CENTER'!BA38</f>
        <v>4</v>
      </c>
      <c r="BC156" s="2">
        <f>'FLORIDA CENTER'!BB38</f>
        <v>4</v>
      </c>
      <c r="BD156" s="2">
        <f>'FLORIDA CENTER'!BC38</f>
        <v>4</v>
      </c>
      <c r="BE156" s="2">
        <f>'FLORIDA CENTER'!BD38</f>
        <v>4</v>
      </c>
      <c r="BF156" s="2">
        <f>'FLORIDA CENTER'!BE38</f>
        <v>4</v>
      </c>
      <c r="BG156" s="2">
        <f>'FLORIDA CENTER'!BF38</f>
        <v>4</v>
      </c>
      <c r="BH156" s="2">
        <f>'FLORIDA CENTER'!BG38</f>
        <v>4</v>
      </c>
      <c r="BI156" s="2">
        <f>'FLORIDA CENTER'!BH38</f>
        <v>4</v>
      </c>
      <c r="BJ156" s="2">
        <f>'FLORIDA CENTER'!BI38</f>
        <v>4</v>
      </c>
      <c r="BK156" s="2">
        <f>'FLORIDA CENTER'!BJ38</f>
        <v>4</v>
      </c>
      <c r="BL156" s="2" t="str">
        <f>'FLORIDA CENTER'!BK38</f>
        <v/>
      </c>
      <c r="BM156" s="2" t="str">
        <f>'FLORIDA CENTER'!BL38</f>
        <v/>
      </c>
      <c r="BN156" s="2" t="str">
        <f>'FLORIDA CENTER'!BM38</f>
        <v/>
      </c>
      <c r="BO156" s="2" t="str">
        <f>'FLORIDA CENTER'!BN38</f>
        <v/>
      </c>
      <c r="BP156" s="2" t="str">
        <f>'FLORIDA CENTER'!BO38</f>
        <v/>
      </c>
      <c r="BQ156" s="2" t="str">
        <f>'FLORIDA CENTER'!BP38</f>
        <v/>
      </c>
      <c r="BR156" s="2" t="str">
        <f>'FLORIDA CENTER'!BQ38</f>
        <v/>
      </c>
      <c r="BS156" s="2" t="str">
        <f>'FLORIDA CENTER'!BR38</f>
        <v/>
      </c>
      <c r="BT156" s="2"/>
      <c r="BU156" s="2"/>
      <c r="BV156" s="2"/>
      <c r="BW156" s="2"/>
    </row>
    <row r="157">
      <c r="A157" s="2"/>
      <c r="B157" s="2" t="str">
        <f>'FLORIDA CENTER'!A39</f>
        <v>Florida Center</v>
      </c>
      <c r="C157" s="2" t="str">
        <f>'FLORIDA CENTER'!B39</f>
        <v>Aseo</v>
      </c>
      <c r="D157" s="2" t="str">
        <f>'FLORIDA CENTER'!C39</f>
        <v>Paños Multiuso Verde</v>
      </c>
      <c r="E157" s="2" t="str">
        <f>'FLORIDA CENTER'!D39</f>
        <v/>
      </c>
      <c r="F157" s="2" t="str">
        <f>'FLORIDA CENTER'!E39</f>
        <v/>
      </c>
      <c r="G157" s="2" t="str">
        <f>'FLORIDA CENTER'!F39</f>
        <v/>
      </c>
      <c r="H157" s="2" t="str">
        <f>'FLORIDA CENTER'!G39</f>
        <v/>
      </c>
      <c r="I157" s="2" t="str">
        <f>'FLORIDA CENTER'!H39</f>
        <v/>
      </c>
      <c r="J157" s="2" t="str">
        <f>'FLORIDA CENTER'!I39</f>
        <v/>
      </c>
      <c r="K157" s="2" t="str">
        <f>'FLORIDA CENTER'!J39</f>
        <v/>
      </c>
      <c r="L157" s="2" t="str">
        <f>'FLORIDA CENTER'!K39</f>
        <v/>
      </c>
      <c r="M157" s="2" t="str">
        <f>'FLORIDA CENTER'!L39</f>
        <v/>
      </c>
      <c r="N157" s="2" t="str">
        <f>'FLORIDA CENTER'!M39</f>
        <v/>
      </c>
      <c r="O157" s="2" t="str">
        <f>'FLORIDA CENTER'!N39</f>
        <v/>
      </c>
      <c r="P157" s="2" t="str">
        <f>'FLORIDA CENTER'!O39</f>
        <v/>
      </c>
      <c r="Q157" s="2" t="str">
        <f>'FLORIDA CENTER'!P39</f>
        <v/>
      </c>
      <c r="R157" s="2" t="str">
        <f>'FLORIDA CENTER'!Q39</f>
        <v/>
      </c>
      <c r="S157" s="2" t="str">
        <f>'FLORIDA CENTER'!R39</f>
        <v/>
      </c>
      <c r="T157" s="2" t="str">
        <f>'FLORIDA CENTER'!S39</f>
        <v/>
      </c>
      <c r="U157" s="2" t="str">
        <f>'FLORIDA CENTER'!T39</f>
        <v/>
      </c>
      <c r="V157" s="2" t="str">
        <f>'FLORIDA CENTER'!U39</f>
        <v/>
      </c>
      <c r="W157" s="2" t="str">
        <f>'FLORIDA CENTER'!V39</f>
        <v/>
      </c>
      <c r="X157" s="2" t="str">
        <f>'FLORIDA CENTER'!W39</f>
        <v/>
      </c>
      <c r="Y157" s="2" t="str">
        <f>'FLORIDA CENTER'!X39</f>
        <v/>
      </c>
      <c r="Z157" s="2" t="str">
        <f>'FLORIDA CENTER'!Y39</f>
        <v>-</v>
      </c>
      <c r="AA157" s="2" t="str">
        <f>'FLORIDA CENTER'!Z39</f>
        <v>-</v>
      </c>
      <c r="AB157" s="2" t="str">
        <f>'FLORIDA CENTER'!AA39</f>
        <v>-</v>
      </c>
      <c r="AC157" s="2" t="str">
        <f>'FLORIDA CENTER'!AB39</f>
        <v>-</v>
      </c>
      <c r="AD157" s="2" t="str">
        <f>'FLORIDA CENTER'!AC39</f>
        <v>-</v>
      </c>
      <c r="AE157" s="2" t="str">
        <f>'FLORIDA CENTER'!AD39</f>
        <v>-</v>
      </c>
      <c r="AF157" s="2" t="str">
        <f>'FLORIDA CENTER'!AE39</f>
        <v>-</v>
      </c>
      <c r="AG157" s="2" t="str">
        <f>'FLORIDA CENTER'!AF39</f>
        <v>-</v>
      </c>
      <c r="AH157" s="2" t="str">
        <f>'FLORIDA CENTER'!AG39</f>
        <v>-</v>
      </c>
      <c r="AI157" s="2">
        <f>'FLORIDA CENTER'!AH39</f>
        <v>1</v>
      </c>
      <c r="AJ157" s="2">
        <f>'FLORIDA CENTER'!AI39</f>
        <v>1</v>
      </c>
      <c r="AK157" s="2">
        <f>'FLORIDA CENTER'!AJ39</f>
        <v>1</v>
      </c>
      <c r="AL157" s="2">
        <f>'FLORIDA CENTER'!AK39</f>
        <v>1</v>
      </c>
      <c r="AM157" s="2">
        <f>'FLORIDA CENTER'!AL39</f>
        <v>1</v>
      </c>
      <c r="AN157" s="2">
        <f>'FLORIDA CENTER'!AM39</f>
        <v>1</v>
      </c>
      <c r="AO157" s="2">
        <f>'FLORIDA CENTER'!AN39</f>
        <v>1</v>
      </c>
      <c r="AP157" s="2">
        <f>'FLORIDA CENTER'!AO39</f>
        <v>1</v>
      </c>
      <c r="AQ157" s="2">
        <f>'FLORIDA CENTER'!AP39</f>
        <v>1</v>
      </c>
      <c r="AR157" s="2">
        <f>'FLORIDA CENTER'!AQ39</f>
        <v>1</v>
      </c>
      <c r="AS157" s="2">
        <f>'FLORIDA CENTER'!AR39</f>
        <v>1</v>
      </c>
      <c r="AT157" s="2">
        <f>'FLORIDA CENTER'!AS39</f>
        <v>1</v>
      </c>
      <c r="AU157" s="2">
        <f>'FLORIDA CENTER'!AT39</f>
        <v>1</v>
      </c>
      <c r="AV157" s="2">
        <f>'FLORIDA CENTER'!AU39</f>
        <v>1</v>
      </c>
      <c r="AW157" s="2">
        <f>'FLORIDA CENTER'!AV39</f>
        <v>1</v>
      </c>
      <c r="AX157" s="2">
        <f>'FLORIDA CENTER'!AW39</f>
        <v>0</v>
      </c>
      <c r="AY157" s="2">
        <f>'FLORIDA CENTER'!AX39</f>
        <v>0</v>
      </c>
      <c r="AZ157" s="2">
        <f>'FLORIDA CENTER'!AY39</f>
        <v>0</v>
      </c>
      <c r="BA157" s="2">
        <f>'FLORIDA CENTER'!AZ39</f>
        <v>2</v>
      </c>
      <c r="BB157" s="2">
        <f>'FLORIDA CENTER'!BA39</f>
        <v>2</v>
      </c>
      <c r="BC157" s="2">
        <f>'FLORIDA CENTER'!BB39</f>
        <v>2</v>
      </c>
      <c r="BD157" s="2">
        <f>'FLORIDA CENTER'!BC39</f>
        <v>2</v>
      </c>
      <c r="BE157" s="2">
        <f>'FLORIDA CENTER'!BD39</f>
        <v>2</v>
      </c>
      <c r="BF157" s="2">
        <f>'FLORIDA CENTER'!BE39</f>
        <v>2</v>
      </c>
      <c r="BG157" s="2">
        <f>'FLORIDA CENTER'!BF39</f>
        <v>2</v>
      </c>
      <c r="BH157" s="2">
        <f>'FLORIDA CENTER'!BG39</f>
        <v>2</v>
      </c>
      <c r="BI157" s="2">
        <f>'FLORIDA CENTER'!BH39</f>
        <v>2</v>
      </c>
      <c r="BJ157" s="2">
        <f>'FLORIDA CENTER'!BI39</f>
        <v>2</v>
      </c>
      <c r="BK157" s="2">
        <f>'FLORIDA CENTER'!BJ39</f>
        <v>2</v>
      </c>
      <c r="BL157" s="2" t="str">
        <f>'FLORIDA CENTER'!BK39</f>
        <v/>
      </c>
      <c r="BM157" s="2" t="str">
        <f>'FLORIDA CENTER'!BL39</f>
        <v/>
      </c>
      <c r="BN157" s="2" t="str">
        <f>'FLORIDA CENTER'!BM39</f>
        <v/>
      </c>
      <c r="BO157" s="2" t="str">
        <f>'FLORIDA CENTER'!BN39</f>
        <v/>
      </c>
      <c r="BP157" s="2" t="str">
        <f>'FLORIDA CENTER'!BO39</f>
        <v/>
      </c>
      <c r="BQ157" s="2" t="str">
        <f>'FLORIDA CENTER'!BP39</f>
        <v/>
      </c>
      <c r="BR157" s="2" t="str">
        <f>'FLORIDA CENTER'!BQ39</f>
        <v/>
      </c>
      <c r="BS157" s="2" t="str">
        <f>'FLORIDA CENTER'!BR39</f>
        <v/>
      </c>
      <c r="BT157" s="2"/>
      <c r="BU157" s="2"/>
      <c r="BV157" s="2"/>
      <c r="BW157" s="2"/>
    </row>
    <row r="158">
      <c r="A158" s="2"/>
      <c r="B158" s="2" t="str">
        <f>'FLORIDA CENTER'!A40</f>
        <v>Florida Center</v>
      </c>
      <c r="C158" s="2" t="str">
        <f>'FLORIDA CENTER'!B40</f>
        <v>Aseo</v>
      </c>
      <c r="D158" s="2" t="str">
        <f>'FLORIDA CENTER'!C40</f>
        <v>Paños Multiuso Amarillo</v>
      </c>
      <c r="E158" s="2" t="str">
        <f>'FLORIDA CENTER'!D40</f>
        <v/>
      </c>
      <c r="F158" s="2" t="str">
        <f>'FLORIDA CENTER'!E40</f>
        <v/>
      </c>
      <c r="G158" s="2" t="str">
        <f>'FLORIDA CENTER'!F40</f>
        <v/>
      </c>
      <c r="H158" s="2" t="str">
        <f>'FLORIDA CENTER'!G40</f>
        <v/>
      </c>
      <c r="I158" s="2" t="str">
        <f>'FLORIDA CENTER'!H40</f>
        <v/>
      </c>
      <c r="J158" s="2" t="str">
        <f>'FLORIDA CENTER'!I40</f>
        <v/>
      </c>
      <c r="K158" s="2" t="str">
        <f>'FLORIDA CENTER'!J40</f>
        <v/>
      </c>
      <c r="L158" s="2" t="str">
        <f>'FLORIDA CENTER'!K40</f>
        <v/>
      </c>
      <c r="M158" s="2" t="str">
        <f>'FLORIDA CENTER'!L40</f>
        <v/>
      </c>
      <c r="N158" s="2" t="str">
        <f>'FLORIDA CENTER'!M40</f>
        <v/>
      </c>
      <c r="O158" s="2" t="str">
        <f>'FLORIDA CENTER'!N40</f>
        <v/>
      </c>
      <c r="P158" s="2" t="str">
        <f>'FLORIDA CENTER'!O40</f>
        <v/>
      </c>
      <c r="Q158" s="2" t="str">
        <f>'FLORIDA CENTER'!P40</f>
        <v/>
      </c>
      <c r="R158" s="2" t="str">
        <f>'FLORIDA CENTER'!Q40</f>
        <v/>
      </c>
      <c r="S158" s="2" t="str">
        <f>'FLORIDA CENTER'!R40</f>
        <v/>
      </c>
      <c r="T158" s="2" t="str">
        <f>'FLORIDA CENTER'!S40</f>
        <v/>
      </c>
      <c r="U158" s="2" t="str">
        <f>'FLORIDA CENTER'!T40</f>
        <v/>
      </c>
      <c r="V158" s="2" t="str">
        <f>'FLORIDA CENTER'!U40</f>
        <v/>
      </c>
      <c r="W158" s="2" t="str">
        <f>'FLORIDA CENTER'!V40</f>
        <v/>
      </c>
      <c r="X158" s="2" t="str">
        <f>'FLORIDA CENTER'!W40</f>
        <v/>
      </c>
      <c r="Y158" s="2" t="str">
        <f>'FLORIDA CENTER'!X40</f>
        <v/>
      </c>
      <c r="Z158" s="2" t="str">
        <f>'FLORIDA CENTER'!Y40</f>
        <v>-</v>
      </c>
      <c r="AA158" s="2" t="str">
        <f>'FLORIDA CENTER'!Z40</f>
        <v>-</v>
      </c>
      <c r="AB158" s="2" t="str">
        <f>'FLORIDA CENTER'!AA40</f>
        <v>-</v>
      </c>
      <c r="AC158" s="2" t="str">
        <f>'FLORIDA CENTER'!AB40</f>
        <v>-</v>
      </c>
      <c r="AD158" s="2" t="str">
        <f>'FLORIDA CENTER'!AC40</f>
        <v>-</v>
      </c>
      <c r="AE158" s="2" t="str">
        <f>'FLORIDA CENTER'!AD40</f>
        <v>-</v>
      </c>
      <c r="AF158" s="2" t="str">
        <f>'FLORIDA CENTER'!AE40</f>
        <v>-</v>
      </c>
      <c r="AG158" s="2" t="str">
        <f>'FLORIDA CENTER'!AF40</f>
        <v>-</v>
      </c>
      <c r="AH158" s="2" t="str">
        <f>'FLORIDA CENTER'!AG40</f>
        <v>-</v>
      </c>
      <c r="AI158" s="2">
        <f>'FLORIDA CENTER'!AH40</f>
        <v>3</v>
      </c>
      <c r="AJ158" s="2">
        <f>'FLORIDA CENTER'!AI40</f>
        <v>3</v>
      </c>
      <c r="AK158" s="2">
        <f>'FLORIDA CENTER'!AJ40</f>
        <v>3</v>
      </c>
      <c r="AL158" s="2">
        <f>'FLORIDA CENTER'!AK40</f>
        <v>3</v>
      </c>
      <c r="AM158" s="2">
        <f>'FLORIDA CENTER'!AL40</f>
        <v>3</v>
      </c>
      <c r="AN158" s="2">
        <f>'FLORIDA CENTER'!AM40</f>
        <v>3</v>
      </c>
      <c r="AO158" s="2">
        <f>'FLORIDA CENTER'!AN40</f>
        <v>2</v>
      </c>
      <c r="AP158" s="2">
        <f>'FLORIDA CENTER'!AO40</f>
        <v>2</v>
      </c>
      <c r="AQ158" s="2">
        <f>'FLORIDA CENTER'!AP40</f>
        <v>2</v>
      </c>
      <c r="AR158" s="2">
        <f>'FLORIDA CENTER'!AQ40</f>
        <v>3</v>
      </c>
      <c r="AS158" s="2">
        <f>'FLORIDA CENTER'!AR40</f>
        <v>3</v>
      </c>
      <c r="AT158" s="2">
        <f>'FLORIDA CENTER'!AS40</f>
        <v>3</v>
      </c>
      <c r="AU158" s="2">
        <f>'FLORIDA CENTER'!AT40</f>
        <v>3</v>
      </c>
      <c r="AV158" s="2">
        <f>'FLORIDA CENTER'!AU40</f>
        <v>3</v>
      </c>
      <c r="AW158" s="2">
        <f>'FLORIDA CENTER'!AV40</f>
        <v>3</v>
      </c>
      <c r="AX158" s="2">
        <f>'FLORIDA CENTER'!AW40</f>
        <v>3</v>
      </c>
      <c r="AY158" s="2">
        <f>'FLORIDA CENTER'!AX40</f>
        <v>3</v>
      </c>
      <c r="AZ158" s="2">
        <f>'FLORIDA CENTER'!AY40</f>
        <v>3</v>
      </c>
      <c r="BA158" s="2">
        <f>'FLORIDA CENTER'!AZ40</f>
        <v>3</v>
      </c>
      <c r="BB158" s="2">
        <f>'FLORIDA CENTER'!BA40</f>
        <v>3</v>
      </c>
      <c r="BC158" s="2">
        <f>'FLORIDA CENTER'!BB40</f>
        <v>3</v>
      </c>
      <c r="BD158" s="2">
        <f>'FLORIDA CENTER'!BC40</f>
        <v>3</v>
      </c>
      <c r="BE158" s="2">
        <f>'FLORIDA CENTER'!BD40</f>
        <v>3</v>
      </c>
      <c r="BF158" s="2">
        <f>'FLORIDA CENTER'!BE40</f>
        <v>3</v>
      </c>
      <c r="BG158" s="2">
        <f>'FLORIDA CENTER'!BF40</f>
        <v>3</v>
      </c>
      <c r="BH158" s="2">
        <f>'FLORIDA CENTER'!BG40</f>
        <v>3</v>
      </c>
      <c r="BI158" s="2">
        <f>'FLORIDA CENTER'!BH40</f>
        <v>3</v>
      </c>
      <c r="BJ158" s="2">
        <f>'FLORIDA CENTER'!BI40</f>
        <v>3</v>
      </c>
      <c r="BK158" s="2">
        <f>'FLORIDA CENTER'!BJ40</f>
        <v>3</v>
      </c>
      <c r="BL158" s="2" t="str">
        <f>'FLORIDA CENTER'!BK40</f>
        <v/>
      </c>
      <c r="BM158" s="2" t="str">
        <f>'FLORIDA CENTER'!BL40</f>
        <v/>
      </c>
      <c r="BN158" s="2" t="str">
        <f>'FLORIDA CENTER'!BM40</f>
        <v/>
      </c>
      <c r="BO158" s="2" t="str">
        <f>'FLORIDA CENTER'!BN40</f>
        <v/>
      </c>
      <c r="BP158" s="2" t="str">
        <f>'FLORIDA CENTER'!BO40</f>
        <v/>
      </c>
      <c r="BQ158" s="2" t="str">
        <f>'FLORIDA CENTER'!BP40</f>
        <v/>
      </c>
      <c r="BR158" s="2" t="str">
        <f>'FLORIDA CENTER'!BQ40</f>
        <v/>
      </c>
      <c r="BS158" s="2" t="str">
        <f>'FLORIDA CENTER'!BR40</f>
        <v/>
      </c>
      <c r="BT158" s="2"/>
      <c r="BU158" s="2"/>
      <c r="BV158" s="2"/>
      <c r="BW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</row>
    <row r="160">
      <c r="A160" s="2"/>
      <c r="B160" s="2" t="str">
        <f>'MANUEL MONTT 2 &amp; 5'!A2</f>
        <v/>
      </c>
      <c r="C160" s="2" t="str">
        <f>'MANUEL MONTT 2 &amp; 5'!B2</f>
        <v/>
      </c>
      <c r="D160" s="22" t="str">
        <f>'MANUEL MONTT 2 &amp; 5'!C2</f>
        <v/>
      </c>
      <c r="E160" s="22">
        <f>'MANUEL MONTT 2 &amp; 5'!D2</f>
        <v>45811</v>
      </c>
      <c r="F160" s="22">
        <f>'MANUEL MONTT 2 &amp; 5'!E2</f>
        <v>45817</v>
      </c>
      <c r="G160" s="22">
        <f>'MANUEL MONTT 2 &amp; 5'!F2</f>
        <v>45824</v>
      </c>
      <c r="H160" s="22">
        <f>'MANUEL MONTT 2 &amp; 5'!G2</f>
        <v>45831</v>
      </c>
      <c r="I160" s="22">
        <f>'MANUEL MONTT 2 &amp; 5'!H2</f>
        <v>45838</v>
      </c>
      <c r="J160" s="22">
        <f>'MANUEL MONTT 2 &amp; 5'!I2</f>
        <v>45845</v>
      </c>
      <c r="K160" s="22">
        <f>'MANUEL MONTT 2 &amp; 5'!J2</f>
        <v>45852</v>
      </c>
      <c r="L160" s="22">
        <f>'MANUEL MONTT 2 &amp; 5'!K2</f>
        <v>45859</v>
      </c>
      <c r="M160" s="22">
        <f>'MANUEL MONTT 2 &amp; 5'!L2</f>
        <v>45866</v>
      </c>
      <c r="N160" s="22">
        <f>'MANUEL MONTT 2 &amp; 5'!M2</f>
        <v>45873</v>
      </c>
      <c r="O160" s="22">
        <f>'MANUEL MONTT 2 &amp; 5'!N2</f>
        <v>45880</v>
      </c>
      <c r="P160" s="22">
        <f>'MANUEL MONTT 2 &amp; 5'!O2</f>
        <v>45887</v>
      </c>
      <c r="Q160" s="22">
        <f>'MANUEL MONTT 2 &amp; 5'!P2</f>
        <v>45894</v>
      </c>
      <c r="R160" s="22">
        <f>'MANUEL MONTT 2 &amp; 5'!Q2</f>
        <v>45901</v>
      </c>
      <c r="S160" s="22">
        <f>'MANUEL MONTT 2 &amp; 5'!R2</f>
        <v>45908</v>
      </c>
      <c r="T160" s="22">
        <f>'MANUEL MONTT 2 &amp; 5'!S2</f>
        <v>45915</v>
      </c>
      <c r="U160" s="22">
        <f>'MANUEL MONTT 2 &amp; 5'!T2</f>
        <v>45922</v>
      </c>
      <c r="V160" s="22">
        <f>'MANUEL MONTT 2 &amp; 5'!U2</f>
        <v>45929</v>
      </c>
      <c r="W160" s="22">
        <f>'MANUEL MONTT 2 &amp; 5'!V2</f>
        <v>45936</v>
      </c>
      <c r="X160" s="22">
        <f>'MANUEL MONTT 2 &amp; 5'!W2</f>
        <v>45943</v>
      </c>
      <c r="Y160" s="22">
        <f>'MANUEL MONTT 2 &amp; 5'!X2</f>
        <v>45950</v>
      </c>
      <c r="Z160" s="22">
        <f>'MANUEL MONTT 2 &amp; 5'!Y2</f>
        <v>45957</v>
      </c>
      <c r="AA160" s="22">
        <f>'MANUEL MONTT 2 &amp; 5'!Z2</f>
        <v>45964</v>
      </c>
      <c r="AB160" s="22">
        <f>'MANUEL MONTT 2 &amp; 5'!AA2</f>
        <v>45967</v>
      </c>
      <c r="AC160" s="22">
        <f>'MANUEL MONTT 2 &amp; 5'!AB2</f>
        <v>45971</v>
      </c>
      <c r="AD160" s="22">
        <f>'MANUEL MONTT 2 &amp; 5'!AC2</f>
        <v>45978</v>
      </c>
      <c r="AE160" s="22">
        <f>'MANUEL MONTT 2 &amp; 5'!AD2</f>
        <v>45979</v>
      </c>
      <c r="AF160" s="22">
        <f>'MANUEL MONTT 2 &amp; 5'!AE2</f>
        <v>45981</v>
      </c>
      <c r="AG160" s="22">
        <f>'MANUEL MONTT 2 &amp; 5'!AF2</f>
        <v>45985</v>
      </c>
      <c r="AH160" s="22">
        <f>'MANUEL MONTT 2 &amp; 5'!AG2</f>
        <v>45988</v>
      </c>
      <c r="AI160" s="22">
        <f>'MANUEL MONTT 2 &amp; 5'!AH2</f>
        <v>45988</v>
      </c>
      <c r="AJ160" s="22">
        <f>'MANUEL MONTT 2 &amp; 5'!AI2</f>
        <v>45992</v>
      </c>
      <c r="AK160" s="22">
        <f>'MANUEL MONTT 2 &amp; 5'!AJ2</f>
        <v>45995</v>
      </c>
      <c r="AL160" s="22">
        <f>'MANUEL MONTT 2 &amp; 5'!AK2</f>
        <v>46000</v>
      </c>
      <c r="AM160" s="22">
        <f>'MANUEL MONTT 2 &amp; 5'!AL2</f>
        <v>46002</v>
      </c>
      <c r="AN160" s="22">
        <f>'MANUEL MONTT 2 &amp; 5'!AM2</f>
        <v>46006</v>
      </c>
      <c r="AO160" s="22">
        <f>'MANUEL MONTT 2 &amp; 5'!AN2</f>
        <v>46009</v>
      </c>
      <c r="AP160" s="22">
        <f>'MANUEL MONTT 2 &amp; 5'!AO2</f>
        <v>46013</v>
      </c>
      <c r="AQ160" s="22">
        <f>'MANUEL MONTT 2 &amp; 5'!AP2</f>
        <v>46020</v>
      </c>
      <c r="AR160" s="22">
        <f>'MANUEL MONTT 2 &amp; 5'!AQ2</f>
        <v>46027</v>
      </c>
      <c r="AS160" s="22">
        <f>'MANUEL MONTT 2 &amp; 5'!AR2</f>
        <v>46030</v>
      </c>
      <c r="AT160" s="22">
        <f>'MANUEL MONTT 2 &amp; 5'!AS2</f>
        <v>46034</v>
      </c>
      <c r="AU160" s="22">
        <f>'MANUEL MONTT 2 &amp; 5'!AT2</f>
        <v>46037</v>
      </c>
      <c r="AV160" s="22">
        <f>'MANUEL MONTT 2 &amp; 5'!AU2</f>
        <v>46041</v>
      </c>
      <c r="AW160" s="22">
        <f>'MANUEL MONTT 2 &amp; 5'!AV2</f>
        <v>46044</v>
      </c>
      <c r="AX160" s="22">
        <f>'MANUEL MONTT 2 &amp; 5'!AW2</f>
        <v>46048</v>
      </c>
      <c r="AY160" s="22" t="str">
        <f>'MANUEL MONTT 2 &amp; 5'!AX2</f>
        <v/>
      </c>
      <c r="AZ160" s="22" t="str">
        <f>'MANUEL MONTT 2 &amp; 5'!AY2</f>
        <v/>
      </c>
      <c r="BA160" s="22" t="str">
        <f>'MANUEL MONTT 2 &amp; 5'!AZ2</f>
        <v/>
      </c>
      <c r="BB160" s="22" t="str">
        <f>'MANUEL MONTT 2 &amp; 5'!BA2</f>
        <v/>
      </c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</row>
    <row r="161">
      <c r="A161" s="2"/>
      <c r="B161" s="2" t="str">
        <f>'MANUEL MONTT 2 &amp; 5'!A3</f>
        <v>Sede</v>
      </c>
      <c r="C161" s="2" t="str">
        <f>'MANUEL MONTT 2 &amp; 5'!B3</f>
        <v>Proveedor</v>
      </c>
      <c r="D161" s="2" t="str">
        <f>'MANUEL MONTT 2 &amp; 5'!C3</f>
        <v>Producto</v>
      </c>
      <c r="E161" s="2" t="str">
        <f>'MANUEL MONTT 2 &amp; 5'!D3</f>
        <v>Stock Actual</v>
      </c>
      <c r="F161" s="2" t="str">
        <f>'MANUEL MONTT 2 &amp; 5'!E3</f>
        <v>Stock Actual</v>
      </c>
      <c r="G161" s="2" t="str">
        <f>'MANUEL MONTT 2 &amp; 5'!F3</f>
        <v>Stock Actual</v>
      </c>
      <c r="H161" s="2" t="str">
        <f>'MANUEL MONTT 2 &amp; 5'!G3</f>
        <v>Stock Actual</v>
      </c>
      <c r="I161" s="2" t="str">
        <f>'MANUEL MONTT 2 &amp; 5'!H3</f>
        <v>Stock Actual</v>
      </c>
      <c r="J161" s="2" t="str">
        <f>'MANUEL MONTT 2 &amp; 5'!I3</f>
        <v>Stock Actual</v>
      </c>
      <c r="K161" s="2" t="str">
        <f>'MANUEL MONTT 2 &amp; 5'!J3</f>
        <v>Stock Actual</v>
      </c>
      <c r="L161" s="2" t="str">
        <f>'MANUEL MONTT 2 &amp; 5'!K3</f>
        <v>Stock Actual</v>
      </c>
      <c r="M161" s="2" t="str">
        <f>'MANUEL MONTT 2 &amp; 5'!L3</f>
        <v>Stock Actual</v>
      </c>
      <c r="N161" s="2" t="str">
        <f>'MANUEL MONTT 2 &amp; 5'!M3</f>
        <v>Stock Actual</v>
      </c>
      <c r="O161" s="2" t="str">
        <f>'MANUEL MONTT 2 &amp; 5'!N3</f>
        <v>Stock Actual</v>
      </c>
      <c r="P161" s="2" t="str">
        <f>'MANUEL MONTT 2 &amp; 5'!O3</f>
        <v>Stock Actual</v>
      </c>
      <c r="Q161" s="2" t="str">
        <f>'MANUEL MONTT 2 &amp; 5'!P3</f>
        <v>Stock Actual</v>
      </c>
      <c r="R161" s="2" t="str">
        <f>'MANUEL MONTT 2 &amp; 5'!Q3</f>
        <v>Stock Actual</v>
      </c>
      <c r="S161" s="2" t="str">
        <f>'MANUEL MONTT 2 &amp; 5'!R3</f>
        <v>Stock Actual</v>
      </c>
      <c r="T161" s="2" t="str">
        <f>'MANUEL MONTT 2 &amp; 5'!S3</f>
        <v>Stock Actual</v>
      </c>
      <c r="U161" s="2" t="str">
        <f>'MANUEL MONTT 2 &amp; 5'!T3</f>
        <v>Stock Actual</v>
      </c>
      <c r="V161" s="2" t="str">
        <f>'MANUEL MONTT 2 &amp; 5'!U3</f>
        <v>Stock Actual</v>
      </c>
      <c r="W161" s="2" t="str">
        <f>'MANUEL MONTT 2 &amp; 5'!V3</f>
        <v>Stock Actual</v>
      </c>
      <c r="X161" s="2" t="str">
        <f>'MANUEL MONTT 2 &amp; 5'!W3</f>
        <v>Stock Actual</v>
      </c>
      <c r="Y161" s="2" t="str">
        <f>'MANUEL MONTT 2 &amp; 5'!X3</f>
        <v>Stock Actual</v>
      </c>
      <c r="Z161" s="2" t="str">
        <f>'MANUEL MONTT 2 &amp; 5'!Y3</f>
        <v>Stock Actual</v>
      </c>
      <c r="AA161" s="2" t="str">
        <f>'MANUEL MONTT 2 &amp; 5'!Z3</f>
        <v>Stock Actual</v>
      </c>
      <c r="AB161" s="2" t="str">
        <f>'MANUEL MONTT 2 &amp; 5'!AA3</f>
        <v>Stock Actual</v>
      </c>
      <c r="AC161" s="2" t="str">
        <f>'MANUEL MONTT 2 &amp; 5'!AB3</f>
        <v>Stock Actual</v>
      </c>
      <c r="AD161" s="2" t="str">
        <f>'MANUEL MONTT 2 &amp; 5'!AC3</f>
        <v>Stock Actual</v>
      </c>
      <c r="AE161" s="2" t="str">
        <f>'MANUEL MONTT 2 &amp; 5'!AD3</f>
        <v>Stock Actual</v>
      </c>
      <c r="AF161" s="2" t="str">
        <f>'MANUEL MONTT 2 &amp; 5'!AE3</f>
        <v>Stock Actual</v>
      </c>
      <c r="AG161" s="2" t="str">
        <f>'MANUEL MONTT 2 &amp; 5'!AF3</f>
        <v>Stock Actual</v>
      </c>
      <c r="AH161" s="2" t="str">
        <f>'MANUEL MONTT 2 &amp; 5'!AG3</f>
        <v>Stock Actual</v>
      </c>
      <c r="AI161" s="2" t="str">
        <f>'MANUEL MONTT 2 &amp; 5'!AH3</f>
        <v>Stock Actual</v>
      </c>
      <c r="AJ161" s="2" t="str">
        <f>'MANUEL MONTT 2 &amp; 5'!AI3</f>
        <v>Stock Actual</v>
      </c>
      <c r="AK161" s="2" t="str">
        <f>'MANUEL MONTT 2 &amp; 5'!AJ3</f>
        <v>Stock Actual</v>
      </c>
      <c r="AL161" s="2" t="str">
        <f>'MANUEL MONTT 2 &amp; 5'!AK3</f>
        <v>Stock Actual</v>
      </c>
      <c r="AM161" s="2" t="str">
        <f>'MANUEL MONTT 2 &amp; 5'!AL3</f>
        <v>Stock Actual</v>
      </c>
      <c r="AN161" s="2" t="str">
        <f>'MANUEL MONTT 2 &amp; 5'!AM3</f>
        <v>Stock Actual</v>
      </c>
      <c r="AO161" s="2" t="str">
        <f>'MANUEL MONTT 2 &amp; 5'!AN3</f>
        <v>Stock Actual</v>
      </c>
      <c r="AP161" s="2" t="str">
        <f>'MANUEL MONTT 2 &amp; 5'!AO3</f>
        <v>Stock Actual</v>
      </c>
      <c r="AQ161" s="2" t="str">
        <f>'MANUEL MONTT 2 &amp; 5'!AP3</f>
        <v>Stock Actual</v>
      </c>
      <c r="AR161" s="2" t="str">
        <f>'MANUEL MONTT 2 &amp; 5'!AQ3</f>
        <v>Stock Actual</v>
      </c>
      <c r="AS161" s="2" t="str">
        <f>'MANUEL MONTT 2 &amp; 5'!AR3</f>
        <v>Stock Actual</v>
      </c>
      <c r="AT161" s="2" t="str">
        <f>'MANUEL MONTT 2 &amp; 5'!AS3</f>
        <v>Stock Actual</v>
      </c>
      <c r="AU161" s="2" t="str">
        <f>'MANUEL MONTT 2 &amp; 5'!AT3</f>
        <v>Stock Actual</v>
      </c>
      <c r="AV161" s="2" t="str">
        <f>'MANUEL MONTT 2 &amp; 5'!AU3</f>
        <v>Stock Actual</v>
      </c>
      <c r="AW161" s="2" t="str">
        <f>'MANUEL MONTT 2 &amp; 5'!AV3</f>
        <v>Stock Actual</v>
      </c>
      <c r="AX161" s="2" t="str">
        <f>'MANUEL MONTT 2 &amp; 5'!AW3</f>
        <v>Stock Actual</v>
      </c>
      <c r="AY161" s="2" t="str">
        <f>'MANUEL MONTT 2 &amp; 5'!AX3</f>
        <v/>
      </c>
      <c r="AZ161" s="2" t="str">
        <f>'MANUEL MONTT 2 &amp; 5'!AY3</f>
        <v/>
      </c>
      <c r="BA161" s="2" t="str">
        <f>'MANUEL MONTT 2 &amp; 5'!AZ3</f>
        <v/>
      </c>
      <c r="BB161" s="2" t="str">
        <f>'MANUEL MONTT 2 &amp; 5'!BA3</f>
        <v/>
      </c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</row>
    <row r="162">
      <c r="A162" s="2" t="str">
        <f t="shared" ref="A162:A185" si="184">D162&amp;B162</f>
        <v>Cafe Grano (KG)Manuel Montt piso 2</v>
      </c>
      <c r="B162" s="2" t="str">
        <f>'MANUEL MONTT 2 &amp; 5'!A4</f>
        <v>Manuel Montt piso 2</v>
      </c>
      <c r="C162" s="2" t="str">
        <f>'MANUEL MONTT 2 &amp; 5'!B4</f>
        <v>Cafeteria</v>
      </c>
      <c r="D162" s="2" t="str">
        <f>'MANUEL MONTT 2 &amp; 5'!C4</f>
        <v>Cafe Grano (KG)</v>
      </c>
      <c r="E162" s="2">
        <f>'MANUEL MONTT 2 &amp; 5'!D4</f>
        <v>0</v>
      </c>
      <c r="F162" s="2">
        <f>'MANUEL MONTT 2 &amp; 5'!E4</f>
        <v>0</v>
      </c>
      <c r="G162" s="2" t="str">
        <f>'MANUEL MONTT 2 &amp; 5'!F4</f>
        <v>3 Kg</v>
      </c>
      <c r="H162" s="2" t="str">
        <f>'MANUEL MONTT 2 &amp; 5'!G4</f>
        <v>500 grs</v>
      </c>
      <c r="I162" s="2">
        <f>'MANUEL MONTT 2 &amp; 5'!H4</f>
        <v>0</v>
      </c>
      <c r="J162" s="2">
        <f>'MANUEL MONTT 2 &amp; 5'!I4</f>
        <v>0</v>
      </c>
      <c r="K162" s="2">
        <f>'MANUEL MONTT 2 &amp; 5'!J4</f>
        <v>4</v>
      </c>
      <c r="L162" s="2" t="str">
        <f>'MANUEL MONTT 2 &amp; 5'!K4</f>
        <v>500 grs</v>
      </c>
      <c r="M162" s="2">
        <f>'MANUEL MONTT 2 &amp; 5'!L4</f>
        <v>4</v>
      </c>
      <c r="N162" s="2" t="str">
        <f>'MANUEL MONTT 2 &amp; 5'!M4</f>
        <v>2 KG</v>
      </c>
      <c r="O162" s="2">
        <f>'MANUEL MONTT 2 &amp; 5'!N4</f>
        <v>1</v>
      </c>
      <c r="P162" s="2">
        <f>'MANUEL MONTT 2 &amp; 5'!O4</f>
        <v>4</v>
      </c>
      <c r="Q162" s="2">
        <f>'MANUEL MONTT 2 &amp; 5'!P4</f>
        <v>2</v>
      </c>
      <c r="R162" s="2">
        <f>'MANUEL MONTT 2 &amp; 5'!Q4</f>
        <v>5</v>
      </c>
      <c r="S162" s="2">
        <f>'MANUEL MONTT 2 &amp; 5'!R4</f>
        <v>2</v>
      </c>
      <c r="T162" s="2">
        <f>'MANUEL MONTT 2 &amp; 5'!S4</f>
        <v>0</v>
      </c>
      <c r="U162" s="2">
        <f>'MANUEL MONTT 2 &amp; 5'!T4</f>
        <v>0</v>
      </c>
      <c r="V162" s="2">
        <f>'MANUEL MONTT 2 &amp; 5'!U4</f>
        <v>4</v>
      </c>
      <c r="W162" s="2">
        <f>'MANUEL MONTT 2 &amp; 5'!V4</f>
        <v>1</v>
      </c>
      <c r="X162" s="2">
        <f>'MANUEL MONTT 2 &amp; 5'!W4</f>
        <v>4</v>
      </c>
      <c r="Y162" s="2">
        <f>'MANUEL MONTT 2 &amp; 5'!X4</f>
        <v>1.5</v>
      </c>
      <c r="Z162" s="2">
        <f>'MANUEL MONTT 2 &amp; 5'!Y4</f>
        <v>1</v>
      </c>
      <c r="AA162" s="2">
        <f>'MANUEL MONTT 2 &amp; 5'!Z4</f>
        <v>0</v>
      </c>
      <c r="AB162" s="2">
        <f>'MANUEL MONTT 2 &amp; 5'!AA4</f>
        <v>0</v>
      </c>
      <c r="AC162" s="2">
        <f>'MANUEL MONTT 2 &amp; 5'!AB4</f>
        <v>0</v>
      </c>
      <c r="AD162" s="2">
        <f>'MANUEL MONTT 2 &amp; 5'!AC4</f>
        <v>1</v>
      </c>
      <c r="AE162" s="2">
        <f>'MANUEL MONTT 2 &amp; 5'!AD4</f>
        <v>5</v>
      </c>
      <c r="AF162" s="2">
        <f>'MANUEL MONTT 2 &amp; 5'!AE4</f>
        <v>4</v>
      </c>
      <c r="AG162" s="2">
        <f>'MANUEL MONTT 2 &amp; 5'!AF4</f>
        <v>4</v>
      </c>
      <c r="AH162" s="2">
        <f>'MANUEL MONTT 2 &amp; 5'!AG4</f>
        <v>1</v>
      </c>
      <c r="AI162" s="2">
        <f>'MANUEL MONTT 2 &amp; 5'!AH4</f>
        <v>1</v>
      </c>
      <c r="AJ162" s="2">
        <f>'MANUEL MONTT 2 &amp; 5'!AI4</f>
        <v>0</v>
      </c>
      <c r="AK162" s="2">
        <f>'MANUEL MONTT 2 &amp; 5'!AJ4</f>
        <v>4</v>
      </c>
      <c r="AL162" s="2">
        <f>'MANUEL MONTT 2 &amp; 5'!AK4</f>
        <v>3</v>
      </c>
      <c r="AM162" s="2" t="str">
        <f>'MANUEL MONTT 2 &amp; 5'!AL4</f>
        <v>1 1/2</v>
      </c>
      <c r="AN162" s="24">
        <f>'MANUEL MONTT 2 &amp; 5'!AM4</f>
        <v>45689</v>
      </c>
      <c r="AO162" s="2">
        <f>'MANUEL MONTT 2 &amp; 5'!AN4</f>
        <v>0</v>
      </c>
      <c r="AP162" s="2">
        <f>'MANUEL MONTT 2 &amp; 5'!AO4</f>
        <v>5</v>
      </c>
      <c r="AQ162" s="2" t="str">
        <f>'MANUEL MONTT 2 &amp; 5'!AP4</f>
        <v>4 1/2</v>
      </c>
      <c r="AR162" s="2">
        <f>'MANUEL MONTT 2 &amp; 5'!AQ4</f>
        <v>4</v>
      </c>
      <c r="AS162" s="2" t="str">
        <f>'MANUEL MONTT 2 &amp; 5'!AR4</f>
        <v>8 1/2</v>
      </c>
      <c r="AT162" s="2">
        <f>'MANUEL MONTT 2 &amp; 5'!AS4</f>
        <v>8</v>
      </c>
      <c r="AU162" s="2" t="str">
        <f>'MANUEL MONTT 2 &amp; 5'!AT4</f>
        <v>6 1/2</v>
      </c>
      <c r="AV162" s="2">
        <f>'MANUEL MONTT 2 &amp; 5'!AU4</f>
        <v>4</v>
      </c>
      <c r="AW162" s="2">
        <f>'MANUEL MONTT 2 &amp; 5'!AV4</f>
        <v>3</v>
      </c>
      <c r="AX162" s="2">
        <f>'MANUEL MONTT 2 &amp; 5'!AW4</f>
        <v>2</v>
      </c>
      <c r="AY162" s="2" t="str">
        <f>'MANUEL MONTT 2 &amp; 5'!AX4</f>
        <v/>
      </c>
      <c r="AZ162" s="2" t="str">
        <f>'MANUEL MONTT 2 &amp; 5'!AY4</f>
        <v/>
      </c>
      <c r="BA162" s="2" t="str">
        <f>'MANUEL MONTT 2 &amp; 5'!AZ4</f>
        <v/>
      </c>
      <c r="BB162" s="2" t="str">
        <f>'MANUEL MONTT 2 &amp; 5'!BA4</f>
        <v/>
      </c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</row>
    <row r="163">
      <c r="A163" s="2" t="str">
        <f t="shared" si="184"/>
        <v>Toalla de Papel Jumbo (UN)Manuel Montt piso 2</v>
      </c>
      <c r="B163" s="2" t="str">
        <f>'MANUEL MONTT 2 &amp; 5'!A5</f>
        <v>Manuel Montt piso 2</v>
      </c>
      <c r="C163" s="2" t="str">
        <f>'MANUEL MONTT 2 &amp; 5'!B5</f>
        <v>Cafeteria</v>
      </c>
      <c r="D163" s="2" t="str">
        <f>'MANUEL MONTT 2 &amp; 5'!C5</f>
        <v>Toalla de Papel Jumbo (UN)</v>
      </c>
      <c r="E163" s="2">
        <f>'MANUEL MONTT 2 &amp; 5'!D5</f>
        <v>0</v>
      </c>
      <c r="F163" s="2">
        <f>'MANUEL MONTT 2 &amp; 5'!E5</f>
        <v>4</v>
      </c>
      <c r="G163" s="2">
        <f>'MANUEL MONTT 2 &amp; 5'!F5</f>
        <v>3</v>
      </c>
      <c r="H163" s="2">
        <f>'MANUEL MONTT 2 &amp; 5'!G5</f>
        <v>1</v>
      </c>
      <c r="I163" s="2">
        <f>'MANUEL MONTT 2 &amp; 5'!H5</f>
        <v>0</v>
      </c>
      <c r="J163" s="2">
        <f>'MANUEL MONTT 2 &amp; 5'!I5</f>
        <v>0</v>
      </c>
      <c r="K163" s="2">
        <f>'MANUEL MONTT 2 &amp; 5'!J5</f>
        <v>3</v>
      </c>
      <c r="L163" s="2">
        <f>'MANUEL MONTT 2 &amp; 5'!K5</f>
        <v>1</v>
      </c>
      <c r="M163" s="2">
        <f>'MANUEL MONTT 2 &amp; 5'!L5</f>
        <v>2</v>
      </c>
      <c r="N163" s="2">
        <f>'MANUEL MONTT 2 &amp; 5'!M5</f>
        <v>4</v>
      </c>
      <c r="O163" s="2">
        <f>'MANUEL MONTT 2 &amp; 5'!N5</f>
        <v>1</v>
      </c>
      <c r="P163" s="2">
        <f>'MANUEL MONTT 2 &amp; 5'!O5</f>
        <v>0</v>
      </c>
      <c r="Q163" s="2">
        <f>'MANUEL MONTT 2 &amp; 5'!P5</f>
        <v>3</v>
      </c>
      <c r="R163" s="2">
        <f>'MANUEL MONTT 2 &amp; 5'!Q5</f>
        <v>0</v>
      </c>
      <c r="S163" s="2">
        <f>'MANUEL MONTT 2 &amp; 5'!R5</f>
        <v>4</v>
      </c>
      <c r="T163" s="2">
        <f>'MANUEL MONTT 2 &amp; 5'!S5</f>
        <v>3</v>
      </c>
      <c r="U163" s="2">
        <f>'MANUEL MONTT 2 &amp; 5'!T5</f>
        <v>3</v>
      </c>
      <c r="V163" s="2">
        <f>'MANUEL MONTT 2 &amp; 5'!U5</f>
        <v>2</v>
      </c>
      <c r="W163" s="2">
        <f>'MANUEL MONTT 2 &amp; 5'!V5</f>
        <v>1</v>
      </c>
      <c r="X163" s="2">
        <f>'MANUEL MONTT 2 &amp; 5'!W5</f>
        <v>5</v>
      </c>
      <c r="Y163" s="2">
        <f>'MANUEL MONTT 2 &amp; 5'!X5</f>
        <v>3</v>
      </c>
      <c r="Z163" s="2">
        <f>'MANUEL MONTT 2 &amp; 5'!Y5</f>
        <v>6</v>
      </c>
      <c r="AA163" s="2">
        <f>'MANUEL MONTT 2 &amp; 5'!Z5</f>
        <v>5</v>
      </c>
      <c r="AB163" s="2">
        <f>'MANUEL MONTT 2 &amp; 5'!AA5</f>
        <v>3</v>
      </c>
      <c r="AC163" s="2" t="str">
        <f>'MANUEL MONTT 2 &amp; 5'!AB5</f>
        <v>2,5P</v>
      </c>
      <c r="AD163" s="2" t="str">
        <f>'MANUEL MONTT 2 &amp; 5'!AC5</f>
        <v>4U</v>
      </c>
      <c r="AE163" s="2">
        <f>'MANUEL MONTT 2 &amp; 5'!AD5</f>
        <v>10</v>
      </c>
      <c r="AF163" s="2">
        <f>'MANUEL MONTT 2 &amp; 5'!AE5</f>
        <v>8</v>
      </c>
      <c r="AG163" s="2">
        <f>'MANUEL MONTT 2 &amp; 5'!AF5</f>
        <v>8</v>
      </c>
      <c r="AH163" s="2">
        <f>'MANUEL MONTT 2 &amp; 5'!AG5</f>
        <v>7</v>
      </c>
      <c r="AI163" s="2">
        <f>'MANUEL MONTT 2 &amp; 5'!AH5</f>
        <v>7</v>
      </c>
      <c r="AJ163" s="2">
        <f>'MANUEL MONTT 2 &amp; 5'!AI5</f>
        <v>6</v>
      </c>
      <c r="AK163" s="2">
        <f>'MANUEL MONTT 2 &amp; 5'!AJ5</f>
        <v>3</v>
      </c>
      <c r="AL163" s="2">
        <f>'MANUEL MONTT 2 &amp; 5'!AK5</f>
        <v>2</v>
      </c>
      <c r="AM163" s="2">
        <f>'MANUEL MONTT 2 &amp; 5'!AL5</f>
        <v>1</v>
      </c>
      <c r="AN163" s="2">
        <f>'MANUEL MONTT 2 &amp; 5'!AM5</f>
        <v>0</v>
      </c>
      <c r="AO163" s="2">
        <f>'MANUEL MONTT 2 &amp; 5'!AN5</f>
        <v>0</v>
      </c>
      <c r="AP163" s="2">
        <f>'MANUEL MONTT 2 &amp; 5'!AO5</f>
        <v>0</v>
      </c>
      <c r="AQ163" s="2">
        <f>'MANUEL MONTT 2 &amp; 5'!AP5</f>
        <v>4</v>
      </c>
      <c r="AR163" s="2">
        <f>'MANUEL MONTT 2 &amp; 5'!AQ5</f>
        <v>4</v>
      </c>
      <c r="AS163" s="2">
        <f>'MANUEL MONTT 2 &amp; 5'!AR5</f>
        <v>4</v>
      </c>
      <c r="AT163" s="2">
        <f>'MANUEL MONTT 2 &amp; 5'!AS5</f>
        <v>1</v>
      </c>
      <c r="AU163" s="2">
        <f>'MANUEL MONTT 2 &amp; 5'!AT5</f>
        <v>2</v>
      </c>
      <c r="AV163" s="2">
        <f>'MANUEL MONTT 2 &amp; 5'!AU5</f>
        <v>1</v>
      </c>
      <c r="AW163" s="2">
        <f>'MANUEL MONTT 2 &amp; 5'!AV5</f>
        <v>11</v>
      </c>
      <c r="AX163" s="2">
        <f>'MANUEL MONTT 2 &amp; 5'!AW5</f>
        <v>11</v>
      </c>
      <c r="AY163" s="2" t="str">
        <f>'MANUEL MONTT 2 &amp; 5'!AX5</f>
        <v/>
      </c>
      <c r="AZ163" s="2" t="str">
        <f>'MANUEL MONTT 2 &amp; 5'!AY5</f>
        <v/>
      </c>
      <c r="BA163" s="2" t="str">
        <f>'MANUEL MONTT 2 &amp; 5'!AZ5</f>
        <v/>
      </c>
      <c r="BB163" s="2" t="str">
        <f>'MANUEL MONTT 2 &amp; 5'!BA5</f>
        <v/>
      </c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</row>
    <row r="164">
      <c r="A164" s="2" t="str">
        <f t="shared" si="184"/>
        <v>Papel Higienico (UN)Manuel Montt piso 2</v>
      </c>
      <c r="B164" s="2" t="str">
        <f>'MANUEL MONTT 2 &amp; 5'!A6</f>
        <v>Manuel Montt piso 2</v>
      </c>
      <c r="C164" s="2" t="str">
        <f>'MANUEL MONTT 2 &amp; 5'!B6</f>
        <v>Cafeteria</v>
      </c>
      <c r="D164" s="2" t="str">
        <f>'MANUEL MONTT 2 &amp; 5'!C6</f>
        <v>Papel Higienico (UN)</v>
      </c>
      <c r="E164" s="2">
        <f>'MANUEL MONTT 2 &amp; 5'!D6</f>
        <v>0</v>
      </c>
      <c r="F164" s="2">
        <f>'MANUEL MONTT 2 &amp; 5'!E6</f>
        <v>6</v>
      </c>
      <c r="G164" s="2">
        <f>'MANUEL MONTT 2 &amp; 5'!F6</f>
        <v>3</v>
      </c>
      <c r="H164" s="2">
        <f>'MANUEL MONTT 2 &amp; 5'!G6</f>
        <v>2</v>
      </c>
      <c r="I164" s="2">
        <f>'MANUEL MONTT 2 &amp; 5'!H6</f>
        <v>1</v>
      </c>
      <c r="J164" s="2">
        <f>'MANUEL MONTT 2 &amp; 5'!I6</f>
        <v>0</v>
      </c>
      <c r="K164" s="2">
        <f>'MANUEL MONTT 2 &amp; 5'!J6</f>
        <v>7</v>
      </c>
      <c r="L164" s="2">
        <f>'MANUEL MONTT 2 &amp; 5'!K6</f>
        <v>6</v>
      </c>
      <c r="M164" s="2">
        <f>'MANUEL MONTT 2 &amp; 5'!L6</f>
        <v>5</v>
      </c>
      <c r="N164" s="2">
        <f>'MANUEL MONTT 2 &amp; 5'!M6</f>
        <v>8</v>
      </c>
      <c r="O164" s="2">
        <f>'MANUEL MONTT 2 &amp; 5'!N6</f>
        <v>6</v>
      </c>
      <c r="P164" s="2">
        <f>'MANUEL MONTT 2 &amp; 5'!O6</f>
        <v>3</v>
      </c>
      <c r="Q164" s="2">
        <f>'MANUEL MONTT 2 &amp; 5'!P6</f>
        <v>4</v>
      </c>
      <c r="R164" s="2">
        <f>'MANUEL MONTT 2 &amp; 5'!Q6</f>
        <v>3</v>
      </c>
      <c r="S164" s="2">
        <f>'MANUEL MONTT 2 &amp; 5'!R6</f>
        <v>3</v>
      </c>
      <c r="T164" s="2">
        <f>'MANUEL MONTT 2 &amp; 5'!S6</f>
        <v>2</v>
      </c>
      <c r="U164" s="2">
        <f>'MANUEL MONTT 2 &amp; 5'!T6</f>
        <v>2</v>
      </c>
      <c r="V164" s="2">
        <f>'MANUEL MONTT 2 &amp; 5'!U6</f>
        <v>1</v>
      </c>
      <c r="W164" s="2">
        <f>'MANUEL MONTT 2 &amp; 5'!V6</f>
        <v>0</v>
      </c>
      <c r="X164" s="2">
        <f>'MANUEL MONTT 2 &amp; 5'!W6</f>
        <v>5</v>
      </c>
      <c r="Y164" s="2">
        <f>'MANUEL MONTT 2 &amp; 5'!X6</f>
        <v>4</v>
      </c>
      <c r="Z164" s="2">
        <f>'MANUEL MONTT 2 &amp; 5'!Y6</f>
        <v>6</v>
      </c>
      <c r="AA164" s="2">
        <f>'MANUEL MONTT 2 &amp; 5'!Z6</f>
        <v>6</v>
      </c>
      <c r="AB164" s="2">
        <f>'MANUEL MONTT 2 &amp; 5'!AA6</f>
        <v>4</v>
      </c>
      <c r="AC164" s="2" t="str">
        <f>'MANUEL MONTT 2 &amp; 5'!AB6</f>
        <v>4,5P</v>
      </c>
      <c r="AD164" s="2" t="str">
        <f>'MANUEL MONTT 2 &amp; 5'!AC6</f>
        <v>16U</v>
      </c>
      <c r="AE164" s="2">
        <f>'MANUEL MONTT 2 &amp; 5'!AD6</f>
        <v>26</v>
      </c>
      <c r="AF164" s="2">
        <f>'MANUEL MONTT 2 &amp; 5'!AE6</f>
        <v>24</v>
      </c>
      <c r="AG164" s="2">
        <f>'MANUEL MONTT 2 &amp; 5'!AF6</f>
        <v>13</v>
      </c>
      <c r="AH164" s="2">
        <f>'MANUEL MONTT 2 &amp; 5'!AG6</f>
        <v>12</v>
      </c>
      <c r="AI164" s="2">
        <f>'MANUEL MONTT 2 &amp; 5'!AH6</f>
        <v>12</v>
      </c>
      <c r="AJ164" s="2">
        <f>'MANUEL MONTT 2 &amp; 5'!AI6</f>
        <v>11</v>
      </c>
      <c r="AK164" s="2">
        <f>'MANUEL MONTT 2 &amp; 5'!AJ6</f>
        <v>8</v>
      </c>
      <c r="AL164" s="2">
        <f>'MANUEL MONTT 2 &amp; 5'!AK6</f>
        <v>5</v>
      </c>
      <c r="AM164" s="2">
        <f>'MANUEL MONTT 2 &amp; 5'!AL6</f>
        <v>3</v>
      </c>
      <c r="AN164" s="2">
        <f>'MANUEL MONTT 2 &amp; 5'!AM6</f>
        <v>1</v>
      </c>
      <c r="AO164" s="2">
        <f>'MANUEL MONTT 2 &amp; 5'!AN6</f>
        <v>0</v>
      </c>
      <c r="AP164" s="2">
        <f>'MANUEL MONTT 2 &amp; 5'!AO6</f>
        <v>0</v>
      </c>
      <c r="AQ164" s="2">
        <f>'MANUEL MONTT 2 &amp; 5'!AP6</f>
        <v>13</v>
      </c>
      <c r="AR164" s="2">
        <f>'MANUEL MONTT 2 &amp; 5'!AQ6</f>
        <v>10</v>
      </c>
      <c r="AS164" s="2">
        <f>'MANUEL MONTT 2 &amp; 5'!AR6</f>
        <v>10</v>
      </c>
      <c r="AT164" s="2">
        <f>'MANUEL MONTT 2 &amp; 5'!AS6</f>
        <v>7</v>
      </c>
      <c r="AU164" s="2">
        <f>'MANUEL MONTT 2 &amp; 5'!AT6</f>
        <v>3</v>
      </c>
      <c r="AV164" s="2">
        <f>'MANUEL MONTT 2 &amp; 5'!AU6</f>
        <v>1</v>
      </c>
      <c r="AW164" s="2">
        <f>'MANUEL MONTT 2 &amp; 5'!AV6</f>
        <v>30</v>
      </c>
      <c r="AX164" s="2">
        <f>'MANUEL MONTT 2 &amp; 5'!AW6</f>
        <v>30</v>
      </c>
      <c r="AY164" s="2" t="str">
        <f>'MANUEL MONTT 2 &amp; 5'!AX6</f>
        <v/>
      </c>
      <c r="AZ164" s="2" t="str">
        <f>'MANUEL MONTT 2 &amp; 5'!AY6</f>
        <v/>
      </c>
      <c r="BA164" s="2" t="str">
        <f>'MANUEL MONTT 2 &amp; 5'!AZ6</f>
        <v/>
      </c>
      <c r="BB164" s="2" t="str">
        <f>'MANUEL MONTT 2 &amp; 5'!BA6</f>
        <v/>
      </c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</row>
    <row r="165">
      <c r="A165" s="2" t="str">
        <f t="shared" si="184"/>
        <v>Resma Papel Fotocopia (UN)Manuel Montt piso 2</v>
      </c>
      <c r="B165" s="2" t="str">
        <f>'MANUEL MONTT 2 &amp; 5'!A7</f>
        <v>Manuel Montt piso 2</v>
      </c>
      <c r="C165" s="2" t="str">
        <f>'MANUEL MONTT 2 &amp; 5'!B7</f>
        <v>Cafeteria</v>
      </c>
      <c r="D165" s="2" t="str">
        <f>'MANUEL MONTT 2 &amp; 5'!C7</f>
        <v>Resma Papel Fotocopia (UN)</v>
      </c>
      <c r="E165" s="2">
        <f>'MANUEL MONTT 2 &amp; 5'!D7</f>
        <v>0</v>
      </c>
      <c r="F165" s="2">
        <f>'MANUEL MONTT 2 &amp; 5'!E7</f>
        <v>4</v>
      </c>
      <c r="G165" s="2">
        <f>'MANUEL MONTT 2 &amp; 5'!F7</f>
        <v>3</v>
      </c>
      <c r="H165" s="2">
        <f>'MANUEL MONTT 2 &amp; 5'!G7</f>
        <v>2</v>
      </c>
      <c r="I165" s="2">
        <f>'MANUEL MONTT 2 &amp; 5'!H7</f>
        <v>2</v>
      </c>
      <c r="J165" s="2">
        <f>'MANUEL MONTT 2 &amp; 5'!I7</f>
        <v>2</v>
      </c>
      <c r="K165" s="2">
        <f>'MANUEL MONTT 2 &amp; 5'!J7</f>
        <v>2</v>
      </c>
      <c r="L165" s="2">
        <f>'MANUEL MONTT 2 &amp; 5'!K7</f>
        <v>1</v>
      </c>
      <c r="M165" s="2">
        <f>'MANUEL MONTT 2 &amp; 5'!L7</f>
        <v>6</v>
      </c>
      <c r="N165" s="2">
        <f>'MANUEL MONTT 2 &amp; 5'!M7</f>
        <v>5</v>
      </c>
      <c r="O165" s="2">
        <f>'MANUEL MONTT 2 &amp; 5'!N7</f>
        <v>5</v>
      </c>
      <c r="P165" s="2">
        <f>'MANUEL MONTT 2 &amp; 5'!O7</f>
        <v>3</v>
      </c>
      <c r="Q165" s="2">
        <f>'MANUEL MONTT 2 &amp; 5'!P7</f>
        <v>3</v>
      </c>
      <c r="R165" s="2">
        <f>'MANUEL MONTT 2 &amp; 5'!Q7</f>
        <v>2</v>
      </c>
      <c r="S165" s="2">
        <f>'MANUEL MONTT 2 &amp; 5'!R7</f>
        <v>2</v>
      </c>
      <c r="T165" s="2">
        <f>'MANUEL MONTT 2 &amp; 5'!S7</f>
        <v>1</v>
      </c>
      <c r="U165" s="2">
        <f>'MANUEL MONTT 2 &amp; 5'!T7</f>
        <v>1</v>
      </c>
      <c r="V165" s="2">
        <f>'MANUEL MONTT 2 &amp; 5'!U7</f>
        <v>1</v>
      </c>
      <c r="W165" s="2">
        <f>'MANUEL MONTT 2 &amp; 5'!V7</f>
        <v>1</v>
      </c>
      <c r="X165" s="2">
        <f>'MANUEL MONTT 2 &amp; 5'!W7</f>
        <v>2</v>
      </c>
      <c r="Y165" s="2">
        <f>'MANUEL MONTT 2 &amp; 5'!X7</f>
        <v>1</v>
      </c>
      <c r="Z165" s="2">
        <f>'MANUEL MONTT 2 &amp; 5'!Y7</f>
        <v>1</v>
      </c>
      <c r="AA165" s="2">
        <f>'MANUEL MONTT 2 &amp; 5'!Z7</f>
        <v>0</v>
      </c>
      <c r="AB165" s="2">
        <f>'MANUEL MONTT 2 &amp; 5'!AA7</f>
        <v>1</v>
      </c>
      <c r="AC165" s="2">
        <f>'MANUEL MONTT 2 &amp; 5'!AB7</f>
        <v>1</v>
      </c>
      <c r="AD165" s="2">
        <f>'MANUEL MONTT 2 &amp; 5'!AC7</f>
        <v>1</v>
      </c>
      <c r="AE165" s="2">
        <f>'MANUEL MONTT 2 &amp; 5'!AD7</f>
        <v>2</v>
      </c>
      <c r="AF165" s="2">
        <f>'MANUEL MONTT 2 &amp; 5'!AE7</f>
        <v>2</v>
      </c>
      <c r="AG165" s="2">
        <f>'MANUEL MONTT 2 &amp; 5'!AF7</f>
        <v>2</v>
      </c>
      <c r="AH165" s="2">
        <f>'MANUEL MONTT 2 &amp; 5'!AG7</f>
        <v>1</v>
      </c>
      <c r="AI165" s="2">
        <f>'MANUEL MONTT 2 &amp; 5'!AH7</f>
        <v>1</v>
      </c>
      <c r="AJ165" s="2">
        <f>'MANUEL MONTT 2 &amp; 5'!AI7</f>
        <v>1</v>
      </c>
      <c r="AK165" s="2">
        <f>'MANUEL MONTT 2 &amp; 5'!AJ7</f>
        <v>1</v>
      </c>
      <c r="AL165" s="2">
        <f>'MANUEL MONTT 2 &amp; 5'!AK7</f>
        <v>1</v>
      </c>
      <c r="AM165" s="2">
        <f>'MANUEL MONTT 2 &amp; 5'!AL7</f>
        <v>0</v>
      </c>
      <c r="AN165" s="2">
        <f>'MANUEL MONTT 2 &amp; 5'!AM7</f>
        <v>0</v>
      </c>
      <c r="AO165" s="2">
        <f>'MANUEL MONTT 2 &amp; 5'!AN7</f>
        <v>0</v>
      </c>
      <c r="AP165" s="2">
        <f>'MANUEL MONTT 2 &amp; 5'!AO7</f>
        <v>0</v>
      </c>
      <c r="AQ165" s="2">
        <f>'MANUEL MONTT 2 &amp; 5'!AP7</f>
        <v>2</v>
      </c>
      <c r="AR165" s="2">
        <f>'MANUEL MONTT 2 &amp; 5'!AQ7</f>
        <v>2</v>
      </c>
      <c r="AS165" s="2">
        <f>'MANUEL MONTT 2 &amp; 5'!AR7</f>
        <v>2</v>
      </c>
      <c r="AT165" s="2">
        <f>'MANUEL MONTT 2 &amp; 5'!AS7</f>
        <v>2</v>
      </c>
      <c r="AU165" s="2">
        <f>'MANUEL MONTT 2 &amp; 5'!AT7</f>
        <v>1</v>
      </c>
      <c r="AV165" s="2">
        <f>'MANUEL MONTT 2 &amp; 5'!AU7</f>
        <v>1</v>
      </c>
      <c r="AW165" s="2">
        <f>'MANUEL MONTT 2 &amp; 5'!AV7</f>
        <v>1</v>
      </c>
      <c r="AX165" s="2">
        <f>'MANUEL MONTT 2 &amp; 5'!AW7</f>
        <v>1</v>
      </c>
      <c r="AY165" s="2" t="str">
        <f>'MANUEL MONTT 2 &amp; 5'!AX7</f>
        <v/>
      </c>
      <c r="AZ165" s="2" t="str">
        <f>'MANUEL MONTT 2 &amp; 5'!AY7</f>
        <v/>
      </c>
      <c r="BA165" s="2" t="str">
        <f>'MANUEL MONTT 2 &amp; 5'!AZ7</f>
        <v/>
      </c>
      <c r="BB165" s="2" t="str">
        <f>'MANUEL MONTT 2 &amp; 5'!BA7</f>
        <v/>
      </c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</row>
    <row r="166">
      <c r="A166" s="2" t="str">
        <f t="shared" si="184"/>
        <v>Leche LíquidaManuel Montt piso 2</v>
      </c>
      <c r="B166" s="2" t="str">
        <f>'MANUEL MONTT 2 &amp; 5'!A8</f>
        <v>Manuel Montt piso 2</v>
      </c>
      <c r="C166" s="2" t="str">
        <f>'MANUEL MONTT 2 &amp; 5'!B8</f>
        <v>Cafeteria</v>
      </c>
      <c r="D166" s="2" t="str">
        <f>'MANUEL MONTT 2 &amp; 5'!C8</f>
        <v>Leche Líquida</v>
      </c>
      <c r="E166" s="2" t="str">
        <f>'MANUEL MONTT 2 &amp; 5'!D8</f>
        <v/>
      </c>
      <c r="F166" s="2" t="str">
        <f>'MANUEL MONTT 2 &amp; 5'!E8</f>
        <v/>
      </c>
      <c r="G166" s="2" t="str">
        <f>'MANUEL MONTT 2 &amp; 5'!F8</f>
        <v/>
      </c>
      <c r="H166" s="2" t="str">
        <f>'MANUEL MONTT 2 &amp; 5'!G8</f>
        <v/>
      </c>
      <c r="I166" s="2" t="str">
        <f>'MANUEL MONTT 2 &amp; 5'!H8</f>
        <v/>
      </c>
      <c r="J166" s="2" t="str">
        <f>'MANUEL MONTT 2 &amp; 5'!I8</f>
        <v/>
      </c>
      <c r="K166" s="2" t="str">
        <f>'MANUEL MONTT 2 &amp; 5'!J8</f>
        <v/>
      </c>
      <c r="L166" s="2" t="str">
        <f>'MANUEL MONTT 2 &amp; 5'!K8</f>
        <v/>
      </c>
      <c r="M166" s="2" t="str">
        <f>'MANUEL MONTT 2 &amp; 5'!L8</f>
        <v/>
      </c>
      <c r="N166" s="2" t="str">
        <f>'MANUEL MONTT 2 &amp; 5'!M8</f>
        <v/>
      </c>
      <c r="O166" s="2" t="str">
        <f>'MANUEL MONTT 2 &amp; 5'!N8</f>
        <v/>
      </c>
      <c r="P166" s="2" t="str">
        <f>'MANUEL MONTT 2 &amp; 5'!O8</f>
        <v/>
      </c>
      <c r="Q166" s="2" t="str">
        <f>'MANUEL MONTT 2 &amp; 5'!P8</f>
        <v/>
      </c>
      <c r="R166" s="2" t="str">
        <f>'MANUEL MONTT 2 &amp; 5'!Q8</f>
        <v>-</v>
      </c>
      <c r="S166" s="2" t="str">
        <f>'MANUEL MONTT 2 &amp; 5'!R8</f>
        <v>-</v>
      </c>
      <c r="T166" s="2" t="str">
        <f>'MANUEL MONTT 2 &amp; 5'!S8</f>
        <v/>
      </c>
      <c r="U166" s="2" t="str">
        <f>'MANUEL MONTT 2 &amp; 5'!T8</f>
        <v>-</v>
      </c>
      <c r="V166" s="2" t="str">
        <f>'MANUEL MONTT 2 &amp; 5'!U8</f>
        <v>-</v>
      </c>
      <c r="W166" s="2" t="str">
        <f>'MANUEL MONTT 2 &amp; 5'!V8</f>
        <v>-</v>
      </c>
      <c r="X166" s="2" t="str">
        <f>'MANUEL MONTT 2 &amp; 5'!W8</f>
        <v>-</v>
      </c>
      <c r="Y166" s="2" t="str">
        <f>'MANUEL MONTT 2 &amp; 5'!X8</f>
        <v>-</v>
      </c>
      <c r="Z166" s="2">
        <f>'MANUEL MONTT 2 &amp; 5'!Y8</f>
        <v>10</v>
      </c>
      <c r="AA166" s="2">
        <f>'MANUEL MONTT 2 &amp; 5'!Z8</f>
        <v>8</v>
      </c>
      <c r="AB166" s="2">
        <f>'MANUEL MONTT 2 &amp; 5'!AA8</f>
        <v>5</v>
      </c>
      <c r="AC166" s="2">
        <f>'MANUEL MONTT 2 &amp; 5'!AB8</f>
        <v>4</v>
      </c>
      <c r="AD166" s="2">
        <f>'MANUEL MONTT 2 &amp; 5'!AC8</f>
        <v>0</v>
      </c>
      <c r="AE166" s="2">
        <f>'MANUEL MONTT 2 &amp; 5'!AD8</f>
        <v>8</v>
      </c>
      <c r="AF166" s="2">
        <f>'MANUEL MONTT 2 &amp; 5'!AE8</f>
        <v>7</v>
      </c>
      <c r="AG166" s="2">
        <f>'MANUEL MONTT 2 &amp; 5'!AF8</f>
        <v>6</v>
      </c>
      <c r="AH166" s="2">
        <f>'MANUEL MONTT 2 &amp; 5'!AG8</f>
        <v>4</v>
      </c>
      <c r="AI166" s="2">
        <f>'MANUEL MONTT 2 &amp; 5'!AH8</f>
        <v>4</v>
      </c>
      <c r="AJ166" s="2">
        <f>'MANUEL MONTT 2 &amp; 5'!AI8</f>
        <v>3</v>
      </c>
      <c r="AK166" s="2">
        <f>'MANUEL MONTT 2 &amp; 5'!AJ8</f>
        <v>1</v>
      </c>
      <c r="AL166" s="2">
        <f>'MANUEL MONTT 2 &amp; 5'!AK8</f>
        <v>0</v>
      </c>
      <c r="AM166" s="2">
        <f>'MANUEL MONTT 2 &amp; 5'!AL8</f>
        <v>0</v>
      </c>
      <c r="AN166" s="2">
        <f>'MANUEL MONTT 2 &amp; 5'!AM8</f>
        <v>0</v>
      </c>
      <c r="AO166" s="2">
        <f>'MANUEL MONTT 2 &amp; 5'!AN8</f>
        <v>0</v>
      </c>
      <c r="AP166" s="2">
        <f>'MANUEL MONTT 2 &amp; 5'!AO8</f>
        <v>0</v>
      </c>
      <c r="AQ166" s="2">
        <f>'MANUEL MONTT 2 &amp; 5'!AP8</f>
        <v>8</v>
      </c>
      <c r="AR166" s="2">
        <f>'MANUEL MONTT 2 &amp; 5'!AQ8</f>
        <v>7</v>
      </c>
      <c r="AS166" s="2">
        <f>'MANUEL MONTT 2 &amp; 5'!AR8</f>
        <v>4</v>
      </c>
      <c r="AT166" s="2">
        <f>'MANUEL MONTT 2 &amp; 5'!AS8</f>
        <v>2</v>
      </c>
      <c r="AU166" s="2">
        <f>'MANUEL MONTT 2 &amp; 5'!AT8</f>
        <v>0</v>
      </c>
      <c r="AV166" s="2">
        <f>'MANUEL MONTT 2 &amp; 5'!AU8</f>
        <v>0</v>
      </c>
      <c r="AW166" s="2">
        <f>'MANUEL MONTT 2 &amp; 5'!AV8</f>
        <v>24</v>
      </c>
      <c r="AX166" s="2">
        <f>'MANUEL MONTT 2 &amp; 5'!AW8</f>
        <v>20</v>
      </c>
      <c r="AY166" s="2" t="str">
        <f>'MANUEL MONTT 2 &amp; 5'!AX8</f>
        <v/>
      </c>
      <c r="AZ166" s="2" t="str">
        <f>'MANUEL MONTT 2 &amp; 5'!AY8</f>
        <v/>
      </c>
      <c r="BA166" s="2" t="str">
        <f>'MANUEL MONTT 2 &amp; 5'!AZ8</f>
        <v/>
      </c>
      <c r="BB166" s="2" t="str">
        <f>'MANUEL MONTT 2 &amp; 5'!BA8</f>
        <v/>
      </c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</row>
    <row r="167">
      <c r="A167" s="2" t="str">
        <f t="shared" si="184"/>
        <v>EndulzanteManuel Montt piso 2</v>
      </c>
      <c r="B167" s="2" t="str">
        <f>'MANUEL MONTT 2 &amp; 5'!A9</f>
        <v>Manuel Montt piso 2</v>
      </c>
      <c r="C167" s="2" t="str">
        <f>'MANUEL MONTT 2 &amp; 5'!B9</f>
        <v>Cafeteria</v>
      </c>
      <c r="D167" s="2" t="str">
        <f>'MANUEL MONTT 2 &amp; 5'!C9</f>
        <v>Endulzante</v>
      </c>
      <c r="E167" s="2" t="str">
        <f>'MANUEL MONTT 2 &amp; 5'!D9</f>
        <v/>
      </c>
      <c r="F167" s="2" t="str">
        <f>'MANUEL MONTT 2 &amp; 5'!E9</f>
        <v/>
      </c>
      <c r="G167" s="2" t="str">
        <f>'MANUEL MONTT 2 &amp; 5'!F9</f>
        <v/>
      </c>
      <c r="H167" s="2" t="str">
        <f>'MANUEL MONTT 2 &amp; 5'!G9</f>
        <v/>
      </c>
      <c r="I167" s="2" t="str">
        <f>'MANUEL MONTT 2 &amp; 5'!H9</f>
        <v/>
      </c>
      <c r="J167" s="2" t="str">
        <f>'MANUEL MONTT 2 &amp; 5'!I9</f>
        <v/>
      </c>
      <c r="K167" s="2" t="str">
        <f>'MANUEL MONTT 2 &amp; 5'!J9</f>
        <v/>
      </c>
      <c r="L167" s="2" t="str">
        <f>'MANUEL MONTT 2 &amp; 5'!K9</f>
        <v/>
      </c>
      <c r="M167" s="2" t="str">
        <f>'MANUEL MONTT 2 &amp; 5'!L9</f>
        <v/>
      </c>
      <c r="N167" s="2" t="str">
        <f>'MANUEL MONTT 2 &amp; 5'!M9</f>
        <v/>
      </c>
      <c r="O167" s="2" t="str">
        <f>'MANUEL MONTT 2 &amp; 5'!N9</f>
        <v/>
      </c>
      <c r="P167" s="2" t="str">
        <f>'MANUEL MONTT 2 &amp; 5'!O9</f>
        <v/>
      </c>
      <c r="Q167" s="2" t="str">
        <f>'MANUEL MONTT 2 &amp; 5'!P9</f>
        <v/>
      </c>
      <c r="R167" s="2" t="str">
        <f>'MANUEL MONTT 2 &amp; 5'!Q9</f>
        <v>-</v>
      </c>
      <c r="S167" s="2" t="str">
        <f>'MANUEL MONTT 2 &amp; 5'!R9</f>
        <v>-</v>
      </c>
      <c r="T167" s="2" t="str">
        <f>'MANUEL MONTT 2 &amp; 5'!S9</f>
        <v>-</v>
      </c>
      <c r="U167" s="2" t="str">
        <f>'MANUEL MONTT 2 &amp; 5'!T9</f>
        <v>-</v>
      </c>
      <c r="V167" s="2" t="str">
        <f>'MANUEL MONTT 2 &amp; 5'!U9</f>
        <v>-</v>
      </c>
      <c r="W167" s="2" t="str">
        <f>'MANUEL MONTT 2 &amp; 5'!V9</f>
        <v>-</v>
      </c>
      <c r="X167" s="2" t="str">
        <f>'MANUEL MONTT 2 &amp; 5'!W9</f>
        <v>-</v>
      </c>
      <c r="Y167" s="2" t="str">
        <f>'MANUEL MONTT 2 &amp; 5'!X9</f>
        <v>-</v>
      </c>
      <c r="Z167" s="2">
        <f>'MANUEL MONTT 2 &amp; 5'!Y9</f>
        <v>2</v>
      </c>
      <c r="AA167" s="2">
        <f>'MANUEL MONTT 2 &amp; 5'!Z9</f>
        <v>1</v>
      </c>
      <c r="AB167" s="2">
        <f>'MANUEL MONTT 2 &amp; 5'!AA9</f>
        <v>0</v>
      </c>
      <c r="AC167" s="2">
        <f>'MANUEL MONTT 2 &amp; 5'!AB9</f>
        <v>0</v>
      </c>
      <c r="AD167" s="2">
        <f>'MANUEL MONTT 2 &amp; 5'!AC9</f>
        <v>0</v>
      </c>
      <c r="AE167" s="2">
        <f>'MANUEL MONTT 2 &amp; 5'!AD9</f>
        <v>1</v>
      </c>
      <c r="AF167" s="2">
        <f>'MANUEL MONTT 2 &amp; 5'!AE9</f>
        <v>1</v>
      </c>
      <c r="AG167" s="2">
        <f>'MANUEL MONTT 2 &amp; 5'!AF9</f>
        <v>1</v>
      </c>
      <c r="AH167" s="2">
        <f>'MANUEL MONTT 2 &amp; 5'!AG9</f>
        <v>1</v>
      </c>
      <c r="AI167" s="2">
        <f>'MANUEL MONTT 2 &amp; 5'!AH9</f>
        <v>1</v>
      </c>
      <c r="AJ167" s="2">
        <f>'MANUEL MONTT 2 &amp; 5'!AI9</f>
        <v>1</v>
      </c>
      <c r="AK167" s="2">
        <f>'MANUEL MONTT 2 &amp; 5'!AJ9</f>
        <v>1</v>
      </c>
      <c r="AL167" s="2">
        <f>'MANUEL MONTT 2 &amp; 5'!AK9</f>
        <v>1</v>
      </c>
      <c r="AM167" s="2">
        <f>'MANUEL MONTT 2 &amp; 5'!AL9</f>
        <v>1</v>
      </c>
      <c r="AN167" s="2">
        <f>'MANUEL MONTT 2 &amp; 5'!AM9</f>
        <v>1</v>
      </c>
      <c r="AO167" s="2">
        <f>'MANUEL MONTT 2 &amp; 5'!AN9</f>
        <v>0</v>
      </c>
      <c r="AP167" s="2">
        <f>'MANUEL MONTT 2 &amp; 5'!AO9</f>
        <v>0</v>
      </c>
      <c r="AQ167" s="2">
        <f>'MANUEL MONTT 2 &amp; 5'!AP9</f>
        <v>1</v>
      </c>
      <c r="AR167" s="2">
        <f>'MANUEL MONTT 2 &amp; 5'!AQ9</f>
        <v>1</v>
      </c>
      <c r="AS167" s="2">
        <f>'MANUEL MONTT 2 &amp; 5'!AR9</f>
        <v>1</v>
      </c>
      <c r="AT167" s="2">
        <f>'MANUEL MONTT 2 &amp; 5'!AS9</f>
        <v>0</v>
      </c>
      <c r="AU167" s="2">
        <f>'MANUEL MONTT 2 &amp; 5'!AT9</f>
        <v>0</v>
      </c>
      <c r="AV167" s="2">
        <f>'MANUEL MONTT 2 &amp; 5'!AU9</f>
        <v>0</v>
      </c>
      <c r="AW167" s="2">
        <f>'MANUEL MONTT 2 &amp; 5'!AV9</f>
        <v>1</v>
      </c>
      <c r="AX167" s="2">
        <f>'MANUEL MONTT 2 &amp; 5'!AW9</f>
        <v>1</v>
      </c>
      <c r="AY167" s="2" t="str">
        <f>'MANUEL MONTT 2 &amp; 5'!AX9</f>
        <v/>
      </c>
      <c r="AZ167" s="2" t="str">
        <f>'MANUEL MONTT 2 &amp; 5'!AY9</f>
        <v/>
      </c>
      <c r="BA167" s="2" t="str">
        <f>'MANUEL MONTT 2 &amp; 5'!AZ9</f>
        <v/>
      </c>
      <c r="BB167" s="2" t="str">
        <f>'MANUEL MONTT 2 &amp; 5'!BA9</f>
        <v/>
      </c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</row>
    <row r="168">
      <c r="A168" s="2" t="str">
        <f t="shared" si="184"/>
        <v>Cloro GelManuel Montt piso 2</v>
      </c>
      <c r="B168" s="2" t="str">
        <f>'MANUEL MONTT 2 &amp; 5'!A11</f>
        <v>Manuel Montt piso 2</v>
      </c>
      <c r="C168" s="2" t="str">
        <f>'MANUEL MONTT 2 &amp; 5'!B11</f>
        <v>Aseo</v>
      </c>
      <c r="D168" s="2" t="str">
        <f>'MANUEL MONTT 2 &amp; 5'!C11</f>
        <v>Cloro Gel</v>
      </c>
      <c r="E168" s="2" t="str">
        <f>'MANUEL MONTT 2 &amp; 5'!D11</f>
        <v/>
      </c>
      <c r="F168" s="2" t="str">
        <f>'MANUEL MONTT 2 &amp; 5'!E11</f>
        <v/>
      </c>
      <c r="G168" s="2" t="str">
        <f>'MANUEL MONTT 2 &amp; 5'!F11</f>
        <v/>
      </c>
      <c r="H168" s="2" t="str">
        <f>'MANUEL MONTT 2 &amp; 5'!G11</f>
        <v/>
      </c>
      <c r="I168" s="2" t="str">
        <f>'MANUEL MONTT 2 &amp; 5'!H11</f>
        <v/>
      </c>
      <c r="J168" s="2" t="str">
        <f>'MANUEL MONTT 2 &amp; 5'!I11</f>
        <v/>
      </c>
      <c r="K168" s="2" t="str">
        <f>'MANUEL MONTT 2 &amp; 5'!J11</f>
        <v/>
      </c>
      <c r="L168" s="2" t="str">
        <f>'MANUEL MONTT 2 &amp; 5'!K11</f>
        <v/>
      </c>
      <c r="M168" s="2" t="str">
        <f>'MANUEL MONTT 2 &amp; 5'!L11</f>
        <v/>
      </c>
      <c r="N168" s="2" t="str">
        <f>'MANUEL MONTT 2 &amp; 5'!M11</f>
        <v/>
      </c>
      <c r="O168" s="2" t="str">
        <f>'MANUEL MONTT 2 &amp; 5'!N11</f>
        <v/>
      </c>
      <c r="P168" s="2" t="str">
        <f>'MANUEL MONTT 2 &amp; 5'!O11</f>
        <v/>
      </c>
      <c r="Q168" s="2" t="str">
        <f>'MANUEL MONTT 2 &amp; 5'!P11</f>
        <v/>
      </c>
      <c r="R168" s="2" t="str">
        <f>'MANUEL MONTT 2 &amp; 5'!Q11</f>
        <v/>
      </c>
      <c r="S168" s="2" t="str">
        <f>'MANUEL MONTT 2 &amp; 5'!R11</f>
        <v/>
      </c>
      <c r="T168" s="2" t="str">
        <f>'MANUEL MONTT 2 &amp; 5'!S11</f>
        <v/>
      </c>
      <c r="U168" s="2" t="str">
        <f>'MANUEL MONTT 2 &amp; 5'!T11</f>
        <v/>
      </c>
      <c r="V168" s="2" t="str">
        <f>'MANUEL MONTT 2 &amp; 5'!U11</f>
        <v/>
      </c>
      <c r="W168" s="2" t="str">
        <f>'MANUEL MONTT 2 &amp; 5'!V11</f>
        <v/>
      </c>
      <c r="X168" s="2" t="str">
        <f>'MANUEL MONTT 2 &amp; 5'!W11</f>
        <v/>
      </c>
      <c r="Y168" s="2" t="str">
        <f>'MANUEL MONTT 2 &amp; 5'!X11</f>
        <v/>
      </c>
      <c r="Z168" s="2" t="str">
        <f>'MANUEL MONTT 2 &amp; 5'!Y11</f>
        <v/>
      </c>
      <c r="AA168" s="2" t="str">
        <f>'MANUEL MONTT 2 &amp; 5'!Z11</f>
        <v/>
      </c>
      <c r="AB168" s="2" t="str">
        <f>'MANUEL MONTT 2 &amp; 5'!AA11</f>
        <v/>
      </c>
      <c r="AC168" s="2" t="str">
        <f>'MANUEL MONTT 2 &amp; 5'!AB11</f>
        <v/>
      </c>
      <c r="AD168" s="2">
        <f>'MANUEL MONTT 2 &amp; 5'!AC11</f>
        <v>1</v>
      </c>
      <c r="AE168" s="2">
        <f>'MANUEL MONTT 2 &amp; 5'!AD11</f>
        <v>2</v>
      </c>
      <c r="AF168" s="2">
        <f>'MANUEL MONTT 2 &amp; 5'!AE11</f>
        <v>2</v>
      </c>
      <c r="AG168" s="2">
        <f>'MANUEL MONTT 2 &amp; 5'!AF11</f>
        <v>2</v>
      </c>
      <c r="AH168" s="2">
        <f>'MANUEL MONTT 2 &amp; 5'!AG11</f>
        <v>1</v>
      </c>
      <c r="AI168" s="2">
        <f>'MANUEL MONTT 2 &amp; 5'!AH11</f>
        <v>1</v>
      </c>
      <c r="AJ168" s="2">
        <f>'MANUEL MONTT 2 &amp; 5'!AI11</f>
        <v>1</v>
      </c>
      <c r="AK168" s="2">
        <f>'MANUEL MONTT 2 &amp; 5'!AJ11</f>
        <v>1</v>
      </c>
      <c r="AL168" s="2">
        <f>'MANUEL MONTT 2 &amp; 5'!AK11</f>
        <v>1</v>
      </c>
      <c r="AM168" s="2">
        <f>'MANUEL MONTT 2 &amp; 5'!AL11</f>
        <v>1</v>
      </c>
      <c r="AN168" s="2">
        <f>'MANUEL MONTT 2 &amp; 5'!AM11</f>
        <v>1</v>
      </c>
      <c r="AO168" s="2">
        <f>'MANUEL MONTT 2 &amp; 5'!AN11</f>
        <v>1</v>
      </c>
      <c r="AP168" s="2">
        <f>'MANUEL MONTT 2 &amp; 5'!AO11</f>
        <v>1</v>
      </c>
      <c r="AQ168" s="2">
        <f>'MANUEL MONTT 2 &amp; 5'!AP11</f>
        <v>1</v>
      </c>
      <c r="AR168" s="2">
        <f>'MANUEL MONTT 2 &amp; 5'!AQ11</f>
        <v>1</v>
      </c>
      <c r="AS168" s="2">
        <f>'MANUEL MONTT 2 &amp; 5'!AR11</f>
        <v>1</v>
      </c>
      <c r="AT168" s="2">
        <f>'MANUEL MONTT 2 &amp; 5'!AS11</f>
        <v>1</v>
      </c>
      <c r="AU168" s="2">
        <f>'MANUEL MONTT 2 &amp; 5'!AT11</f>
        <v>1</v>
      </c>
      <c r="AV168" s="2">
        <f>'MANUEL MONTT 2 &amp; 5'!AU11</f>
        <v>1</v>
      </c>
      <c r="AW168" s="2">
        <f>'MANUEL MONTT 2 &amp; 5'!AV11</f>
        <v>2</v>
      </c>
      <c r="AX168" s="2">
        <f>'MANUEL MONTT 2 &amp; 5'!AW11</f>
        <v>2</v>
      </c>
      <c r="AY168" s="2" t="str">
        <f>'MANUEL MONTT 2 &amp; 5'!AX11</f>
        <v/>
      </c>
      <c r="AZ168" s="2" t="str">
        <f>'MANUEL MONTT 2 &amp; 5'!AY11</f>
        <v/>
      </c>
      <c r="BA168" s="2" t="str">
        <f>'MANUEL MONTT 2 &amp; 5'!AZ11</f>
        <v/>
      </c>
      <c r="BB168" s="2" t="str">
        <f>'MANUEL MONTT 2 &amp; 5'!BA11</f>
        <v/>
      </c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</row>
    <row r="169">
      <c r="A169" s="2" t="str">
        <f t="shared" si="184"/>
        <v>Limpia pisoManuel Montt piso 2</v>
      </c>
      <c r="B169" s="2" t="str">
        <f>'MANUEL MONTT 2 &amp; 5'!A12</f>
        <v>Manuel Montt piso 2</v>
      </c>
      <c r="C169" s="2" t="str">
        <f>'MANUEL MONTT 2 &amp; 5'!B12</f>
        <v>Aseo</v>
      </c>
      <c r="D169" s="2" t="str">
        <f>'MANUEL MONTT 2 &amp; 5'!C12</f>
        <v>Limpia piso</v>
      </c>
      <c r="E169" s="2" t="str">
        <f>'MANUEL MONTT 2 &amp; 5'!D12</f>
        <v/>
      </c>
      <c r="F169" s="2" t="str">
        <f>'MANUEL MONTT 2 &amp; 5'!E12</f>
        <v/>
      </c>
      <c r="G169" s="2" t="str">
        <f>'MANUEL MONTT 2 &amp; 5'!F12</f>
        <v/>
      </c>
      <c r="H169" s="2" t="str">
        <f>'MANUEL MONTT 2 &amp; 5'!G12</f>
        <v/>
      </c>
      <c r="I169" s="2" t="str">
        <f>'MANUEL MONTT 2 &amp; 5'!H12</f>
        <v/>
      </c>
      <c r="J169" s="2" t="str">
        <f>'MANUEL MONTT 2 &amp; 5'!I12</f>
        <v/>
      </c>
      <c r="K169" s="2" t="str">
        <f>'MANUEL MONTT 2 &amp; 5'!J12</f>
        <v/>
      </c>
      <c r="L169" s="2" t="str">
        <f>'MANUEL MONTT 2 &amp; 5'!K12</f>
        <v/>
      </c>
      <c r="M169" s="2" t="str">
        <f>'MANUEL MONTT 2 &amp; 5'!L12</f>
        <v/>
      </c>
      <c r="N169" s="2" t="str">
        <f>'MANUEL MONTT 2 &amp; 5'!M12</f>
        <v/>
      </c>
      <c r="O169" s="2" t="str">
        <f>'MANUEL MONTT 2 &amp; 5'!N12</f>
        <v/>
      </c>
      <c r="P169" s="2" t="str">
        <f>'MANUEL MONTT 2 &amp; 5'!O12</f>
        <v/>
      </c>
      <c r="Q169" s="2" t="str">
        <f>'MANUEL MONTT 2 &amp; 5'!P12</f>
        <v/>
      </c>
      <c r="R169" s="2" t="str">
        <f>'MANUEL MONTT 2 &amp; 5'!Q12</f>
        <v/>
      </c>
      <c r="S169" s="2" t="str">
        <f>'MANUEL MONTT 2 &amp; 5'!R12</f>
        <v/>
      </c>
      <c r="T169" s="2" t="str">
        <f>'MANUEL MONTT 2 &amp; 5'!S12</f>
        <v/>
      </c>
      <c r="U169" s="2" t="str">
        <f>'MANUEL MONTT 2 &amp; 5'!T12</f>
        <v/>
      </c>
      <c r="V169" s="2" t="str">
        <f>'MANUEL MONTT 2 &amp; 5'!U12</f>
        <v/>
      </c>
      <c r="W169" s="2" t="str">
        <f>'MANUEL MONTT 2 &amp; 5'!V12</f>
        <v/>
      </c>
      <c r="X169" s="2" t="str">
        <f>'MANUEL MONTT 2 &amp; 5'!W12</f>
        <v/>
      </c>
      <c r="Y169" s="2" t="str">
        <f>'MANUEL MONTT 2 &amp; 5'!X12</f>
        <v/>
      </c>
      <c r="Z169" s="2" t="str">
        <f>'MANUEL MONTT 2 &amp; 5'!Y12</f>
        <v/>
      </c>
      <c r="AA169" s="2" t="str">
        <f>'MANUEL MONTT 2 &amp; 5'!Z12</f>
        <v/>
      </c>
      <c r="AB169" s="2" t="str">
        <f>'MANUEL MONTT 2 &amp; 5'!AA12</f>
        <v/>
      </c>
      <c r="AC169" s="2" t="str">
        <f>'MANUEL MONTT 2 &amp; 5'!AB12</f>
        <v/>
      </c>
      <c r="AD169" s="2">
        <f>'MANUEL MONTT 2 &amp; 5'!AC12</f>
        <v>0</v>
      </c>
      <c r="AE169" s="2">
        <f>'MANUEL MONTT 2 &amp; 5'!AD12</f>
        <v>2</v>
      </c>
      <c r="AF169" s="2">
        <f>'MANUEL MONTT 2 &amp; 5'!AE12</f>
        <v>2</v>
      </c>
      <c r="AG169" s="2">
        <f>'MANUEL MONTT 2 &amp; 5'!AF12</f>
        <v>2</v>
      </c>
      <c r="AH169" s="2">
        <f>'MANUEL MONTT 2 &amp; 5'!AG12</f>
        <v>1</v>
      </c>
      <c r="AI169" s="2">
        <f>'MANUEL MONTT 2 &amp; 5'!AH12</f>
        <v>1</v>
      </c>
      <c r="AJ169" s="2">
        <f>'MANUEL MONTT 2 &amp; 5'!AI12</f>
        <v>1</v>
      </c>
      <c r="AK169" s="2">
        <f>'MANUEL MONTT 2 &amp; 5'!AJ12</f>
        <v>1</v>
      </c>
      <c r="AL169" s="2">
        <f>'MANUEL MONTT 2 &amp; 5'!AK12</f>
        <v>1</v>
      </c>
      <c r="AM169" s="2">
        <f>'MANUEL MONTT 2 &amp; 5'!AL12</f>
        <v>1</v>
      </c>
      <c r="AN169" s="2">
        <f>'MANUEL MONTT 2 &amp; 5'!AM12</f>
        <v>1</v>
      </c>
      <c r="AO169" s="2">
        <f>'MANUEL MONTT 2 &amp; 5'!AN12</f>
        <v>1</v>
      </c>
      <c r="AP169" s="2">
        <f>'MANUEL MONTT 2 &amp; 5'!AO12</f>
        <v>1</v>
      </c>
      <c r="AQ169" s="2">
        <f>'MANUEL MONTT 2 &amp; 5'!AP12</f>
        <v>1</v>
      </c>
      <c r="AR169" s="2">
        <f>'MANUEL MONTT 2 &amp; 5'!AQ12</f>
        <v>1</v>
      </c>
      <c r="AS169" s="2">
        <f>'MANUEL MONTT 2 &amp; 5'!AR12</f>
        <v>1</v>
      </c>
      <c r="AT169" s="2">
        <f>'MANUEL MONTT 2 &amp; 5'!AS12</f>
        <v>1</v>
      </c>
      <c r="AU169" s="2">
        <f>'MANUEL MONTT 2 &amp; 5'!AT12</f>
        <v>1</v>
      </c>
      <c r="AV169" s="2">
        <f>'MANUEL MONTT 2 &amp; 5'!AU12</f>
        <v>1</v>
      </c>
      <c r="AW169" s="2">
        <f>'MANUEL MONTT 2 &amp; 5'!AV12</f>
        <v>2</v>
      </c>
      <c r="AX169" s="2">
        <f>'MANUEL MONTT 2 &amp; 5'!AW12</f>
        <v>2</v>
      </c>
      <c r="AY169" s="2" t="str">
        <f>'MANUEL MONTT 2 &amp; 5'!AX12</f>
        <v/>
      </c>
      <c r="AZ169" s="2" t="str">
        <f>'MANUEL MONTT 2 &amp; 5'!AY12</f>
        <v/>
      </c>
      <c r="BA169" s="2" t="str">
        <f>'MANUEL MONTT 2 &amp; 5'!AZ12</f>
        <v/>
      </c>
      <c r="BB169" s="2" t="str">
        <f>'MANUEL MONTT 2 &amp; 5'!BA12</f>
        <v/>
      </c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</row>
    <row r="170">
      <c r="A170" s="2" t="str">
        <f t="shared" si="184"/>
        <v>Bolsas Basura 50x70Manuel Montt piso 2</v>
      </c>
      <c r="B170" s="2" t="str">
        <f>'MANUEL MONTT 2 &amp; 5'!A13</f>
        <v>Manuel Montt piso 2</v>
      </c>
      <c r="C170" s="2" t="str">
        <f>'MANUEL MONTT 2 &amp; 5'!B13</f>
        <v>Aseo</v>
      </c>
      <c r="D170" s="2" t="str">
        <f>'MANUEL MONTT 2 &amp; 5'!C13</f>
        <v>Bolsas Basura 50x70</v>
      </c>
      <c r="E170" s="2" t="str">
        <f>'MANUEL MONTT 2 &amp; 5'!D13</f>
        <v/>
      </c>
      <c r="F170" s="2" t="str">
        <f>'MANUEL MONTT 2 &amp; 5'!E13</f>
        <v/>
      </c>
      <c r="G170" s="2" t="str">
        <f>'MANUEL MONTT 2 &amp; 5'!F13</f>
        <v/>
      </c>
      <c r="H170" s="2" t="str">
        <f>'MANUEL MONTT 2 &amp; 5'!G13</f>
        <v/>
      </c>
      <c r="I170" s="2" t="str">
        <f>'MANUEL MONTT 2 &amp; 5'!H13</f>
        <v/>
      </c>
      <c r="J170" s="2" t="str">
        <f>'MANUEL MONTT 2 &amp; 5'!I13</f>
        <v/>
      </c>
      <c r="K170" s="2" t="str">
        <f>'MANUEL MONTT 2 &amp; 5'!J13</f>
        <v/>
      </c>
      <c r="L170" s="2" t="str">
        <f>'MANUEL MONTT 2 &amp; 5'!K13</f>
        <v/>
      </c>
      <c r="M170" s="2" t="str">
        <f>'MANUEL MONTT 2 &amp; 5'!L13</f>
        <v/>
      </c>
      <c r="N170" s="2" t="str">
        <f>'MANUEL MONTT 2 &amp; 5'!M13</f>
        <v/>
      </c>
      <c r="O170" s="2" t="str">
        <f>'MANUEL MONTT 2 &amp; 5'!N13</f>
        <v/>
      </c>
      <c r="P170" s="2" t="str">
        <f>'MANUEL MONTT 2 &amp; 5'!O13</f>
        <v/>
      </c>
      <c r="Q170" s="2" t="str">
        <f>'MANUEL MONTT 2 &amp; 5'!P13</f>
        <v/>
      </c>
      <c r="R170" s="2" t="str">
        <f>'MANUEL MONTT 2 &amp; 5'!Q13</f>
        <v/>
      </c>
      <c r="S170" s="2" t="str">
        <f>'MANUEL MONTT 2 &amp; 5'!R13</f>
        <v/>
      </c>
      <c r="T170" s="2" t="str">
        <f>'MANUEL MONTT 2 &amp; 5'!S13</f>
        <v/>
      </c>
      <c r="U170" s="2" t="str">
        <f>'MANUEL MONTT 2 &amp; 5'!T13</f>
        <v/>
      </c>
      <c r="V170" s="2" t="str">
        <f>'MANUEL MONTT 2 &amp; 5'!U13</f>
        <v/>
      </c>
      <c r="W170" s="2" t="str">
        <f>'MANUEL MONTT 2 &amp; 5'!V13</f>
        <v/>
      </c>
      <c r="X170" s="2" t="str">
        <f>'MANUEL MONTT 2 &amp; 5'!W13</f>
        <v/>
      </c>
      <c r="Y170" s="2" t="str">
        <f>'MANUEL MONTT 2 &amp; 5'!X13</f>
        <v/>
      </c>
      <c r="Z170" s="2" t="str">
        <f>'MANUEL MONTT 2 &amp; 5'!Y13</f>
        <v/>
      </c>
      <c r="AA170" s="2" t="str">
        <f>'MANUEL MONTT 2 &amp; 5'!Z13</f>
        <v/>
      </c>
      <c r="AB170" s="2" t="str">
        <f>'MANUEL MONTT 2 &amp; 5'!AA13</f>
        <v/>
      </c>
      <c r="AC170" s="2" t="str">
        <f>'MANUEL MONTT 2 &amp; 5'!AB13</f>
        <v/>
      </c>
      <c r="AD170" s="2" t="str">
        <f>'MANUEL MONTT 2 &amp; 5'!AC13</f>
        <v>50x70=12 70x90=15 80x110=16</v>
      </c>
      <c r="AE170" s="2" t="str">
        <f>'MANUEL MONTT 2 &amp; 5'!AD13</f>
        <v>50x70=37 70x90=15 80x110=16</v>
      </c>
      <c r="AF170" s="2" t="str">
        <f>'MANUEL MONTT 2 &amp; 5'!AE13</f>
        <v>50x70=37 70x90=15 80x110=16</v>
      </c>
      <c r="AG170" s="2" t="str">
        <f>'MANUEL MONTT 2 &amp; 5'!AF13</f>
        <v>50x70= 36 70x90= 14 80x110= 16</v>
      </c>
      <c r="AH170" s="2" t="str">
        <f>'MANUEL MONTT 2 &amp; 5'!AG13</f>
        <v>50x70= 25 70x90= 14 80x110= 12</v>
      </c>
      <c r="AI170" s="2" t="str">
        <f>'MANUEL MONTT 2 &amp; 5'!AH13</f>
        <v>50x70= 25 70x90= 14 80x110= 12</v>
      </c>
      <c r="AJ170" s="2" t="str">
        <f>'MANUEL MONTT 2 &amp; 5'!AI13</f>
        <v>50x70= 22  70x90=  80x110= 11</v>
      </c>
      <c r="AK170" s="2" t="str">
        <f>'MANUEL MONTT 2 &amp; 5'!AJ13</f>
        <v>50x70= 16  70x90= 0  80x110= 10</v>
      </c>
      <c r="AL170" s="2" t="str">
        <f>'MANUEL MONTT 2 &amp; 5'!AK13</f>
        <v>50x70= 14  70x90= 0  80x110= 8</v>
      </c>
      <c r="AM170" s="2" t="str">
        <f>'MANUEL MONTT 2 &amp; 5'!AL13</f>
        <v>50x70=15   70x90= 0   80x110= 7 </v>
      </c>
      <c r="AN170" s="2" t="str">
        <f>'MANUEL MONTT 2 &amp; 5'!AM13</f>
        <v>50x70=  12 70x90= 0   80x110= 6</v>
      </c>
      <c r="AO170" s="2" t="str">
        <f>'MANUEL MONTT 2 &amp; 5'!AN13</f>
        <v>50x70=   70x90= 0   80x110= </v>
      </c>
      <c r="AP170" s="2" t="str">
        <f>'MANUEL MONTT 2 &amp; 5'!AO13</f>
        <v>50x70=   70x90= 0   80x110= </v>
      </c>
      <c r="AQ170" s="2">
        <f>'MANUEL MONTT 2 &amp; 5'!AP13</f>
        <v>21</v>
      </c>
      <c r="AR170" s="2">
        <f>'MANUEL MONTT 2 &amp; 5'!AQ13</f>
        <v>18</v>
      </c>
      <c r="AS170" s="2">
        <f>'MANUEL MONTT 2 &amp; 5'!AR13</f>
        <v>16</v>
      </c>
      <c r="AT170" s="2">
        <f>'MANUEL MONTT 2 &amp; 5'!AS13</f>
        <v>16</v>
      </c>
      <c r="AU170" s="2">
        <f>'MANUEL MONTT 2 &amp; 5'!AT13</f>
        <v>15</v>
      </c>
      <c r="AV170" s="2">
        <f>'MANUEL MONTT 2 &amp; 5'!AU13</f>
        <v>14</v>
      </c>
      <c r="AW170" s="2">
        <f>'MANUEL MONTT 2 &amp; 5'!AV13</f>
        <v>21</v>
      </c>
      <c r="AX170" s="2">
        <f>'MANUEL MONTT 2 &amp; 5'!AW13</f>
        <v>21</v>
      </c>
      <c r="AY170" s="2" t="str">
        <f>'MANUEL MONTT 2 &amp; 5'!AX13</f>
        <v/>
      </c>
      <c r="AZ170" s="2" t="str">
        <f>'MANUEL MONTT 2 &amp; 5'!AY13</f>
        <v/>
      </c>
      <c r="BA170" s="2" t="str">
        <f>'MANUEL MONTT 2 &amp; 5'!AZ13</f>
        <v/>
      </c>
      <c r="BB170" s="2" t="str">
        <f>'MANUEL MONTT 2 &amp; 5'!BA13</f>
        <v/>
      </c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</row>
    <row r="171">
      <c r="A171" s="2" t="str">
        <f t="shared" si="184"/>
        <v>Esponja 4UManuel Montt piso 2</v>
      </c>
      <c r="B171" s="2" t="str">
        <f>'MANUEL MONTT 2 &amp; 5'!A16</f>
        <v>Manuel Montt piso 2</v>
      </c>
      <c r="C171" s="2" t="str">
        <f>'MANUEL MONTT 2 &amp; 5'!B16</f>
        <v>Aseo</v>
      </c>
      <c r="D171" s="2" t="str">
        <f>'MANUEL MONTT 2 &amp; 5'!C16</f>
        <v>Esponja 4U</v>
      </c>
      <c r="E171" s="2" t="str">
        <f>'MANUEL MONTT 2 &amp; 5'!D16</f>
        <v/>
      </c>
      <c r="F171" s="2" t="str">
        <f>'MANUEL MONTT 2 &amp; 5'!E16</f>
        <v/>
      </c>
      <c r="G171" s="2" t="str">
        <f>'MANUEL MONTT 2 &amp; 5'!F16</f>
        <v/>
      </c>
      <c r="H171" s="2" t="str">
        <f>'MANUEL MONTT 2 &amp; 5'!G16</f>
        <v/>
      </c>
      <c r="I171" s="2" t="str">
        <f>'MANUEL MONTT 2 &amp; 5'!H16</f>
        <v/>
      </c>
      <c r="J171" s="2" t="str">
        <f>'MANUEL MONTT 2 &amp; 5'!I16</f>
        <v/>
      </c>
      <c r="K171" s="2" t="str">
        <f>'MANUEL MONTT 2 &amp; 5'!J16</f>
        <v/>
      </c>
      <c r="L171" s="2" t="str">
        <f>'MANUEL MONTT 2 &amp; 5'!K16</f>
        <v/>
      </c>
      <c r="M171" s="2" t="str">
        <f>'MANUEL MONTT 2 &amp; 5'!L16</f>
        <v/>
      </c>
      <c r="N171" s="2" t="str">
        <f>'MANUEL MONTT 2 &amp; 5'!M16</f>
        <v/>
      </c>
      <c r="O171" s="2" t="str">
        <f>'MANUEL MONTT 2 &amp; 5'!N16</f>
        <v/>
      </c>
      <c r="P171" s="2" t="str">
        <f>'MANUEL MONTT 2 &amp; 5'!O16</f>
        <v/>
      </c>
      <c r="Q171" s="2" t="str">
        <f>'MANUEL MONTT 2 &amp; 5'!P16</f>
        <v/>
      </c>
      <c r="R171" s="2" t="str">
        <f>'MANUEL MONTT 2 &amp; 5'!Q16</f>
        <v/>
      </c>
      <c r="S171" s="2" t="str">
        <f>'MANUEL MONTT 2 &amp; 5'!R16</f>
        <v/>
      </c>
      <c r="T171" s="2" t="str">
        <f>'MANUEL MONTT 2 &amp; 5'!S16</f>
        <v/>
      </c>
      <c r="U171" s="2" t="str">
        <f>'MANUEL MONTT 2 &amp; 5'!T16</f>
        <v/>
      </c>
      <c r="V171" s="2" t="str">
        <f>'MANUEL MONTT 2 &amp; 5'!U16</f>
        <v/>
      </c>
      <c r="W171" s="2" t="str">
        <f>'MANUEL MONTT 2 &amp; 5'!V16</f>
        <v/>
      </c>
      <c r="X171" s="2" t="str">
        <f>'MANUEL MONTT 2 &amp; 5'!W16</f>
        <v/>
      </c>
      <c r="Y171" s="2" t="str">
        <f>'MANUEL MONTT 2 &amp; 5'!X16</f>
        <v/>
      </c>
      <c r="Z171" s="2" t="str">
        <f>'MANUEL MONTT 2 &amp; 5'!Y16</f>
        <v/>
      </c>
      <c r="AA171" s="2" t="str">
        <f>'MANUEL MONTT 2 &amp; 5'!Z16</f>
        <v/>
      </c>
      <c r="AB171" s="2" t="str">
        <f>'MANUEL MONTT 2 &amp; 5'!AA16</f>
        <v/>
      </c>
      <c r="AC171" s="2" t="str">
        <f>'MANUEL MONTT 2 &amp; 5'!AB16</f>
        <v/>
      </c>
      <c r="AD171" s="2">
        <f>'MANUEL MONTT 2 &amp; 5'!AC16</f>
        <v>1</v>
      </c>
      <c r="AE171" s="2" t="str">
        <f>'MANUEL MONTT 2 &amp; 5'!AD16</f>
        <v>8U</v>
      </c>
      <c r="AF171" s="2" t="str">
        <f>'MANUEL MONTT 2 &amp; 5'!AE16</f>
        <v>8U</v>
      </c>
      <c r="AG171" s="2" t="str">
        <f>'MANUEL MONTT 2 &amp; 5'!AF16</f>
        <v>8U</v>
      </c>
      <c r="AH171" s="2" t="str">
        <f>'MANUEL MONTT 2 &amp; 5'!AG16</f>
        <v>7U</v>
      </c>
      <c r="AI171" s="2" t="str">
        <f>'MANUEL MONTT 2 &amp; 5'!AH16</f>
        <v>7U</v>
      </c>
      <c r="AJ171" s="2">
        <f>'MANUEL MONTT 2 &amp; 5'!AI16</f>
        <v>6</v>
      </c>
      <c r="AK171" s="2">
        <f>'MANUEL MONTT 2 &amp; 5'!AJ16</f>
        <v>5</v>
      </c>
      <c r="AL171" s="2">
        <f>'MANUEL MONTT 2 &amp; 5'!AK16</f>
        <v>4</v>
      </c>
      <c r="AM171" s="2">
        <f>'MANUEL MONTT 2 &amp; 5'!AL16</f>
        <v>4</v>
      </c>
      <c r="AN171" s="2" t="str">
        <f>'MANUEL MONTT 2 &amp; 5'!AM16</f>
        <v/>
      </c>
      <c r="AO171" s="2" t="str">
        <f>'MANUEL MONTT 2 &amp; 5'!AN16</f>
        <v>3U</v>
      </c>
      <c r="AP171" s="2" t="str">
        <f>'MANUEL MONTT 2 &amp; 5'!AO16</f>
        <v>3U</v>
      </c>
      <c r="AQ171" s="2" t="str">
        <f>'MANUEL MONTT 2 &amp; 5'!AP16</f>
        <v>8U</v>
      </c>
      <c r="AR171" s="2" t="str">
        <f>'MANUEL MONTT 2 &amp; 5'!AQ16</f>
        <v>8U</v>
      </c>
      <c r="AS171" s="2" t="str">
        <f>'MANUEL MONTT 2 &amp; 5'!AR16</f>
        <v>8U</v>
      </c>
      <c r="AT171" s="2" t="str">
        <f>'MANUEL MONTT 2 &amp; 5'!AS16</f>
        <v>7U</v>
      </c>
      <c r="AU171" s="2" t="str">
        <f>'MANUEL MONTT 2 &amp; 5'!AT16</f>
        <v>7U</v>
      </c>
      <c r="AV171" s="2" t="str">
        <f>'MANUEL MONTT 2 &amp; 5'!AU16</f>
        <v>6U</v>
      </c>
      <c r="AW171" s="2">
        <f>'MANUEL MONTT 2 &amp; 5'!AV16</f>
        <v>11</v>
      </c>
      <c r="AX171" s="2" t="str">
        <f>'MANUEL MONTT 2 &amp; 5'!AW16</f>
        <v>8U</v>
      </c>
      <c r="AY171" s="2" t="str">
        <f>'MANUEL MONTT 2 &amp; 5'!AX16</f>
        <v/>
      </c>
      <c r="AZ171" s="2" t="str">
        <f>'MANUEL MONTT 2 &amp; 5'!AY16</f>
        <v/>
      </c>
      <c r="BA171" s="2" t="str">
        <f>'MANUEL MONTT 2 &amp; 5'!AZ16</f>
        <v/>
      </c>
      <c r="BB171" s="2" t="str">
        <f>'MANUEL MONTT 2 &amp; 5'!BA16</f>
        <v/>
      </c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</row>
    <row r="172">
      <c r="A172" s="2" t="str">
        <f t="shared" si="184"/>
        <v>Mopa RedondaManuel Montt piso 2</v>
      </c>
      <c r="B172" s="2" t="str">
        <f>'MANUEL MONTT 2 &amp; 5'!A17</f>
        <v>Manuel Montt piso 2</v>
      </c>
      <c r="C172" s="2" t="str">
        <f>'MANUEL MONTT 2 &amp; 5'!B17</f>
        <v>Aseo</v>
      </c>
      <c r="D172" s="2" t="str">
        <f>'MANUEL MONTT 2 &amp; 5'!C17</f>
        <v>Mopa Redonda</v>
      </c>
      <c r="E172" s="2" t="str">
        <f>'MANUEL MONTT 2 &amp; 5'!D17</f>
        <v/>
      </c>
      <c r="F172" s="2" t="str">
        <f>'MANUEL MONTT 2 &amp; 5'!E17</f>
        <v/>
      </c>
      <c r="G172" s="2" t="str">
        <f>'MANUEL MONTT 2 &amp; 5'!F17</f>
        <v/>
      </c>
      <c r="H172" s="2" t="str">
        <f>'MANUEL MONTT 2 &amp; 5'!G17</f>
        <v/>
      </c>
      <c r="I172" s="2" t="str">
        <f>'MANUEL MONTT 2 &amp; 5'!H17</f>
        <v/>
      </c>
      <c r="J172" s="2" t="str">
        <f>'MANUEL MONTT 2 &amp; 5'!I17</f>
        <v/>
      </c>
      <c r="K172" s="2" t="str">
        <f>'MANUEL MONTT 2 &amp; 5'!J17</f>
        <v/>
      </c>
      <c r="L172" s="2" t="str">
        <f>'MANUEL MONTT 2 &amp; 5'!K17</f>
        <v/>
      </c>
      <c r="M172" s="2" t="str">
        <f>'MANUEL MONTT 2 &amp; 5'!L17</f>
        <v/>
      </c>
      <c r="N172" s="2" t="str">
        <f>'MANUEL MONTT 2 &amp; 5'!M17</f>
        <v/>
      </c>
      <c r="O172" s="2" t="str">
        <f>'MANUEL MONTT 2 &amp; 5'!N17</f>
        <v/>
      </c>
      <c r="P172" s="2" t="str">
        <f>'MANUEL MONTT 2 &amp; 5'!O17</f>
        <v/>
      </c>
      <c r="Q172" s="2" t="str">
        <f>'MANUEL MONTT 2 &amp; 5'!P17</f>
        <v/>
      </c>
      <c r="R172" s="2" t="str">
        <f>'MANUEL MONTT 2 &amp; 5'!Q17</f>
        <v/>
      </c>
      <c r="S172" s="2" t="str">
        <f>'MANUEL MONTT 2 &amp; 5'!R17</f>
        <v/>
      </c>
      <c r="T172" s="2" t="str">
        <f>'MANUEL MONTT 2 &amp; 5'!S17</f>
        <v/>
      </c>
      <c r="U172" s="2" t="str">
        <f>'MANUEL MONTT 2 &amp; 5'!T17</f>
        <v/>
      </c>
      <c r="V172" s="2" t="str">
        <f>'MANUEL MONTT 2 &amp; 5'!U17</f>
        <v/>
      </c>
      <c r="W172" s="2" t="str">
        <f>'MANUEL MONTT 2 &amp; 5'!V17</f>
        <v/>
      </c>
      <c r="X172" s="2" t="str">
        <f>'MANUEL MONTT 2 &amp; 5'!W17</f>
        <v/>
      </c>
      <c r="Y172" s="2" t="str">
        <f>'MANUEL MONTT 2 &amp; 5'!X17</f>
        <v/>
      </c>
      <c r="Z172" s="2" t="str">
        <f>'MANUEL MONTT 2 &amp; 5'!Y17</f>
        <v/>
      </c>
      <c r="AA172" s="2" t="str">
        <f>'MANUEL MONTT 2 &amp; 5'!Z17</f>
        <v/>
      </c>
      <c r="AB172" s="2" t="str">
        <f>'MANUEL MONTT 2 &amp; 5'!AA17</f>
        <v/>
      </c>
      <c r="AC172" s="2" t="str">
        <f>'MANUEL MONTT 2 &amp; 5'!AB17</f>
        <v/>
      </c>
      <c r="AD172" s="2">
        <f>'MANUEL MONTT 2 &amp; 5'!AC17</f>
        <v>0</v>
      </c>
      <c r="AE172" s="2">
        <f>'MANUEL MONTT 2 &amp; 5'!AD17</f>
        <v>1</v>
      </c>
      <c r="AF172" s="2">
        <f>'MANUEL MONTT 2 &amp; 5'!AE17</f>
        <v>0</v>
      </c>
      <c r="AG172" s="2">
        <f>'MANUEL MONTT 2 &amp; 5'!AF17</f>
        <v>0</v>
      </c>
      <c r="AH172" s="2">
        <f>'MANUEL MONTT 2 &amp; 5'!AG17</f>
        <v>0</v>
      </c>
      <c r="AI172" s="2">
        <f>'MANUEL MONTT 2 &amp; 5'!AH17</f>
        <v>0</v>
      </c>
      <c r="AJ172" s="2">
        <f>'MANUEL MONTT 2 &amp; 5'!AI17</f>
        <v>0</v>
      </c>
      <c r="AK172" s="2">
        <f>'MANUEL MONTT 2 &amp; 5'!AJ17</f>
        <v>0</v>
      </c>
      <c r="AL172" s="2">
        <f>'MANUEL MONTT 2 &amp; 5'!AK17</f>
        <v>0</v>
      </c>
      <c r="AM172" s="2">
        <f>'MANUEL MONTT 2 &amp; 5'!AL17</f>
        <v>0</v>
      </c>
      <c r="AN172" s="2">
        <f>'MANUEL MONTT 2 &amp; 5'!AM17</f>
        <v>0</v>
      </c>
      <c r="AO172" s="2">
        <f>'MANUEL MONTT 2 &amp; 5'!AN17</f>
        <v>0</v>
      </c>
      <c r="AP172" s="2">
        <f>'MANUEL MONTT 2 &amp; 5'!AO17</f>
        <v>0</v>
      </c>
      <c r="AQ172" s="2">
        <f>'MANUEL MONTT 2 &amp; 5'!AP17</f>
        <v>1</v>
      </c>
      <c r="AR172" s="2">
        <f>'MANUEL MONTT 2 &amp; 5'!AQ17</f>
        <v>1</v>
      </c>
      <c r="AS172" s="2">
        <f>'MANUEL MONTT 2 &amp; 5'!AR17</f>
        <v>1</v>
      </c>
      <c r="AT172" s="2">
        <f>'MANUEL MONTT 2 &amp; 5'!AS17</f>
        <v>0</v>
      </c>
      <c r="AU172" s="2">
        <f>'MANUEL MONTT 2 &amp; 5'!AT17</f>
        <v>0</v>
      </c>
      <c r="AV172" s="2">
        <f>'MANUEL MONTT 2 &amp; 5'!AU17</f>
        <v>0</v>
      </c>
      <c r="AW172" s="2">
        <f>'MANUEL MONTT 2 &amp; 5'!AV17</f>
        <v>2</v>
      </c>
      <c r="AX172" s="2">
        <f>'MANUEL MONTT 2 &amp; 5'!AW17</f>
        <v>2</v>
      </c>
      <c r="AY172" s="2" t="str">
        <f>'MANUEL MONTT 2 &amp; 5'!AX17</f>
        <v/>
      </c>
      <c r="AZ172" s="2" t="str">
        <f>'MANUEL MONTT 2 &amp; 5'!AY17</f>
        <v/>
      </c>
      <c r="BA172" s="2" t="str">
        <f>'MANUEL MONTT 2 &amp; 5'!AZ17</f>
        <v/>
      </c>
      <c r="BB172" s="2" t="str">
        <f>'MANUEL MONTT 2 &amp; 5'!BA17</f>
        <v/>
      </c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</row>
    <row r="173">
      <c r="A173" s="2" t="str">
        <f t="shared" si="184"/>
        <v>Cafe Grano (KG)Manuel Montt piso 5</v>
      </c>
      <c r="B173" s="2" t="str">
        <f>'MANUEL MONTT 2 &amp; 5'!A18</f>
        <v>Manuel Montt piso 5</v>
      </c>
      <c r="C173" s="2" t="str">
        <f>'MANUEL MONTT 2 &amp; 5'!B18</f>
        <v>Cafeteria</v>
      </c>
      <c r="D173" s="2" t="str">
        <f>'MANUEL MONTT 2 &amp; 5'!C18</f>
        <v>Cafe Grano (KG)</v>
      </c>
      <c r="E173" s="2">
        <f>'MANUEL MONTT 2 &amp; 5'!D18</f>
        <v>0</v>
      </c>
      <c r="F173" s="2">
        <f>'MANUEL MONTT 2 &amp; 5'!E18</f>
        <v>0</v>
      </c>
      <c r="G173" s="2" t="str">
        <f>'MANUEL MONTT 2 &amp; 5'!F18</f>
        <v>4 Kg</v>
      </c>
      <c r="H173" s="2" t="str">
        <f>'MANUEL MONTT 2 &amp; 5'!G18</f>
        <v>1 Kg</v>
      </c>
      <c r="I173" s="2">
        <f>'MANUEL MONTT 2 &amp; 5'!H18</f>
        <v>0</v>
      </c>
      <c r="J173" s="2">
        <f>'MANUEL MONTT 2 &amp; 5'!I18</f>
        <v>0</v>
      </c>
      <c r="K173" s="2">
        <f>'MANUEL MONTT 2 &amp; 5'!J18</f>
        <v>3</v>
      </c>
      <c r="L173" s="2" t="str">
        <f>'MANUEL MONTT 2 &amp; 5'!K18</f>
        <v>500 grs</v>
      </c>
      <c r="M173" s="2">
        <f>'MANUEL MONTT 2 &amp; 5'!L18</f>
        <v>5</v>
      </c>
      <c r="N173" s="2" t="str">
        <f>'MANUEL MONTT 2 &amp; 5'!M18</f>
        <v>2.5 KG</v>
      </c>
      <c r="O173" s="2">
        <f>'MANUEL MONTT 2 &amp; 5'!N18</f>
        <v>2</v>
      </c>
      <c r="P173" s="2">
        <f>'MANUEL MONTT 2 &amp; 5'!O18</f>
        <v>4</v>
      </c>
      <c r="Q173" s="2">
        <f>'MANUEL MONTT 2 &amp; 5'!P18</f>
        <v>3</v>
      </c>
      <c r="R173" s="2">
        <f>'MANUEL MONTT 2 &amp; 5'!Q18</f>
        <v>1</v>
      </c>
      <c r="S173" s="2">
        <f>'MANUEL MONTT 2 &amp; 5'!R18</f>
        <v>2</v>
      </c>
      <c r="T173" s="2">
        <f>'MANUEL MONTT 2 &amp; 5'!S18</f>
        <v>0</v>
      </c>
      <c r="U173" s="2">
        <f>'MANUEL MONTT 2 &amp; 5'!T18</f>
        <v>0</v>
      </c>
      <c r="V173" s="2">
        <f>'MANUEL MONTT 2 &amp; 5'!U18</f>
        <v>4.5</v>
      </c>
      <c r="W173" s="2">
        <f>'MANUEL MONTT 2 &amp; 5'!V18</f>
        <v>2.5</v>
      </c>
      <c r="X173" s="2">
        <f>'MANUEL MONTT 2 &amp; 5'!W18</f>
        <v>5</v>
      </c>
      <c r="Y173" s="2">
        <f>'MANUEL MONTT 2 &amp; 5'!X18</f>
        <v>4</v>
      </c>
      <c r="Z173" s="2">
        <f>'MANUEL MONTT 2 &amp; 5'!Y18</f>
        <v>3</v>
      </c>
      <c r="AA173" s="2">
        <f>'MANUEL MONTT 2 &amp; 5'!Z18</f>
        <v>2</v>
      </c>
      <c r="AB173" s="2">
        <f>'MANUEL MONTT 2 &amp; 5'!AA18</f>
        <v>1</v>
      </c>
      <c r="AC173" s="2">
        <f>'MANUEL MONTT 2 &amp; 5'!AB18</f>
        <v>1</v>
      </c>
      <c r="AD173" s="2">
        <f>'MANUEL MONTT 2 &amp; 5'!AC18</f>
        <v>1</v>
      </c>
      <c r="AE173" s="2">
        <f>'MANUEL MONTT 2 &amp; 5'!AD18</f>
        <v>4.5</v>
      </c>
      <c r="AF173" s="2">
        <f>'MANUEL MONTT 2 &amp; 5'!AE18</f>
        <v>4</v>
      </c>
      <c r="AG173" s="2">
        <f>'MANUEL MONTT 2 &amp; 5'!AF18</f>
        <v>3.5</v>
      </c>
      <c r="AH173" s="2">
        <f>'MANUEL MONTT 2 &amp; 5'!AG18</f>
        <v>3</v>
      </c>
      <c r="AI173" s="2">
        <f>'MANUEL MONTT 2 &amp; 5'!AH18</f>
        <v>3</v>
      </c>
      <c r="AJ173" s="2">
        <f>'MANUEL MONTT 2 &amp; 5'!AI18</f>
        <v>2</v>
      </c>
      <c r="AK173" s="2">
        <f>'MANUEL MONTT 2 &amp; 5'!AJ18</f>
        <v>6</v>
      </c>
      <c r="AL173" s="2">
        <f>'MANUEL MONTT 2 &amp; 5'!AK18</f>
        <v>5</v>
      </c>
      <c r="AM173" s="2" t="str">
        <f>'MANUEL MONTT 2 &amp; 5'!AL18</f>
        <v>4 1/2</v>
      </c>
      <c r="AN173" s="2">
        <f>'MANUEL MONTT 2 &amp; 5'!AM18</f>
        <v>4</v>
      </c>
      <c r="AO173" s="2">
        <f>'MANUEL MONTT 2 &amp; 5'!AN18</f>
        <v>1</v>
      </c>
      <c r="AP173" s="2" t="str">
        <f>'MANUEL MONTT 2 &amp; 5'!AO18</f>
        <v>5 1/2</v>
      </c>
      <c r="AQ173" s="2">
        <f>'MANUEL MONTT 2 &amp; 5'!AP18</f>
        <v>8</v>
      </c>
      <c r="AR173" s="2">
        <f>'MANUEL MONTT 2 &amp; 5'!AQ18</f>
        <v>7</v>
      </c>
      <c r="AS173" s="2">
        <f>'MANUEL MONTT 2 &amp; 5'!AR18</f>
        <v>8</v>
      </c>
      <c r="AT173" s="2" t="str">
        <f>'MANUEL MONTT 2 &amp; 5'!AS18</f>
        <v>7 1/2</v>
      </c>
      <c r="AU173" s="2">
        <f>'MANUEL MONTT 2 &amp; 5'!AT18</f>
        <v>7</v>
      </c>
      <c r="AV173" s="2">
        <f>'MANUEL MONTT 2 &amp; 5'!AU18</f>
        <v>6</v>
      </c>
      <c r="AW173" s="2" t="str">
        <f>'MANUEL MONTT 2 &amp; 5'!AV18</f>
        <v>6 1/2</v>
      </c>
      <c r="AX173" s="2">
        <f>'MANUEL MONTT 2 &amp; 5'!AW18</f>
        <v>6</v>
      </c>
      <c r="AY173" s="2" t="str">
        <f>'MANUEL MONTT 2 &amp; 5'!AX18</f>
        <v/>
      </c>
      <c r="AZ173" s="2" t="str">
        <f>'MANUEL MONTT 2 &amp; 5'!AY18</f>
        <v/>
      </c>
      <c r="BA173" s="2" t="str">
        <f>'MANUEL MONTT 2 &amp; 5'!AZ18</f>
        <v/>
      </c>
      <c r="BB173" s="2" t="str">
        <f>'MANUEL MONTT 2 &amp; 5'!BA18</f>
        <v/>
      </c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</row>
    <row r="174">
      <c r="A174" s="2" t="str">
        <f t="shared" si="184"/>
        <v>Toalla de Papel Jumbo (UN)Manuel Montt piso 5</v>
      </c>
      <c r="B174" s="2" t="str">
        <f>'MANUEL MONTT 2 &amp; 5'!A19</f>
        <v>Manuel Montt piso 5</v>
      </c>
      <c r="C174" s="2" t="str">
        <f>'MANUEL MONTT 2 &amp; 5'!B19</f>
        <v>Cafeteria</v>
      </c>
      <c r="D174" s="2" t="str">
        <f>'MANUEL MONTT 2 &amp; 5'!C19</f>
        <v>Toalla de Papel Jumbo (UN)</v>
      </c>
      <c r="E174" s="2">
        <f>'MANUEL MONTT 2 &amp; 5'!D19</f>
        <v>0</v>
      </c>
      <c r="F174" s="2">
        <f>'MANUEL MONTT 2 &amp; 5'!E19</f>
        <v>4</v>
      </c>
      <c r="G174" s="2">
        <f>'MANUEL MONTT 2 &amp; 5'!F19</f>
        <v>3</v>
      </c>
      <c r="H174" s="2">
        <f>'MANUEL MONTT 2 &amp; 5'!G19</f>
        <v>3</v>
      </c>
      <c r="I174" s="2">
        <f>'MANUEL MONTT 2 &amp; 5'!H19</f>
        <v>1</v>
      </c>
      <c r="J174" s="2">
        <f>'MANUEL MONTT 2 &amp; 5'!I19</f>
        <v>0</v>
      </c>
      <c r="K174" s="2">
        <f>'MANUEL MONTT 2 &amp; 5'!J19</f>
        <v>3</v>
      </c>
      <c r="L174" s="2">
        <f>'MANUEL MONTT 2 &amp; 5'!K19</f>
        <v>2</v>
      </c>
      <c r="M174" s="2">
        <f>'MANUEL MONTT 2 &amp; 5'!L19</f>
        <v>4</v>
      </c>
      <c r="N174" s="2">
        <f>'MANUEL MONTT 2 &amp; 5'!M19</f>
        <v>4</v>
      </c>
      <c r="O174" s="2">
        <f>'MANUEL MONTT 2 &amp; 5'!N19</f>
        <v>1</v>
      </c>
      <c r="P174" s="2">
        <f>'MANUEL MONTT 2 &amp; 5'!O19</f>
        <v>0</v>
      </c>
      <c r="Q174" s="2">
        <f>'MANUEL MONTT 2 &amp; 5'!P19</f>
        <v>4</v>
      </c>
      <c r="R174" s="2">
        <f>'MANUEL MONTT 2 &amp; 5'!Q19</f>
        <v>1</v>
      </c>
      <c r="S174" s="2">
        <f>'MANUEL MONTT 2 &amp; 5'!R19</f>
        <v>5</v>
      </c>
      <c r="T174" s="2">
        <f>'MANUEL MONTT 2 &amp; 5'!S19</f>
        <v>4</v>
      </c>
      <c r="U174" s="2">
        <f>'MANUEL MONTT 2 &amp; 5'!T19</f>
        <v>3</v>
      </c>
      <c r="V174" s="2">
        <f>'MANUEL MONTT 2 &amp; 5'!U19</f>
        <v>2</v>
      </c>
      <c r="W174" s="2">
        <f>'MANUEL MONTT 2 &amp; 5'!V19</f>
        <v>1</v>
      </c>
      <c r="X174" s="2">
        <f>'MANUEL MONTT 2 &amp; 5'!W19</f>
        <v>5</v>
      </c>
      <c r="Y174" s="2">
        <f>'MANUEL MONTT 2 &amp; 5'!X19</f>
        <v>4</v>
      </c>
      <c r="Z174" s="2">
        <f>'MANUEL MONTT 2 &amp; 5'!Y19</f>
        <v>6</v>
      </c>
      <c r="AA174" s="2">
        <f>'MANUEL MONTT 2 &amp; 5'!Z19</f>
        <v>4</v>
      </c>
      <c r="AB174" s="2">
        <f>'MANUEL MONTT 2 &amp; 5'!AA19</f>
        <v>3</v>
      </c>
      <c r="AC174" s="2" t="str">
        <f>'MANUEL MONTT 2 &amp; 5'!AB19</f>
        <v>2,5 P</v>
      </c>
      <c r="AD174" s="2" t="str">
        <f>'MANUEL MONTT 2 &amp; 5'!AC19</f>
        <v>4U</v>
      </c>
      <c r="AE174" s="2">
        <f>'MANUEL MONTT 2 &amp; 5'!AD19</f>
        <v>10</v>
      </c>
      <c r="AF174" s="2">
        <f>'MANUEL MONTT 2 &amp; 5'!AE19</f>
        <v>9</v>
      </c>
      <c r="AG174" s="2">
        <f>'MANUEL MONTT 2 &amp; 5'!AF19</f>
        <v>9</v>
      </c>
      <c r="AH174" s="2">
        <f>'MANUEL MONTT 2 &amp; 5'!AG19</f>
        <v>8</v>
      </c>
      <c r="AI174" s="2">
        <f>'MANUEL MONTT 2 &amp; 5'!AH19</f>
        <v>8</v>
      </c>
      <c r="AJ174" s="2">
        <f>'MANUEL MONTT 2 &amp; 5'!AI19</f>
        <v>7</v>
      </c>
      <c r="AK174" s="2">
        <f>'MANUEL MONTT 2 &amp; 5'!AJ19</f>
        <v>6</v>
      </c>
      <c r="AL174" s="2">
        <f>'MANUEL MONTT 2 &amp; 5'!AK19</f>
        <v>5</v>
      </c>
      <c r="AM174" s="2">
        <f>'MANUEL MONTT 2 &amp; 5'!AL19</f>
        <v>5</v>
      </c>
      <c r="AN174" s="2">
        <f>'MANUEL MONTT 2 &amp; 5'!AM19</f>
        <v>5</v>
      </c>
      <c r="AO174" s="2">
        <f>'MANUEL MONTT 2 &amp; 5'!AN19</f>
        <v>4</v>
      </c>
      <c r="AP174" s="2">
        <f>'MANUEL MONTT 2 &amp; 5'!AO19</f>
        <v>4</v>
      </c>
      <c r="AQ174" s="2">
        <f>'MANUEL MONTT 2 &amp; 5'!AP19</f>
        <v>9</v>
      </c>
      <c r="AR174" s="2">
        <f>'MANUEL MONTT 2 &amp; 5'!AQ19</f>
        <v>9</v>
      </c>
      <c r="AS174" s="2">
        <f>'MANUEL MONTT 2 &amp; 5'!AR19</f>
        <v>8</v>
      </c>
      <c r="AT174" s="2">
        <f>'MANUEL MONTT 2 &amp; 5'!AS19</f>
        <v>8</v>
      </c>
      <c r="AU174" s="2">
        <f>'MANUEL MONTT 2 &amp; 5'!AT19</f>
        <v>4</v>
      </c>
      <c r="AV174" s="2">
        <f>'MANUEL MONTT 2 &amp; 5'!AU19</f>
        <v>4</v>
      </c>
      <c r="AW174" s="2">
        <f>'MANUEL MONTT 2 &amp; 5'!AV19</f>
        <v>2</v>
      </c>
      <c r="AX174" s="2">
        <f>'MANUEL MONTT 2 &amp; 5'!AW19</f>
        <v>1</v>
      </c>
      <c r="AY174" s="2" t="str">
        <f>'MANUEL MONTT 2 &amp; 5'!AX19</f>
        <v/>
      </c>
      <c r="AZ174" s="2" t="str">
        <f>'MANUEL MONTT 2 &amp; 5'!AY19</f>
        <v/>
      </c>
      <c r="BA174" s="2" t="str">
        <f>'MANUEL MONTT 2 &amp; 5'!AZ19</f>
        <v/>
      </c>
      <c r="BB174" s="2" t="str">
        <f>'MANUEL MONTT 2 &amp; 5'!BA19</f>
        <v/>
      </c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</row>
    <row r="175">
      <c r="A175" s="2" t="str">
        <f t="shared" si="184"/>
        <v>Papel Higienico (UN)Manuel Montt piso 5</v>
      </c>
      <c r="B175" s="2" t="str">
        <f>'MANUEL MONTT 2 &amp; 5'!A20</f>
        <v>Manuel Montt piso 5</v>
      </c>
      <c r="C175" s="2" t="str">
        <f>'MANUEL MONTT 2 &amp; 5'!B20</f>
        <v>Cafeteria</v>
      </c>
      <c r="D175" s="2" t="str">
        <f>'MANUEL MONTT 2 &amp; 5'!C20</f>
        <v>Papel Higienico (UN)</v>
      </c>
      <c r="E175" s="2">
        <f>'MANUEL MONTT 2 &amp; 5'!D20</f>
        <v>0</v>
      </c>
      <c r="F175" s="2">
        <f>'MANUEL MONTT 2 &amp; 5'!E20</f>
        <v>6</v>
      </c>
      <c r="G175" s="2">
        <f>'MANUEL MONTT 2 &amp; 5'!F20</f>
        <v>5</v>
      </c>
      <c r="H175" s="2">
        <f>'MANUEL MONTT 2 &amp; 5'!G20</f>
        <v>2</v>
      </c>
      <c r="I175" s="2">
        <f>'MANUEL MONTT 2 &amp; 5'!H20</f>
        <v>1</v>
      </c>
      <c r="J175" s="2">
        <f>'MANUEL MONTT 2 &amp; 5'!I20</f>
        <v>0</v>
      </c>
      <c r="K175" s="2">
        <f>'MANUEL MONTT 2 &amp; 5'!J20</f>
        <v>4</v>
      </c>
      <c r="L175" s="2">
        <f>'MANUEL MONTT 2 &amp; 5'!K20</f>
        <v>3</v>
      </c>
      <c r="M175" s="2">
        <f>'MANUEL MONTT 2 &amp; 5'!L20</f>
        <v>10</v>
      </c>
      <c r="N175" s="2">
        <f>'MANUEL MONTT 2 &amp; 5'!M20</f>
        <v>8</v>
      </c>
      <c r="O175" s="2">
        <f>'MANUEL MONTT 2 &amp; 5'!N20</f>
        <v>6</v>
      </c>
      <c r="P175" s="2">
        <f>'MANUEL MONTT 2 &amp; 5'!O20</f>
        <v>3</v>
      </c>
      <c r="Q175" s="2">
        <f>'MANUEL MONTT 2 &amp; 5'!P20</f>
        <v>4</v>
      </c>
      <c r="R175" s="2">
        <f>'MANUEL MONTT 2 &amp; 5'!Q20</f>
        <v>6</v>
      </c>
      <c r="S175" s="2">
        <f>'MANUEL MONTT 2 &amp; 5'!R20</f>
        <v>5</v>
      </c>
      <c r="T175" s="2">
        <f>'MANUEL MONTT 2 &amp; 5'!S20</f>
        <v>4</v>
      </c>
      <c r="U175" s="2">
        <f>'MANUEL MONTT 2 &amp; 5'!T20</f>
        <v>4</v>
      </c>
      <c r="V175" s="2">
        <f>'MANUEL MONTT 2 &amp; 5'!U20</f>
        <v>2</v>
      </c>
      <c r="W175" s="2">
        <f>'MANUEL MONTT 2 &amp; 5'!V20</f>
        <v>1</v>
      </c>
      <c r="X175" s="2">
        <f>'MANUEL MONTT 2 &amp; 5'!W20</f>
        <v>3</v>
      </c>
      <c r="Y175" s="2">
        <f>'MANUEL MONTT 2 &amp; 5'!X20</f>
        <v>3</v>
      </c>
      <c r="Z175" s="2">
        <f>'MANUEL MONTT 2 &amp; 5'!Y20</f>
        <v>6</v>
      </c>
      <c r="AA175" s="2">
        <f>'MANUEL MONTT 2 &amp; 5'!Z20</f>
        <v>6</v>
      </c>
      <c r="AB175" s="2">
        <f>'MANUEL MONTT 2 &amp; 5'!AA20</f>
        <v>4</v>
      </c>
      <c r="AC175" s="2" t="str">
        <f>'MANUEL MONTT 2 &amp; 5'!AB20</f>
        <v>3,5P</v>
      </c>
      <c r="AD175" s="2" t="str">
        <f>'MANUEL MONTT 2 &amp; 5'!AC20</f>
        <v>12U</v>
      </c>
      <c r="AE175" s="2">
        <f>'MANUEL MONTT 2 &amp; 5'!AD20</f>
        <v>22</v>
      </c>
      <c r="AF175" s="2">
        <f>'MANUEL MONTT 2 &amp; 5'!AE20</f>
        <v>22</v>
      </c>
      <c r="AG175" s="2">
        <f>'MANUEL MONTT 2 &amp; 5'!AF20</f>
        <v>19</v>
      </c>
      <c r="AH175" s="2">
        <f>'MANUEL MONTT 2 &amp; 5'!AG20</f>
        <v>16</v>
      </c>
      <c r="AI175" s="2">
        <f>'MANUEL MONTT 2 &amp; 5'!AH20</f>
        <v>16</v>
      </c>
      <c r="AJ175" s="2">
        <f>'MANUEL MONTT 2 &amp; 5'!AI20</f>
        <v>15</v>
      </c>
      <c r="AK175" s="2">
        <f>'MANUEL MONTT 2 &amp; 5'!AJ20</f>
        <v>15</v>
      </c>
      <c r="AL175" s="2">
        <f>'MANUEL MONTT 2 &amp; 5'!AK20</f>
        <v>15</v>
      </c>
      <c r="AM175" s="2">
        <f>'MANUEL MONTT 2 &amp; 5'!AL20</f>
        <v>14</v>
      </c>
      <c r="AN175" s="2">
        <f>'MANUEL MONTT 2 &amp; 5'!AM20</f>
        <v>13</v>
      </c>
      <c r="AO175" s="2">
        <f>'MANUEL MONTT 2 &amp; 5'!AN20</f>
        <v>13</v>
      </c>
      <c r="AP175" s="2">
        <f>'MANUEL MONTT 2 &amp; 5'!AO20</f>
        <v>13</v>
      </c>
      <c r="AQ175" s="2">
        <f>'MANUEL MONTT 2 &amp; 5'!AP20</f>
        <v>22</v>
      </c>
      <c r="AR175" s="2">
        <f>'MANUEL MONTT 2 &amp; 5'!AQ20</f>
        <v>22</v>
      </c>
      <c r="AS175" s="2">
        <f>'MANUEL MONTT 2 &amp; 5'!AR20</f>
        <v>20</v>
      </c>
      <c r="AT175" s="2">
        <f>'MANUEL MONTT 2 &amp; 5'!AS20</f>
        <v>20</v>
      </c>
      <c r="AU175" s="2">
        <f>'MANUEL MONTT 2 &amp; 5'!AT20</f>
        <v>19</v>
      </c>
      <c r="AV175" s="2">
        <f>'MANUEL MONTT 2 &amp; 5'!AU20</f>
        <v>19</v>
      </c>
      <c r="AW175" s="2">
        <f>'MANUEL MONTT 2 &amp; 5'!AV20</f>
        <v>19</v>
      </c>
      <c r="AX175" s="2">
        <f>'MANUEL MONTT 2 &amp; 5'!AW20</f>
        <v>18</v>
      </c>
      <c r="AY175" s="2" t="str">
        <f>'MANUEL MONTT 2 &amp; 5'!AX20</f>
        <v/>
      </c>
      <c r="AZ175" s="2" t="str">
        <f>'MANUEL MONTT 2 &amp; 5'!AY20</f>
        <v/>
      </c>
      <c r="BA175" s="2" t="str">
        <f>'MANUEL MONTT 2 &amp; 5'!AZ20</f>
        <v/>
      </c>
      <c r="BB175" s="2" t="str">
        <f>'MANUEL MONTT 2 &amp; 5'!BA20</f>
        <v/>
      </c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</row>
    <row r="176">
      <c r="A176" s="2" t="str">
        <f t="shared" si="184"/>
        <v>Resma Papel Fotocopia (UN)Manuel Montt piso 5</v>
      </c>
      <c r="B176" s="2" t="str">
        <f>'MANUEL MONTT 2 &amp; 5'!A21</f>
        <v>Manuel Montt piso 5</v>
      </c>
      <c r="C176" s="2" t="str">
        <f>'MANUEL MONTT 2 &amp; 5'!B21</f>
        <v>Cafeteria</v>
      </c>
      <c r="D176" s="2" t="str">
        <f>'MANUEL MONTT 2 &amp; 5'!C21</f>
        <v>Resma Papel Fotocopia (UN)</v>
      </c>
      <c r="E176" s="2">
        <f>'MANUEL MONTT 2 &amp; 5'!D21</f>
        <v>0</v>
      </c>
      <c r="F176" s="2">
        <f>'MANUEL MONTT 2 &amp; 5'!E21</f>
        <v>4</v>
      </c>
      <c r="G176" s="2">
        <f>'MANUEL MONTT 2 &amp; 5'!F21</f>
        <v>4</v>
      </c>
      <c r="H176" s="2">
        <f>'MANUEL MONTT 2 &amp; 5'!G21</f>
        <v>4</v>
      </c>
      <c r="I176" s="2">
        <f>'MANUEL MONTT 2 &amp; 5'!H21</f>
        <v>3</v>
      </c>
      <c r="J176" s="2">
        <f>'MANUEL MONTT 2 &amp; 5'!I21</f>
        <v>3</v>
      </c>
      <c r="K176" s="2">
        <f>'MANUEL MONTT 2 &amp; 5'!J21</f>
        <v>3</v>
      </c>
      <c r="L176" s="2">
        <f>'MANUEL MONTT 2 &amp; 5'!K21</f>
        <v>2</v>
      </c>
      <c r="M176" s="2">
        <f>'MANUEL MONTT 2 &amp; 5'!L21</f>
        <v>5</v>
      </c>
      <c r="N176" s="2">
        <f>'MANUEL MONTT 2 &amp; 5'!M21</f>
        <v>4</v>
      </c>
      <c r="O176" s="2">
        <f>'MANUEL MONTT 2 &amp; 5'!N21</f>
        <v>4</v>
      </c>
      <c r="P176" s="2">
        <f>'MANUEL MONTT 2 &amp; 5'!O21</f>
        <v>3</v>
      </c>
      <c r="Q176" s="2">
        <f>'MANUEL MONTT 2 &amp; 5'!P21</f>
        <v>3</v>
      </c>
      <c r="R176" s="2">
        <f>'MANUEL MONTT 2 &amp; 5'!Q21</f>
        <v>2</v>
      </c>
      <c r="S176" s="2">
        <f>'MANUEL MONTT 2 &amp; 5'!R21</f>
        <v>2</v>
      </c>
      <c r="T176" s="2">
        <f>'MANUEL MONTT 2 &amp; 5'!S21</f>
        <v>2</v>
      </c>
      <c r="U176" s="2">
        <f>'MANUEL MONTT 2 &amp; 5'!T21</f>
        <v>2</v>
      </c>
      <c r="V176" s="2">
        <f>'MANUEL MONTT 2 &amp; 5'!U21</f>
        <v>2</v>
      </c>
      <c r="W176" s="2">
        <f>'MANUEL MONTT 2 &amp; 5'!V21</f>
        <v>1</v>
      </c>
      <c r="X176" s="2">
        <f>'MANUEL MONTT 2 &amp; 5'!W21</f>
        <v>2</v>
      </c>
      <c r="Y176" s="2">
        <f>'MANUEL MONTT 2 &amp; 5'!X21</f>
        <v>1</v>
      </c>
      <c r="Z176" s="2">
        <f>'MANUEL MONTT 2 &amp; 5'!Y21</f>
        <v>1</v>
      </c>
      <c r="AA176" s="2">
        <f>'MANUEL MONTT 2 &amp; 5'!Z21</f>
        <v>1</v>
      </c>
      <c r="AB176" s="2">
        <f>'MANUEL MONTT 2 &amp; 5'!AA21</f>
        <v>1</v>
      </c>
      <c r="AC176" s="2">
        <f>'MANUEL MONTT 2 &amp; 5'!AB21</f>
        <v>1</v>
      </c>
      <c r="AD176" s="2">
        <f>'MANUEL MONTT 2 &amp; 5'!AC21</f>
        <v>1</v>
      </c>
      <c r="AE176" s="2">
        <f>'MANUEL MONTT 2 &amp; 5'!AD21</f>
        <v>2</v>
      </c>
      <c r="AF176" s="2">
        <f>'MANUEL MONTT 2 &amp; 5'!AE21</f>
        <v>2</v>
      </c>
      <c r="AG176" s="2">
        <f>'MANUEL MONTT 2 &amp; 5'!AF21</f>
        <v>2</v>
      </c>
      <c r="AH176" s="2">
        <f>'MANUEL MONTT 2 &amp; 5'!AG21</f>
        <v>2</v>
      </c>
      <c r="AI176" s="2">
        <f>'MANUEL MONTT 2 &amp; 5'!AH21</f>
        <v>2</v>
      </c>
      <c r="AJ176" s="2">
        <f>'MANUEL MONTT 2 &amp; 5'!AI21</f>
        <v>2</v>
      </c>
      <c r="AK176" s="2">
        <f>'MANUEL MONTT 2 &amp; 5'!AJ21</f>
        <v>2</v>
      </c>
      <c r="AL176" s="2">
        <f>'MANUEL MONTT 2 &amp; 5'!AK21</f>
        <v>1</v>
      </c>
      <c r="AM176" s="2">
        <f>'MANUEL MONTT 2 &amp; 5'!AL21</f>
        <v>0</v>
      </c>
      <c r="AN176" s="2">
        <f>'MANUEL MONTT 2 &amp; 5'!AM21</f>
        <v>0</v>
      </c>
      <c r="AO176" s="2">
        <f>'MANUEL MONTT 2 &amp; 5'!AN21</f>
        <v>0</v>
      </c>
      <c r="AP176" s="2">
        <f>'MANUEL MONTT 2 &amp; 5'!AO21</f>
        <v>0</v>
      </c>
      <c r="AQ176" s="2">
        <f>'MANUEL MONTT 2 &amp; 5'!AP21</f>
        <v>2</v>
      </c>
      <c r="AR176" s="2">
        <f>'MANUEL MONTT 2 &amp; 5'!AQ21</f>
        <v>2</v>
      </c>
      <c r="AS176" s="2">
        <f>'MANUEL MONTT 2 &amp; 5'!AR21</f>
        <v>2</v>
      </c>
      <c r="AT176" s="2">
        <f>'MANUEL MONTT 2 &amp; 5'!AS21</f>
        <v>2</v>
      </c>
      <c r="AU176" s="2">
        <f>'MANUEL MONTT 2 &amp; 5'!AT21</f>
        <v>2</v>
      </c>
      <c r="AV176" s="2">
        <f>'MANUEL MONTT 2 &amp; 5'!AU21</f>
        <v>2</v>
      </c>
      <c r="AW176" s="2">
        <f>'MANUEL MONTT 2 &amp; 5'!AV21</f>
        <v>2</v>
      </c>
      <c r="AX176" s="2">
        <f>'MANUEL MONTT 2 &amp; 5'!AW21</f>
        <v>2</v>
      </c>
      <c r="AY176" s="2" t="str">
        <f>'MANUEL MONTT 2 &amp; 5'!AX21</f>
        <v/>
      </c>
      <c r="AZ176" s="2" t="str">
        <f>'MANUEL MONTT 2 &amp; 5'!AY21</f>
        <v/>
      </c>
      <c r="BA176" s="2" t="str">
        <f>'MANUEL MONTT 2 &amp; 5'!AZ21</f>
        <v/>
      </c>
      <c r="BB176" s="2" t="str">
        <f>'MANUEL MONTT 2 &amp; 5'!BA21</f>
        <v/>
      </c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</row>
    <row r="177">
      <c r="A177" s="2" t="str">
        <f t="shared" si="184"/>
        <v>Leche LiquidaManuel Montt piso 5</v>
      </c>
      <c r="B177" s="2" t="str">
        <f>'MANUEL MONTT 2 &amp; 5'!A22</f>
        <v>Manuel Montt piso 5</v>
      </c>
      <c r="C177" s="2" t="str">
        <f>'MANUEL MONTT 2 &amp; 5'!B22</f>
        <v>Cafeteria</v>
      </c>
      <c r="D177" s="2" t="str">
        <f>'MANUEL MONTT 2 &amp; 5'!C22</f>
        <v>Leche Liquida</v>
      </c>
      <c r="E177" s="2" t="str">
        <f>'MANUEL MONTT 2 &amp; 5'!D22</f>
        <v/>
      </c>
      <c r="F177" s="2" t="str">
        <f>'MANUEL MONTT 2 &amp; 5'!E22</f>
        <v/>
      </c>
      <c r="G177" s="2" t="str">
        <f>'MANUEL MONTT 2 &amp; 5'!F22</f>
        <v/>
      </c>
      <c r="H177" s="2" t="str">
        <f>'MANUEL MONTT 2 &amp; 5'!G22</f>
        <v/>
      </c>
      <c r="I177" s="2" t="str">
        <f>'MANUEL MONTT 2 &amp; 5'!H22</f>
        <v/>
      </c>
      <c r="J177" s="2" t="str">
        <f>'MANUEL MONTT 2 &amp; 5'!I22</f>
        <v/>
      </c>
      <c r="K177" s="2" t="str">
        <f>'MANUEL MONTT 2 &amp; 5'!J22</f>
        <v/>
      </c>
      <c r="L177" s="2" t="str">
        <f>'MANUEL MONTT 2 &amp; 5'!K22</f>
        <v/>
      </c>
      <c r="M177" s="2" t="str">
        <f>'MANUEL MONTT 2 &amp; 5'!L22</f>
        <v/>
      </c>
      <c r="N177" s="2" t="str">
        <f>'MANUEL MONTT 2 &amp; 5'!M22</f>
        <v/>
      </c>
      <c r="O177" s="2" t="str">
        <f>'MANUEL MONTT 2 &amp; 5'!N22</f>
        <v/>
      </c>
      <c r="P177" s="2" t="str">
        <f>'MANUEL MONTT 2 &amp; 5'!O22</f>
        <v/>
      </c>
      <c r="Q177" s="2" t="str">
        <f>'MANUEL MONTT 2 &amp; 5'!P22</f>
        <v/>
      </c>
      <c r="R177" s="2" t="str">
        <f>'MANUEL MONTT 2 &amp; 5'!Q22</f>
        <v>-</v>
      </c>
      <c r="S177" s="2" t="str">
        <f>'MANUEL MONTT 2 &amp; 5'!R22</f>
        <v>-</v>
      </c>
      <c r="T177" s="2" t="str">
        <f>'MANUEL MONTT 2 &amp; 5'!S22</f>
        <v>-</v>
      </c>
      <c r="U177" s="2" t="str">
        <f>'MANUEL MONTT 2 &amp; 5'!T22</f>
        <v>-</v>
      </c>
      <c r="V177" s="2" t="str">
        <f>'MANUEL MONTT 2 &amp; 5'!U22</f>
        <v>-</v>
      </c>
      <c r="W177" s="2" t="str">
        <f>'MANUEL MONTT 2 &amp; 5'!V22</f>
        <v>-</v>
      </c>
      <c r="X177" s="2" t="str">
        <f>'MANUEL MONTT 2 &amp; 5'!W22</f>
        <v>-</v>
      </c>
      <c r="Y177" s="2" t="str">
        <f>'MANUEL MONTT 2 &amp; 5'!X22</f>
        <v>-</v>
      </c>
      <c r="Z177" s="2">
        <f>'MANUEL MONTT 2 &amp; 5'!Y22</f>
        <v>11</v>
      </c>
      <c r="AA177" s="2">
        <f>'MANUEL MONTT 2 &amp; 5'!Z22</f>
        <v>9</v>
      </c>
      <c r="AB177" s="2">
        <f>'MANUEL MONTT 2 &amp; 5'!AA22</f>
        <v>6</v>
      </c>
      <c r="AC177" s="2">
        <f>'MANUEL MONTT 2 &amp; 5'!AB22</f>
        <v>3</v>
      </c>
      <c r="AD177" s="2">
        <f>'MANUEL MONTT 2 &amp; 5'!AC22</f>
        <v>0</v>
      </c>
      <c r="AE177" s="2">
        <f>'MANUEL MONTT 2 &amp; 5'!AD22</f>
        <v>7</v>
      </c>
      <c r="AF177" s="2">
        <f>'MANUEL MONTT 2 &amp; 5'!AE22</f>
        <v>6</v>
      </c>
      <c r="AG177" s="2">
        <f>'MANUEL MONTT 2 &amp; 5'!AF22</f>
        <v>5</v>
      </c>
      <c r="AH177" s="2">
        <f>'MANUEL MONTT 2 &amp; 5'!AG22</f>
        <v>4</v>
      </c>
      <c r="AI177" s="2">
        <f>'MANUEL MONTT 2 &amp; 5'!AH22</f>
        <v>4</v>
      </c>
      <c r="AJ177" s="2">
        <f>'MANUEL MONTT 2 &amp; 5'!AI22</f>
        <v>3</v>
      </c>
      <c r="AK177" s="2">
        <f>'MANUEL MONTT 2 &amp; 5'!AJ22</f>
        <v>1</v>
      </c>
      <c r="AL177" s="2">
        <f>'MANUEL MONTT 2 &amp; 5'!AK22</f>
        <v>0</v>
      </c>
      <c r="AM177" s="2">
        <f>'MANUEL MONTT 2 &amp; 5'!AL22</f>
        <v>0</v>
      </c>
      <c r="AN177" s="2">
        <f>'MANUEL MONTT 2 &amp; 5'!AM22</f>
        <v>0</v>
      </c>
      <c r="AO177" s="2">
        <f>'MANUEL MONTT 2 &amp; 5'!AN22</f>
        <v>0</v>
      </c>
      <c r="AP177" s="2">
        <f>'MANUEL MONTT 2 &amp; 5'!AO22</f>
        <v>0</v>
      </c>
      <c r="AQ177" s="2">
        <f>'MANUEL MONTT 2 &amp; 5'!AP22</f>
        <v>9</v>
      </c>
      <c r="AR177" s="2">
        <f>'MANUEL MONTT 2 &amp; 5'!AQ22</f>
        <v>9</v>
      </c>
      <c r="AS177" s="2">
        <f>'MANUEL MONTT 2 &amp; 5'!AR22</f>
        <v>6</v>
      </c>
      <c r="AT177" s="2">
        <f>'MANUEL MONTT 2 &amp; 5'!AS22</f>
        <v>5</v>
      </c>
      <c r="AU177" s="2">
        <f>'MANUEL MONTT 2 &amp; 5'!AT22</f>
        <v>4</v>
      </c>
      <c r="AV177" s="2">
        <f>'MANUEL MONTT 2 &amp; 5'!AU22</f>
        <v>3</v>
      </c>
      <c r="AW177" s="2">
        <f>'MANUEL MONTT 2 &amp; 5'!AV22</f>
        <v>2</v>
      </c>
      <c r="AX177" s="2">
        <f>'MANUEL MONTT 2 &amp; 5'!AW22</f>
        <v>2</v>
      </c>
      <c r="AY177" s="2" t="str">
        <f>'MANUEL MONTT 2 &amp; 5'!AX22</f>
        <v/>
      </c>
      <c r="AZ177" s="2" t="str">
        <f>'MANUEL MONTT 2 &amp; 5'!AY22</f>
        <v/>
      </c>
      <c r="BA177" s="2" t="str">
        <f>'MANUEL MONTT 2 &amp; 5'!AZ22</f>
        <v/>
      </c>
      <c r="BB177" s="2" t="str">
        <f>'MANUEL MONTT 2 &amp; 5'!BA22</f>
        <v/>
      </c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</row>
    <row r="178">
      <c r="A178" s="2" t="str">
        <f t="shared" si="184"/>
        <v>EndulzanteManuel Montt piso 5</v>
      </c>
      <c r="B178" s="2" t="str">
        <f>'MANUEL MONTT 2 &amp; 5'!A23</f>
        <v>Manuel Montt piso 5</v>
      </c>
      <c r="C178" s="2" t="str">
        <f>'MANUEL MONTT 2 &amp; 5'!B23</f>
        <v>Cafeteria</v>
      </c>
      <c r="D178" s="2" t="str">
        <f>'MANUEL MONTT 2 &amp; 5'!C23</f>
        <v>Endulzante</v>
      </c>
      <c r="E178" s="2" t="str">
        <f>'MANUEL MONTT 2 &amp; 5'!D23</f>
        <v/>
      </c>
      <c r="F178" s="2" t="str">
        <f>'MANUEL MONTT 2 &amp; 5'!E23</f>
        <v/>
      </c>
      <c r="G178" s="2" t="str">
        <f>'MANUEL MONTT 2 &amp; 5'!F23</f>
        <v/>
      </c>
      <c r="H178" s="2" t="str">
        <f>'MANUEL MONTT 2 &amp; 5'!G23</f>
        <v/>
      </c>
      <c r="I178" s="22" t="str">
        <f>'MANUEL MONTT 2 &amp; 5'!H23</f>
        <v/>
      </c>
      <c r="J178" s="22" t="str">
        <f>'MANUEL MONTT 2 &amp; 5'!I23</f>
        <v/>
      </c>
      <c r="K178" s="2" t="str">
        <f>'MANUEL MONTT 2 &amp; 5'!J23</f>
        <v/>
      </c>
      <c r="L178" s="2" t="str">
        <f>'MANUEL MONTT 2 &amp; 5'!K23</f>
        <v/>
      </c>
      <c r="M178" s="2" t="str">
        <f>'MANUEL MONTT 2 &amp; 5'!L23</f>
        <v/>
      </c>
      <c r="N178" s="2" t="str">
        <f>'MANUEL MONTT 2 &amp; 5'!M23</f>
        <v/>
      </c>
      <c r="O178" s="2" t="str">
        <f>'MANUEL MONTT 2 &amp; 5'!N23</f>
        <v/>
      </c>
      <c r="P178" s="2" t="str">
        <f>'MANUEL MONTT 2 &amp; 5'!O23</f>
        <v/>
      </c>
      <c r="Q178" s="2" t="str">
        <f>'MANUEL MONTT 2 &amp; 5'!P23</f>
        <v/>
      </c>
      <c r="R178" s="2" t="str">
        <f>'MANUEL MONTT 2 &amp; 5'!Q23</f>
        <v>-</v>
      </c>
      <c r="S178" s="2" t="str">
        <f>'MANUEL MONTT 2 &amp; 5'!R23</f>
        <v>-</v>
      </c>
      <c r="T178" s="2" t="str">
        <f>'MANUEL MONTT 2 &amp; 5'!S23</f>
        <v>-</v>
      </c>
      <c r="U178" s="2" t="str">
        <f>'MANUEL MONTT 2 &amp; 5'!T23</f>
        <v>-</v>
      </c>
      <c r="V178" s="2" t="str">
        <f>'MANUEL MONTT 2 &amp; 5'!U23</f>
        <v>-</v>
      </c>
      <c r="W178" s="2" t="str">
        <f>'MANUEL MONTT 2 &amp; 5'!V23</f>
        <v>-</v>
      </c>
      <c r="X178" s="2" t="str">
        <f>'MANUEL MONTT 2 &amp; 5'!W23</f>
        <v>-</v>
      </c>
      <c r="Y178" s="2" t="str">
        <f>'MANUEL MONTT 2 &amp; 5'!X23</f>
        <v>-</v>
      </c>
      <c r="Z178" s="2">
        <f>'MANUEL MONTT 2 &amp; 5'!Y23</f>
        <v>2</v>
      </c>
      <c r="AA178" s="2">
        <f>'MANUEL MONTT 2 &amp; 5'!Z23</f>
        <v>1</v>
      </c>
      <c r="AB178" s="2">
        <f>'MANUEL MONTT 2 &amp; 5'!AA23</f>
        <v>1</v>
      </c>
      <c r="AC178" s="2">
        <f>'MANUEL MONTT 2 &amp; 5'!AB23</f>
        <v>1</v>
      </c>
      <c r="AD178" s="2">
        <f>'MANUEL MONTT 2 &amp; 5'!AC23</f>
        <v>1</v>
      </c>
      <c r="AE178" s="2">
        <f>'MANUEL MONTT 2 &amp; 5'!AD23</f>
        <v>2</v>
      </c>
      <c r="AF178" s="2">
        <f>'MANUEL MONTT 2 &amp; 5'!AE23</f>
        <v>2</v>
      </c>
      <c r="AG178" s="2">
        <f>'MANUEL MONTT 2 &amp; 5'!AF23</f>
        <v>2</v>
      </c>
      <c r="AH178" s="2">
        <f>'MANUEL MONTT 2 &amp; 5'!AG23</f>
        <v>1</v>
      </c>
      <c r="AI178" s="2">
        <f>'MANUEL MONTT 2 &amp; 5'!AH23</f>
        <v>1</v>
      </c>
      <c r="AJ178" s="2">
        <f>'MANUEL MONTT 2 &amp; 5'!AI23</f>
        <v>1</v>
      </c>
      <c r="AK178" s="2">
        <f>'MANUEL MONTT 2 &amp; 5'!AJ23</f>
        <v>1</v>
      </c>
      <c r="AL178" s="2">
        <f>'MANUEL MONTT 2 &amp; 5'!AK23</f>
        <v>1</v>
      </c>
      <c r="AM178" s="2">
        <f>'MANUEL MONTT 2 &amp; 5'!AL23</f>
        <v>1</v>
      </c>
      <c r="AN178" s="2">
        <f>'MANUEL MONTT 2 &amp; 5'!AM23</f>
        <v>1</v>
      </c>
      <c r="AO178" s="2">
        <f>'MANUEL MONTT 2 &amp; 5'!AN23</f>
        <v>1</v>
      </c>
      <c r="AP178" s="2">
        <f>'MANUEL MONTT 2 &amp; 5'!AO23</f>
        <v>1</v>
      </c>
      <c r="AQ178" s="2">
        <f>'MANUEL MONTT 2 &amp; 5'!AP23</f>
        <v>1</v>
      </c>
      <c r="AR178" s="2">
        <f>'MANUEL MONTT 2 &amp; 5'!AQ23</f>
        <v>1</v>
      </c>
      <c r="AS178" s="2">
        <f>'MANUEL MONTT 2 &amp; 5'!AR23</f>
        <v>1</v>
      </c>
      <c r="AT178" s="2">
        <f>'MANUEL MONTT 2 &amp; 5'!AS23</f>
        <v>1</v>
      </c>
      <c r="AU178" s="2">
        <f>'MANUEL MONTT 2 &amp; 5'!AT23</f>
        <v>1</v>
      </c>
      <c r="AV178" s="2">
        <f>'MANUEL MONTT 2 &amp; 5'!AU23</f>
        <v>1</v>
      </c>
      <c r="AW178" s="2">
        <f>'MANUEL MONTT 2 &amp; 5'!AV23</f>
        <v>1</v>
      </c>
      <c r="AX178" s="2">
        <f>'MANUEL MONTT 2 &amp; 5'!AW23</f>
        <v>1</v>
      </c>
      <c r="AY178" s="2" t="str">
        <f>'MANUEL MONTT 2 &amp; 5'!AX23</f>
        <v/>
      </c>
      <c r="AZ178" s="2" t="str">
        <f>'MANUEL MONTT 2 &amp; 5'!AY23</f>
        <v/>
      </c>
      <c r="BA178" s="2" t="str">
        <f>'MANUEL MONTT 2 &amp; 5'!AZ23</f>
        <v/>
      </c>
      <c r="BB178" s="2" t="str">
        <f>'MANUEL MONTT 2 &amp; 5'!BA23</f>
        <v/>
      </c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</row>
    <row r="179">
      <c r="A179" s="2" t="str">
        <f t="shared" si="184"/>
        <v>Cloro GelManuel Montt piso 5</v>
      </c>
      <c r="B179" s="2" t="str">
        <f>'MANUEL MONTT 2 &amp; 5'!A25</f>
        <v>Manuel Montt piso 5</v>
      </c>
      <c r="C179" s="2" t="str">
        <f>'MANUEL MONTT 2 &amp; 5'!B25</f>
        <v>Aseo</v>
      </c>
      <c r="D179" s="2" t="str">
        <f>'MANUEL MONTT 2 &amp; 5'!C25</f>
        <v>Cloro Gel</v>
      </c>
      <c r="E179" s="2" t="str">
        <f>'MANUEL MONTT 2 &amp; 5'!D25</f>
        <v/>
      </c>
      <c r="F179" s="2" t="str">
        <f>'MANUEL MONTT 2 &amp; 5'!E25</f>
        <v/>
      </c>
      <c r="G179" s="2" t="str">
        <f>'MANUEL MONTT 2 &amp; 5'!F25</f>
        <v/>
      </c>
      <c r="H179" s="2" t="str">
        <f>'MANUEL MONTT 2 &amp; 5'!G25</f>
        <v/>
      </c>
      <c r="I179" s="2" t="str">
        <f>'MANUEL MONTT 2 &amp; 5'!H25</f>
        <v/>
      </c>
      <c r="J179" s="2" t="str">
        <f>'MANUEL MONTT 2 &amp; 5'!I25</f>
        <v/>
      </c>
      <c r="K179" s="2" t="str">
        <f>'MANUEL MONTT 2 &amp; 5'!J25</f>
        <v/>
      </c>
      <c r="L179" s="2" t="str">
        <f>'MANUEL MONTT 2 &amp; 5'!K25</f>
        <v/>
      </c>
      <c r="M179" s="2" t="str">
        <f>'MANUEL MONTT 2 &amp; 5'!L25</f>
        <v/>
      </c>
      <c r="N179" s="2" t="str">
        <f>'MANUEL MONTT 2 &amp; 5'!M25</f>
        <v/>
      </c>
      <c r="O179" s="2" t="str">
        <f>'MANUEL MONTT 2 &amp; 5'!N25</f>
        <v/>
      </c>
      <c r="P179" s="2" t="str">
        <f>'MANUEL MONTT 2 &amp; 5'!O25</f>
        <v/>
      </c>
      <c r="Q179" s="2" t="str">
        <f>'MANUEL MONTT 2 &amp; 5'!P25</f>
        <v/>
      </c>
      <c r="R179" s="2" t="str">
        <f>'MANUEL MONTT 2 &amp; 5'!Q25</f>
        <v/>
      </c>
      <c r="S179" s="2" t="str">
        <f>'MANUEL MONTT 2 &amp; 5'!R25</f>
        <v/>
      </c>
      <c r="T179" s="2" t="str">
        <f>'MANUEL MONTT 2 &amp; 5'!S25</f>
        <v/>
      </c>
      <c r="U179" s="2" t="str">
        <f>'MANUEL MONTT 2 &amp; 5'!T25</f>
        <v/>
      </c>
      <c r="V179" s="2" t="str">
        <f>'MANUEL MONTT 2 &amp; 5'!U25</f>
        <v/>
      </c>
      <c r="W179" s="2" t="str">
        <f>'MANUEL MONTT 2 &amp; 5'!V25</f>
        <v/>
      </c>
      <c r="X179" s="2" t="str">
        <f>'MANUEL MONTT 2 &amp; 5'!W25</f>
        <v/>
      </c>
      <c r="Y179" s="2" t="str">
        <f>'MANUEL MONTT 2 &amp; 5'!X25</f>
        <v>-</v>
      </c>
      <c r="Z179" s="2" t="str">
        <f>'MANUEL MONTT 2 &amp; 5'!Y25</f>
        <v>-</v>
      </c>
      <c r="AA179" s="2" t="str">
        <f>'MANUEL MONTT 2 &amp; 5'!Z25</f>
        <v>-</v>
      </c>
      <c r="AB179" s="2" t="str">
        <f>'MANUEL MONTT 2 &amp; 5'!AA25</f>
        <v>-</v>
      </c>
      <c r="AC179" s="2" t="str">
        <f>'MANUEL MONTT 2 &amp; 5'!AB25</f>
        <v>-</v>
      </c>
      <c r="AD179" s="2">
        <f>'MANUEL MONTT 2 &amp; 5'!AC25</f>
        <v>1</v>
      </c>
      <c r="AE179" s="2">
        <f>'MANUEL MONTT 2 &amp; 5'!AD25</f>
        <v>1</v>
      </c>
      <c r="AF179" s="2">
        <f>'MANUEL MONTT 2 &amp; 5'!AE25</f>
        <v>1</v>
      </c>
      <c r="AG179" s="2">
        <f>'MANUEL MONTT 2 &amp; 5'!AF25</f>
        <v>1</v>
      </c>
      <c r="AH179" s="2">
        <f>'MANUEL MONTT 2 &amp; 5'!AG25</f>
        <v>1</v>
      </c>
      <c r="AI179" s="2">
        <f>'MANUEL MONTT 2 &amp; 5'!AH25</f>
        <v>1</v>
      </c>
      <c r="AJ179" s="2">
        <f>'MANUEL MONTT 2 &amp; 5'!AI25</f>
        <v>1</v>
      </c>
      <c r="AK179" s="2">
        <f>'MANUEL MONTT 2 &amp; 5'!AJ25</f>
        <v>1</v>
      </c>
      <c r="AL179" s="2">
        <f>'MANUEL MONTT 2 &amp; 5'!AK25</f>
        <v>0</v>
      </c>
      <c r="AM179" s="2">
        <f>'MANUEL MONTT 2 &amp; 5'!AL25</f>
        <v>0</v>
      </c>
      <c r="AN179" s="2">
        <f>'MANUEL MONTT 2 &amp; 5'!AM25</f>
        <v>0</v>
      </c>
      <c r="AO179" s="2">
        <f>'MANUEL MONTT 2 &amp; 5'!AN25</f>
        <v>0</v>
      </c>
      <c r="AP179" s="2">
        <f>'MANUEL MONTT 2 &amp; 5'!AO25</f>
        <v>0</v>
      </c>
      <c r="AQ179" s="2">
        <f>'MANUEL MONTT 2 &amp; 5'!AP25</f>
        <v>1</v>
      </c>
      <c r="AR179" s="2">
        <f>'MANUEL MONTT 2 &amp; 5'!AQ25</f>
        <v>0</v>
      </c>
      <c r="AS179" s="2">
        <f>'MANUEL MONTT 2 &amp; 5'!AR25</f>
        <v>0</v>
      </c>
      <c r="AT179" s="2">
        <f>'MANUEL MONTT 2 &amp; 5'!AS25</f>
        <v>0</v>
      </c>
      <c r="AU179" s="2">
        <f>'MANUEL MONTT 2 &amp; 5'!AT25</f>
        <v>0</v>
      </c>
      <c r="AV179" s="2">
        <f>'MANUEL MONTT 2 &amp; 5'!AU25</f>
        <v>0</v>
      </c>
      <c r="AW179" s="2">
        <f>'MANUEL MONTT 2 &amp; 5'!AV25</f>
        <v>0</v>
      </c>
      <c r="AX179" s="2">
        <f>'MANUEL MONTT 2 &amp; 5'!AW25</f>
        <v>1</v>
      </c>
      <c r="AY179" s="2" t="str">
        <f>'MANUEL MONTT 2 &amp; 5'!AX25</f>
        <v/>
      </c>
      <c r="AZ179" s="2" t="str">
        <f>'MANUEL MONTT 2 &amp; 5'!AY25</f>
        <v/>
      </c>
      <c r="BA179" s="2" t="str">
        <f>'MANUEL MONTT 2 &amp; 5'!AZ25</f>
        <v/>
      </c>
      <c r="BB179" s="2" t="str">
        <f>'MANUEL MONTT 2 &amp; 5'!BA25</f>
        <v/>
      </c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</row>
    <row r="180">
      <c r="A180" s="2" t="str">
        <f t="shared" si="184"/>
        <v>Limpia PisoManuel Montt piso 5</v>
      </c>
      <c r="B180" s="2" t="str">
        <f>'MANUEL MONTT 2 &amp; 5'!A26</f>
        <v>Manuel Montt piso 5</v>
      </c>
      <c r="C180" s="2" t="str">
        <f>'MANUEL MONTT 2 &amp; 5'!B26</f>
        <v>Aseo</v>
      </c>
      <c r="D180" s="2" t="str">
        <f>'MANUEL MONTT 2 &amp; 5'!C26</f>
        <v>Limpia Piso</v>
      </c>
      <c r="E180" s="2" t="str">
        <f>'MANUEL MONTT 2 &amp; 5'!D26</f>
        <v/>
      </c>
      <c r="F180" s="2" t="str">
        <f>'MANUEL MONTT 2 &amp; 5'!E26</f>
        <v/>
      </c>
      <c r="G180" s="2" t="str">
        <f>'MANUEL MONTT 2 &amp; 5'!F26</f>
        <v/>
      </c>
      <c r="H180" s="2" t="str">
        <f>'MANUEL MONTT 2 &amp; 5'!G26</f>
        <v/>
      </c>
      <c r="I180" s="2" t="str">
        <f>'MANUEL MONTT 2 &amp; 5'!H26</f>
        <v/>
      </c>
      <c r="J180" s="2" t="str">
        <f>'MANUEL MONTT 2 &amp; 5'!I26</f>
        <v/>
      </c>
      <c r="K180" s="2" t="str">
        <f>'MANUEL MONTT 2 &amp; 5'!J26</f>
        <v/>
      </c>
      <c r="L180" s="2" t="str">
        <f>'MANUEL MONTT 2 &amp; 5'!K26</f>
        <v/>
      </c>
      <c r="M180" s="2" t="str">
        <f>'MANUEL MONTT 2 &amp; 5'!L26</f>
        <v/>
      </c>
      <c r="N180" s="2" t="str">
        <f>'MANUEL MONTT 2 &amp; 5'!M26</f>
        <v/>
      </c>
      <c r="O180" s="2" t="str">
        <f>'MANUEL MONTT 2 &amp; 5'!N26</f>
        <v/>
      </c>
      <c r="P180" s="2" t="str">
        <f>'MANUEL MONTT 2 &amp; 5'!O26</f>
        <v/>
      </c>
      <c r="Q180" s="2" t="str">
        <f>'MANUEL MONTT 2 &amp; 5'!P26</f>
        <v/>
      </c>
      <c r="R180" s="2" t="str">
        <f>'MANUEL MONTT 2 &amp; 5'!Q26</f>
        <v/>
      </c>
      <c r="S180" s="2" t="str">
        <f>'MANUEL MONTT 2 &amp; 5'!R26</f>
        <v/>
      </c>
      <c r="T180" s="2" t="str">
        <f>'MANUEL MONTT 2 &amp; 5'!S26</f>
        <v/>
      </c>
      <c r="U180" s="2" t="str">
        <f>'MANUEL MONTT 2 &amp; 5'!T26</f>
        <v/>
      </c>
      <c r="V180" s="2" t="str">
        <f>'MANUEL MONTT 2 &amp; 5'!U26</f>
        <v/>
      </c>
      <c r="W180" s="2" t="str">
        <f>'MANUEL MONTT 2 &amp; 5'!V26</f>
        <v/>
      </c>
      <c r="X180" s="2" t="str">
        <f>'MANUEL MONTT 2 &amp; 5'!W26</f>
        <v/>
      </c>
      <c r="Y180" s="2" t="str">
        <f>'MANUEL MONTT 2 &amp; 5'!X26</f>
        <v>-</v>
      </c>
      <c r="Z180" s="2" t="str">
        <f>'MANUEL MONTT 2 &amp; 5'!Y26</f>
        <v>-</v>
      </c>
      <c r="AA180" s="2" t="str">
        <f>'MANUEL MONTT 2 &amp; 5'!Z26</f>
        <v>-</v>
      </c>
      <c r="AB180" s="2" t="str">
        <f>'MANUEL MONTT 2 &amp; 5'!AA26</f>
        <v>-</v>
      </c>
      <c r="AC180" s="2" t="str">
        <f>'MANUEL MONTT 2 &amp; 5'!AB26</f>
        <v>-</v>
      </c>
      <c r="AD180" s="2">
        <f>'MANUEL MONTT 2 &amp; 5'!AC26</f>
        <v>1</v>
      </c>
      <c r="AE180" s="2">
        <f>'MANUEL MONTT 2 &amp; 5'!AD26</f>
        <v>1</v>
      </c>
      <c r="AF180" s="2">
        <f>'MANUEL MONTT 2 &amp; 5'!AE26</f>
        <v>1</v>
      </c>
      <c r="AG180" s="2">
        <f>'MANUEL MONTT 2 &amp; 5'!AF26</f>
        <v>1</v>
      </c>
      <c r="AH180" s="2">
        <f>'MANUEL MONTT 2 &amp; 5'!AG26</f>
        <v>1</v>
      </c>
      <c r="AI180" s="2">
        <f>'MANUEL MONTT 2 &amp; 5'!AH26</f>
        <v>1</v>
      </c>
      <c r="AJ180" s="2">
        <f>'MANUEL MONTT 2 &amp; 5'!AI26</f>
        <v>1</v>
      </c>
      <c r="AK180" s="2">
        <f>'MANUEL MONTT 2 &amp; 5'!AJ26</f>
        <v>1</v>
      </c>
      <c r="AL180" s="2">
        <f>'MANUEL MONTT 2 &amp; 5'!AK26</f>
        <v>1</v>
      </c>
      <c r="AM180" s="2">
        <f>'MANUEL MONTT 2 &amp; 5'!AL26</f>
        <v>1</v>
      </c>
      <c r="AN180" s="2">
        <f>'MANUEL MONTT 2 &amp; 5'!AM26</f>
        <v>1</v>
      </c>
      <c r="AO180" s="2">
        <f>'MANUEL MONTT 2 &amp; 5'!AN26</f>
        <v>1</v>
      </c>
      <c r="AP180" s="2">
        <f>'MANUEL MONTT 2 &amp; 5'!AO26</f>
        <v>1</v>
      </c>
      <c r="AQ180" s="2">
        <f>'MANUEL MONTT 2 &amp; 5'!AP26</f>
        <v>1</v>
      </c>
      <c r="AR180" s="2">
        <f>'MANUEL MONTT 2 &amp; 5'!AQ26</f>
        <v>1</v>
      </c>
      <c r="AS180" s="2">
        <f>'MANUEL MONTT 2 &amp; 5'!AR26</f>
        <v>1</v>
      </c>
      <c r="AT180" s="2">
        <f>'MANUEL MONTT 2 &amp; 5'!AS26</f>
        <v>1</v>
      </c>
      <c r="AU180" s="2">
        <f>'MANUEL MONTT 2 &amp; 5'!AT26</f>
        <v>1</v>
      </c>
      <c r="AV180" s="2">
        <f>'MANUEL MONTT 2 &amp; 5'!AU26</f>
        <v>1</v>
      </c>
      <c r="AW180" s="2">
        <f>'MANUEL MONTT 2 &amp; 5'!AV26</f>
        <v>1</v>
      </c>
      <c r="AX180" s="2">
        <f>'MANUEL MONTT 2 &amp; 5'!AW26</f>
        <v>2</v>
      </c>
      <c r="AY180" s="2" t="str">
        <f>'MANUEL MONTT 2 &amp; 5'!AX26</f>
        <v/>
      </c>
      <c r="AZ180" s="2" t="str">
        <f>'MANUEL MONTT 2 &amp; 5'!AY26</f>
        <v/>
      </c>
      <c r="BA180" s="2" t="str">
        <f>'MANUEL MONTT 2 &amp; 5'!AZ26</f>
        <v/>
      </c>
      <c r="BB180" s="2" t="str">
        <f>'MANUEL MONTT 2 &amp; 5'!BA26</f>
        <v/>
      </c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</row>
    <row r="181">
      <c r="A181" s="2" t="str">
        <f t="shared" si="184"/>
        <v>Bolsas Basura 50x70Manuel Montt piso 5</v>
      </c>
      <c r="B181" s="2" t="str">
        <f>'MANUEL MONTT 2 &amp; 5'!A27</f>
        <v>Manuel Montt piso 5</v>
      </c>
      <c r="C181" s="2" t="str">
        <f>'MANUEL MONTT 2 &amp; 5'!B27</f>
        <v>Aseo</v>
      </c>
      <c r="D181" s="2" t="str">
        <f>'MANUEL MONTT 2 &amp; 5'!C27</f>
        <v>Bolsas Basura 50x70</v>
      </c>
      <c r="E181" s="2" t="str">
        <f>'MANUEL MONTT 2 &amp; 5'!D27</f>
        <v/>
      </c>
      <c r="F181" s="2" t="str">
        <f>'MANUEL MONTT 2 &amp; 5'!E27</f>
        <v/>
      </c>
      <c r="G181" s="2" t="str">
        <f>'MANUEL MONTT 2 &amp; 5'!F27</f>
        <v/>
      </c>
      <c r="H181" s="2" t="str">
        <f>'MANUEL MONTT 2 &amp; 5'!G27</f>
        <v/>
      </c>
      <c r="I181" s="2" t="str">
        <f>'MANUEL MONTT 2 &amp; 5'!H27</f>
        <v/>
      </c>
      <c r="J181" s="2" t="str">
        <f>'MANUEL MONTT 2 &amp; 5'!I27</f>
        <v/>
      </c>
      <c r="K181" s="2" t="str">
        <f>'MANUEL MONTT 2 &amp; 5'!J27</f>
        <v/>
      </c>
      <c r="L181" s="2" t="str">
        <f>'MANUEL MONTT 2 &amp; 5'!K27</f>
        <v/>
      </c>
      <c r="M181" s="2" t="str">
        <f>'MANUEL MONTT 2 &amp; 5'!L27</f>
        <v/>
      </c>
      <c r="N181" s="2" t="str">
        <f>'MANUEL MONTT 2 &amp; 5'!M27</f>
        <v/>
      </c>
      <c r="O181" s="2" t="str">
        <f>'MANUEL MONTT 2 &amp; 5'!N27</f>
        <v/>
      </c>
      <c r="P181" s="2" t="str">
        <f>'MANUEL MONTT 2 &amp; 5'!O27</f>
        <v/>
      </c>
      <c r="Q181" s="2" t="str">
        <f>'MANUEL MONTT 2 &amp; 5'!P27</f>
        <v/>
      </c>
      <c r="R181" s="2" t="str">
        <f>'MANUEL MONTT 2 &amp; 5'!Q27</f>
        <v/>
      </c>
      <c r="S181" s="2" t="str">
        <f>'MANUEL MONTT 2 &amp; 5'!R27</f>
        <v/>
      </c>
      <c r="T181" s="2" t="str">
        <f>'MANUEL MONTT 2 &amp; 5'!S27</f>
        <v/>
      </c>
      <c r="U181" s="2" t="str">
        <f>'MANUEL MONTT 2 &amp; 5'!T27</f>
        <v/>
      </c>
      <c r="V181" s="2" t="str">
        <f>'MANUEL MONTT 2 &amp; 5'!U27</f>
        <v/>
      </c>
      <c r="W181" s="2" t="str">
        <f>'MANUEL MONTT 2 &amp; 5'!V27</f>
        <v/>
      </c>
      <c r="X181" s="2" t="str">
        <f>'MANUEL MONTT 2 &amp; 5'!W27</f>
        <v/>
      </c>
      <c r="Y181" s="2" t="str">
        <f>'MANUEL MONTT 2 &amp; 5'!X27</f>
        <v>-</v>
      </c>
      <c r="Z181" s="2" t="str">
        <f>'MANUEL MONTT 2 &amp; 5'!Y27</f>
        <v>-</v>
      </c>
      <c r="AA181" s="2" t="str">
        <f>'MANUEL MONTT 2 &amp; 5'!Z27</f>
        <v>-</v>
      </c>
      <c r="AB181" s="2" t="str">
        <f>'MANUEL MONTT 2 &amp; 5'!AA27</f>
        <v>-</v>
      </c>
      <c r="AC181" s="2" t="str">
        <f>'MANUEL MONTT 2 &amp; 5'!AB27</f>
        <v>-</v>
      </c>
      <c r="AD181" s="2" t="str">
        <f>'MANUEL MONTT 2 &amp; 5'!AC27</f>
        <v>50x70=2 70x90=3 80x110=8</v>
      </c>
      <c r="AE181" s="2" t="str">
        <f>'MANUEL MONTT 2 &amp; 5'!AD27</f>
        <v>50x70=5 70x90=3 80x110=8</v>
      </c>
      <c r="AF181" s="2" t="str">
        <f>'MANUEL MONTT 2 &amp; 5'!AE27</f>
        <v>50x70=5 70x90= 3 80x110= 8</v>
      </c>
      <c r="AG181" s="2" t="str">
        <f>'MANUEL MONTT 2 &amp; 5'!AF27</f>
        <v>50x70= 5 70x90= 2 80x110= 8</v>
      </c>
      <c r="AH181" s="2" t="str">
        <f>'MANUEL MONTT 2 &amp; 5'!AG27</f>
        <v>50x70= 5 70x90= 1 80x110= 8</v>
      </c>
      <c r="AI181" s="2" t="str">
        <f>'MANUEL MONTT 2 &amp; 5'!AH27</f>
        <v>50x70= 5 70x90= 1 80x110= 8</v>
      </c>
      <c r="AJ181" s="2" t="str">
        <f>'MANUEL MONTT 2 &amp; 5'!AI27</f>
        <v>50x70= 5  70x90= 0 80x110= 8</v>
      </c>
      <c r="AK181" s="2" t="str">
        <f>'MANUEL MONTT 2 &amp; 5'!AJ27</f>
        <v>50x70= 3  70x90= 0 80x110= 8</v>
      </c>
      <c r="AL181" s="2" t="str">
        <f>'MANUEL MONTT 2 &amp; 5'!AK27</f>
        <v>50x70= 3  70x90= 0 80x110= 8</v>
      </c>
      <c r="AM181" s="2" t="str">
        <f>'MANUEL MONTT 2 &amp; 5'!AL27</f>
        <v>50x70= 2   70x90= 0  80x110= 8</v>
      </c>
      <c r="AN181" s="2" t="str">
        <f>'MANUEL MONTT 2 &amp; 5'!AM27</f>
        <v>50x70= 3   70x90= 0  80x110= 7 </v>
      </c>
      <c r="AO181" s="2" t="str">
        <f>'MANUEL MONTT 2 &amp; 5'!AN27</f>
        <v>50x70= 3   70x90= 0  80x110= 7 </v>
      </c>
      <c r="AP181" s="2" t="str">
        <f>'MANUEL MONTT 2 &amp; 5'!AO27</f>
        <v>50x70= 3   70x90= 0  80x110= 7 </v>
      </c>
      <c r="AQ181" s="2">
        <f>'MANUEL MONTT 2 &amp; 5'!AP27</f>
        <v>9</v>
      </c>
      <c r="AR181" s="2">
        <f>'MANUEL MONTT 2 &amp; 5'!AQ27</f>
        <v>8</v>
      </c>
      <c r="AS181" s="2">
        <f>'MANUEL MONTT 2 &amp; 5'!AR27</f>
        <v>6</v>
      </c>
      <c r="AT181" s="2">
        <f>'MANUEL MONTT 2 &amp; 5'!AS27</f>
        <v>5</v>
      </c>
      <c r="AU181" s="2">
        <f>'MANUEL MONTT 2 &amp; 5'!AT27</f>
        <v>4</v>
      </c>
      <c r="AV181" s="2">
        <f>'MANUEL MONTT 2 &amp; 5'!AU27</f>
        <v>4</v>
      </c>
      <c r="AW181" s="2">
        <f>'MANUEL MONTT 2 &amp; 5'!AV27</f>
        <v>10</v>
      </c>
      <c r="AX181" s="2">
        <f>'MANUEL MONTT 2 &amp; 5'!AW27</f>
        <v>10</v>
      </c>
      <c r="AY181" s="2" t="str">
        <f>'MANUEL MONTT 2 &amp; 5'!AX27</f>
        <v/>
      </c>
      <c r="AZ181" s="2" t="str">
        <f>'MANUEL MONTT 2 &amp; 5'!AY27</f>
        <v/>
      </c>
      <c r="BA181" s="2" t="str">
        <f>'MANUEL MONTT 2 &amp; 5'!AZ27</f>
        <v/>
      </c>
      <c r="BB181" s="2" t="str">
        <f>'MANUEL MONTT 2 &amp; 5'!BA27</f>
        <v/>
      </c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</row>
    <row r="182">
      <c r="A182" s="2" t="str">
        <f t="shared" si="184"/>
        <v>Esponja 4UManuel Montt piso 5</v>
      </c>
      <c r="B182" s="2" t="str">
        <f>'MANUEL MONTT 2 &amp; 5'!A30</f>
        <v>Manuel Montt piso 5</v>
      </c>
      <c r="C182" s="2" t="str">
        <f>'MANUEL MONTT 2 &amp; 5'!B30</f>
        <v>Aseo</v>
      </c>
      <c r="D182" s="2" t="str">
        <f>'MANUEL MONTT 2 &amp; 5'!C30</f>
        <v>Esponja 4U</v>
      </c>
      <c r="E182" s="2" t="str">
        <f>'MANUEL MONTT 2 &amp; 5'!D30</f>
        <v/>
      </c>
      <c r="F182" s="2" t="str">
        <f>'MANUEL MONTT 2 &amp; 5'!E30</f>
        <v/>
      </c>
      <c r="G182" s="2" t="str">
        <f>'MANUEL MONTT 2 &amp; 5'!F30</f>
        <v/>
      </c>
      <c r="H182" s="2" t="str">
        <f>'MANUEL MONTT 2 &amp; 5'!G30</f>
        <v/>
      </c>
      <c r="I182" s="2" t="str">
        <f>'MANUEL MONTT 2 &amp; 5'!H30</f>
        <v/>
      </c>
      <c r="J182" s="2" t="str">
        <f>'MANUEL MONTT 2 &amp; 5'!I30</f>
        <v/>
      </c>
      <c r="K182" s="2" t="str">
        <f>'MANUEL MONTT 2 &amp; 5'!J30</f>
        <v/>
      </c>
      <c r="L182" s="2" t="str">
        <f>'MANUEL MONTT 2 &amp; 5'!K30</f>
        <v/>
      </c>
      <c r="M182" s="2" t="str">
        <f>'MANUEL MONTT 2 &amp; 5'!L30</f>
        <v/>
      </c>
      <c r="N182" s="2" t="str">
        <f>'MANUEL MONTT 2 &amp; 5'!M30</f>
        <v/>
      </c>
      <c r="O182" s="2" t="str">
        <f>'MANUEL MONTT 2 &amp; 5'!N30</f>
        <v/>
      </c>
      <c r="P182" s="2" t="str">
        <f>'MANUEL MONTT 2 &amp; 5'!O30</f>
        <v/>
      </c>
      <c r="Q182" s="2" t="str">
        <f>'MANUEL MONTT 2 &amp; 5'!P30</f>
        <v/>
      </c>
      <c r="R182" s="2" t="str">
        <f>'MANUEL MONTT 2 &amp; 5'!Q30</f>
        <v/>
      </c>
      <c r="S182" s="2" t="str">
        <f>'MANUEL MONTT 2 &amp; 5'!R30</f>
        <v/>
      </c>
      <c r="T182" s="2" t="str">
        <f>'MANUEL MONTT 2 &amp; 5'!S30</f>
        <v/>
      </c>
      <c r="U182" s="2" t="str">
        <f>'MANUEL MONTT 2 &amp; 5'!T30</f>
        <v/>
      </c>
      <c r="V182" s="2" t="str">
        <f>'MANUEL MONTT 2 &amp; 5'!U30</f>
        <v/>
      </c>
      <c r="W182" s="2" t="str">
        <f>'MANUEL MONTT 2 &amp; 5'!V30</f>
        <v/>
      </c>
      <c r="X182" s="2" t="str">
        <f>'MANUEL MONTT 2 &amp; 5'!W30</f>
        <v/>
      </c>
      <c r="Y182" s="2" t="str">
        <f>'MANUEL MONTT 2 &amp; 5'!X30</f>
        <v>-</v>
      </c>
      <c r="Z182" s="2" t="str">
        <f>'MANUEL MONTT 2 &amp; 5'!Y30</f>
        <v>-</v>
      </c>
      <c r="AA182" s="2" t="str">
        <f>'MANUEL MONTT 2 &amp; 5'!Z30</f>
        <v>-</v>
      </c>
      <c r="AB182" s="2" t="str">
        <f>'MANUEL MONTT 2 &amp; 5'!AA30</f>
        <v>-</v>
      </c>
      <c r="AC182" s="2" t="str">
        <f>'MANUEL MONTT 2 &amp; 5'!AB30</f>
        <v>-</v>
      </c>
      <c r="AD182" s="2">
        <f>'MANUEL MONTT 2 &amp; 5'!AC30</f>
        <v>1</v>
      </c>
      <c r="AE182" s="2" t="str">
        <f>'MANUEL MONTT 2 &amp; 5'!AD30</f>
        <v>8U</v>
      </c>
      <c r="AF182" s="2" t="str">
        <f>'MANUEL MONTT 2 &amp; 5'!AE30</f>
        <v>8U</v>
      </c>
      <c r="AG182" s="2" t="str">
        <f>'MANUEL MONTT 2 &amp; 5'!AF30</f>
        <v>8U</v>
      </c>
      <c r="AH182" s="2" t="str">
        <f>'MANUEL MONTT 2 &amp; 5'!AG30</f>
        <v>7U</v>
      </c>
      <c r="AI182" s="2" t="str">
        <f>'MANUEL MONTT 2 &amp; 5'!AH30</f>
        <v>7U</v>
      </c>
      <c r="AJ182" s="2" t="str">
        <f>'MANUEL MONTT 2 &amp; 5'!AI30</f>
        <v>7U</v>
      </c>
      <c r="AK182" s="2" t="str">
        <f>'MANUEL MONTT 2 &amp; 5'!AJ30</f>
        <v>6U</v>
      </c>
      <c r="AL182" s="2" t="str">
        <f>'MANUEL MONTT 2 &amp; 5'!AK30</f>
        <v>4U</v>
      </c>
      <c r="AM182" s="2" t="str">
        <f>'MANUEL MONTT 2 &amp; 5'!AL30</f>
        <v>3U</v>
      </c>
      <c r="AN182" s="2" t="str">
        <f>'MANUEL MONTT 2 &amp; 5'!AM30</f>
        <v>3U</v>
      </c>
      <c r="AO182" s="2" t="str">
        <f>'MANUEL MONTT 2 &amp; 5'!AN30</f>
        <v>3U</v>
      </c>
      <c r="AP182" s="2" t="str">
        <f>'MANUEL MONTT 2 &amp; 5'!AO30</f>
        <v>3U</v>
      </c>
      <c r="AQ182" s="2" t="str">
        <f>'MANUEL MONTT 2 &amp; 5'!AP30</f>
        <v>6U</v>
      </c>
      <c r="AR182" s="2" t="str">
        <f>'MANUEL MONTT 2 &amp; 5'!AQ30</f>
        <v>5U</v>
      </c>
      <c r="AS182" s="2" t="str">
        <f>'MANUEL MONTT 2 &amp; 5'!AR30</f>
        <v>5U</v>
      </c>
      <c r="AT182" s="2" t="str">
        <f>'MANUEL MONTT 2 &amp; 5'!AS30</f>
        <v>5U</v>
      </c>
      <c r="AU182" s="2" t="str">
        <f>'MANUEL MONTT 2 &amp; 5'!AT30</f>
        <v>4U</v>
      </c>
      <c r="AV182" s="2" t="str">
        <f>'MANUEL MONTT 2 &amp; 5'!AU30</f>
        <v>4U</v>
      </c>
      <c r="AW182" s="2" t="str">
        <f>'MANUEL MONTT 2 &amp; 5'!AV30</f>
        <v>3U</v>
      </c>
      <c r="AX182" s="2" t="str">
        <f>'MANUEL MONTT 2 &amp; 5'!AW30</f>
        <v>3U</v>
      </c>
      <c r="AY182" s="2" t="str">
        <f>'MANUEL MONTT 2 &amp; 5'!AX30</f>
        <v/>
      </c>
      <c r="AZ182" s="2" t="str">
        <f>'MANUEL MONTT 2 &amp; 5'!AY30</f>
        <v/>
      </c>
      <c r="BA182" s="2" t="str">
        <f>'MANUEL MONTT 2 &amp; 5'!AZ30</f>
        <v/>
      </c>
      <c r="BB182" s="2" t="str">
        <f>'MANUEL MONTT 2 &amp; 5'!BA30</f>
        <v/>
      </c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</row>
    <row r="183">
      <c r="A183" s="2" t="str">
        <f t="shared" si="184"/>
        <v>Mopa RedondaManuel Montt piso 5</v>
      </c>
      <c r="B183" s="2" t="str">
        <f>'MANUEL MONTT 2 &amp; 5'!A31</f>
        <v>Manuel Montt piso 5</v>
      </c>
      <c r="C183" s="2" t="str">
        <f>'MANUEL MONTT 2 &amp; 5'!B31</f>
        <v>Aseo</v>
      </c>
      <c r="D183" s="2" t="str">
        <f>'MANUEL MONTT 2 &amp; 5'!C31</f>
        <v>Mopa Redonda</v>
      </c>
      <c r="E183" s="2" t="str">
        <f>'MANUEL MONTT 2 &amp; 5'!D31</f>
        <v/>
      </c>
      <c r="F183" s="2" t="str">
        <f>'MANUEL MONTT 2 &amp; 5'!E31</f>
        <v/>
      </c>
      <c r="G183" s="2" t="str">
        <f>'MANUEL MONTT 2 &amp; 5'!F31</f>
        <v/>
      </c>
      <c r="H183" s="2" t="str">
        <f>'MANUEL MONTT 2 &amp; 5'!G31</f>
        <v/>
      </c>
      <c r="I183" s="2" t="str">
        <f>'MANUEL MONTT 2 &amp; 5'!H31</f>
        <v/>
      </c>
      <c r="J183" s="2" t="str">
        <f>'MANUEL MONTT 2 &amp; 5'!I31</f>
        <v/>
      </c>
      <c r="K183" s="2" t="str">
        <f>'MANUEL MONTT 2 &amp; 5'!J31</f>
        <v/>
      </c>
      <c r="L183" s="2" t="str">
        <f>'MANUEL MONTT 2 &amp; 5'!K31</f>
        <v/>
      </c>
      <c r="M183" s="2" t="str">
        <f>'MANUEL MONTT 2 &amp; 5'!L31</f>
        <v/>
      </c>
      <c r="N183" s="2" t="str">
        <f>'MANUEL MONTT 2 &amp; 5'!M31</f>
        <v/>
      </c>
      <c r="O183" s="2" t="str">
        <f>'MANUEL MONTT 2 &amp; 5'!N31</f>
        <v/>
      </c>
      <c r="P183" s="2" t="str">
        <f>'MANUEL MONTT 2 &amp; 5'!O31</f>
        <v/>
      </c>
      <c r="Q183" s="2" t="str">
        <f>'MANUEL MONTT 2 &amp; 5'!P31</f>
        <v/>
      </c>
      <c r="R183" s="2" t="str">
        <f>'MANUEL MONTT 2 &amp; 5'!Q31</f>
        <v/>
      </c>
      <c r="S183" s="2" t="str">
        <f>'MANUEL MONTT 2 &amp; 5'!R31</f>
        <v/>
      </c>
      <c r="T183" s="2" t="str">
        <f>'MANUEL MONTT 2 &amp; 5'!S31</f>
        <v/>
      </c>
      <c r="U183" s="2" t="str">
        <f>'MANUEL MONTT 2 &amp; 5'!T31</f>
        <v/>
      </c>
      <c r="V183" s="2" t="str">
        <f>'MANUEL MONTT 2 &amp; 5'!U31</f>
        <v/>
      </c>
      <c r="W183" s="2" t="str">
        <f>'MANUEL MONTT 2 &amp; 5'!V31</f>
        <v/>
      </c>
      <c r="X183" s="2" t="str">
        <f>'MANUEL MONTT 2 &amp; 5'!W31</f>
        <v/>
      </c>
      <c r="Y183" s="2" t="str">
        <f>'MANUEL MONTT 2 &amp; 5'!X31</f>
        <v>-</v>
      </c>
      <c r="Z183" s="2" t="str">
        <f>'MANUEL MONTT 2 &amp; 5'!Y31</f>
        <v>-</v>
      </c>
      <c r="AA183" s="2" t="str">
        <f>'MANUEL MONTT 2 &amp; 5'!Z31</f>
        <v>-</v>
      </c>
      <c r="AB183" s="2" t="str">
        <f>'MANUEL MONTT 2 &amp; 5'!AA31</f>
        <v>-</v>
      </c>
      <c r="AC183" s="2" t="str">
        <f>'MANUEL MONTT 2 &amp; 5'!AB31</f>
        <v>-</v>
      </c>
      <c r="AD183" s="2">
        <f>'MANUEL MONTT 2 &amp; 5'!AC31</f>
        <v>0</v>
      </c>
      <c r="AE183" s="2">
        <f>'MANUEL MONTT 2 &amp; 5'!AD31</f>
        <v>1</v>
      </c>
      <c r="AF183" s="2">
        <f>'MANUEL MONTT 2 &amp; 5'!AE31</f>
        <v>1</v>
      </c>
      <c r="AG183" s="2">
        <f>'MANUEL MONTT 2 &amp; 5'!AF31</f>
        <v>1</v>
      </c>
      <c r="AH183" s="2">
        <f>'MANUEL MONTT 2 &amp; 5'!AG31</f>
        <v>1</v>
      </c>
      <c r="AI183" s="2">
        <f>'MANUEL MONTT 2 &amp; 5'!AH31</f>
        <v>1</v>
      </c>
      <c r="AJ183" s="2">
        <f>'MANUEL MONTT 2 &amp; 5'!AI31</f>
        <v>1</v>
      </c>
      <c r="AK183" s="2">
        <f>'MANUEL MONTT 2 &amp; 5'!AJ31</f>
        <v>0</v>
      </c>
      <c r="AL183" s="2">
        <f>'MANUEL MONTT 2 &amp; 5'!AK31</f>
        <v>0</v>
      </c>
      <c r="AM183" s="2">
        <f>'MANUEL MONTT 2 &amp; 5'!AL31</f>
        <v>0</v>
      </c>
      <c r="AN183" s="2">
        <f>'MANUEL MONTT 2 &amp; 5'!AM31</f>
        <v>0</v>
      </c>
      <c r="AO183" s="2">
        <f>'MANUEL MONTT 2 &amp; 5'!AN31</f>
        <v>0</v>
      </c>
      <c r="AP183" s="2">
        <f>'MANUEL MONTT 2 &amp; 5'!AO31</f>
        <v>0</v>
      </c>
      <c r="AQ183" s="2">
        <f>'MANUEL MONTT 2 &amp; 5'!AP31</f>
        <v>1</v>
      </c>
      <c r="AR183" s="2">
        <f>'MANUEL MONTT 2 &amp; 5'!AQ31</f>
        <v>1</v>
      </c>
      <c r="AS183" s="2">
        <f>'MANUEL MONTT 2 &amp; 5'!AR31</f>
        <v>1</v>
      </c>
      <c r="AT183" s="2">
        <f>'MANUEL MONTT 2 &amp; 5'!AS31</f>
        <v>1</v>
      </c>
      <c r="AU183" s="2">
        <f>'MANUEL MONTT 2 &amp; 5'!AT31</f>
        <v>1</v>
      </c>
      <c r="AV183" s="2">
        <f>'MANUEL MONTT 2 &amp; 5'!AU31</f>
        <v>1</v>
      </c>
      <c r="AW183" s="2">
        <f>'MANUEL MONTT 2 &amp; 5'!AV31</f>
        <v>3</v>
      </c>
      <c r="AX183" s="2">
        <f>'MANUEL MONTT 2 &amp; 5'!AW31</f>
        <v>3</v>
      </c>
      <c r="AY183" s="2" t="str">
        <f>'MANUEL MONTT 2 &amp; 5'!AX31</f>
        <v/>
      </c>
      <c r="AZ183" s="2" t="str">
        <f>'MANUEL MONTT 2 &amp; 5'!AY31</f>
        <v/>
      </c>
      <c r="BA183" s="2" t="str">
        <f>'MANUEL MONTT 2 &amp; 5'!AZ31</f>
        <v/>
      </c>
      <c r="BB183" s="2" t="str">
        <f>'MANUEL MONTT 2 &amp; 5'!BA31</f>
        <v/>
      </c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</row>
    <row r="184">
      <c r="A184" s="2" t="str">
        <f t="shared" si="184"/>
        <v/>
      </c>
      <c r="B184" s="2" t="str">
        <f>'MANUEL MONTT 2 &amp; 5'!A32</f>
        <v/>
      </c>
      <c r="C184" s="2" t="str">
        <f>'MANUEL MONTT 2 &amp; 5'!B32</f>
        <v/>
      </c>
      <c r="D184" s="2" t="str">
        <f>'MANUEL MONTT 2 &amp; 5'!C32</f>
        <v/>
      </c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</row>
    <row r="185">
      <c r="A185" s="2" t="str">
        <f t="shared" si="184"/>
        <v/>
      </c>
      <c r="B185" s="2" t="str">
        <f>'MANUEL MONTT 2 &amp; 5'!A34</f>
        <v/>
      </c>
      <c r="C185" s="2" t="str">
        <f>'MANUEL MONTT 2 &amp; 5'!B34</f>
        <v/>
      </c>
      <c r="D185" s="2" t="str">
        <f>'MANUEL MONTT 2 &amp; 5'!C34</f>
        <v/>
      </c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</row>
    <row r="186">
      <c r="A186" s="2"/>
      <c r="B186" s="2" t="str">
        <f>'SUECIA 7 &amp; 8'!A2</f>
        <v/>
      </c>
      <c r="C186" s="2" t="str">
        <f>'SUECIA 7 &amp; 8'!B2</f>
        <v/>
      </c>
      <c r="D186" s="22" t="str">
        <f>'SUECIA 7 &amp; 8'!C2</f>
        <v/>
      </c>
      <c r="E186" s="22">
        <f>'SUECIA 7 &amp; 8'!D2</f>
        <v>45811</v>
      </c>
      <c r="F186" s="22">
        <f>'SUECIA 7 &amp; 8'!E2</f>
        <v>45817</v>
      </c>
      <c r="G186" s="22">
        <f>'SUECIA 7 &amp; 8'!F2</f>
        <v>45824</v>
      </c>
      <c r="H186" s="22">
        <f>'SUECIA 7 &amp; 8'!G2</f>
        <v>45831</v>
      </c>
      <c r="I186" s="22">
        <f>'SUECIA 7 &amp; 8'!H2</f>
        <v>45838</v>
      </c>
      <c r="J186" s="22">
        <f>'SUECIA 7 &amp; 8'!I2</f>
        <v>45845</v>
      </c>
      <c r="K186" s="22">
        <f>'SUECIA 7 &amp; 8'!J2</f>
        <v>45852</v>
      </c>
      <c r="L186" s="22">
        <f>'SUECIA 7 &amp; 8'!K2</f>
        <v>45859</v>
      </c>
      <c r="M186" s="22">
        <f>'SUECIA 7 &amp; 8'!L2</f>
        <v>45866</v>
      </c>
      <c r="N186" s="22">
        <f>'SUECIA 7 &amp; 8'!M2</f>
        <v>45873</v>
      </c>
      <c r="O186" s="22">
        <f>'SUECIA 7 &amp; 8'!N2</f>
        <v>45880</v>
      </c>
      <c r="P186" s="22">
        <f>'SUECIA 7 &amp; 8'!O2</f>
        <v>45887</v>
      </c>
      <c r="Q186" s="22">
        <f>'SUECIA 7 &amp; 8'!P2</f>
        <v>45894</v>
      </c>
      <c r="R186" s="22">
        <f>'SUECIA 7 &amp; 8'!Q2</f>
        <v>45901</v>
      </c>
      <c r="S186" s="22">
        <f>'SUECIA 7 &amp; 8'!R2</f>
        <v>45908</v>
      </c>
      <c r="T186" s="22">
        <f>'SUECIA 7 &amp; 8'!S2</f>
        <v>45915</v>
      </c>
      <c r="U186" s="22">
        <f>'SUECIA 7 &amp; 8'!T2</f>
        <v>45922</v>
      </c>
      <c r="V186" s="22">
        <f>'SUECIA 7 &amp; 8'!U2</f>
        <v>45929</v>
      </c>
      <c r="W186" s="22">
        <f>'SUECIA 7 &amp; 8'!V2</f>
        <v>45936</v>
      </c>
      <c r="X186" s="22">
        <f>'SUECIA 7 &amp; 8'!W2</f>
        <v>45943</v>
      </c>
      <c r="Y186" s="22">
        <f>'SUECIA 7 &amp; 8'!X2</f>
        <v>45950</v>
      </c>
      <c r="Z186" s="22">
        <f>'SUECIA 7 &amp; 8'!Y2</f>
        <v>45957</v>
      </c>
      <c r="AA186" s="22">
        <f>'SUECIA 7 &amp; 8'!Z2</f>
        <v>45964</v>
      </c>
      <c r="AB186" s="22">
        <f>'SUECIA 7 &amp; 8'!AA2</f>
        <v>45967</v>
      </c>
      <c r="AC186" s="22">
        <f>'SUECIA 7 &amp; 8'!AB2</f>
        <v>45971</v>
      </c>
      <c r="AD186" s="22">
        <f>'SUECIA 7 &amp; 8'!AC2</f>
        <v>45979</v>
      </c>
      <c r="AE186" s="22">
        <f>'SUECIA 7 &amp; 8'!AD2</f>
        <v>45981</v>
      </c>
      <c r="AF186" s="22">
        <f>'SUECIA 7 &amp; 8'!AE2</f>
        <v>45985</v>
      </c>
      <c r="AG186" s="22">
        <f>'SUECIA 7 &amp; 8'!AF2</f>
        <v>45992</v>
      </c>
      <c r="AH186" s="22">
        <f>'SUECIA 7 &amp; 8'!AG2</f>
        <v>45995</v>
      </c>
      <c r="AI186" s="22">
        <f>'SUECIA 7 &amp; 8'!AH2</f>
        <v>46000</v>
      </c>
      <c r="AJ186" s="22">
        <f>'SUECIA 7 &amp; 8'!AI2</f>
        <v>46006</v>
      </c>
      <c r="AK186" s="22">
        <f>'SUECIA 7 &amp; 8'!AJ2</f>
        <v>46013</v>
      </c>
      <c r="AL186" s="22">
        <f>'SUECIA 7 &amp; 8'!AK2</f>
        <v>46020</v>
      </c>
      <c r="AM186" s="22">
        <f>'SUECIA 7 &amp; 8'!AL2</f>
        <v>46027</v>
      </c>
      <c r="AN186" s="22">
        <f>'SUECIA 7 &amp; 8'!AM2</f>
        <v>46030</v>
      </c>
      <c r="AO186" s="22">
        <f>'SUECIA 7 &amp; 8'!AN2</f>
        <v>46034</v>
      </c>
      <c r="AP186" s="22">
        <f>'SUECIA 7 &amp; 8'!AO2</f>
        <v>46037</v>
      </c>
      <c r="AQ186" s="22">
        <f>'SUECIA 7 &amp; 8'!AP2</f>
        <v>46041</v>
      </c>
      <c r="AR186" s="22">
        <f>'SUECIA 7 &amp; 8'!AQ2</f>
        <v>46044</v>
      </c>
      <c r="AS186" s="22">
        <f>'SUECIA 7 &amp; 8'!AR2</f>
        <v>46051</v>
      </c>
      <c r="AT186" s="22">
        <f>'SUECIA 7 &amp; 8'!AS2</f>
        <v>46055</v>
      </c>
      <c r="AU186" s="22">
        <f>'SUECIA 7 &amp; 8'!AT2</f>
        <v>46062</v>
      </c>
      <c r="AV186" s="22">
        <f>'SUECIA 7 &amp; 8'!AU2</f>
        <v>46065</v>
      </c>
      <c r="AW186" s="22">
        <f>'SUECIA 7 &amp; 8'!AV2</f>
        <v>46069</v>
      </c>
      <c r="AX186" s="22">
        <f>'SUECIA 7 &amp; 8'!AW2</f>
        <v>46072</v>
      </c>
      <c r="AY186" s="22">
        <f>'SUECIA 7 &amp; 8'!AX2</f>
        <v>46076</v>
      </c>
      <c r="AZ186" s="22">
        <f>'SUECIA 7 &amp; 8'!AY2</f>
        <v>46079</v>
      </c>
      <c r="BA186" s="22">
        <f>'SUECIA 7 &amp; 8'!AZ2</f>
        <v>46083</v>
      </c>
      <c r="BB186" s="22">
        <f>'SUECIA 7 &amp; 8'!BA2</f>
        <v>46085</v>
      </c>
      <c r="BC186" s="22">
        <f>'SUECIA 7 &amp; 8'!BB2</f>
        <v>46090</v>
      </c>
      <c r="BD186" s="22">
        <f>'SUECIA 7 &amp; 8'!BC2</f>
        <v>46093</v>
      </c>
      <c r="BE186" s="22">
        <f>'SUECIA 7 &amp; 8'!BD2</f>
        <v>46097</v>
      </c>
      <c r="BF186" s="22">
        <f>'SUECIA 7 &amp; 8'!BE2</f>
        <v>46100</v>
      </c>
      <c r="BG186" s="22">
        <f>'SUECIA 7 &amp; 8'!BF2</f>
        <v>46104</v>
      </c>
      <c r="BH186" s="22">
        <f>'SUECIA 7 &amp; 8'!BG2</f>
        <v>46107</v>
      </c>
      <c r="BI186" s="22" t="str">
        <f>'SUECIA 7 &amp; 8'!BH2</f>
        <v/>
      </c>
      <c r="BJ186" s="22" t="str">
        <f>'SUECIA 7 &amp; 8'!BI2</f>
        <v/>
      </c>
      <c r="BK186" s="2" t="str">
        <f>'SUECIA 7 &amp; 8'!BJ2</f>
        <v/>
      </c>
      <c r="BL186" s="2" t="str">
        <f>'SUECIA 7 &amp; 8'!BK2</f>
        <v/>
      </c>
      <c r="BM186" s="2" t="str">
        <f>'SUECIA 7 &amp; 8'!BL2</f>
        <v/>
      </c>
      <c r="BN186" s="2"/>
      <c r="BO186" s="2"/>
      <c r="BP186" s="2"/>
      <c r="BQ186" s="2"/>
      <c r="BR186" s="2"/>
      <c r="BS186" s="2"/>
      <c r="BT186" s="2"/>
      <c r="BU186" s="2"/>
      <c r="BV186" s="2"/>
      <c r="BW186" s="2"/>
    </row>
    <row r="187">
      <c r="A187" s="2"/>
      <c r="B187" s="2" t="str">
        <f>'SUECIA 7 &amp; 8'!A3</f>
        <v>Sede</v>
      </c>
      <c r="C187" s="2" t="str">
        <f>'SUECIA 7 &amp; 8'!B3</f>
        <v>Proveedor</v>
      </c>
      <c r="D187" s="2" t="str">
        <f>'SUECIA 7 &amp; 8'!C3</f>
        <v>Producto</v>
      </c>
      <c r="E187" s="2" t="str">
        <f>'SUECIA 7 &amp; 8'!D3</f>
        <v>Stock Actual</v>
      </c>
      <c r="F187" s="2" t="str">
        <f>'SUECIA 7 &amp; 8'!E3</f>
        <v>Stock Actual</v>
      </c>
      <c r="G187" s="2" t="str">
        <f>'SUECIA 7 &amp; 8'!F3</f>
        <v>Stock Actual</v>
      </c>
      <c r="H187" s="2" t="str">
        <f>'SUECIA 7 &amp; 8'!G3</f>
        <v>Stock Actual</v>
      </c>
      <c r="I187" s="2" t="str">
        <f>'SUECIA 7 &amp; 8'!H3</f>
        <v>Stock Actual</v>
      </c>
      <c r="J187" s="2" t="str">
        <f>'SUECIA 7 &amp; 8'!I3</f>
        <v>Stock Actual</v>
      </c>
      <c r="K187" s="2" t="str">
        <f>'SUECIA 7 &amp; 8'!J3</f>
        <v>Stock Actual</v>
      </c>
      <c r="L187" s="2" t="str">
        <f>'SUECIA 7 &amp; 8'!K3</f>
        <v>Stock Actual</v>
      </c>
      <c r="M187" s="2" t="str">
        <f>'SUECIA 7 &amp; 8'!L3</f>
        <v>Stock Actual</v>
      </c>
      <c r="N187" s="2" t="str">
        <f>'SUECIA 7 &amp; 8'!M3</f>
        <v>Stock Actual</v>
      </c>
      <c r="O187" s="2" t="str">
        <f>'SUECIA 7 &amp; 8'!N3</f>
        <v>Stock Actual</v>
      </c>
      <c r="P187" s="2" t="str">
        <f>'SUECIA 7 &amp; 8'!O3</f>
        <v>Stock Actual</v>
      </c>
      <c r="Q187" s="2" t="str">
        <f>'SUECIA 7 &amp; 8'!P3</f>
        <v>Stock Actual</v>
      </c>
      <c r="R187" s="2" t="str">
        <f>'SUECIA 7 &amp; 8'!Q3</f>
        <v>Stock Actual</v>
      </c>
      <c r="S187" s="2" t="str">
        <f>'SUECIA 7 &amp; 8'!R3</f>
        <v>Stock Actual</v>
      </c>
      <c r="T187" s="2" t="str">
        <f>'SUECIA 7 &amp; 8'!S3</f>
        <v>Stock Actual</v>
      </c>
      <c r="U187" s="2" t="str">
        <f>'SUECIA 7 &amp; 8'!T3</f>
        <v>Stock Actual</v>
      </c>
      <c r="V187" s="2" t="str">
        <f>'SUECIA 7 &amp; 8'!U3</f>
        <v>Stock Actual</v>
      </c>
      <c r="W187" s="2" t="str">
        <f>'SUECIA 7 &amp; 8'!V3</f>
        <v>Stock Actual</v>
      </c>
      <c r="X187" s="2" t="str">
        <f>'SUECIA 7 &amp; 8'!W3</f>
        <v>Stock Actual</v>
      </c>
      <c r="Y187" s="2" t="str">
        <f>'SUECIA 7 &amp; 8'!X3</f>
        <v>Stock Actual</v>
      </c>
      <c r="Z187" s="2" t="str">
        <f>'SUECIA 7 &amp; 8'!Y3</f>
        <v>Stock Actual</v>
      </c>
      <c r="AA187" s="2" t="str">
        <f>'SUECIA 7 &amp; 8'!Z3</f>
        <v>Stock Actual</v>
      </c>
      <c r="AB187" s="2" t="str">
        <f>'SUECIA 7 &amp; 8'!AA3</f>
        <v>Stock Actual</v>
      </c>
      <c r="AC187" s="2" t="str">
        <f>'SUECIA 7 &amp; 8'!AB3</f>
        <v>Stock Actual</v>
      </c>
      <c r="AD187" s="2" t="str">
        <f>'SUECIA 7 &amp; 8'!AC3</f>
        <v>Stock Actual</v>
      </c>
      <c r="AE187" s="2" t="str">
        <f>'SUECIA 7 &amp; 8'!AD3</f>
        <v>Stock Actual</v>
      </c>
      <c r="AF187" s="2" t="str">
        <f>'SUECIA 7 &amp; 8'!AE3</f>
        <v>Stock Actual</v>
      </c>
      <c r="AG187" s="2" t="str">
        <f>'SUECIA 7 &amp; 8'!AF3</f>
        <v>Stock Actual</v>
      </c>
      <c r="AH187" s="2" t="str">
        <f>'SUECIA 7 &amp; 8'!AG3</f>
        <v>Stock Actual</v>
      </c>
      <c r="AI187" s="2" t="str">
        <f>'SUECIA 7 &amp; 8'!AH3</f>
        <v>Stock Actual</v>
      </c>
      <c r="AJ187" s="2" t="str">
        <f>'SUECIA 7 &amp; 8'!AI3</f>
        <v>Stock Actual</v>
      </c>
      <c r="AK187" s="2" t="str">
        <f>'SUECIA 7 &amp; 8'!AJ3</f>
        <v>Stock Actual</v>
      </c>
      <c r="AL187" s="2" t="str">
        <f>'SUECIA 7 &amp; 8'!AK3</f>
        <v>Stock Actual</v>
      </c>
      <c r="AM187" s="2" t="str">
        <f>'SUECIA 7 &amp; 8'!AL3</f>
        <v>Stock Actual</v>
      </c>
      <c r="AN187" s="2" t="str">
        <f>'SUECIA 7 &amp; 8'!AM3</f>
        <v>Stock Actual</v>
      </c>
      <c r="AO187" s="2" t="str">
        <f>'SUECIA 7 &amp; 8'!AN3</f>
        <v>Stock Actual</v>
      </c>
      <c r="AP187" s="2" t="str">
        <f>'SUECIA 7 &amp; 8'!AO3</f>
        <v>Stock Actual</v>
      </c>
      <c r="AQ187" s="2" t="str">
        <f>'SUECIA 7 &amp; 8'!AP3</f>
        <v>Stock Actual</v>
      </c>
      <c r="AR187" s="2" t="str">
        <f>'SUECIA 7 &amp; 8'!AQ3</f>
        <v>Stock Actual</v>
      </c>
      <c r="AS187" s="2" t="str">
        <f>'SUECIA 7 &amp; 8'!AR3</f>
        <v>Stock Actual</v>
      </c>
      <c r="AT187" s="2" t="str">
        <f>'SUECIA 7 &amp; 8'!AS3</f>
        <v>Stock Actual</v>
      </c>
      <c r="AU187" s="2" t="str">
        <f>'SUECIA 7 &amp; 8'!AT3</f>
        <v>Stock Actual</v>
      </c>
      <c r="AV187" s="2" t="str">
        <f>'SUECIA 7 &amp; 8'!AU3</f>
        <v>Stock Actual</v>
      </c>
      <c r="AW187" s="2" t="str">
        <f>'SUECIA 7 &amp; 8'!AV3</f>
        <v>Stock Actual</v>
      </c>
      <c r="AX187" s="2" t="str">
        <f>'SUECIA 7 &amp; 8'!AW3</f>
        <v>Stock Actual</v>
      </c>
      <c r="AY187" s="2" t="str">
        <f>'SUECIA 7 &amp; 8'!AX3</f>
        <v>Stock Actual</v>
      </c>
      <c r="AZ187" s="2" t="str">
        <f>'SUECIA 7 &amp; 8'!AY3</f>
        <v>Stock Actual</v>
      </c>
      <c r="BA187" s="2" t="str">
        <f>'SUECIA 7 &amp; 8'!AZ3</f>
        <v>Stock Actual</v>
      </c>
      <c r="BB187" s="2" t="str">
        <f>'SUECIA 7 &amp; 8'!BA3</f>
        <v>Stock Actual</v>
      </c>
      <c r="BC187" s="2" t="str">
        <f>'SUECIA 7 &amp; 8'!BB3</f>
        <v>Stock Actual</v>
      </c>
      <c r="BD187" s="2" t="str">
        <f>'SUECIA 7 &amp; 8'!BC3</f>
        <v>Stock Actual</v>
      </c>
      <c r="BE187" s="2" t="str">
        <f>'SUECIA 7 &amp; 8'!BD3</f>
        <v>Stock Actual</v>
      </c>
      <c r="BF187" s="2" t="str">
        <f>'SUECIA 7 &amp; 8'!BE3</f>
        <v>Stock Actual</v>
      </c>
      <c r="BG187" s="2" t="str">
        <f>'SUECIA 7 &amp; 8'!BF3</f>
        <v>Stock Actual</v>
      </c>
      <c r="BH187" s="2" t="str">
        <f>'SUECIA 7 &amp; 8'!BG3</f>
        <v>Stock Actual</v>
      </c>
      <c r="BI187" s="2" t="str">
        <f>'SUECIA 7 &amp; 8'!BH3</f>
        <v/>
      </c>
      <c r="BJ187" s="2" t="str">
        <f>'SUECIA 7 &amp; 8'!BI3</f>
        <v/>
      </c>
      <c r="BK187" s="2" t="str">
        <f>'SUECIA 7 &amp; 8'!BJ3</f>
        <v/>
      </c>
      <c r="BL187" s="2" t="str">
        <f>'SUECIA 7 &amp; 8'!BK3</f>
        <v/>
      </c>
      <c r="BM187" s="2" t="str">
        <f>'SUECIA 7 &amp; 8'!BL3</f>
        <v/>
      </c>
      <c r="BN187" s="2"/>
      <c r="BO187" s="2"/>
      <c r="BP187" s="2"/>
      <c r="BQ187" s="2"/>
      <c r="BR187" s="2"/>
      <c r="BS187" s="2"/>
      <c r="BT187" s="2"/>
      <c r="BU187" s="2"/>
      <c r="BV187" s="2"/>
      <c r="BW187" s="2"/>
    </row>
    <row r="188">
      <c r="A188" s="2" t="str">
        <f t="shared" ref="A188:A215" si="185">D188&amp;B188</f>
        <v>Cafe Grano (KG)Suecia piso 7</v>
      </c>
      <c r="B188" s="2" t="str">
        <f>'SUECIA 7 &amp; 8'!A4</f>
        <v>Suecia piso 7</v>
      </c>
      <c r="C188" s="2" t="str">
        <f>'SUECIA 7 &amp; 8'!B4</f>
        <v>Cafeteria</v>
      </c>
      <c r="D188" s="2" t="str">
        <f>'SUECIA 7 &amp; 8'!C4</f>
        <v>Cafe Grano (KG)</v>
      </c>
      <c r="E188" s="2">
        <f>'SUECIA 7 &amp; 8'!D4</f>
        <v>7</v>
      </c>
      <c r="F188" s="2">
        <f>'SUECIA 7 &amp; 8'!E4</f>
        <v>7</v>
      </c>
      <c r="G188" s="2">
        <f>'SUECIA 7 &amp; 8'!F4</f>
        <v>2.5</v>
      </c>
      <c r="H188" s="2">
        <f>'SUECIA 7 &amp; 8'!G4</f>
        <v>4.5</v>
      </c>
      <c r="I188" s="2">
        <f>'SUECIA 7 &amp; 8'!H4</f>
        <v>1.5</v>
      </c>
      <c r="J188" s="2" t="str">
        <f>'SUECIA 7 &amp; 8'!I4</f>
        <v>-</v>
      </c>
      <c r="K188" s="2" t="str">
        <f>'SUECIA 7 &amp; 8'!J4</f>
        <v>-</v>
      </c>
      <c r="L188" s="2">
        <f>'SUECIA 7 &amp; 8'!K4</f>
        <v>3</v>
      </c>
      <c r="M188" s="2">
        <f>'SUECIA 7 &amp; 8'!L4</f>
        <v>2</v>
      </c>
      <c r="N188" s="2">
        <f>'SUECIA 7 &amp; 8'!M4</f>
        <v>3.5</v>
      </c>
      <c r="O188" s="2">
        <f>'SUECIA 7 &amp; 8'!N4</f>
        <v>3</v>
      </c>
      <c r="P188" s="2">
        <f>'SUECIA 7 &amp; 8'!O4</f>
        <v>2.5</v>
      </c>
      <c r="Q188" s="2">
        <f>'SUECIA 7 &amp; 8'!P4</f>
        <v>2</v>
      </c>
      <c r="R188" s="2">
        <f>'SUECIA 7 &amp; 8'!Q4</f>
        <v>5</v>
      </c>
      <c r="S188" s="2">
        <f>'SUECIA 7 &amp; 8'!R4</f>
        <v>4.5</v>
      </c>
      <c r="T188" s="2">
        <f>'SUECIA 7 &amp; 8'!S4</f>
        <v>4</v>
      </c>
      <c r="U188" s="2">
        <f>'SUECIA 7 &amp; 8'!T4</f>
        <v>4</v>
      </c>
      <c r="V188" s="2">
        <f>'SUECIA 7 &amp; 8'!U4</f>
        <v>3</v>
      </c>
      <c r="W188" s="2">
        <f>'SUECIA 7 &amp; 8'!V4</f>
        <v>2</v>
      </c>
      <c r="X188" s="2">
        <f>'SUECIA 7 &amp; 8'!W4</f>
        <v>3</v>
      </c>
      <c r="Y188" s="2">
        <f>'SUECIA 7 &amp; 8'!X4</f>
        <v>0.5</v>
      </c>
      <c r="Z188" s="2">
        <f>'SUECIA 7 &amp; 8'!Y4</f>
        <v>3</v>
      </c>
      <c r="AA188" s="2">
        <f>'SUECIA 7 &amp; 8'!Z4</f>
        <v>3</v>
      </c>
      <c r="AB188" s="2">
        <f>'SUECIA 7 &amp; 8'!AA4</f>
        <v>14</v>
      </c>
      <c r="AC188" s="2">
        <f>'SUECIA 7 &amp; 8'!AB4</f>
        <v>10</v>
      </c>
      <c r="AD188" s="2">
        <f>'SUECIA 7 &amp; 8'!AC4</f>
        <v>9</v>
      </c>
      <c r="AE188" s="2">
        <f>'SUECIA 7 &amp; 8'!AD4</f>
        <v>8</v>
      </c>
      <c r="AF188" s="2">
        <f>'SUECIA 7 &amp; 8'!AE4</f>
        <v>7</v>
      </c>
      <c r="AG188" s="2">
        <f>'SUECIA 7 &amp; 8'!AF4</f>
        <v>7</v>
      </c>
      <c r="AH188" s="2">
        <f>'SUECIA 7 &amp; 8'!AG4</f>
        <v>6</v>
      </c>
      <c r="AI188" s="2" t="str">
        <f>'SUECIA 7 &amp; 8'!AH4</f>
        <v/>
      </c>
      <c r="AJ188" s="2">
        <f>'SUECIA 7 &amp; 8'!AI4</f>
        <v>6</v>
      </c>
      <c r="AK188" s="2">
        <f>'SUECIA 7 &amp; 8'!AJ4</f>
        <v>5.5</v>
      </c>
      <c r="AL188" s="2">
        <f>'SUECIA 7 &amp; 8'!AK4</f>
        <v>5.5</v>
      </c>
      <c r="AM188" s="2">
        <f>'SUECIA 7 &amp; 8'!AL4</f>
        <v>5</v>
      </c>
      <c r="AN188" s="2">
        <f>'SUECIA 7 &amp; 8'!AM4</f>
        <v>7.5</v>
      </c>
      <c r="AO188" s="2">
        <f>'SUECIA 7 &amp; 8'!AN4</f>
        <v>7.5</v>
      </c>
      <c r="AP188" s="2">
        <f>'SUECIA 7 &amp; 8'!AO4</f>
        <v>7</v>
      </c>
      <c r="AQ188" s="2">
        <f>'SUECIA 7 &amp; 8'!AP4</f>
        <v>7</v>
      </c>
      <c r="AR188" s="2">
        <f>'SUECIA 7 &amp; 8'!AQ4</f>
        <v>7</v>
      </c>
      <c r="AS188" s="2">
        <f>'SUECIA 7 &amp; 8'!AR4</f>
        <v>6.5</v>
      </c>
      <c r="AT188" s="2">
        <f>'SUECIA 7 &amp; 8'!AS4</f>
        <v>6</v>
      </c>
      <c r="AU188" s="2">
        <f>'SUECIA 7 &amp; 8'!AT4</f>
        <v>5.5</v>
      </c>
      <c r="AV188" s="2">
        <f>'SUECIA 7 &amp; 8'!AU4</f>
        <v>5</v>
      </c>
      <c r="AW188" s="2">
        <f>'SUECIA 7 &amp; 8'!AV4</f>
        <v>5</v>
      </c>
      <c r="AX188" s="2">
        <f>'SUECIA 7 &amp; 8'!AW4</f>
        <v>5</v>
      </c>
      <c r="AY188" s="2">
        <f>'SUECIA 7 &amp; 8'!AX4</f>
        <v>5</v>
      </c>
      <c r="AZ188" s="2">
        <f>'SUECIA 7 &amp; 8'!AY4</f>
        <v>4.5</v>
      </c>
      <c r="BA188" s="2">
        <f>'SUECIA 7 &amp; 8'!AZ4</f>
        <v>4</v>
      </c>
      <c r="BB188" s="2">
        <f>'SUECIA 7 &amp; 8'!BA4</f>
        <v>4</v>
      </c>
      <c r="BC188" s="2">
        <f>'SUECIA 7 &amp; 8'!BB4</f>
        <v>4</v>
      </c>
      <c r="BD188" s="2">
        <f>'SUECIA 7 &amp; 8'!BC4</f>
        <v>3</v>
      </c>
      <c r="BE188" s="2">
        <f>'SUECIA 7 &amp; 8'!BD4</f>
        <v>3</v>
      </c>
      <c r="BF188" s="2">
        <f>'SUECIA 7 &amp; 8'!BE4</f>
        <v>3</v>
      </c>
      <c r="BG188" s="2">
        <f>'SUECIA 7 &amp; 8'!BF4</f>
        <v>3</v>
      </c>
      <c r="BH188" s="2" t="str">
        <f>'SUECIA 7 &amp; 8'!BG4</f>
        <v/>
      </c>
      <c r="BI188" s="2" t="str">
        <f>'SUECIA 7 &amp; 8'!BH4</f>
        <v/>
      </c>
      <c r="BJ188" s="2" t="str">
        <f>'SUECIA 7 &amp; 8'!BI4</f>
        <v/>
      </c>
      <c r="BK188" s="2" t="str">
        <f>'SUECIA 7 &amp; 8'!BJ4</f>
        <v/>
      </c>
      <c r="BL188" s="2" t="str">
        <f>'SUECIA 7 &amp; 8'!BK4</f>
        <v/>
      </c>
      <c r="BM188" s="2" t="str">
        <f>'SUECIA 7 &amp; 8'!BL4</f>
        <v/>
      </c>
      <c r="BN188" s="2"/>
      <c r="BO188" s="2"/>
      <c r="BP188" s="2"/>
      <c r="BQ188" s="2"/>
      <c r="BR188" s="2"/>
      <c r="BS188" s="2"/>
      <c r="BT188" s="2"/>
      <c r="BU188" s="2"/>
      <c r="BV188" s="2"/>
      <c r="BW188" s="2"/>
    </row>
    <row r="189">
      <c r="A189" s="2" t="str">
        <f t="shared" si="185"/>
        <v>Toalla de Papel Jumbo (UN)Suecia piso 7</v>
      </c>
      <c r="B189" s="2" t="str">
        <f>'SUECIA 7 &amp; 8'!A5</f>
        <v>Suecia piso 7</v>
      </c>
      <c r="C189" s="2" t="str">
        <f>'SUECIA 7 &amp; 8'!B5</f>
        <v>Cafeteria</v>
      </c>
      <c r="D189" s="2" t="str">
        <f>'SUECIA 7 &amp; 8'!C5</f>
        <v>Toalla de Papel Jumbo (UN)</v>
      </c>
      <c r="E189" s="2">
        <f>'SUECIA 7 &amp; 8'!D5</f>
        <v>14</v>
      </c>
      <c r="F189" s="2">
        <f>'SUECIA 7 &amp; 8'!E5</f>
        <v>12</v>
      </c>
      <c r="G189" s="2">
        <f>'SUECIA 7 &amp; 8'!F5</f>
        <v>10</v>
      </c>
      <c r="H189" s="2">
        <f>'SUECIA 7 &amp; 8'!G5</f>
        <v>9</v>
      </c>
      <c r="I189" s="2">
        <f>'SUECIA 7 &amp; 8'!H5</f>
        <v>7</v>
      </c>
      <c r="J189" s="2" t="str">
        <f>'SUECIA 7 &amp; 8'!I5</f>
        <v>-</v>
      </c>
      <c r="K189" s="2" t="str">
        <f>'SUECIA 7 &amp; 8'!J5</f>
        <v>-</v>
      </c>
      <c r="L189" s="2">
        <f>'SUECIA 7 &amp; 8'!K5</f>
        <v>5</v>
      </c>
      <c r="M189" s="2">
        <f>'SUECIA 7 &amp; 8'!L5</f>
        <v>4</v>
      </c>
      <c r="N189" s="2">
        <f>'SUECIA 7 &amp; 8'!M5</f>
        <v>4</v>
      </c>
      <c r="O189" s="2">
        <f>'SUECIA 7 &amp; 8'!N5</f>
        <v>4</v>
      </c>
      <c r="P189" s="2">
        <f>'SUECIA 7 &amp; 8'!O5</f>
        <v>3</v>
      </c>
      <c r="Q189" s="2">
        <f>'SUECIA 7 &amp; 8'!P5</f>
        <v>3</v>
      </c>
      <c r="R189" s="2">
        <f>'SUECIA 7 &amp; 8'!Q5</f>
        <v>3</v>
      </c>
      <c r="S189" s="2">
        <f>'SUECIA 7 &amp; 8'!R5</f>
        <v>2</v>
      </c>
      <c r="T189" s="2">
        <f>'SUECIA 7 &amp; 8'!S5</f>
        <v>2</v>
      </c>
      <c r="U189" s="2">
        <f>'SUECIA 7 &amp; 8'!T5</f>
        <v>2</v>
      </c>
      <c r="V189" s="2">
        <f>'SUECIA 7 &amp; 8'!U5</f>
        <v>2</v>
      </c>
      <c r="W189" s="2">
        <f>'SUECIA 7 &amp; 8'!V5</f>
        <v>14</v>
      </c>
      <c r="X189" s="2">
        <f>'SUECIA 7 &amp; 8'!W5</f>
        <v>20</v>
      </c>
      <c r="Y189" s="2">
        <f>'SUECIA 7 &amp; 8'!X5</f>
        <v>14</v>
      </c>
      <c r="Z189" s="2">
        <f>'SUECIA 7 &amp; 8'!Y5</f>
        <v>16</v>
      </c>
      <c r="AA189" s="2">
        <f>'SUECIA 7 &amp; 8'!Z5</f>
        <v>15</v>
      </c>
      <c r="AB189" s="2">
        <f>'SUECIA 7 &amp; 8'!AA5</f>
        <v>15</v>
      </c>
      <c r="AC189" s="2">
        <f>'SUECIA 7 &amp; 8'!AB5</f>
        <v>14</v>
      </c>
      <c r="AD189" s="2">
        <f>'SUECIA 7 &amp; 8'!AC5</f>
        <v>12</v>
      </c>
      <c r="AE189" s="2">
        <f>'SUECIA 7 &amp; 8'!AD5</f>
        <v>12</v>
      </c>
      <c r="AF189" s="2">
        <f>'SUECIA 7 &amp; 8'!AE5</f>
        <v>12</v>
      </c>
      <c r="AG189" s="2">
        <f>'SUECIA 7 &amp; 8'!AF5</f>
        <v>10</v>
      </c>
      <c r="AH189" s="2">
        <f>'SUECIA 7 &amp; 8'!AG5</f>
        <v>10</v>
      </c>
      <c r="AI189" s="2">
        <f>'SUECIA 7 &amp; 8'!AH5</f>
        <v>9</v>
      </c>
      <c r="AJ189" s="2">
        <f>'SUECIA 7 &amp; 8'!AI5</f>
        <v>9</v>
      </c>
      <c r="AK189" s="2">
        <f>'SUECIA 7 &amp; 8'!AJ5</f>
        <v>16</v>
      </c>
      <c r="AL189" s="2">
        <f>'SUECIA 7 &amp; 8'!AK5</f>
        <v>12</v>
      </c>
      <c r="AM189" s="2">
        <f>'SUECIA 7 &amp; 8'!AL5</f>
        <v>12</v>
      </c>
      <c r="AN189" s="2">
        <f>'SUECIA 7 &amp; 8'!AM5</f>
        <v>11</v>
      </c>
      <c r="AO189" s="2">
        <f>'SUECIA 7 &amp; 8'!AN5</f>
        <v>10</v>
      </c>
      <c r="AP189" s="2">
        <f>'SUECIA 7 &amp; 8'!AO5</f>
        <v>10</v>
      </c>
      <c r="AQ189" s="2">
        <f>'SUECIA 7 &amp; 8'!AP5</f>
        <v>10</v>
      </c>
      <c r="AR189" s="2">
        <f>'SUECIA 7 &amp; 8'!AQ5</f>
        <v>10</v>
      </c>
      <c r="AS189" s="2">
        <f>'SUECIA 7 &amp; 8'!AR5</f>
        <v>10</v>
      </c>
      <c r="AT189" s="2">
        <f>'SUECIA 7 &amp; 8'!AS5</f>
        <v>8</v>
      </c>
      <c r="AU189" s="2">
        <f>'SUECIA 7 &amp; 8'!AT5</f>
        <v>7</v>
      </c>
      <c r="AV189" s="2">
        <f>'SUECIA 7 &amp; 8'!AU5</f>
        <v>7</v>
      </c>
      <c r="AW189" s="2">
        <f>'SUECIA 7 &amp; 8'!AV5</f>
        <v>6</v>
      </c>
      <c r="AX189" s="2">
        <f>'SUECIA 7 &amp; 8'!AW5</f>
        <v>6</v>
      </c>
      <c r="AY189" s="2">
        <f>'SUECIA 7 &amp; 8'!AX5</f>
        <v>6</v>
      </c>
      <c r="AZ189" s="2">
        <f>'SUECIA 7 &amp; 8'!AY5</f>
        <v>6</v>
      </c>
      <c r="BA189" s="2">
        <f>'SUECIA 7 &amp; 8'!AZ5</f>
        <v>5</v>
      </c>
      <c r="BB189" s="2">
        <f>'SUECIA 7 &amp; 8'!BA5</f>
        <v>5</v>
      </c>
      <c r="BC189" s="2">
        <f>'SUECIA 7 &amp; 8'!BB5</f>
        <v>5</v>
      </c>
      <c r="BD189" s="2">
        <f>'SUECIA 7 &amp; 8'!BC5</f>
        <v>4</v>
      </c>
      <c r="BE189" s="2">
        <f>'SUECIA 7 &amp; 8'!BD5</f>
        <v>4</v>
      </c>
      <c r="BF189" s="2">
        <f>'SUECIA 7 &amp; 8'!BE5</f>
        <v>4</v>
      </c>
      <c r="BG189" s="2">
        <f>'SUECIA 7 &amp; 8'!BF5</f>
        <v>4</v>
      </c>
      <c r="BH189" s="2" t="str">
        <f>'SUECIA 7 &amp; 8'!BG5</f>
        <v/>
      </c>
      <c r="BI189" s="2" t="str">
        <f>'SUECIA 7 &amp; 8'!BH5</f>
        <v/>
      </c>
      <c r="BJ189" s="2" t="str">
        <f>'SUECIA 7 &amp; 8'!BI5</f>
        <v/>
      </c>
      <c r="BK189" s="2" t="str">
        <f>'SUECIA 7 &amp; 8'!BJ5</f>
        <v/>
      </c>
      <c r="BL189" s="2" t="str">
        <f>'SUECIA 7 &amp; 8'!BK5</f>
        <v/>
      </c>
      <c r="BM189" s="2" t="str">
        <f>'SUECIA 7 &amp; 8'!BL5</f>
        <v/>
      </c>
      <c r="BN189" s="2"/>
      <c r="BO189" s="2"/>
      <c r="BP189" s="2"/>
      <c r="BQ189" s="2"/>
      <c r="BR189" s="2"/>
      <c r="BS189" s="2"/>
      <c r="BT189" s="2"/>
      <c r="BU189" s="2"/>
      <c r="BV189" s="2"/>
      <c r="BW189" s="2"/>
    </row>
    <row r="190">
      <c r="A190" s="2" t="str">
        <f t="shared" si="185"/>
        <v>Papel Higienico (UN)Suecia piso 7</v>
      </c>
      <c r="B190" s="2" t="str">
        <f>'SUECIA 7 &amp; 8'!A6</f>
        <v>Suecia piso 7</v>
      </c>
      <c r="C190" s="2" t="str">
        <f>'SUECIA 7 &amp; 8'!B6</f>
        <v>Cafeteria</v>
      </c>
      <c r="D190" s="2" t="str">
        <f>'SUECIA 7 &amp; 8'!C6</f>
        <v>Papel Higienico (UN)</v>
      </c>
      <c r="E190" s="2">
        <f>'SUECIA 7 &amp; 8'!D6</f>
        <v>30</v>
      </c>
      <c r="F190" s="2">
        <f>'SUECIA 7 &amp; 8'!E6</f>
        <v>16</v>
      </c>
      <c r="G190" s="2">
        <f>'SUECIA 7 &amp; 8'!F6</f>
        <v>14</v>
      </c>
      <c r="H190" s="2">
        <f>'SUECIA 7 &amp; 8'!G6</f>
        <v>12</v>
      </c>
      <c r="I190" s="2">
        <f>'SUECIA 7 &amp; 8'!H6</f>
        <v>10</v>
      </c>
      <c r="J190" s="2" t="str">
        <f>'SUECIA 7 &amp; 8'!I6</f>
        <v>-</v>
      </c>
      <c r="K190" s="2" t="str">
        <f>'SUECIA 7 &amp; 8'!J6</f>
        <v>-</v>
      </c>
      <c r="L190" s="2">
        <f>'SUECIA 7 &amp; 8'!K6</f>
        <v>26</v>
      </c>
      <c r="M190" s="2">
        <f>'SUECIA 7 &amp; 8'!L6</f>
        <v>24</v>
      </c>
      <c r="N190" s="2">
        <f>'SUECIA 7 &amp; 8'!M6</f>
        <v>22</v>
      </c>
      <c r="O190" s="2">
        <f>'SUECIA 7 &amp; 8'!N6</f>
        <v>21</v>
      </c>
      <c r="P190" s="2">
        <f>'SUECIA 7 &amp; 8'!O6</f>
        <v>19</v>
      </c>
      <c r="Q190" s="2">
        <f>'SUECIA 7 &amp; 8'!P6</f>
        <v>17</v>
      </c>
      <c r="R190" s="2">
        <f>'SUECIA 7 &amp; 8'!Q6</f>
        <v>12</v>
      </c>
      <c r="S190" s="2">
        <f>'SUECIA 7 &amp; 8'!R6</f>
        <v>10</v>
      </c>
      <c r="T190" s="2">
        <f>'SUECIA 7 &amp; 8'!S6</f>
        <v>8</v>
      </c>
      <c r="U190" s="2">
        <f>'SUECIA 7 &amp; 8'!T6</f>
        <v>8</v>
      </c>
      <c r="V190" s="2">
        <f>'SUECIA 7 &amp; 8'!U6</f>
        <v>7</v>
      </c>
      <c r="W190" s="2">
        <f>'SUECIA 7 &amp; 8'!V6</f>
        <v>25</v>
      </c>
      <c r="X190" s="2">
        <f>'SUECIA 7 &amp; 8'!W6</f>
        <v>28</v>
      </c>
      <c r="Y190" s="2">
        <f>'SUECIA 7 &amp; 8'!X6</f>
        <v>27</v>
      </c>
      <c r="Z190" s="2">
        <f>'SUECIA 7 &amp; 8'!Y6</f>
        <v>32</v>
      </c>
      <c r="AA190" s="2">
        <f>'SUECIA 7 &amp; 8'!Z6</f>
        <v>30</v>
      </c>
      <c r="AB190" s="2">
        <f>'SUECIA 7 &amp; 8'!AA6</f>
        <v>30</v>
      </c>
      <c r="AC190" s="2">
        <f>'SUECIA 7 &amp; 8'!AB6</f>
        <v>29</v>
      </c>
      <c r="AD190" s="2">
        <f>'SUECIA 7 &amp; 8'!AC6</f>
        <v>28</v>
      </c>
      <c r="AE190" s="2">
        <f>'SUECIA 7 &amp; 8'!AD6</f>
        <v>27</v>
      </c>
      <c r="AF190" s="2">
        <f>'SUECIA 7 &amp; 8'!AE6</f>
        <v>27</v>
      </c>
      <c r="AG190" s="2">
        <f>'SUECIA 7 &amp; 8'!AF6</f>
        <v>26</v>
      </c>
      <c r="AH190" s="2">
        <f>'SUECIA 7 &amp; 8'!AG6</f>
        <v>24</v>
      </c>
      <c r="AI190" s="2">
        <f>'SUECIA 7 &amp; 8'!AH6</f>
        <v>24</v>
      </c>
      <c r="AJ190" s="2">
        <f>'SUECIA 7 &amp; 8'!AI6</f>
        <v>16</v>
      </c>
      <c r="AK190" s="2">
        <f>'SUECIA 7 &amp; 8'!AJ6</f>
        <v>30</v>
      </c>
      <c r="AL190" s="2">
        <f>'SUECIA 7 &amp; 8'!AK6</f>
        <v>30</v>
      </c>
      <c r="AM190" s="2">
        <f>'SUECIA 7 &amp; 8'!AL6</f>
        <v>30</v>
      </c>
      <c r="AN190" s="2">
        <f>'SUECIA 7 &amp; 8'!AM6</f>
        <v>29</v>
      </c>
      <c r="AO190" s="2">
        <f>'SUECIA 7 &amp; 8'!AN6</f>
        <v>29</v>
      </c>
      <c r="AP190" s="2">
        <f>'SUECIA 7 &amp; 8'!AO6</f>
        <v>27</v>
      </c>
      <c r="AQ190" s="2">
        <f>'SUECIA 7 &amp; 8'!AP6</f>
        <v>27</v>
      </c>
      <c r="AR190" s="2">
        <f>'SUECIA 7 &amp; 8'!AQ6</f>
        <v>27</v>
      </c>
      <c r="AS190" s="2">
        <f>'SUECIA 7 &amp; 8'!AR6</f>
        <v>26</v>
      </c>
      <c r="AT190" s="2">
        <f>'SUECIA 7 &amp; 8'!AS6</f>
        <v>30</v>
      </c>
      <c r="AU190" s="2">
        <f>'SUECIA 7 &amp; 8'!AT6</f>
        <v>30</v>
      </c>
      <c r="AV190" s="2">
        <f>'SUECIA 7 &amp; 8'!AU6</f>
        <v>29</v>
      </c>
      <c r="AW190" s="2">
        <f>'SUECIA 7 &amp; 8'!AV6</f>
        <v>29</v>
      </c>
      <c r="AX190" s="2">
        <f>'SUECIA 7 &amp; 8'!AW6</f>
        <v>29</v>
      </c>
      <c r="AY190" s="2">
        <f>'SUECIA 7 &amp; 8'!AX6</f>
        <v>29</v>
      </c>
      <c r="AZ190" s="2">
        <f>'SUECIA 7 &amp; 8'!AY6</f>
        <v>29</v>
      </c>
      <c r="BA190" s="2">
        <f>'SUECIA 7 &amp; 8'!AZ6</f>
        <v>29</v>
      </c>
      <c r="BB190" s="2">
        <f>'SUECIA 7 &amp; 8'!BA6</f>
        <v>28</v>
      </c>
      <c r="BC190" s="2">
        <f>'SUECIA 7 &amp; 8'!BB6</f>
        <v>25</v>
      </c>
      <c r="BD190" s="2">
        <f>'SUECIA 7 &amp; 8'!BC6</f>
        <v>25</v>
      </c>
      <c r="BE190" s="2">
        <f>'SUECIA 7 &amp; 8'!BD6</f>
        <v>25</v>
      </c>
      <c r="BF190" s="2">
        <f>'SUECIA 7 &amp; 8'!BE6</f>
        <v>25</v>
      </c>
      <c r="BG190" s="2">
        <f>'SUECIA 7 &amp; 8'!BF6</f>
        <v>25</v>
      </c>
      <c r="BH190" s="2" t="str">
        <f>'SUECIA 7 &amp; 8'!BG6</f>
        <v/>
      </c>
      <c r="BI190" s="2" t="str">
        <f>'SUECIA 7 &amp; 8'!BH6</f>
        <v/>
      </c>
      <c r="BJ190" s="2" t="str">
        <f>'SUECIA 7 &amp; 8'!BI6</f>
        <v/>
      </c>
      <c r="BK190" s="2" t="str">
        <f>'SUECIA 7 &amp; 8'!BJ6</f>
        <v/>
      </c>
      <c r="BL190" s="2" t="str">
        <f>'SUECIA 7 &amp; 8'!BK6</f>
        <v/>
      </c>
      <c r="BM190" s="2" t="str">
        <f>'SUECIA 7 &amp; 8'!BL6</f>
        <v/>
      </c>
      <c r="BN190" s="2"/>
      <c r="BO190" s="2"/>
      <c r="BP190" s="2"/>
      <c r="BQ190" s="2"/>
      <c r="BR190" s="2"/>
      <c r="BS190" s="2"/>
      <c r="BT190" s="2"/>
      <c r="BU190" s="2"/>
      <c r="BV190" s="2"/>
      <c r="BW190" s="2"/>
    </row>
    <row r="191">
      <c r="A191" s="2" t="str">
        <f t="shared" si="185"/>
        <v>Resma Papel Fotocopia (UN)Suecia piso 7</v>
      </c>
      <c r="B191" s="2" t="str">
        <f>'SUECIA 7 &amp; 8'!A7</f>
        <v>Suecia piso 7</v>
      </c>
      <c r="C191" s="2" t="str">
        <f>'SUECIA 7 &amp; 8'!B7</f>
        <v>Cafeteria</v>
      </c>
      <c r="D191" s="2" t="str">
        <f>'SUECIA 7 &amp; 8'!C7</f>
        <v>Resma Papel Fotocopia (UN)</v>
      </c>
      <c r="E191" s="2">
        <f>'SUECIA 7 &amp; 8'!D7</f>
        <v>9</v>
      </c>
      <c r="F191" s="2">
        <f>'SUECIA 7 &amp; 8'!E7</f>
        <v>9</v>
      </c>
      <c r="G191" s="2">
        <f>'SUECIA 7 &amp; 8'!F7</f>
        <v>9</v>
      </c>
      <c r="H191" s="2">
        <f>'SUECIA 7 &amp; 8'!G7</f>
        <v>9</v>
      </c>
      <c r="I191" s="2">
        <f>'SUECIA 7 &amp; 8'!H7</f>
        <v>9</v>
      </c>
      <c r="J191" s="2" t="str">
        <f>'SUECIA 7 &amp; 8'!I7</f>
        <v>-</v>
      </c>
      <c r="K191" s="2" t="str">
        <f>'SUECIA 7 &amp; 8'!J7</f>
        <v>-</v>
      </c>
      <c r="L191" s="2">
        <f>'SUECIA 7 &amp; 8'!K7</f>
        <v>10</v>
      </c>
      <c r="M191" s="2">
        <f>'SUECIA 7 &amp; 8'!L7</f>
        <v>9</v>
      </c>
      <c r="N191" s="2">
        <f>'SUECIA 7 &amp; 8'!M7</f>
        <v>8</v>
      </c>
      <c r="O191" s="2">
        <f>'SUECIA 7 &amp; 8'!N7</f>
        <v>8</v>
      </c>
      <c r="P191" s="2">
        <f>'SUECIA 7 &amp; 8'!O7</f>
        <v>8</v>
      </c>
      <c r="Q191" s="2">
        <f>'SUECIA 7 &amp; 8'!P7</f>
        <v>8</v>
      </c>
      <c r="R191" s="2">
        <f>'SUECIA 7 &amp; 8'!Q7</f>
        <v>8</v>
      </c>
      <c r="S191" s="2">
        <f>'SUECIA 7 &amp; 8'!R7</f>
        <v>8</v>
      </c>
      <c r="T191" s="2">
        <f>'SUECIA 7 &amp; 8'!S7</f>
        <v>7</v>
      </c>
      <c r="U191" s="2">
        <f>'SUECIA 7 &amp; 8'!T7</f>
        <v>7</v>
      </c>
      <c r="V191" s="2">
        <f>'SUECIA 7 &amp; 8'!U7</f>
        <v>7</v>
      </c>
      <c r="W191" s="2">
        <f>'SUECIA 7 &amp; 8'!V7</f>
        <v>7</v>
      </c>
      <c r="X191" s="2">
        <f>'SUECIA 7 &amp; 8'!W7</f>
        <v>7</v>
      </c>
      <c r="Y191" s="2">
        <f>'SUECIA 7 &amp; 8'!X7</f>
        <v>7</v>
      </c>
      <c r="Z191" s="2">
        <f>'SUECIA 7 &amp; 8'!Y7</f>
        <v>10</v>
      </c>
      <c r="AA191" s="2">
        <f>'SUECIA 7 &amp; 8'!Z7</f>
        <v>10</v>
      </c>
      <c r="AB191" s="2">
        <f>'SUECIA 7 &amp; 8'!AA7</f>
        <v>10</v>
      </c>
      <c r="AC191" s="2">
        <f>'SUECIA 7 &amp; 8'!AB7</f>
        <v>9</v>
      </c>
      <c r="AD191" s="2">
        <f>'SUECIA 7 &amp; 8'!AC7</f>
        <v>7</v>
      </c>
      <c r="AE191" s="2">
        <f>'SUECIA 7 &amp; 8'!AD7</f>
        <v>7</v>
      </c>
      <c r="AF191" s="2">
        <f>'SUECIA 7 &amp; 8'!AE7</f>
        <v>7</v>
      </c>
      <c r="AG191" s="2">
        <f>'SUECIA 7 &amp; 8'!AF7</f>
        <v>7</v>
      </c>
      <c r="AH191" s="2">
        <f>'SUECIA 7 &amp; 8'!AG7</f>
        <v>7</v>
      </c>
      <c r="AI191" s="2">
        <f>'SUECIA 7 &amp; 8'!AH7</f>
        <v>7</v>
      </c>
      <c r="AJ191" s="2">
        <f>'SUECIA 7 &amp; 8'!AI7</f>
        <v>7</v>
      </c>
      <c r="AK191" s="2">
        <f>'SUECIA 7 &amp; 8'!AJ7</f>
        <v>6</v>
      </c>
      <c r="AL191" s="2">
        <f>'SUECIA 7 &amp; 8'!AK7</f>
        <v>6</v>
      </c>
      <c r="AM191" s="2">
        <f>'SUECIA 7 &amp; 8'!AL7</f>
        <v>6</v>
      </c>
      <c r="AN191" s="2">
        <f>'SUECIA 7 &amp; 8'!AM7</f>
        <v>6</v>
      </c>
      <c r="AO191" s="2">
        <f>'SUECIA 7 &amp; 8'!AN7</f>
        <v>6</v>
      </c>
      <c r="AP191" s="2">
        <f>'SUECIA 7 &amp; 8'!AO7</f>
        <v>6</v>
      </c>
      <c r="AQ191" s="2">
        <f>'SUECIA 7 &amp; 8'!AP7</f>
        <v>4</v>
      </c>
      <c r="AR191" s="2">
        <f>'SUECIA 7 &amp; 8'!AQ7</f>
        <v>4</v>
      </c>
      <c r="AS191" s="2">
        <f>'SUECIA 7 &amp; 8'!AR7</f>
        <v>4</v>
      </c>
      <c r="AT191" s="2">
        <f>'SUECIA 7 &amp; 8'!AS7</f>
        <v>3</v>
      </c>
      <c r="AU191" s="2">
        <f>'SUECIA 7 &amp; 8'!AT7</f>
        <v>2</v>
      </c>
      <c r="AV191" s="2">
        <f>'SUECIA 7 &amp; 8'!AU7</f>
        <v>2</v>
      </c>
      <c r="AW191" s="2">
        <f>'SUECIA 7 &amp; 8'!AV7</f>
        <v>1</v>
      </c>
      <c r="AX191" s="2">
        <f>'SUECIA 7 &amp; 8'!AW7</f>
        <v>1</v>
      </c>
      <c r="AY191" s="2">
        <f>'SUECIA 7 &amp; 8'!AX7</f>
        <v>1</v>
      </c>
      <c r="AZ191" s="2">
        <f>'SUECIA 7 &amp; 8'!AY7</f>
        <v>1</v>
      </c>
      <c r="BA191" s="2">
        <f>'SUECIA 7 &amp; 8'!AZ7</f>
        <v>1</v>
      </c>
      <c r="BB191" s="2">
        <f>'SUECIA 7 &amp; 8'!BA7</f>
        <v>1</v>
      </c>
      <c r="BC191" s="2">
        <f>'SUECIA 7 &amp; 8'!BB7</f>
        <v>1</v>
      </c>
      <c r="BD191" s="2">
        <f>'SUECIA 7 &amp; 8'!BC7</f>
        <v>1</v>
      </c>
      <c r="BE191" s="2">
        <f>'SUECIA 7 &amp; 8'!BD7</f>
        <v>1</v>
      </c>
      <c r="BF191" s="2">
        <f>'SUECIA 7 &amp; 8'!BE7</f>
        <v>1</v>
      </c>
      <c r="BG191" s="2">
        <f>'SUECIA 7 &amp; 8'!BF7</f>
        <v>1</v>
      </c>
      <c r="BH191" s="2" t="str">
        <f>'SUECIA 7 &amp; 8'!BG7</f>
        <v/>
      </c>
      <c r="BI191" s="2" t="str">
        <f>'SUECIA 7 &amp; 8'!BH7</f>
        <v/>
      </c>
      <c r="BJ191" s="2" t="str">
        <f>'SUECIA 7 &amp; 8'!BI7</f>
        <v/>
      </c>
      <c r="BK191" s="2" t="str">
        <f>'SUECIA 7 &amp; 8'!BJ7</f>
        <v/>
      </c>
      <c r="BL191" s="2" t="str">
        <f>'SUECIA 7 &amp; 8'!BK7</f>
        <v/>
      </c>
      <c r="BM191" s="2" t="str">
        <f>'SUECIA 7 &amp; 8'!BL7</f>
        <v/>
      </c>
      <c r="BN191" s="2"/>
      <c r="BO191" s="2"/>
      <c r="BP191" s="2"/>
      <c r="BQ191" s="2"/>
      <c r="BR191" s="2"/>
      <c r="BS191" s="2"/>
      <c r="BT191" s="2"/>
      <c r="BU191" s="2"/>
      <c r="BV191" s="2"/>
      <c r="BW191" s="2"/>
    </row>
    <row r="192">
      <c r="A192" s="2" t="str">
        <f t="shared" si="185"/>
        <v>Leche LiquidaSuecia piso 7</v>
      </c>
      <c r="B192" s="2" t="str">
        <f>'SUECIA 7 &amp; 8'!A8</f>
        <v>Suecia piso 7</v>
      </c>
      <c r="C192" s="2" t="str">
        <f>'SUECIA 7 &amp; 8'!B8</f>
        <v>Cafeteria</v>
      </c>
      <c r="D192" s="2" t="str">
        <f>'SUECIA 7 &amp; 8'!C8</f>
        <v>Leche Liquida</v>
      </c>
      <c r="E192" s="2" t="str">
        <f>'SUECIA 7 &amp; 8'!D8</f>
        <v/>
      </c>
      <c r="F192" s="2" t="str">
        <f>'SUECIA 7 &amp; 8'!E8</f>
        <v/>
      </c>
      <c r="G192" s="2" t="str">
        <f>'SUECIA 7 &amp; 8'!F8</f>
        <v/>
      </c>
      <c r="H192" s="2" t="str">
        <f>'SUECIA 7 &amp; 8'!G8</f>
        <v/>
      </c>
      <c r="I192" s="2" t="str">
        <f>'SUECIA 7 &amp; 8'!H8</f>
        <v/>
      </c>
      <c r="J192" s="2" t="str">
        <f>'SUECIA 7 &amp; 8'!I8</f>
        <v/>
      </c>
      <c r="K192" s="2" t="str">
        <f>'SUECIA 7 &amp; 8'!J8</f>
        <v/>
      </c>
      <c r="L192" s="2" t="str">
        <f>'SUECIA 7 &amp; 8'!K8</f>
        <v/>
      </c>
      <c r="M192" s="2" t="str">
        <f>'SUECIA 7 &amp; 8'!L8</f>
        <v/>
      </c>
      <c r="N192" s="2" t="str">
        <f>'SUECIA 7 &amp; 8'!M8</f>
        <v/>
      </c>
      <c r="O192" s="2" t="str">
        <f>'SUECIA 7 &amp; 8'!N8</f>
        <v/>
      </c>
      <c r="P192" s="2" t="str">
        <f>'SUECIA 7 &amp; 8'!O8</f>
        <v/>
      </c>
      <c r="Q192" s="2" t="str">
        <f>'SUECIA 7 &amp; 8'!P8</f>
        <v/>
      </c>
      <c r="R192" s="2" t="str">
        <f>'SUECIA 7 &amp; 8'!Q8</f>
        <v>-</v>
      </c>
      <c r="S192" s="2" t="str">
        <f>'SUECIA 7 &amp; 8'!R8</f>
        <v>-</v>
      </c>
      <c r="T192" s="2" t="str">
        <f>'SUECIA 7 &amp; 8'!S8</f>
        <v>-</v>
      </c>
      <c r="U192" s="2" t="str">
        <f>'SUECIA 7 &amp; 8'!T8</f>
        <v>-</v>
      </c>
      <c r="V192" s="2" t="str">
        <f>'SUECIA 7 &amp; 8'!U8</f>
        <v>-</v>
      </c>
      <c r="W192" s="2" t="str">
        <f>'SUECIA 7 &amp; 8'!V8</f>
        <v>-</v>
      </c>
      <c r="X192" s="2" t="str">
        <f>'SUECIA 7 &amp; 8'!W8</f>
        <v>-</v>
      </c>
      <c r="Y192" s="2" t="str">
        <f>'SUECIA 7 &amp; 8'!X8</f>
        <v>-</v>
      </c>
      <c r="Z192" s="2" t="str">
        <f>'SUECIA 7 &amp; 8'!Y8</f>
        <v>-</v>
      </c>
      <c r="AA192" s="2">
        <f>'SUECIA 7 &amp; 8'!Z8</f>
        <v>18</v>
      </c>
      <c r="AB192" s="2">
        <f>'SUECIA 7 &amp; 8'!AA8</f>
        <v>17</v>
      </c>
      <c r="AC192" s="2">
        <f>'SUECIA 7 &amp; 8'!AB8</f>
        <v>16</v>
      </c>
      <c r="AD192" s="2">
        <f>'SUECIA 7 &amp; 8'!AC8</f>
        <v>13</v>
      </c>
      <c r="AE192" s="2">
        <f>'SUECIA 7 &amp; 8'!AD8</f>
        <v>11</v>
      </c>
      <c r="AF192" s="2">
        <f>'SUECIA 7 &amp; 8'!AE8</f>
        <v>10</v>
      </c>
      <c r="AG192" s="2">
        <f>'SUECIA 7 &amp; 8'!AF8</f>
        <v>8</v>
      </c>
      <c r="AH192" s="2">
        <f>'SUECIA 7 &amp; 8'!AG8</f>
        <v>6</v>
      </c>
      <c r="AI192" s="2">
        <f>'SUECIA 7 &amp; 8'!AH8</f>
        <v>6</v>
      </c>
      <c r="AJ192" s="2">
        <f>'SUECIA 7 &amp; 8'!AI8</f>
        <v>4</v>
      </c>
      <c r="AK192" s="2">
        <f>'SUECIA 7 &amp; 8'!AJ8</f>
        <v>14</v>
      </c>
      <c r="AL192" s="2">
        <f>'SUECIA 7 &amp; 8'!AK8</f>
        <v>14</v>
      </c>
      <c r="AM192" s="2">
        <f>'SUECIA 7 &amp; 8'!AL8</f>
        <v>13</v>
      </c>
      <c r="AN192" s="2">
        <f>'SUECIA 7 &amp; 8'!AM8</f>
        <v>12</v>
      </c>
      <c r="AO192" s="2">
        <f>'SUECIA 7 &amp; 8'!AN8</f>
        <v>12</v>
      </c>
      <c r="AP192" s="2">
        <f>'SUECIA 7 &amp; 8'!AO8</f>
        <v>11</v>
      </c>
      <c r="AQ192" s="2">
        <f>'SUECIA 7 &amp; 8'!AP8</f>
        <v>10</v>
      </c>
      <c r="AR192" s="2">
        <f>'SUECIA 7 &amp; 8'!AQ8</f>
        <v>9</v>
      </c>
      <c r="AS192" s="2">
        <f>'SUECIA 7 &amp; 8'!AR8</f>
        <v>6</v>
      </c>
      <c r="AT192" s="2">
        <f>'SUECIA 7 &amp; 8'!AS8</f>
        <v>4</v>
      </c>
      <c r="AU192" s="2">
        <f>'SUECIA 7 &amp; 8'!AT8</f>
        <v>4</v>
      </c>
      <c r="AV192" s="2">
        <f>'SUECIA 7 &amp; 8'!AU8</f>
        <v>3</v>
      </c>
      <c r="AW192" s="2">
        <f>'SUECIA 7 &amp; 8'!AV8</f>
        <v>3</v>
      </c>
      <c r="AX192" s="2">
        <f>'SUECIA 7 &amp; 8'!AW8</f>
        <v>3</v>
      </c>
      <c r="AY192" s="2">
        <f>'SUECIA 7 &amp; 8'!AX8</f>
        <v>2</v>
      </c>
      <c r="AZ192" s="2">
        <f>'SUECIA 7 &amp; 8'!AY8</f>
        <v>1</v>
      </c>
      <c r="BA192" s="2">
        <f>'SUECIA 7 &amp; 8'!AZ8</f>
        <v>1</v>
      </c>
      <c r="BB192" s="2">
        <f>'SUECIA 7 &amp; 8'!BA8</f>
        <v>2</v>
      </c>
      <c r="BC192" s="2">
        <f>'SUECIA 7 &amp; 8'!BB8</f>
        <v>1</v>
      </c>
      <c r="BD192" s="2">
        <f>'SUECIA 7 &amp; 8'!BC8</f>
        <v>0</v>
      </c>
      <c r="BE192" s="2">
        <f>'SUECIA 7 &amp; 8'!BD8</f>
        <v>0</v>
      </c>
      <c r="BF192" s="2">
        <f>'SUECIA 7 &amp; 8'!BE8</f>
        <v>0</v>
      </c>
      <c r="BG192" s="2">
        <f>'SUECIA 7 &amp; 8'!BF8</f>
        <v>0</v>
      </c>
      <c r="BH192" s="2" t="str">
        <f>'SUECIA 7 &amp; 8'!BG8</f>
        <v/>
      </c>
      <c r="BI192" s="2" t="str">
        <f>'SUECIA 7 &amp; 8'!BH8</f>
        <v/>
      </c>
      <c r="BJ192" s="2" t="str">
        <f>'SUECIA 7 &amp; 8'!BI8</f>
        <v/>
      </c>
      <c r="BK192" s="2" t="str">
        <f>'SUECIA 7 &amp; 8'!BJ8</f>
        <v/>
      </c>
      <c r="BL192" s="2" t="str">
        <f>'SUECIA 7 &amp; 8'!BK8</f>
        <v/>
      </c>
      <c r="BM192" s="2" t="str">
        <f>'SUECIA 7 &amp; 8'!BL8</f>
        <v/>
      </c>
      <c r="BN192" s="2"/>
      <c r="BO192" s="2"/>
      <c r="BP192" s="2"/>
      <c r="BQ192" s="2"/>
      <c r="BR192" s="2"/>
      <c r="BS192" s="2"/>
      <c r="BT192" s="2"/>
      <c r="BU192" s="2"/>
      <c r="BV192" s="2"/>
      <c r="BW192" s="2"/>
    </row>
    <row r="193">
      <c r="A193" s="2" t="str">
        <f t="shared" si="185"/>
        <v>Cafe GranuladoSuecia piso 7</v>
      </c>
      <c r="B193" s="2" t="str">
        <f>'SUECIA 7 &amp; 8'!A9</f>
        <v>Suecia piso 7</v>
      </c>
      <c r="C193" s="2" t="str">
        <f>'SUECIA 7 &amp; 8'!B9</f>
        <v>Cafeteria</v>
      </c>
      <c r="D193" s="2" t="str">
        <f>'SUECIA 7 &amp; 8'!C9</f>
        <v>Cafe Granulado</v>
      </c>
      <c r="E193" s="2" t="str">
        <f>'SUECIA 7 &amp; 8'!D9</f>
        <v/>
      </c>
      <c r="F193" s="2" t="str">
        <f>'SUECIA 7 &amp; 8'!E9</f>
        <v/>
      </c>
      <c r="G193" s="2" t="str">
        <f>'SUECIA 7 &amp; 8'!F9</f>
        <v/>
      </c>
      <c r="H193" s="2" t="str">
        <f>'SUECIA 7 &amp; 8'!G9</f>
        <v/>
      </c>
      <c r="I193" s="2" t="str">
        <f>'SUECIA 7 &amp; 8'!H9</f>
        <v/>
      </c>
      <c r="J193" s="2" t="str">
        <f>'SUECIA 7 &amp; 8'!I9</f>
        <v/>
      </c>
      <c r="K193" s="2" t="str">
        <f>'SUECIA 7 &amp; 8'!J9</f>
        <v/>
      </c>
      <c r="L193" s="2" t="str">
        <f>'SUECIA 7 &amp; 8'!K9</f>
        <v/>
      </c>
      <c r="M193" s="2" t="str">
        <f>'SUECIA 7 &amp; 8'!L9</f>
        <v/>
      </c>
      <c r="N193" s="2" t="str">
        <f>'SUECIA 7 &amp; 8'!M9</f>
        <v/>
      </c>
      <c r="O193" s="2" t="str">
        <f>'SUECIA 7 &amp; 8'!N9</f>
        <v/>
      </c>
      <c r="P193" s="2" t="str">
        <f>'SUECIA 7 &amp; 8'!O9</f>
        <v/>
      </c>
      <c r="Q193" s="2" t="str">
        <f>'SUECIA 7 &amp; 8'!P9</f>
        <v/>
      </c>
      <c r="R193" s="2" t="str">
        <f>'SUECIA 7 &amp; 8'!Q9</f>
        <v/>
      </c>
      <c r="S193" s="2" t="str">
        <f>'SUECIA 7 &amp; 8'!R9</f>
        <v/>
      </c>
      <c r="T193" s="2" t="str">
        <f>'SUECIA 7 &amp; 8'!S9</f>
        <v/>
      </c>
      <c r="U193" s="2" t="str">
        <f>'SUECIA 7 &amp; 8'!T9</f>
        <v/>
      </c>
      <c r="V193" s="2" t="str">
        <f>'SUECIA 7 &amp; 8'!U9</f>
        <v/>
      </c>
      <c r="W193" s="2" t="str">
        <f>'SUECIA 7 &amp; 8'!V9</f>
        <v/>
      </c>
      <c r="X193" s="2" t="str">
        <f>'SUECIA 7 &amp; 8'!W9</f>
        <v/>
      </c>
      <c r="Y193" s="2" t="str">
        <f>'SUECIA 7 &amp; 8'!X9</f>
        <v/>
      </c>
      <c r="Z193" s="2" t="str">
        <f>'SUECIA 7 &amp; 8'!Y9</f>
        <v/>
      </c>
      <c r="AA193" s="2" t="str">
        <f>'SUECIA 7 &amp; 8'!Z9</f>
        <v/>
      </c>
      <c r="AB193" s="2" t="str">
        <f>'SUECIA 7 &amp; 8'!AA9</f>
        <v/>
      </c>
      <c r="AC193" s="2" t="str">
        <f>'SUECIA 7 &amp; 8'!AB9</f>
        <v/>
      </c>
      <c r="AD193" s="2" t="str">
        <f>'SUECIA 7 &amp; 8'!AC9</f>
        <v/>
      </c>
      <c r="AE193" s="2" t="str">
        <f>'SUECIA 7 &amp; 8'!AD9</f>
        <v/>
      </c>
      <c r="AF193" s="2" t="str">
        <f>'SUECIA 7 &amp; 8'!AE9</f>
        <v/>
      </c>
      <c r="AG193" s="2" t="str">
        <f>'SUECIA 7 &amp; 8'!AF9</f>
        <v/>
      </c>
      <c r="AH193" s="2" t="str">
        <f>'SUECIA 7 &amp; 8'!AG9</f>
        <v/>
      </c>
      <c r="AI193" s="2" t="str">
        <f>'SUECIA 7 &amp; 8'!AH9</f>
        <v/>
      </c>
      <c r="AJ193" s="2" t="str">
        <f>'SUECIA 7 &amp; 8'!AI9</f>
        <v/>
      </c>
      <c r="AK193" s="2" t="str">
        <f>'SUECIA 7 &amp; 8'!AJ9</f>
        <v/>
      </c>
      <c r="AL193" s="2" t="str">
        <f>'SUECIA 7 &amp; 8'!AK9</f>
        <v/>
      </c>
      <c r="AM193" s="2" t="str">
        <f>'SUECIA 7 &amp; 8'!AL9</f>
        <v/>
      </c>
      <c r="AN193" s="2" t="str">
        <f>'SUECIA 7 &amp; 8'!AM9</f>
        <v/>
      </c>
      <c r="AO193" s="2" t="str">
        <f>'SUECIA 7 &amp; 8'!AN9</f>
        <v/>
      </c>
      <c r="AP193" s="2" t="str">
        <f>'SUECIA 7 &amp; 8'!AO9</f>
        <v/>
      </c>
      <c r="AQ193" s="2" t="str">
        <f>'SUECIA 7 &amp; 8'!AP9</f>
        <v/>
      </c>
      <c r="AR193" s="2" t="str">
        <f>'SUECIA 7 &amp; 8'!AQ9</f>
        <v/>
      </c>
      <c r="AS193" s="2" t="str">
        <f>'SUECIA 7 &amp; 8'!AR9</f>
        <v/>
      </c>
      <c r="AT193" s="2" t="str">
        <f>'SUECIA 7 &amp; 8'!AS9</f>
        <v/>
      </c>
      <c r="AU193" s="2" t="str">
        <f>'SUECIA 7 &amp; 8'!AT9</f>
        <v/>
      </c>
      <c r="AV193" s="2" t="str">
        <f>'SUECIA 7 &amp; 8'!AU9</f>
        <v/>
      </c>
      <c r="AW193" s="2" t="str">
        <f>'SUECIA 7 &amp; 8'!AV9</f>
        <v/>
      </c>
      <c r="AX193" s="2" t="str">
        <f>'SUECIA 7 &amp; 8'!AW9</f>
        <v/>
      </c>
      <c r="AY193" s="2" t="str">
        <f>'SUECIA 7 &amp; 8'!AX9</f>
        <v/>
      </c>
      <c r="AZ193" s="2" t="str">
        <f>'SUECIA 7 &amp; 8'!AY9</f>
        <v/>
      </c>
      <c r="BA193" s="2" t="str">
        <f>'SUECIA 7 &amp; 8'!AZ9</f>
        <v/>
      </c>
      <c r="BB193" s="2" t="str">
        <f>'SUECIA 7 &amp; 8'!BA9</f>
        <v/>
      </c>
      <c r="BC193" s="2" t="str">
        <f>'SUECIA 7 &amp; 8'!BB9</f>
        <v/>
      </c>
      <c r="BD193" s="2">
        <f>'SUECIA 7 &amp; 8'!BC9</f>
        <v>8</v>
      </c>
      <c r="BE193" s="2">
        <f>'SUECIA 7 &amp; 8'!BD9</f>
        <v>8</v>
      </c>
      <c r="BF193" s="2">
        <f>'SUECIA 7 &amp; 8'!BE9</f>
        <v>8</v>
      </c>
      <c r="BG193" s="2">
        <f>'SUECIA 7 &amp; 8'!BF9</f>
        <v>8</v>
      </c>
      <c r="BH193" s="2" t="str">
        <f>'SUECIA 7 &amp; 8'!BG9</f>
        <v/>
      </c>
      <c r="BI193" s="2" t="str">
        <f>'SUECIA 7 &amp; 8'!BH9</f>
        <v/>
      </c>
      <c r="BJ193" s="2" t="str">
        <f>'SUECIA 7 &amp; 8'!BI9</f>
        <v/>
      </c>
      <c r="BK193" s="2" t="str">
        <f>'SUECIA 7 &amp; 8'!BJ9</f>
        <v/>
      </c>
      <c r="BL193" s="2" t="str">
        <f>'SUECIA 7 &amp; 8'!BK9</f>
        <v/>
      </c>
      <c r="BM193" s="2" t="str">
        <f>'SUECIA 7 &amp; 8'!BL9</f>
        <v/>
      </c>
      <c r="BN193" s="2"/>
      <c r="BO193" s="2"/>
      <c r="BP193" s="2"/>
      <c r="BQ193" s="2"/>
      <c r="BR193" s="2"/>
      <c r="BS193" s="2"/>
      <c r="BT193" s="2"/>
      <c r="BU193" s="2"/>
      <c r="BV193" s="2"/>
      <c r="BW193" s="2"/>
    </row>
    <row r="194">
      <c r="A194" s="2" t="str">
        <f t="shared" si="185"/>
        <v>Endulzante Suecia piso 7</v>
      </c>
      <c r="B194" s="2" t="str">
        <f>'SUECIA 7 &amp; 8'!A10</f>
        <v>Suecia piso 7</v>
      </c>
      <c r="C194" s="2" t="str">
        <f>'SUECIA 7 &amp; 8'!B10</f>
        <v>Cafeteria</v>
      </c>
      <c r="D194" s="2" t="str">
        <f>'SUECIA 7 &amp; 8'!C10</f>
        <v>Endulzante </v>
      </c>
      <c r="E194" s="2" t="str">
        <f>'SUECIA 7 &amp; 8'!D10</f>
        <v/>
      </c>
      <c r="F194" s="2" t="str">
        <f>'SUECIA 7 &amp; 8'!E10</f>
        <v/>
      </c>
      <c r="G194" s="2" t="str">
        <f>'SUECIA 7 &amp; 8'!F10</f>
        <v/>
      </c>
      <c r="H194" s="2" t="str">
        <f>'SUECIA 7 &amp; 8'!G10</f>
        <v/>
      </c>
      <c r="I194" s="2" t="str">
        <f>'SUECIA 7 &amp; 8'!H10</f>
        <v/>
      </c>
      <c r="J194" s="2" t="str">
        <f>'SUECIA 7 &amp; 8'!I10</f>
        <v/>
      </c>
      <c r="K194" s="2" t="str">
        <f>'SUECIA 7 &amp; 8'!J10</f>
        <v/>
      </c>
      <c r="L194" s="2" t="str">
        <f>'SUECIA 7 &amp; 8'!K10</f>
        <v/>
      </c>
      <c r="M194" s="2" t="str">
        <f>'SUECIA 7 &amp; 8'!L10</f>
        <v/>
      </c>
      <c r="N194" s="2" t="str">
        <f>'SUECIA 7 &amp; 8'!M10</f>
        <v/>
      </c>
      <c r="O194" s="2" t="str">
        <f>'SUECIA 7 &amp; 8'!N10</f>
        <v/>
      </c>
      <c r="P194" s="2" t="str">
        <f>'SUECIA 7 &amp; 8'!O10</f>
        <v/>
      </c>
      <c r="Q194" s="2" t="str">
        <f>'SUECIA 7 &amp; 8'!P10</f>
        <v/>
      </c>
      <c r="R194" s="2" t="str">
        <f>'SUECIA 7 &amp; 8'!Q10</f>
        <v/>
      </c>
      <c r="S194" s="2" t="str">
        <f>'SUECIA 7 &amp; 8'!R10</f>
        <v/>
      </c>
      <c r="T194" s="2" t="str">
        <f>'SUECIA 7 &amp; 8'!S10</f>
        <v/>
      </c>
      <c r="U194" s="2" t="str">
        <f>'SUECIA 7 &amp; 8'!T10</f>
        <v/>
      </c>
      <c r="V194" s="2" t="str">
        <f>'SUECIA 7 &amp; 8'!U10</f>
        <v/>
      </c>
      <c r="W194" s="2" t="str">
        <f>'SUECIA 7 &amp; 8'!V10</f>
        <v/>
      </c>
      <c r="X194" s="2" t="str">
        <f>'SUECIA 7 &amp; 8'!W10</f>
        <v/>
      </c>
      <c r="Y194" s="2" t="str">
        <f>'SUECIA 7 &amp; 8'!X10</f>
        <v/>
      </c>
      <c r="Z194" s="2" t="str">
        <f>'SUECIA 7 &amp; 8'!Y10</f>
        <v/>
      </c>
      <c r="AA194" s="2">
        <f>'SUECIA 7 &amp; 8'!Z10</f>
        <v>3</v>
      </c>
      <c r="AB194" s="2">
        <f>'SUECIA 7 &amp; 8'!AA10</f>
        <v>3</v>
      </c>
      <c r="AC194" s="2">
        <f>'SUECIA 7 &amp; 8'!AB10</f>
        <v>3</v>
      </c>
      <c r="AD194" s="2">
        <f>'SUECIA 7 &amp; 8'!AC10</f>
        <v>3</v>
      </c>
      <c r="AE194" s="2">
        <f>'SUECIA 7 &amp; 8'!AD10</f>
        <v>3</v>
      </c>
      <c r="AF194" s="2">
        <f>'SUECIA 7 &amp; 8'!AE10</f>
        <v>3</v>
      </c>
      <c r="AG194" s="2">
        <f>'SUECIA 7 &amp; 8'!AF10</f>
        <v>3</v>
      </c>
      <c r="AH194" s="2">
        <f>'SUECIA 7 &amp; 8'!AG10</f>
        <v>3</v>
      </c>
      <c r="AI194" s="2">
        <f>'SUECIA 7 &amp; 8'!AH10</f>
        <v>3</v>
      </c>
      <c r="AJ194" s="2">
        <f>'SUECIA 7 &amp; 8'!AI10</f>
        <v>3</v>
      </c>
      <c r="AK194" s="2">
        <f>'SUECIA 7 &amp; 8'!AJ10</f>
        <v>2</v>
      </c>
      <c r="AL194" s="2">
        <f>'SUECIA 7 &amp; 8'!AK10</f>
        <v>3</v>
      </c>
      <c r="AM194" s="2">
        <f>'SUECIA 7 &amp; 8'!AL10</f>
        <v>3</v>
      </c>
      <c r="AN194" s="2">
        <f>'SUECIA 7 &amp; 8'!AM10</f>
        <v>3</v>
      </c>
      <c r="AO194" s="2">
        <f>'SUECIA 7 &amp; 8'!AN10</f>
        <v>3</v>
      </c>
      <c r="AP194" s="2">
        <f>'SUECIA 7 &amp; 8'!AO10</f>
        <v>3</v>
      </c>
      <c r="AQ194" s="2">
        <f>'SUECIA 7 &amp; 8'!AP10</f>
        <v>3</v>
      </c>
      <c r="AR194" s="2">
        <f>'SUECIA 7 &amp; 8'!AQ10</f>
        <v>3</v>
      </c>
      <c r="AS194" s="2">
        <f>'SUECIA 7 &amp; 8'!AR10</f>
        <v>3</v>
      </c>
      <c r="AT194" s="2">
        <f>'SUECIA 7 &amp; 8'!AS10</f>
        <v>3</v>
      </c>
      <c r="AU194" s="2">
        <f>'SUECIA 7 &amp; 8'!AT10</f>
        <v>3</v>
      </c>
      <c r="AV194" s="2">
        <f>'SUECIA 7 &amp; 8'!AU10</f>
        <v>3</v>
      </c>
      <c r="AW194" s="2">
        <f>'SUECIA 7 &amp; 8'!AV10</f>
        <v>3</v>
      </c>
      <c r="AX194" s="2">
        <f>'SUECIA 7 &amp; 8'!AW10</f>
        <v>3</v>
      </c>
      <c r="AY194" s="2">
        <f>'SUECIA 7 &amp; 8'!AX10</f>
        <v>3</v>
      </c>
      <c r="AZ194" s="2">
        <f>'SUECIA 7 &amp; 8'!AY10</f>
        <v>3</v>
      </c>
      <c r="BA194" s="2">
        <f>'SUECIA 7 &amp; 8'!AZ10</f>
        <v>3</v>
      </c>
      <c r="BB194" s="2">
        <f>'SUECIA 7 &amp; 8'!BA10</f>
        <v>3</v>
      </c>
      <c r="BC194" s="2">
        <f>'SUECIA 7 &amp; 8'!BB10</f>
        <v>3</v>
      </c>
      <c r="BD194" s="2">
        <f>'SUECIA 7 &amp; 8'!BC10</f>
        <v>3</v>
      </c>
      <c r="BE194" s="2">
        <f>'SUECIA 7 &amp; 8'!BD10</f>
        <v>3</v>
      </c>
      <c r="BF194" s="2">
        <f>'SUECIA 7 &amp; 8'!BE10</f>
        <v>3</v>
      </c>
      <c r="BG194" s="2">
        <f>'SUECIA 7 &amp; 8'!BF10</f>
        <v>3</v>
      </c>
      <c r="BH194" s="2" t="str">
        <f>'SUECIA 7 &amp; 8'!BG10</f>
        <v/>
      </c>
      <c r="BI194" s="2" t="str">
        <f>'SUECIA 7 &amp; 8'!BH10</f>
        <v/>
      </c>
      <c r="BJ194" s="2" t="str">
        <f>'SUECIA 7 &amp; 8'!BI10</f>
        <v/>
      </c>
      <c r="BK194" s="2" t="str">
        <f>'SUECIA 7 &amp; 8'!BJ10</f>
        <v/>
      </c>
      <c r="BL194" s="2" t="str">
        <f>'SUECIA 7 &amp; 8'!BK10</f>
        <v/>
      </c>
      <c r="BM194" s="2" t="str">
        <f>'SUECIA 7 &amp; 8'!BL10</f>
        <v/>
      </c>
      <c r="BN194" s="2"/>
      <c r="BO194" s="2"/>
      <c r="BP194" s="2"/>
      <c r="BQ194" s="2"/>
      <c r="BR194" s="2"/>
      <c r="BS194" s="2"/>
      <c r="BT194" s="2"/>
      <c r="BU194" s="2"/>
      <c r="BV194" s="2"/>
      <c r="BW194" s="2"/>
    </row>
    <row r="195">
      <c r="A195" s="2" t="str">
        <f t="shared" si="185"/>
        <v>Cloro GelSuecia piso 7</v>
      </c>
      <c r="B195" s="2" t="str">
        <f>'SUECIA 7 &amp; 8'!A11</f>
        <v>Suecia piso 7</v>
      </c>
      <c r="C195" s="2" t="str">
        <f>'SUECIA 7 &amp; 8'!B11</f>
        <v>Aseo</v>
      </c>
      <c r="D195" s="2" t="str">
        <f>'SUECIA 7 &amp; 8'!C11</f>
        <v>Cloro Gel</v>
      </c>
      <c r="E195" s="2" t="str">
        <f>'SUECIA 7 &amp; 8'!D11</f>
        <v/>
      </c>
      <c r="F195" s="2" t="str">
        <f>'SUECIA 7 &amp; 8'!E11</f>
        <v/>
      </c>
      <c r="G195" s="2" t="str">
        <f>'SUECIA 7 &amp; 8'!F11</f>
        <v/>
      </c>
      <c r="H195" s="2" t="str">
        <f>'SUECIA 7 &amp; 8'!G11</f>
        <v/>
      </c>
      <c r="I195" s="2" t="str">
        <f>'SUECIA 7 &amp; 8'!H11</f>
        <v/>
      </c>
      <c r="J195" s="2" t="str">
        <f>'SUECIA 7 &amp; 8'!I11</f>
        <v/>
      </c>
      <c r="K195" s="2" t="str">
        <f>'SUECIA 7 &amp; 8'!J11</f>
        <v/>
      </c>
      <c r="L195" s="2" t="str">
        <f>'SUECIA 7 &amp; 8'!K11</f>
        <v/>
      </c>
      <c r="M195" s="2" t="str">
        <f>'SUECIA 7 &amp; 8'!L11</f>
        <v/>
      </c>
      <c r="N195" s="2" t="str">
        <f>'SUECIA 7 &amp; 8'!M11</f>
        <v/>
      </c>
      <c r="O195" s="2" t="str">
        <f>'SUECIA 7 &amp; 8'!N11</f>
        <v/>
      </c>
      <c r="P195" s="2" t="str">
        <f>'SUECIA 7 &amp; 8'!O11</f>
        <v/>
      </c>
      <c r="Q195" s="2" t="str">
        <f>'SUECIA 7 &amp; 8'!P11</f>
        <v/>
      </c>
      <c r="R195" s="2" t="str">
        <f>'SUECIA 7 &amp; 8'!Q11</f>
        <v/>
      </c>
      <c r="S195" s="2" t="str">
        <f>'SUECIA 7 &amp; 8'!R11</f>
        <v/>
      </c>
      <c r="T195" s="2" t="str">
        <f>'SUECIA 7 &amp; 8'!S11</f>
        <v/>
      </c>
      <c r="U195" s="2" t="str">
        <f>'SUECIA 7 &amp; 8'!T11</f>
        <v/>
      </c>
      <c r="V195" s="2" t="str">
        <f>'SUECIA 7 &amp; 8'!U11</f>
        <v>-</v>
      </c>
      <c r="W195" s="2" t="str">
        <f>'SUECIA 7 &amp; 8'!V11</f>
        <v>-</v>
      </c>
      <c r="X195" s="2" t="str">
        <f>'SUECIA 7 &amp; 8'!W11</f>
        <v>-</v>
      </c>
      <c r="Y195" s="2" t="str">
        <f>'SUECIA 7 &amp; 8'!X11</f>
        <v>-</v>
      </c>
      <c r="Z195" s="2" t="str">
        <f>'SUECIA 7 &amp; 8'!Y11</f>
        <v>-</v>
      </c>
      <c r="AA195" s="2" t="str">
        <f>'SUECIA 7 &amp; 8'!Z11</f>
        <v>-</v>
      </c>
      <c r="AB195" s="2" t="str">
        <f>'SUECIA 7 &amp; 8'!AA11</f>
        <v>-</v>
      </c>
      <c r="AC195" s="2" t="str">
        <f>'SUECIA 7 &amp; 8'!AB11</f>
        <v>-</v>
      </c>
      <c r="AD195" s="2">
        <f>'SUECIA 7 &amp; 8'!AC11</f>
        <v>1</v>
      </c>
      <c r="AE195" s="2">
        <f>'SUECIA 7 &amp; 8'!AD11</f>
        <v>1</v>
      </c>
      <c r="AF195" s="2">
        <f>'SUECIA 7 &amp; 8'!AE11</f>
        <v>1</v>
      </c>
      <c r="AG195" s="2">
        <f>'SUECIA 7 &amp; 8'!AF11</f>
        <v>1</v>
      </c>
      <c r="AH195" s="2">
        <f>'SUECIA 7 &amp; 8'!AG11</f>
        <v>1</v>
      </c>
      <c r="AI195" s="2">
        <f>'SUECIA 7 &amp; 8'!AH11</f>
        <v>1</v>
      </c>
      <c r="AJ195" s="2">
        <f>'SUECIA 7 &amp; 8'!AI11</f>
        <v>1</v>
      </c>
      <c r="AK195" s="2">
        <f>'SUECIA 7 &amp; 8'!AJ11</f>
        <v>2</v>
      </c>
      <c r="AL195" s="2">
        <f>'SUECIA 7 &amp; 8'!AK11</f>
        <v>2</v>
      </c>
      <c r="AM195" s="2">
        <f>'SUECIA 7 &amp; 8'!AL11</f>
        <v>2</v>
      </c>
      <c r="AN195" s="2">
        <f>'SUECIA 7 &amp; 8'!AM11</f>
        <v>2</v>
      </c>
      <c r="AO195" s="2">
        <f>'SUECIA 7 &amp; 8'!AN11</f>
        <v>2</v>
      </c>
      <c r="AP195" s="2">
        <f>'SUECIA 7 &amp; 8'!AO11</f>
        <v>2</v>
      </c>
      <c r="AQ195" s="2">
        <f>'SUECIA 7 &amp; 8'!AP11</f>
        <v>1</v>
      </c>
      <c r="AR195" s="2">
        <f>'SUECIA 7 &amp; 8'!AQ11</f>
        <v>1</v>
      </c>
      <c r="AS195" s="2">
        <f>'SUECIA 7 &amp; 8'!AR11</f>
        <v>1</v>
      </c>
      <c r="AT195" s="2">
        <f>'SUECIA 7 &amp; 8'!AS11</f>
        <v>1</v>
      </c>
      <c r="AU195" s="2">
        <f>'SUECIA 7 &amp; 8'!AT11</f>
        <v>1</v>
      </c>
      <c r="AV195" s="2">
        <f>'SUECIA 7 &amp; 8'!AU11</f>
        <v>1</v>
      </c>
      <c r="AW195" s="2">
        <f>'SUECIA 7 &amp; 8'!AV11</f>
        <v>1</v>
      </c>
      <c r="AX195" s="2">
        <f>'SUECIA 7 &amp; 8'!AW11</f>
        <v>1</v>
      </c>
      <c r="AY195" s="2">
        <f>'SUECIA 7 &amp; 8'!AX11</f>
        <v>1</v>
      </c>
      <c r="AZ195" s="2">
        <f>'SUECIA 7 &amp; 8'!AY11</f>
        <v>1</v>
      </c>
      <c r="BA195" s="2">
        <f>'SUECIA 7 &amp; 8'!AZ11</f>
        <v>1</v>
      </c>
      <c r="BB195" s="2">
        <f>'SUECIA 7 &amp; 8'!BA11</f>
        <v>1</v>
      </c>
      <c r="BC195" s="2">
        <f>'SUECIA 7 &amp; 8'!BB11</f>
        <v>1</v>
      </c>
      <c r="BD195" s="2">
        <f>'SUECIA 7 &amp; 8'!BC11</f>
        <v>1</v>
      </c>
      <c r="BE195" s="2">
        <f>'SUECIA 7 &amp; 8'!BD11</f>
        <v>1</v>
      </c>
      <c r="BF195" s="2">
        <f>'SUECIA 7 &amp; 8'!BE11</f>
        <v>1</v>
      </c>
      <c r="BG195" s="2">
        <f>'SUECIA 7 &amp; 8'!BF11</f>
        <v>1</v>
      </c>
      <c r="BH195" s="2" t="str">
        <f>'SUECIA 7 &amp; 8'!BG11</f>
        <v/>
      </c>
      <c r="BI195" s="2" t="str">
        <f>'SUECIA 7 &amp; 8'!BH11</f>
        <v/>
      </c>
      <c r="BJ195" s="2" t="str">
        <f>'SUECIA 7 &amp; 8'!BI11</f>
        <v/>
      </c>
      <c r="BK195" s="2" t="str">
        <f>'SUECIA 7 &amp; 8'!BJ11</f>
        <v/>
      </c>
      <c r="BL195" s="2" t="str">
        <f>'SUECIA 7 &amp; 8'!BK11</f>
        <v/>
      </c>
      <c r="BM195" s="2" t="str">
        <f>'SUECIA 7 &amp; 8'!BL11</f>
        <v/>
      </c>
      <c r="BN195" s="2"/>
      <c r="BO195" s="2"/>
      <c r="BP195" s="2"/>
      <c r="BQ195" s="2"/>
      <c r="BR195" s="2"/>
      <c r="BS195" s="2"/>
      <c r="BT195" s="2"/>
      <c r="BU195" s="2"/>
      <c r="BV195" s="2"/>
      <c r="BW195" s="2"/>
    </row>
    <row r="196">
      <c r="A196" s="2" t="str">
        <f t="shared" si="185"/>
        <v>Limpia PisoSuecia piso 7</v>
      </c>
      <c r="B196" s="2" t="str">
        <f>'SUECIA 7 &amp; 8'!A12</f>
        <v>Suecia piso 7</v>
      </c>
      <c r="C196" s="2" t="str">
        <f>'SUECIA 7 &amp; 8'!B12</f>
        <v>Aseo</v>
      </c>
      <c r="D196" s="2" t="str">
        <f>'SUECIA 7 &amp; 8'!C12</f>
        <v>Limpia Piso</v>
      </c>
      <c r="E196" s="2" t="str">
        <f>'SUECIA 7 &amp; 8'!D12</f>
        <v/>
      </c>
      <c r="F196" s="2" t="str">
        <f>'SUECIA 7 &amp; 8'!E12</f>
        <v/>
      </c>
      <c r="G196" s="2" t="str">
        <f>'SUECIA 7 &amp; 8'!F12</f>
        <v/>
      </c>
      <c r="H196" s="2" t="str">
        <f>'SUECIA 7 &amp; 8'!G12</f>
        <v/>
      </c>
      <c r="I196" s="2" t="str">
        <f>'SUECIA 7 &amp; 8'!H12</f>
        <v/>
      </c>
      <c r="J196" s="2" t="str">
        <f>'SUECIA 7 &amp; 8'!I12</f>
        <v/>
      </c>
      <c r="K196" s="2" t="str">
        <f>'SUECIA 7 &amp; 8'!J12</f>
        <v/>
      </c>
      <c r="L196" s="2" t="str">
        <f>'SUECIA 7 &amp; 8'!K12</f>
        <v/>
      </c>
      <c r="M196" s="2" t="str">
        <f>'SUECIA 7 &amp; 8'!L12</f>
        <v/>
      </c>
      <c r="N196" s="2" t="str">
        <f>'SUECIA 7 &amp; 8'!M12</f>
        <v/>
      </c>
      <c r="O196" s="2" t="str">
        <f>'SUECIA 7 &amp; 8'!N12</f>
        <v/>
      </c>
      <c r="P196" s="2" t="str">
        <f>'SUECIA 7 &amp; 8'!O12</f>
        <v/>
      </c>
      <c r="Q196" s="2" t="str">
        <f>'SUECIA 7 &amp; 8'!P12</f>
        <v/>
      </c>
      <c r="R196" s="2" t="str">
        <f>'SUECIA 7 &amp; 8'!Q12</f>
        <v/>
      </c>
      <c r="S196" s="2" t="str">
        <f>'SUECIA 7 &amp; 8'!R12</f>
        <v/>
      </c>
      <c r="T196" s="2" t="str">
        <f>'SUECIA 7 &amp; 8'!S12</f>
        <v/>
      </c>
      <c r="U196" s="2" t="str">
        <f>'SUECIA 7 &amp; 8'!T12</f>
        <v/>
      </c>
      <c r="V196" s="2" t="str">
        <f>'SUECIA 7 &amp; 8'!U12</f>
        <v>-</v>
      </c>
      <c r="W196" s="2" t="str">
        <f>'SUECIA 7 &amp; 8'!V12</f>
        <v>-</v>
      </c>
      <c r="X196" s="2" t="str">
        <f>'SUECIA 7 &amp; 8'!W12</f>
        <v>-</v>
      </c>
      <c r="Y196" s="2" t="str">
        <f>'SUECIA 7 &amp; 8'!X12</f>
        <v>-</v>
      </c>
      <c r="Z196" s="2" t="str">
        <f>'SUECIA 7 &amp; 8'!Y12</f>
        <v>-</v>
      </c>
      <c r="AA196" s="2" t="str">
        <f>'SUECIA 7 &amp; 8'!Z12</f>
        <v>-</v>
      </c>
      <c r="AB196" s="2" t="str">
        <f>'SUECIA 7 &amp; 8'!AA12</f>
        <v>-</v>
      </c>
      <c r="AC196" s="2" t="str">
        <f>'SUECIA 7 &amp; 8'!AB12</f>
        <v>-</v>
      </c>
      <c r="AD196" s="2">
        <f>'SUECIA 7 &amp; 8'!AC12</f>
        <v>0</v>
      </c>
      <c r="AE196" s="2">
        <f>'SUECIA 7 &amp; 8'!AD12</f>
        <v>0</v>
      </c>
      <c r="AF196" s="2">
        <f>'SUECIA 7 &amp; 8'!AE12</f>
        <v>0</v>
      </c>
      <c r="AG196" s="2">
        <f>'SUECIA 7 &amp; 8'!AF12</f>
        <v>0</v>
      </c>
      <c r="AH196" s="2">
        <f>'SUECIA 7 &amp; 8'!AG12</f>
        <v>0</v>
      </c>
      <c r="AI196" s="2">
        <f>'SUECIA 7 &amp; 8'!AH12</f>
        <v>0</v>
      </c>
      <c r="AJ196" s="2">
        <f>'SUECIA 7 &amp; 8'!AI12</f>
        <v>0</v>
      </c>
      <c r="AK196" s="2">
        <f>'SUECIA 7 &amp; 8'!AJ12</f>
        <v>1</v>
      </c>
      <c r="AL196" s="2">
        <f>'SUECIA 7 &amp; 8'!AK12</f>
        <v>2</v>
      </c>
      <c r="AM196" s="2">
        <f>'SUECIA 7 &amp; 8'!AL12</f>
        <v>2</v>
      </c>
      <c r="AN196" s="2">
        <f>'SUECIA 7 &amp; 8'!AM12</f>
        <v>2</v>
      </c>
      <c r="AO196" s="2">
        <f>'SUECIA 7 &amp; 8'!AN12</f>
        <v>2</v>
      </c>
      <c r="AP196" s="2">
        <f>'SUECIA 7 &amp; 8'!AO12</f>
        <v>2</v>
      </c>
      <c r="AQ196" s="2">
        <f>'SUECIA 7 &amp; 8'!AP12</f>
        <v>2</v>
      </c>
      <c r="AR196" s="2">
        <f>'SUECIA 7 &amp; 8'!AQ12</f>
        <v>2</v>
      </c>
      <c r="AS196" s="2">
        <f>'SUECIA 7 &amp; 8'!AR12</f>
        <v>2</v>
      </c>
      <c r="AT196" s="2">
        <f>'SUECIA 7 &amp; 8'!AS12</f>
        <v>2</v>
      </c>
      <c r="AU196" s="2">
        <f>'SUECIA 7 &amp; 8'!AT12</f>
        <v>2</v>
      </c>
      <c r="AV196" s="2">
        <f>'SUECIA 7 &amp; 8'!AU12</f>
        <v>2</v>
      </c>
      <c r="AW196" s="2">
        <f>'SUECIA 7 &amp; 8'!AV12</f>
        <v>2</v>
      </c>
      <c r="AX196" s="2">
        <f>'SUECIA 7 &amp; 8'!AW12</f>
        <v>2</v>
      </c>
      <c r="AY196" s="2">
        <f>'SUECIA 7 &amp; 8'!AX12</f>
        <v>2</v>
      </c>
      <c r="AZ196" s="2">
        <f>'SUECIA 7 &amp; 8'!AY12</f>
        <v>2</v>
      </c>
      <c r="BA196" s="2">
        <f>'SUECIA 7 &amp; 8'!AZ12</f>
        <v>2</v>
      </c>
      <c r="BB196" s="2">
        <f>'SUECIA 7 &amp; 8'!BA12</f>
        <v>1</v>
      </c>
      <c r="BC196" s="2">
        <f>'SUECIA 7 &amp; 8'!BB12</f>
        <v>1</v>
      </c>
      <c r="BD196" s="2">
        <f>'SUECIA 7 &amp; 8'!BC12</f>
        <v>1</v>
      </c>
      <c r="BE196" s="2">
        <f>'SUECIA 7 &amp; 8'!BD12</f>
        <v>1</v>
      </c>
      <c r="BF196" s="2">
        <f>'SUECIA 7 &amp; 8'!BE12</f>
        <v>1</v>
      </c>
      <c r="BG196" s="2">
        <f>'SUECIA 7 &amp; 8'!BF12</f>
        <v>1</v>
      </c>
      <c r="BH196" s="2" t="str">
        <f>'SUECIA 7 &amp; 8'!BG12</f>
        <v/>
      </c>
      <c r="BI196" s="2" t="str">
        <f>'SUECIA 7 &amp; 8'!BH12</f>
        <v/>
      </c>
      <c r="BJ196" s="2" t="str">
        <f>'SUECIA 7 &amp; 8'!BI12</f>
        <v/>
      </c>
      <c r="BK196" s="2" t="str">
        <f>'SUECIA 7 &amp; 8'!BJ12</f>
        <v/>
      </c>
      <c r="BL196" s="2" t="str">
        <f>'SUECIA 7 &amp; 8'!BK12</f>
        <v/>
      </c>
      <c r="BM196" s="2" t="str">
        <f>'SUECIA 7 &amp; 8'!BL12</f>
        <v/>
      </c>
      <c r="BN196" s="2"/>
      <c r="BO196" s="2"/>
      <c r="BP196" s="2"/>
      <c r="BQ196" s="2"/>
      <c r="BR196" s="2"/>
      <c r="BS196" s="2"/>
      <c r="BT196" s="2"/>
      <c r="BU196" s="2"/>
      <c r="BV196" s="2"/>
      <c r="BW196" s="2"/>
    </row>
    <row r="197">
      <c r="A197" s="2" t="str">
        <f t="shared" si="185"/>
        <v>Bolsas Basura 50x70Suecia piso 7</v>
      </c>
      <c r="B197" s="2" t="str">
        <f>'SUECIA 7 &amp; 8'!A13</f>
        <v>Suecia piso 7</v>
      </c>
      <c r="C197" s="2" t="str">
        <f>'SUECIA 7 &amp; 8'!B13</f>
        <v>Aseo</v>
      </c>
      <c r="D197" s="2" t="str">
        <f>'SUECIA 7 &amp; 8'!C13</f>
        <v>Bolsas Basura 50x70</v>
      </c>
      <c r="E197" s="2" t="str">
        <f>'SUECIA 7 &amp; 8'!D13</f>
        <v/>
      </c>
      <c r="F197" s="2" t="str">
        <f>'SUECIA 7 &amp; 8'!E13</f>
        <v/>
      </c>
      <c r="G197" s="2" t="str">
        <f>'SUECIA 7 &amp; 8'!F13</f>
        <v/>
      </c>
      <c r="H197" s="2" t="str">
        <f>'SUECIA 7 &amp; 8'!G13</f>
        <v/>
      </c>
      <c r="I197" s="2" t="str">
        <f>'SUECIA 7 &amp; 8'!H13</f>
        <v/>
      </c>
      <c r="J197" s="2" t="str">
        <f>'SUECIA 7 &amp; 8'!I13</f>
        <v/>
      </c>
      <c r="K197" s="2" t="str">
        <f>'SUECIA 7 &amp; 8'!J13</f>
        <v/>
      </c>
      <c r="L197" s="2" t="str">
        <f>'SUECIA 7 &amp; 8'!K13</f>
        <v/>
      </c>
      <c r="M197" s="2" t="str">
        <f>'SUECIA 7 &amp; 8'!L13</f>
        <v/>
      </c>
      <c r="N197" s="2" t="str">
        <f>'SUECIA 7 &amp; 8'!M13</f>
        <v/>
      </c>
      <c r="O197" s="2" t="str">
        <f>'SUECIA 7 &amp; 8'!N13</f>
        <v/>
      </c>
      <c r="P197" s="2" t="str">
        <f>'SUECIA 7 &amp; 8'!O13</f>
        <v/>
      </c>
      <c r="Q197" s="2" t="str">
        <f>'SUECIA 7 &amp; 8'!P13</f>
        <v/>
      </c>
      <c r="R197" s="2" t="str">
        <f>'SUECIA 7 &amp; 8'!Q13</f>
        <v/>
      </c>
      <c r="S197" s="2" t="str">
        <f>'SUECIA 7 &amp; 8'!R13</f>
        <v/>
      </c>
      <c r="T197" s="2" t="str">
        <f>'SUECIA 7 &amp; 8'!S13</f>
        <v/>
      </c>
      <c r="U197" s="2" t="str">
        <f>'SUECIA 7 &amp; 8'!T13</f>
        <v/>
      </c>
      <c r="V197" s="2" t="str">
        <f>'SUECIA 7 &amp; 8'!U13</f>
        <v>-</v>
      </c>
      <c r="W197" s="2" t="str">
        <f>'SUECIA 7 &amp; 8'!V13</f>
        <v>-</v>
      </c>
      <c r="X197" s="2" t="str">
        <f>'SUECIA 7 &amp; 8'!W13</f>
        <v>-</v>
      </c>
      <c r="Y197" s="2" t="str">
        <f>'SUECIA 7 &amp; 8'!X13</f>
        <v>-</v>
      </c>
      <c r="Z197" s="2" t="str">
        <f>'SUECIA 7 &amp; 8'!Y13</f>
        <v>-</v>
      </c>
      <c r="AA197" s="2" t="str">
        <f>'SUECIA 7 &amp; 8'!Z13</f>
        <v>-</v>
      </c>
      <c r="AB197" s="2" t="str">
        <f>'SUECIA 7 &amp; 8'!AA13</f>
        <v>-</v>
      </c>
      <c r="AC197" s="2" t="str">
        <f>'SUECIA 7 &amp; 8'!AB13</f>
        <v>-</v>
      </c>
      <c r="AD197" s="2">
        <f>'SUECIA 7 &amp; 8'!AC13</f>
        <v>30</v>
      </c>
      <c r="AE197" s="2">
        <f>'SUECIA 7 &amp; 8'!AD13</f>
        <v>30</v>
      </c>
      <c r="AF197" s="2">
        <f>'SUECIA 7 &amp; 8'!AE13</f>
        <v>30</v>
      </c>
      <c r="AG197" s="2">
        <f>'SUECIA 7 &amp; 8'!AF13</f>
        <v>29</v>
      </c>
      <c r="AH197" s="2">
        <f>'SUECIA 7 &amp; 8'!AG13</f>
        <v>29</v>
      </c>
      <c r="AI197" s="2">
        <f>'SUECIA 7 &amp; 8'!AH13</f>
        <v>29</v>
      </c>
      <c r="AJ197" s="2">
        <f>'SUECIA 7 &amp; 8'!AI13</f>
        <v>29</v>
      </c>
      <c r="AK197" s="2">
        <f>'SUECIA 7 &amp; 8'!AJ13</f>
        <v>27</v>
      </c>
      <c r="AL197" s="2">
        <f>'SUECIA 7 &amp; 8'!AK13</f>
        <v>27</v>
      </c>
      <c r="AM197" s="2">
        <f>'SUECIA 7 &amp; 8'!AL13</f>
        <v>27</v>
      </c>
      <c r="AN197" s="2">
        <f>'SUECIA 7 &amp; 8'!AM13</f>
        <v>27</v>
      </c>
      <c r="AO197" s="2">
        <f>'SUECIA 7 &amp; 8'!AN13</f>
        <v>26</v>
      </c>
      <c r="AP197" s="2">
        <f>'SUECIA 7 &amp; 8'!AO13</f>
        <v>26</v>
      </c>
      <c r="AQ197" s="2">
        <f>'SUECIA 7 &amp; 8'!AP13</f>
        <v>26</v>
      </c>
      <c r="AR197" s="2">
        <f>'SUECIA 7 &amp; 8'!AQ13</f>
        <v>60</v>
      </c>
      <c r="AS197" s="2">
        <f>'SUECIA 7 &amp; 8'!AR13</f>
        <v>60</v>
      </c>
      <c r="AT197" s="2">
        <f>'SUECIA 7 &amp; 8'!AS13</f>
        <v>6</v>
      </c>
      <c r="AU197" s="2">
        <f>'SUECIA 7 &amp; 8'!AT13</f>
        <v>6</v>
      </c>
      <c r="AV197" s="2">
        <f>'SUECIA 7 &amp; 8'!AU13</f>
        <v>6</v>
      </c>
      <c r="AW197" s="2">
        <f>'SUECIA 7 &amp; 8'!AV13</f>
        <v>5</v>
      </c>
      <c r="AX197" s="2">
        <f>'SUECIA 7 &amp; 8'!AW13</f>
        <v>5</v>
      </c>
      <c r="AY197" s="2">
        <f>'SUECIA 7 &amp; 8'!AX13</f>
        <v>4</v>
      </c>
      <c r="AZ197" s="2">
        <f>'SUECIA 7 &amp; 8'!AY13</f>
        <v>4</v>
      </c>
      <c r="BA197" s="2">
        <f>'SUECIA 7 &amp; 8'!AZ13</f>
        <v>4</v>
      </c>
      <c r="BB197" s="2">
        <f>'SUECIA 7 &amp; 8'!BA13</f>
        <v>4</v>
      </c>
      <c r="BC197" s="2">
        <f>'SUECIA 7 &amp; 8'!BB13</f>
        <v>4</v>
      </c>
      <c r="BD197" s="2">
        <f>'SUECIA 7 &amp; 8'!BC13</f>
        <v>4</v>
      </c>
      <c r="BE197" s="2">
        <f>'SUECIA 7 &amp; 8'!BD13</f>
        <v>4</v>
      </c>
      <c r="BF197" s="2">
        <f>'SUECIA 7 &amp; 8'!BE13</f>
        <v>4</v>
      </c>
      <c r="BG197" s="2">
        <f>'SUECIA 7 &amp; 8'!BF13</f>
        <v>4</v>
      </c>
      <c r="BH197" s="2" t="str">
        <f>'SUECIA 7 &amp; 8'!BG13</f>
        <v/>
      </c>
      <c r="BI197" s="2" t="str">
        <f>'SUECIA 7 &amp; 8'!BH13</f>
        <v/>
      </c>
      <c r="BJ197" s="2" t="str">
        <f>'SUECIA 7 &amp; 8'!BI13</f>
        <v/>
      </c>
      <c r="BK197" s="2" t="str">
        <f>'SUECIA 7 &amp; 8'!BJ13</f>
        <v/>
      </c>
      <c r="BL197" s="2" t="str">
        <f>'SUECIA 7 &amp; 8'!BK13</f>
        <v/>
      </c>
      <c r="BM197" s="2" t="str">
        <f>'SUECIA 7 &amp; 8'!BL13</f>
        <v/>
      </c>
      <c r="BN197" s="2"/>
      <c r="BO197" s="2"/>
      <c r="BP197" s="2"/>
      <c r="BQ197" s="2"/>
      <c r="BR197" s="2"/>
      <c r="BS197" s="2"/>
      <c r="BT197" s="2"/>
      <c r="BU197" s="2"/>
      <c r="BV197" s="2"/>
      <c r="BW197" s="2"/>
    </row>
    <row r="198">
      <c r="A198" s="2" t="str">
        <f t="shared" si="185"/>
        <v>Bolsas Basura 70x90Suecia piso 7</v>
      </c>
      <c r="B198" s="2" t="str">
        <f>'SUECIA 7 &amp; 8'!A14</f>
        <v>Suecia piso 7</v>
      </c>
      <c r="C198" s="2" t="str">
        <f>'SUECIA 7 &amp; 8'!B14</f>
        <v>Aseo</v>
      </c>
      <c r="D198" s="2" t="str">
        <f>'SUECIA 7 &amp; 8'!C14</f>
        <v>Bolsas Basura 70x90</v>
      </c>
      <c r="E198" s="2" t="str">
        <f>'SUECIA 7 &amp; 8'!D14</f>
        <v/>
      </c>
      <c r="F198" s="2" t="str">
        <f>'SUECIA 7 &amp; 8'!E14</f>
        <v/>
      </c>
      <c r="G198" s="2" t="str">
        <f>'SUECIA 7 &amp; 8'!F14</f>
        <v/>
      </c>
      <c r="H198" s="2" t="str">
        <f>'SUECIA 7 &amp; 8'!G14</f>
        <v/>
      </c>
      <c r="I198" s="2" t="str">
        <f>'SUECIA 7 &amp; 8'!H14</f>
        <v/>
      </c>
      <c r="J198" s="2" t="str">
        <f>'SUECIA 7 &amp; 8'!I14</f>
        <v/>
      </c>
      <c r="K198" s="2" t="str">
        <f>'SUECIA 7 &amp; 8'!J14</f>
        <v/>
      </c>
      <c r="L198" s="2" t="str">
        <f>'SUECIA 7 &amp; 8'!K14</f>
        <v/>
      </c>
      <c r="M198" s="2" t="str">
        <f>'SUECIA 7 &amp; 8'!L14</f>
        <v/>
      </c>
      <c r="N198" s="2" t="str">
        <f>'SUECIA 7 &amp; 8'!M14</f>
        <v/>
      </c>
      <c r="O198" s="2" t="str">
        <f>'SUECIA 7 &amp; 8'!N14</f>
        <v/>
      </c>
      <c r="P198" s="2" t="str">
        <f>'SUECIA 7 &amp; 8'!O14</f>
        <v/>
      </c>
      <c r="Q198" s="2" t="str">
        <f>'SUECIA 7 &amp; 8'!P14</f>
        <v/>
      </c>
      <c r="R198" s="2" t="str">
        <f>'SUECIA 7 &amp; 8'!Q14</f>
        <v/>
      </c>
      <c r="S198" s="2" t="str">
        <f>'SUECIA 7 &amp; 8'!R14</f>
        <v/>
      </c>
      <c r="T198" s="2" t="str">
        <f>'SUECIA 7 &amp; 8'!S14</f>
        <v/>
      </c>
      <c r="U198" s="2" t="str">
        <f>'SUECIA 7 &amp; 8'!T14</f>
        <v/>
      </c>
      <c r="V198" s="2" t="str">
        <f>'SUECIA 7 &amp; 8'!U14</f>
        <v/>
      </c>
      <c r="W198" s="2" t="str">
        <f>'SUECIA 7 &amp; 8'!V14</f>
        <v/>
      </c>
      <c r="X198" s="2" t="str">
        <f>'SUECIA 7 &amp; 8'!W14</f>
        <v/>
      </c>
      <c r="Y198" s="2" t="str">
        <f>'SUECIA 7 &amp; 8'!X14</f>
        <v/>
      </c>
      <c r="Z198" s="2" t="str">
        <f>'SUECIA 7 &amp; 8'!Y14</f>
        <v/>
      </c>
      <c r="AA198" s="2" t="str">
        <f>'SUECIA 7 &amp; 8'!Z14</f>
        <v/>
      </c>
      <c r="AB198" s="2" t="str">
        <f>'SUECIA 7 &amp; 8'!AA14</f>
        <v/>
      </c>
      <c r="AC198" s="2" t="str">
        <f>'SUECIA 7 &amp; 8'!AB14</f>
        <v/>
      </c>
      <c r="AD198" s="2" t="str">
        <f>'SUECIA 7 &amp; 8'!AC14</f>
        <v/>
      </c>
      <c r="AE198" s="2" t="str">
        <f>'SUECIA 7 &amp; 8'!AD14</f>
        <v/>
      </c>
      <c r="AF198" s="2" t="str">
        <f>'SUECIA 7 &amp; 8'!AE14</f>
        <v/>
      </c>
      <c r="AG198" s="2" t="str">
        <f>'SUECIA 7 &amp; 8'!AF14</f>
        <v/>
      </c>
      <c r="AH198" s="2" t="str">
        <f>'SUECIA 7 &amp; 8'!AG14</f>
        <v/>
      </c>
      <c r="AI198" s="2" t="str">
        <f>'SUECIA 7 &amp; 8'!AH14</f>
        <v/>
      </c>
      <c r="AJ198" s="2" t="str">
        <f>'SUECIA 7 &amp; 8'!AI14</f>
        <v/>
      </c>
      <c r="AK198" s="2">
        <f>'SUECIA 7 &amp; 8'!AJ14</f>
        <v>0</v>
      </c>
      <c r="AL198" s="2">
        <f>'SUECIA 7 &amp; 8'!AK14</f>
        <v>0</v>
      </c>
      <c r="AM198" s="2">
        <f>'SUECIA 7 &amp; 8'!AL14</f>
        <v>0</v>
      </c>
      <c r="AN198" s="2">
        <f>'SUECIA 7 &amp; 8'!AM14</f>
        <v>0</v>
      </c>
      <c r="AO198" s="2">
        <f>'SUECIA 7 &amp; 8'!AN14</f>
        <v>0</v>
      </c>
      <c r="AP198" s="2">
        <f>'SUECIA 7 &amp; 8'!AO14</f>
        <v>0</v>
      </c>
      <c r="AQ198" s="2">
        <f>'SUECIA 7 &amp; 8'!AP14</f>
        <v>0</v>
      </c>
      <c r="AR198" s="2">
        <f>'SUECIA 7 &amp; 8'!AQ14</f>
        <v>70</v>
      </c>
      <c r="AS198" s="2">
        <f>'SUECIA 7 &amp; 8'!AR14</f>
        <v>70</v>
      </c>
      <c r="AT198" s="2">
        <f>'SUECIA 7 &amp; 8'!AS14</f>
        <v>7</v>
      </c>
      <c r="AU198" s="2">
        <f>'SUECIA 7 &amp; 8'!AT14</f>
        <v>7</v>
      </c>
      <c r="AV198" s="2">
        <f>'SUECIA 7 &amp; 8'!AU14</f>
        <v>7</v>
      </c>
      <c r="AW198" s="2">
        <f>'SUECIA 7 &amp; 8'!AV14</f>
        <v>7</v>
      </c>
      <c r="AX198" s="2">
        <f>'SUECIA 7 &amp; 8'!AW14</f>
        <v>7</v>
      </c>
      <c r="AY198" s="2">
        <f>'SUECIA 7 &amp; 8'!AX14</f>
        <v>7</v>
      </c>
      <c r="AZ198" s="2">
        <f>'SUECIA 7 &amp; 8'!AY14</f>
        <v>7</v>
      </c>
      <c r="BA198" s="2">
        <f>'SUECIA 7 &amp; 8'!AZ14</f>
        <v>6</v>
      </c>
      <c r="BB198" s="2">
        <f>'SUECIA 7 &amp; 8'!BA14</f>
        <v>5</v>
      </c>
      <c r="BC198" s="2">
        <f>'SUECIA 7 &amp; 8'!BB14</f>
        <v>5</v>
      </c>
      <c r="BD198" s="2">
        <f>'SUECIA 7 &amp; 8'!BC14</f>
        <v>5</v>
      </c>
      <c r="BE198" s="2">
        <f>'SUECIA 7 &amp; 8'!BD14</f>
        <v>5</v>
      </c>
      <c r="BF198" s="2">
        <f>'SUECIA 7 &amp; 8'!BE14</f>
        <v>5</v>
      </c>
      <c r="BG198" s="2">
        <f>'SUECIA 7 &amp; 8'!BF14</f>
        <v>5</v>
      </c>
      <c r="BH198" s="2" t="str">
        <f>'SUECIA 7 &amp; 8'!BG14</f>
        <v/>
      </c>
      <c r="BI198" s="2" t="str">
        <f>'SUECIA 7 &amp; 8'!BH14</f>
        <v/>
      </c>
      <c r="BJ198" s="2" t="str">
        <f>'SUECIA 7 &amp; 8'!BI14</f>
        <v/>
      </c>
      <c r="BK198" s="2" t="str">
        <f>'SUECIA 7 &amp; 8'!BJ14</f>
        <v/>
      </c>
      <c r="BL198" s="2" t="str">
        <f>'SUECIA 7 &amp; 8'!BK14</f>
        <v/>
      </c>
      <c r="BM198" s="2" t="str">
        <f>'SUECIA 7 &amp; 8'!BL14</f>
        <v/>
      </c>
      <c r="BN198" s="2"/>
      <c r="BO198" s="2"/>
      <c r="BP198" s="2"/>
      <c r="BQ198" s="2"/>
      <c r="BR198" s="2"/>
      <c r="BS198" s="2"/>
      <c r="BT198" s="2"/>
      <c r="BU198" s="2"/>
      <c r="BV198" s="2"/>
      <c r="BW198" s="2"/>
    </row>
    <row r="199">
      <c r="A199" s="2" t="str">
        <f t="shared" si="185"/>
        <v>Bolsas Basura 80x110Suecia piso 7</v>
      </c>
      <c r="B199" s="2" t="str">
        <f>'SUECIA 7 &amp; 8'!A15</f>
        <v>Suecia piso 7</v>
      </c>
      <c r="C199" s="2" t="str">
        <f>'SUECIA 7 &amp; 8'!B15</f>
        <v>Aseo</v>
      </c>
      <c r="D199" s="2" t="str">
        <f>'SUECIA 7 &amp; 8'!C15</f>
        <v>Bolsas Basura 80x110</v>
      </c>
      <c r="E199" s="2" t="str">
        <f>'SUECIA 7 &amp; 8'!D15</f>
        <v/>
      </c>
      <c r="F199" s="2" t="str">
        <f>'SUECIA 7 &amp; 8'!E15</f>
        <v/>
      </c>
      <c r="G199" s="2" t="str">
        <f>'SUECIA 7 &amp; 8'!F15</f>
        <v/>
      </c>
      <c r="H199" s="2" t="str">
        <f>'SUECIA 7 &amp; 8'!G15</f>
        <v/>
      </c>
      <c r="I199" s="2" t="str">
        <f>'SUECIA 7 &amp; 8'!H15</f>
        <v/>
      </c>
      <c r="J199" s="2" t="str">
        <f>'SUECIA 7 &amp; 8'!I15</f>
        <v/>
      </c>
      <c r="K199" s="2" t="str">
        <f>'SUECIA 7 &amp; 8'!J15</f>
        <v/>
      </c>
      <c r="L199" s="2" t="str">
        <f>'SUECIA 7 &amp; 8'!K15</f>
        <v/>
      </c>
      <c r="M199" s="2" t="str">
        <f>'SUECIA 7 &amp; 8'!L15</f>
        <v/>
      </c>
      <c r="N199" s="2" t="str">
        <f>'SUECIA 7 &amp; 8'!M15</f>
        <v/>
      </c>
      <c r="O199" s="2" t="str">
        <f>'SUECIA 7 &amp; 8'!N15</f>
        <v/>
      </c>
      <c r="P199" s="2" t="str">
        <f>'SUECIA 7 &amp; 8'!O15</f>
        <v/>
      </c>
      <c r="Q199" s="2" t="str">
        <f>'SUECIA 7 &amp; 8'!P15</f>
        <v/>
      </c>
      <c r="R199" s="2" t="str">
        <f>'SUECIA 7 &amp; 8'!Q15</f>
        <v/>
      </c>
      <c r="S199" s="2" t="str">
        <f>'SUECIA 7 &amp; 8'!R15</f>
        <v/>
      </c>
      <c r="T199" s="2" t="str">
        <f>'SUECIA 7 &amp; 8'!S15</f>
        <v/>
      </c>
      <c r="U199" s="2" t="str">
        <f>'SUECIA 7 &amp; 8'!T15</f>
        <v/>
      </c>
      <c r="V199" s="2" t="str">
        <f>'SUECIA 7 &amp; 8'!U15</f>
        <v/>
      </c>
      <c r="W199" s="2" t="str">
        <f>'SUECIA 7 &amp; 8'!V15</f>
        <v/>
      </c>
      <c r="X199" s="2" t="str">
        <f>'SUECIA 7 &amp; 8'!W15</f>
        <v/>
      </c>
      <c r="Y199" s="2" t="str">
        <f>'SUECIA 7 &amp; 8'!X15</f>
        <v/>
      </c>
      <c r="Z199" s="2" t="str">
        <f>'SUECIA 7 &amp; 8'!Y15</f>
        <v/>
      </c>
      <c r="AA199" s="2" t="str">
        <f>'SUECIA 7 &amp; 8'!Z15</f>
        <v/>
      </c>
      <c r="AB199" s="2" t="str">
        <f>'SUECIA 7 &amp; 8'!AA15</f>
        <v/>
      </c>
      <c r="AC199" s="2" t="str">
        <f>'SUECIA 7 &amp; 8'!AB15</f>
        <v/>
      </c>
      <c r="AD199" s="2" t="str">
        <f>'SUECIA 7 &amp; 8'!AC15</f>
        <v/>
      </c>
      <c r="AE199" s="2" t="str">
        <f>'SUECIA 7 &amp; 8'!AD15</f>
        <v/>
      </c>
      <c r="AF199" s="2" t="str">
        <f>'SUECIA 7 &amp; 8'!AE15</f>
        <v/>
      </c>
      <c r="AG199" s="2" t="str">
        <f>'SUECIA 7 &amp; 8'!AF15</f>
        <v/>
      </c>
      <c r="AH199" s="2" t="str">
        <f>'SUECIA 7 &amp; 8'!AG15</f>
        <v/>
      </c>
      <c r="AI199" s="2" t="str">
        <f>'SUECIA 7 &amp; 8'!AH15</f>
        <v/>
      </c>
      <c r="AJ199" s="2" t="str">
        <f>'SUECIA 7 &amp; 8'!AI15</f>
        <v/>
      </c>
      <c r="AK199" s="2">
        <f>'SUECIA 7 &amp; 8'!AJ15</f>
        <v>0</v>
      </c>
      <c r="AL199" s="2">
        <f>'SUECIA 7 &amp; 8'!AK15</f>
        <v>0</v>
      </c>
      <c r="AM199" s="2">
        <f>'SUECIA 7 &amp; 8'!AL15</f>
        <v>0</v>
      </c>
      <c r="AN199" s="2">
        <f>'SUECIA 7 &amp; 8'!AM15</f>
        <v>0</v>
      </c>
      <c r="AO199" s="2">
        <f>'SUECIA 7 &amp; 8'!AN15</f>
        <v>0</v>
      </c>
      <c r="AP199" s="2">
        <f>'SUECIA 7 &amp; 8'!AO15</f>
        <v>0</v>
      </c>
      <c r="AQ199" s="2">
        <f>'SUECIA 7 &amp; 8'!AP15</f>
        <v>0</v>
      </c>
      <c r="AR199" s="2">
        <f>'SUECIA 7 &amp; 8'!AQ15</f>
        <v>100</v>
      </c>
      <c r="AS199" s="2">
        <f>'SUECIA 7 &amp; 8'!AR15</f>
        <v>100</v>
      </c>
      <c r="AT199" s="2">
        <f>'SUECIA 7 &amp; 8'!AS15</f>
        <v>10</v>
      </c>
      <c r="AU199" s="2">
        <f>'SUECIA 7 &amp; 8'!AT15</f>
        <v>10</v>
      </c>
      <c r="AV199" s="2">
        <f>'SUECIA 7 &amp; 8'!AU15</f>
        <v>10</v>
      </c>
      <c r="AW199" s="2">
        <f>'SUECIA 7 &amp; 8'!AV15</f>
        <v>10</v>
      </c>
      <c r="AX199" s="2">
        <f>'SUECIA 7 &amp; 8'!AW15</f>
        <v>10</v>
      </c>
      <c r="AY199" s="2">
        <f>'SUECIA 7 &amp; 8'!AX15</f>
        <v>10</v>
      </c>
      <c r="AZ199" s="2">
        <f>'SUECIA 7 &amp; 8'!AY15</f>
        <v>10</v>
      </c>
      <c r="BA199" s="2">
        <f>'SUECIA 7 &amp; 8'!AZ15</f>
        <v>10</v>
      </c>
      <c r="BB199" s="2">
        <f>'SUECIA 7 &amp; 8'!BA15</f>
        <v>10</v>
      </c>
      <c r="BC199" s="2">
        <f>'SUECIA 7 &amp; 8'!BB15</f>
        <v>10</v>
      </c>
      <c r="BD199" s="2">
        <f>'SUECIA 7 &amp; 8'!BC15</f>
        <v>11</v>
      </c>
      <c r="BE199" s="2">
        <f>'SUECIA 7 &amp; 8'!BD15</f>
        <v>11</v>
      </c>
      <c r="BF199" s="2">
        <f>'SUECIA 7 &amp; 8'!BE15</f>
        <v>11</v>
      </c>
      <c r="BG199" s="2">
        <f>'SUECIA 7 &amp; 8'!BF15</f>
        <v>11</v>
      </c>
      <c r="BH199" s="2" t="str">
        <f>'SUECIA 7 &amp; 8'!BG15</f>
        <v/>
      </c>
      <c r="BI199" s="2" t="str">
        <f>'SUECIA 7 &amp; 8'!BH15</f>
        <v/>
      </c>
      <c r="BJ199" s="2" t="str">
        <f>'SUECIA 7 &amp; 8'!BI15</f>
        <v/>
      </c>
      <c r="BK199" s="2" t="str">
        <f>'SUECIA 7 &amp; 8'!BJ15</f>
        <v/>
      </c>
      <c r="BL199" s="2" t="str">
        <f>'SUECIA 7 &amp; 8'!BK15</f>
        <v/>
      </c>
      <c r="BM199" s="2" t="str">
        <f>'SUECIA 7 &amp; 8'!BL15</f>
        <v/>
      </c>
      <c r="BN199" s="2"/>
      <c r="BO199" s="2"/>
      <c r="BP199" s="2"/>
      <c r="BQ199" s="2"/>
      <c r="BR199" s="2"/>
      <c r="BS199" s="2"/>
      <c r="BT199" s="2"/>
      <c r="BU199" s="2"/>
      <c r="BV199" s="2"/>
      <c r="BW199" s="2"/>
    </row>
    <row r="200">
      <c r="A200" s="2" t="str">
        <f t="shared" si="185"/>
        <v>Esponja 4USuecia piso 7</v>
      </c>
      <c r="B200" s="2" t="str">
        <f>'SUECIA 7 &amp; 8'!A16</f>
        <v>Suecia piso 7</v>
      </c>
      <c r="C200" s="2" t="str">
        <f>'SUECIA 7 &amp; 8'!B16</f>
        <v>Aseo</v>
      </c>
      <c r="D200" s="2" t="str">
        <f>'SUECIA 7 &amp; 8'!C16</f>
        <v>Esponja 4U</v>
      </c>
      <c r="E200" s="2" t="str">
        <f>'SUECIA 7 &amp; 8'!D16</f>
        <v/>
      </c>
      <c r="F200" s="2" t="str">
        <f>'SUECIA 7 &amp; 8'!E16</f>
        <v/>
      </c>
      <c r="G200" s="2" t="str">
        <f>'SUECIA 7 &amp; 8'!F16</f>
        <v/>
      </c>
      <c r="H200" s="2" t="str">
        <f>'SUECIA 7 &amp; 8'!G16</f>
        <v/>
      </c>
      <c r="I200" s="2" t="str">
        <f>'SUECIA 7 &amp; 8'!H16</f>
        <v/>
      </c>
      <c r="J200" s="2" t="str">
        <f>'SUECIA 7 &amp; 8'!I16</f>
        <v/>
      </c>
      <c r="K200" s="2" t="str">
        <f>'SUECIA 7 &amp; 8'!J16</f>
        <v/>
      </c>
      <c r="L200" s="2" t="str">
        <f>'SUECIA 7 &amp; 8'!K16</f>
        <v/>
      </c>
      <c r="M200" s="2" t="str">
        <f>'SUECIA 7 &amp; 8'!L16</f>
        <v/>
      </c>
      <c r="N200" s="2" t="str">
        <f>'SUECIA 7 &amp; 8'!M16</f>
        <v/>
      </c>
      <c r="O200" s="2" t="str">
        <f>'SUECIA 7 &amp; 8'!N16</f>
        <v/>
      </c>
      <c r="P200" s="2" t="str">
        <f>'SUECIA 7 &amp; 8'!O16</f>
        <v/>
      </c>
      <c r="Q200" s="2" t="str">
        <f>'SUECIA 7 &amp; 8'!P16</f>
        <v/>
      </c>
      <c r="R200" s="2" t="str">
        <f>'SUECIA 7 &amp; 8'!Q16</f>
        <v/>
      </c>
      <c r="S200" s="2" t="str">
        <f>'SUECIA 7 &amp; 8'!R16</f>
        <v/>
      </c>
      <c r="T200" s="2" t="str">
        <f>'SUECIA 7 &amp; 8'!S16</f>
        <v/>
      </c>
      <c r="U200" s="2" t="str">
        <f>'SUECIA 7 &amp; 8'!T16</f>
        <v/>
      </c>
      <c r="V200" s="2" t="str">
        <f>'SUECIA 7 &amp; 8'!U16</f>
        <v>-</v>
      </c>
      <c r="W200" s="2" t="str">
        <f>'SUECIA 7 &amp; 8'!V16</f>
        <v>-</v>
      </c>
      <c r="X200" s="2" t="str">
        <f>'SUECIA 7 &amp; 8'!W16</f>
        <v>-</v>
      </c>
      <c r="Y200" s="2" t="str">
        <f>'SUECIA 7 &amp; 8'!X16</f>
        <v>-</v>
      </c>
      <c r="Z200" s="2" t="str">
        <f>'SUECIA 7 &amp; 8'!Y16</f>
        <v>-</v>
      </c>
      <c r="AA200" s="2" t="str">
        <f>'SUECIA 7 &amp; 8'!Z16</f>
        <v>-</v>
      </c>
      <c r="AB200" s="2" t="str">
        <f>'SUECIA 7 &amp; 8'!AA16</f>
        <v>-</v>
      </c>
      <c r="AC200" s="2" t="str">
        <f>'SUECIA 7 &amp; 8'!AB16</f>
        <v>-</v>
      </c>
      <c r="AD200" s="2">
        <f>'SUECIA 7 &amp; 8'!AC16</f>
        <v>8</v>
      </c>
      <c r="AE200" s="2">
        <f>'SUECIA 7 &amp; 8'!AD16</f>
        <v>8</v>
      </c>
      <c r="AF200" s="2">
        <f>'SUECIA 7 &amp; 8'!AE16</f>
        <v>8</v>
      </c>
      <c r="AG200" s="2">
        <f>'SUECIA 7 &amp; 8'!AF16</f>
        <v>7</v>
      </c>
      <c r="AH200" s="2">
        <f>'SUECIA 7 &amp; 8'!AG16</f>
        <v>7</v>
      </c>
      <c r="AI200" s="2">
        <f>'SUECIA 7 &amp; 8'!AH16</f>
        <v>7</v>
      </c>
      <c r="AJ200" s="2">
        <f>'SUECIA 7 &amp; 8'!AI16</f>
        <v>6</v>
      </c>
      <c r="AK200" s="2">
        <f>'SUECIA 7 &amp; 8'!AJ16</f>
        <v>5</v>
      </c>
      <c r="AL200" s="2">
        <f>'SUECIA 7 &amp; 8'!AK16</f>
        <v>12</v>
      </c>
      <c r="AM200" s="2">
        <f>'SUECIA 7 &amp; 8'!AL16</f>
        <v>12</v>
      </c>
      <c r="AN200" s="2">
        <f>'SUECIA 7 &amp; 8'!AM16</f>
        <v>12</v>
      </c>
      <c r="AO200" s="2">
        <f>'SUECIA 7 &amp; 8'!AN16</f>
        <v>12</v>
      </c>
      <c r="AP200" s="2">
        <f>'SUECIA 7 &amp; 8'!AO16</f>
        <v>12</v>
      </c>
      <c r="AQ200" s="2">
        <f>'SUECIA 7 &amp; 8'!AP16</f>
        <v>11</v>
      </c>
      <c r="AR200" s="2">
        <f>'SUECIA 7 &amp; 8'!AQ16</f>
        <v>11</v>
      </c>
      <c r="AS200" s="2">
        <f>'SUECIA 7 &amp; 8'!AR16</f>
        <v>10</v>
      </c>
      <c r="AT200" s="2">
        <f>'SUECIA 7 &amp; 8'!AS16</f>
        <v>9</v>
      </c>
      <c r="AU200" s="2">
        <f>'SUECIA 7 &amp; 8'!AT16</f>
        <v>8</v>
      </c>
      <c r="AV200" s="2">
        <f>'SUECIA 7 &amp; 8'!AU16</f>
        <v>8</v>
      </c>
      <c r="AW200" s="2">
        <f>'SUECIA 7 &amp; 8'!AV16</f>
        <v>8</v>
      </c>
      <c r="AX200" s="2">
        <f>'SUECIA 7 &amp; 8'!AW16</f>
        <v>8</v>
      </c>
      <c r="AY200" s="2">
        <f>'SUECIA 7 &amp; 8'!AX16</f>
        <v>8</v>
      </c>
      <c r="AZ200" s="2">
        <f>'SUECIA 7 &amp; 8'!AY16</f>
        <v>8</v>
      </c>
      <c r="BA200" s="2">
        <f>'SUECIA 7 &amp; 8'!AZ16</f>
        <v>8</v>
      </c>
      <c r="BB200" s="2">
        <f>'SUECIA 7 &amp; 8'!BA16</f>
        <v>8</v>
      </c>
      <c r="BC200" s="2">
        <f>'SUECIA 7 &amp; 8'!BB16</f>
        <v>8</v>
      </c>
      <c r="BD200" s="2">
        <f>'SUECIA 7 &amp; 8'!BC16</f>
        <v>7</v>
      </c>
      <c r="BE200" s="2">
        <f>'SUECIA 7 &amp; 8'!BD16</f>
        <v>7</v>
      </c>
      <c r="BF200" s="2">
        <f>'SUECIA 7 &amp; 8'!BE16</f>
        <v>7</v>
      </c>
      <c r="BG200" s="2">
        <f>'SUECIA 7 &amp; 8'!BF16</f>
        <v>7</v>
      </c>
      <c r="BH200" s="2" t="str">
        <f>'SUECIA 7 &amp; 8'!BG16</f>
        <v/>
      </c>
      <c r="BI200" s="2" t="str">
        <f>'SUECIA 7 &amp; 8'!BH16</f>
        <v/>
      </c>
      <c r="BJ200" s="2" t="str">
        <f>'SUECIA 7 &amp; 8'!BI16</f>
        <v/>
      </c>
      <c r="BK200" s="2" t="str">
        <f>'SUECIA 7 &amp; 8'!BJ16</f>
        <v/>
      </c>
      <c r="BL200" s="2" t="str">
        <f>'SUECIA 7 &amp; 8'!BK16</f>
        <v/>
      </c>
      <c r="BM200" s="2" t="str">
        <f>'SUECIA 7 &amp; 8'!BL16</f>
        <v/>
      </c>
      <c r="BN200" s="2"/>
      <c r="BO200" s="2"/>
      <c r="BP200" s="2"/>
      <c r="BQ200" s="2"/>
      <c r="BR200" s="2"/>
      <c r="BS200" s="2"/>
      <c r="BT200" s="2"/>
      <c r="BU200" s="2"/>
      <c r="BV200" s="2"/>
      <c r="BW200" s="2"/>
    </row>
    <row r="201">
      <c r="A201" s="2" t="str">
        <f t="shared" si="185"/>
        <v>Mopa RedondaSuecia piso 7</v>
      </c>
      <c r="B201" s="2" t="str">
        <f>'SUECIA 7 &amp; 8'!A17</f>
        <v>Suecia piso 7</v>
      </c>
      <c r="C201" s="2" t="str">
        <f>'SUECIA 7 &amp; 8'!B17</f>
        <v>Aseo</v>
      </c>
      <c r="D201" s="2" t="str">
        <f>'SUECIA 7 &amp; 8'!C17</f>
        <v>Mopa Redonda</v>
      </c>
      <c r="E201" s="2" t="str">
        <f>'SUECIA 7 &amp; 8'!D17</f>
        <v/>
      </c>
      <c r="F201" s="2" t="str">
        <f>'SUECIA 7 &amp; 8'!E17</f>
        <v/>
      </c>
      <c r="G201" s="2" t="str">
        <f>'SUECIA 7 &amp; 8'!F17</f>
        <v/>
      </c>
      <c r="H201" s="2" t="str">
        <f>'SUECIA 7 &amp; 8'!G17</f>
        <v/>
      </c>
      <c r="I201" s="2" t="str">
        <f>'SUECIA 7 &amp; 8'!H17</f>
        <v/>
      </c>
      <c r="J201" s="2" t="str">
        <f>'SUECIA 7 &amp; 8'!I17</f>
        <v/>
      </c>
      <c r="K201" s="2" t="str">
        <f>'SUECIA 7 &amp; 8'!J17</f>
        <v/>
      </c>
      <c r="L201" s="2" t="str">
        <f>'SUECIA 7 &amp; 8'!K17</f>
        <v/>
      </c>
      <c r="M201" s="2" t="str">
        <f>'SUECIA 7 &amp; 8'!L17</f>
        <v/>
      </c>
      <c r="N201" s="2" t="str">
        <f>'SUECIA 7 &amp; 8'!M17</f>
        <v/>
      </c>
      <c r="O201" s="2" t="str">
        <f>'SUECIA 7 &amp; 8'!N17</f>
        <v/>
      </c>
      <c r="P201" s="2" t="str">
        <f>'SUECIA 7 &amp; 8'!O17</f>
        <v/>
      </c>
      <c r="Q201" s="2" t="str">
        <f>'SUECIA 7 &amp; 8'!P17</f>
        <v/>
      </c>
      <c r="R201" s="2" t="str">
        <f>'SUECIA 7 &amp; 8'!Q17</f>
        <v/>
      </c>
      <c r="S201" s="2" t="str">
        <f>'SUECIA 7 &amp; 8'!R17</f>
        <v/>
      </c>
      <c r="T201" s="2" t="str">
        <f>'SUECIA 7 &amp; 8'!S17</f>
        <v/>
      </c>
      <c r="U201" s="2" t="str">
        <f>'SUECIA 7 &amp; 8'!T17</f>
        <v/>
      </c>
      <c r="V201" s="2" t="str">
        <f>'SUECIA 7 &amp; 8'!U17</f>
        <v>-</v>
      </c>
      <c r="W201" s="2" t="str">
        <f>'SUECIA 7 &amp; 8'!V17</f>
        <v>-</v>
      </c>
      <c r="X201" s="2" t="str">
        <f>'SUECIA 7 &amp; 8'!W17</f>
        <v>-</v>
      </c>
      <c r="Y201" s="2" t="str">
        <f>'SUECIA 7 &amp; 8'!X17</f>
        <v>-</v>
      </c>
      <c r="Z201" s="2" t="str">
        <f>'SUECIA 7 &amp; 8'!Y17</f>
        <v>-</v>
      </c>
      <c r="AA201" s="2" t="str">
        <f>'SUECIA 7 &amp; 8'!Z17</f>
        <v>-</v>
      </c>
      <c r="AB201" s="2" t="str">
        <f>'SUECIA 7 &amp; 8'!AA17</f>
        <v>-</v>
      </c>
      <c r="AC201" s="2" t="str">
        <f>'SUECIA 7 &amp; 8'!AB17</f>
        <v>-</v>
      </c>
      <c r="AD201" s="2">
        <f>'SUECIA 7 &amp; 8'!AC17</f>
        <v>7</v>
      </c>
      <c r="AE201" s="2">
        <f>'SUECIA 7 &amp; 8'!AD17</f>
        <v>7</v>
      </c>
      <c r="AF201" s="2">
        <f>'SUECIA 7 &amp; 8'!AE17</f>
        <v>7</v>
      </c>
      <c r="AG201" s="2">
        <f>'SUECIA 7 &amp; 8'!AF17</f>
        <v>7</v>
      </c>
      <c r="AH201" s="2">
        <f>'SUECIA 7 &amp; 8'!AG17</f>
        <v>6</v>
      </c>
      <c r="AI201" s="2">
        <f>'SUECIA 7 &amp; 8'!AH17</f>
        <v>6</v>
      </c>
      <c r="AJ201" s="2">
        <f>'SUECIA 7 &amp; 8'!AI17</f>
        <v>6</v>
      </c>
      <c r="AK201" s="2">
        <f>'SUECIA 7 &amp; 8'!AJ17</f>
        <v>6</v>
      </c>
      <c r="AL201" s="2">
        <f>'SUECIA 7 &amp; 8'!AK17</f>
        <v>8</v>
      </c>
      <c r="AM201" s="2">
        <f>'SUECIA 7 &amp; 8'!AL17</f>
        <v>8</v>
      </c>
      <c r="AN201" s="2">
        <f>'SUECIA 7 &amp; 8'!AM17</f>
        <v>8</v>
      </c>
      <c r="AO201" s="2">
        <f>'SUECIA 7 &amp; 8'!AN17</f>
        <v>7</v>
      </c>
      <c r="AP201" s="2">
        <f>'SUECIA 7 &amp; 8'!AO17</f>
        <v>7</v>
      </c>
      <c r="AQ201" s="2">
        <f>'SUECIA 7 &amp; 8'!AP17</f>
        <v>6</v>
      </c>
      <c r="AR201" s="2">
        <f>'SUECIA 7 &amp; 8'!AQ17</f>
        <v>6</v>
      </c>
      <c r="AS201" s="2">
        <f>'SUECIA 7 &amp; 8'!AR17</f>
        <v>6</v>
      </c>
      <c r="AT201" s="2">
        <f>'SUECIA 7 &amp; 8'!AS17</f>
        <v>5</v>
      </c>
      <c r="AU201" s="2">
        <f>'SUECIA 7 &amp; 8'!AT17</f>
        <v>5</v>
      </c>
      <c r="AV201" s="2">
        <f>'SUECIA 7 &amp; 8'!AU17</f>
        <v>5</v>
      </c>
      <c r="AW201" s="2">
        <f>'SUECIA 7 &amp; 8'!AV17</f>
        <v>5</v>
      </c>
      <c r="AX201" s="2">
        <f>'SUECIA 7 &amp; 8'!AW17</f>
        <v>5</v>
      </c>
      <c r="AY201" s="2">
        <f>'SUECIA 7 &amp; 8'!AX17</f>
        <v>5</v>
      </c>
      <c r="AZ201" s="2">
        <f>'SUECIA 7 &amp; 8'!AY17</f>
        <v>5</v>
      </c>
      <c r="BA201" s="2">
        <f>'SUECIA 7 &amp; 8'!AZ17</f>
        <v>5</v>
      </c>
      <c r="BB201" s="2">
        <f>'SUECIA 7 &amp; 8'!BA17</f>
        <v>5</v>
      </c>
      <c r="BC201" s="2">
        <f>'SUECIA 7 &amp; 8'!BB17</f>
        <v>5</v>
      </c>
      <c r="BD201" s="2">
        <f>'SUECIA 7 &amp; 8'!BC17</f>
        <v>5</v>
      </c>
      <c r="BE201" s="2">
        <f>'SUECIA 7 &amp; 8'!BD17</f>
        <v>5</v>
      </c>
      <c r="BF201" s="2">
        <f>'SUECIA 7 &amp; 8'!BE17</f>
        <v>5</v>
      </c>
      <c r="BG201" s="2">
        <f>'SUECIA 7 &amp; 8'!BF17</f>
        <v>5</v>
      </c>
      <c r="BH201" s="2" t="str">
        <f>'SUECIA 7 &amp; 8'!BG17</f>
        <v/>
      </c>
      <c r="BI201" s="2" t="str">
        <f>'SUECIA 7 &amp; 8'!BH17</f>
        <v/>
      </c>
      <c r="BJ201" s="2" t="str">
        <f>'SUECIA 7 &amp; 8'!BI17</f>
        <v/>
      </c>
      <c r="BK201" s="2" t="str">
        <f>'SUECIA 7 &amp; 8'!BJ17</f>
        <v/>
      </c>
      <c r="BL201" s="2" t="str">
        <f>'SUECIA 7 &amp; 8'!BK17</f>
        <v/>
      </c>
      <c r="BM201" s="2" t="str">
        <f>'SUECIA 7 &amp; 8'!BL17</f>
        <v/>
      </c>
      <c r="BN201" s="2"/>
      <c r="BO201" s="2"/>
      <c r="BP201" s="2"/>
      <c r="BQ201" s="2"/>
      <c r="BR201" s="2"/>
      <c r="BS201" s="2"/>
      <c r="BT201" s="2"/>
      <c r="BU201" s="2"/>
      <c r="BV201" s="2"/>
      <c r="BW201" s="2"/>
    </row>
    <row r="202">
      <c r="A202" s="2" t="str">
        <f t="shared" si="185"/>
        <v>Cafe Grano (KG)Suecia piso 8</v>
      </c>
      <c r="B202" s="2" t="str">
        <f>'SUECIA 7 &amp; 8'!A18</f>
        <v>Suecia piso 8</v>
      </c>
      <c r="C202" s="2" t="str">
        <f>'SUECIA 7 &amp; 8'!B18</f>
        <v>Cafeteria</v>
      </c>
      <c r="D202" s="2" t="str">
        <f>'SUECIA 7 &amp; 8'!C18</f>
        <v>Cafe Grano (KG)</v>
      </c>
      <c r="E202" s="2">
        <f>'SUECIA 7 &amp; 8'!D18</f>
        <v>5</v>
      </c>
      <c r="F202" s="2">
        <f>'SUECIA 7 &amp; 8'!E18</f>
        <v>4</v>
      </c>
      <c r="G202" s="2">
        <f>'SUECIA 7 &amp; 8'!F18</f>
        <v>4</v>
      </c>
      <c r="H202" s="2">
        <f>'SUECIA 7 &amp; 8'!G18</f>
        <v>3.5</v>
      </c>
      <c r="I202" s="2">
        <f>'SUECIA 7 &amp; 8'!H18</f>
        <v>3</v>
      </c>
      <c r="J202" s="2" t="str">
        <f>'SUECIA 7 &amp; 8'!I18</f>
        <v>-</v>
      </c>
      <c r="K202" s="2" t="str">
        <f>'SUECIA 7 &amp; 8'!J18</f>
        <v>-</v>
      </c>
      <c r="L202" s="2">
        <f>'SUECIA 7 &amp; 8'!K18</f>
        <v>4.5</v>
      </c>
      <c r="M202" s="2">
        <f>'SUECIA 7 &amp; 8'!L18</f>
        <v>4.5</v>
      </c>
      <c r="N202" s="2">
        <f>'SUECIA 7 &amp; 8'!M18</f>
        <v>4</v>
      </c>
      <c r="O202" s="2">
        <f>'SUECIA 7 &amp; 8'!N18</f>
        <v>3.5</v>
      </c>
      <c r="P202" s="2">
        <f>'SUECIA 7 &amp; 8'!O18</f>
        <v>3</v>
      </c>
      <c r="Q202" s="2">
        <f>'SUECIA 7 &amp; 8'!P18</f>
        <v>1</v>
      </c>
      <c r="R202" s="2">
        <f>'SUECIA 7 &amp; 8'!Q18</f>
        <v>5.5</v>
      </c>
      <c r="S202" s="2">
        <f>'SUECIA 7 &amp; 8'!R18</f>
        <v>5</v>
      </c>
      <c r="T202" s="2">
        <f>'SUECIA 7 &amp; 8'!S18</f>
        <v>3.5</v>
      </c>
      <c r="U202" s="2">
        <f>'SUECIA 7 &amp; 8'!T18</f>
        <v>6.5</v>
      </c>
      <c r="V202" s="2">
        <f>'SUECIA 7 &amp; 8'!U18</f>
        <v>4.5</v>
      </c>
      <c r="W202" s="2">
        <f>'SUECIA 7 &amp; 8'!V18</f>
        <v>3.5</v>
      </c>
      <c r="X202" s="2">
        <f>'SUECIA 7 &amp; 8'!W18</f>
        <v>3</v>
      </c>
      <c r="Y202" s="2">
        <f>'SUECIA 7 &amp; 8'!X18</f>
        <v>2</v>
      </c>
      <c r="Z202" s="2">
        <f>'SUECIA 7 &amp; 8'!Y18</f>
        <v>12</v>
      </c>
      <c r="AA202" s="2">
        <f>'SUECIA 7 &amp; 8'!Z18</f>
        <v>11</v>
      </c>
      <c r="AB202" s="2">
        <f>'SUECIA 7 &amp; 8'!AA18</f>
        <v>10</v>
      </c>
      <c r="AC202" s="2">
        <f>'SUECIA 7 &amp; 8'!AB18</f>
        <v>8</v>
      </c>
      <c r="AD202" s="2">
        <f>'SUECIA 7 &amp; 8'!AC18</f>
        <v>12</v>
      </c>
      <c r="AE202" s="2">
        <f>'SUECIA 7 &amp; 8'!AD18</f>
        <v>10</v>
      </c>
      <c r="AF202" s="2">
        <f>'SUECIA 7 &amp; 8'!AE18</f>
        <v>9</v>
      </c>
      <c r="AG202" s="2">
        <f>'SUECIA 7 &amp; 8'!AF18</f>
        <v>7.5</v>
      </c>
      <c r="AH202" s="2">
        <f>'SUECIA 7 &amp; 8'!AG18</f>
        <v>6.5</v>
      </c>
      <c r="AI202" s="2">
        <f>'SUECIA 7 &amp; 8'!AH18</f>
        <v>6.5</v>
      </c>
      <c r="AJ202" s="2">
        <f>'SUECIA 7 &amp; 8'!AI18</f>
        <v>4.5</v>
      </c>
      <c r="AK202" s="2">
        <f>'SUECIA 7 &amp; 8'!AJ18</f>
        <v>4.5</v>
      </c>
      <c r="AL202" s="2">
        <f>'SUECIA 7 &amp; 8'!AK18</f>
        <v>9.5</v>
      </c>
      <c r="AM202" s="2">
        <f>'SUECIA 7 &amp; 8'!AL18</f>
        <v>9</v>
      </c>
      <c r="AN202" s="2">
        <f>'SUECIA 7 &amp; 8'!AM18</f>
        <v>11.5</v>
      </c>
      <c r="AO202" s="2">
        <f>'SUECIA 7 &amp; 8'!AN18</f>
        <v>10</v>
      </c>
      <c r="AP202" s="2">
        <f>'SUECIA 7 &amp; 8'!AO18</f>
        <v>9</v>
      </c>
      <c r="AQ202" s="2">
        <f>'SUECIA 7 &amp; 8'!AP18</f>
        <v>8</v>
      </c>
      <c r="AR202" s="2">
        <f>'SUECIA 7 &amp; 8'!AQ18</f>
        <v>7.5</v>
      </c>
      <c r="AS202" s="2">
        <f>'SUECIA 7 &amp; 8'!AR18</f>
        <v>7</v>
      </c>
      <c r="AT202" s="2">
        <f>'SUECIA 7 &amp; 8'!AS18</f>
        <v>5</v>
      </c>
      <c r="AU202" s="2">
        <f>'SUECIA 7 &amp; 8'!AT18</f>
        <v>2</v>
      </c>
      <c r="AV202" s="2">
        <f>'SUECIA 7 &amp; 8'!AU18</f>
        <v>2</v>
      </c>
      <c r="AW202" s="2">
        <f>'SUECIA 7 &amp; 8'!AV18</f>
        <v>1.5</v>
      </c>
      <c r="AX202" s="2">
        <f>'SUECIA 7 &amp; 8'!AW18</f>
        <v>1</v>
      </c>
      <c r="AY202" s="2">
        <f>'SUECIA 7 &amp; 8'!AX18</f>
        <v>1</v>
      </c>
      <c r="AZ202" s="2">
        <f>'SUECIA 7 &amp; 8'!AY18</f>
        <v>1</v>
      </c>
      <c r="BA202" s="2">
        <f>'SUECIA 7 &amp; 8'!AZ18</f>
        <v>14</v>
      </c>
      <c r="BB202" s="2">
        <f>'SUECIA 7 &amp; 8'!BA18</f>
        <v>13.5</v>
      </c>
      <c r="BC202" s="2">
        <f>'SUECIA 7 &amp; 8'!BB18</f>
        <v>13</v>
      </c>
      <c r="BD202" s="2">
        <f>'SUECIA 7 &amp; 8'!BC18</f>
        <v>11.5</v>
      </c>
      <c r="BE202" s="2">
        <f>'SUECIA 7 &amp; 8'!BD18</f>
        <v>10.5</v>
      </c>
      <c r="BF202" s="2">
        <f>'SUECIA 7 &amp; 8'!BE18</f>
        <v>10</v>
      </c>
      <c r="BG202" s="2">
        <f>'SUECIA 7 &amp; 8'!BF18</f>
        <v>10</v>
      </c>
      <c r="BH202" s="2" t="str">
        <f>'SUECIA 7 &amp; 8'!BG18</f>
        <v/>
      </c>
      <c r="BI202" s="2" t="str">
        <f>'SUECIA 7 &amp; 8'!BH18</f>
        <v/>
      </c>
      <c r="BJ202" s="2" t="str">
        <f>'SUECIA 7 &amp; 8'!BI18</f>
        <v/>
      </c>
      <c r="BK202" s="2" t="str">
        <f>'SUECIA 7 &amp; 8'!BJ18</f>
        <v/>
      </c>
      <c r="BL202" s="2" t="str">
        <f>'SUECIA 7 &amp; 8'!BK18</f>
        <v/>
      </c>
      <c r="BM202" s="2" t="str">
        <f>'SUECIA 7 &amp; 8'!BL18</f>
        <v/>
      </c>
      <c r="BN202" s="2"/>
      <c r="BO202" s="2"/>
      <c r="BP202" s="2"/>
      <c r="BQ202" s="2"/>
      <c r="BR202" s="2"/>
      <c r="BS202" s="2"/>
      <c r="BT202" s="2"/>
      <c r="BU202" s="2"/>
      <c r="BV202" s="2"/>
      <c r="BW202" s="2"/>
    </row>
    <row r="203">
      <c r="A203" s="2" t="str">
        <f t="shared" si="185"/>
        <v>Toalla de Papel Jumbo (UN)Suecia piso 8</v>
      </c>
      <c r="B203" s="2" t="str">
        <f>'SUECIA 7 &amp; 8'!A19</f>
        <v>Suecia piso 8</v>
      </c>
      <c r="C203" s="2" t="str">
        <f>'SUECIA 7 &amp; 8'!B19</f>
        <v>Cafeteria</v>
      </c>
      <c r="D203" s="2" t="str">
        <f>'SUECIA 7 &amp; 8'!C19</f>
        <v>Toalla de Papel Jumbo (UN)</v>
      </c>
      <c r="E203" s="2">
        <f>'SUECIA 7 &amp; 8'!D19</f>
        <v>0</v>
      </c>
      <c r="F203" s="2">
        <f>'SUECIA 7 &amp; 8'!E19</f>
        <v>0</v>
      </c>
      <c r="G203" s="2">
        <f>'SUECIA 7 &amp; 8'!F19</f>
        <v>0</v>
      </c>
      <c r="H203" s="2">
        <f>'SUECIA 7 &amp; 8'!G19</f>
        <v>0</v>
      </c>
      <c r="I203" s="2">
        <f>'SUECIA 7 &amp; 8'!H19</f>
        <v>0</v>
      </c>
      <c r="J203" s="2" t="str">
        <f>'SUECIA 7 &amp; 8'!I19</f>
        <v>-</v>
      </c>
      <c r="K203" s="2" t="str">
        <f>'SUECIA 7 &amp; 8'!J19</f>
        <v>-</v>
      </c>
      <c r="L203" s="2">
        <f>'SUECIA 7 &amp; 8'!K19</f>
        <v>2</v>
      </c>
      <c r="M203" s="2">
        <f>'SUECIA 7 &amp; 8'!L19</f>
        <v>6</v>
      </c>
      <c r="N203" s="2">
        <f>'SUECIA 7 &amp; 8'!M19</f>
        <v>5</v>
      </c>
      <c r="O203" s="2">
        <f>'SUECIA 7 &amp; 8'!N19</f>
        <v>5</v>
      </c>
      <c r="P203" s="2">
        <f>'SUECIA 7 &amp; 8'!O19</f>
        <v>4</v>
      </c>
      <c r="Q203" s="2">
        <f>'SUECIA 7 &amp; 8'!P19</f>
        <v>3</v>
      </c>
      <c r="R203" s="2">
        <f>'SUECIA 7 &amp; 8'!Q19</f>
        <v>3</v>
      </c>
      <c r="S203" s="2">
        <f>'SUECIA 7 &amp; 8'!R19</f>
        <v>3</v>
      </c>
      <c r="T203" s="2">
        <f>'SUECIA 7 &amp; 8'!S19</f>
        <v>2</v>
      </c>
      <c r="U203" s="2">
        <f>'SUECIA 7 &amp; 8'!T19</f>
        <v>2</v>
      </c>
      <c r="V203" s="2">
        <f>'SUECIA 7 &amp; 8'!U19</f>
        <v>2</v>
      </c>
      <c r="W203" s="2">
        <f>'SUECIA 7 &amp; 8'!V19</f>
        <v>3</v>
      </c>
      <c r="X203" s="2">
        <f>'SUECIA 7 &amp; 8'!W19</f>
        <v>6</v>
      </c>
      <c r="Y203" s="2">
        <f>'SUECIA 7 &amp; 8'!X19</f>
        <v>5</v>
      </c>
      <c r="Z203" s="2">
        <f>'SUECIA 7 &amp; 8'!Y19</f>
        <v>18</v>
      </c>
      <c r="AA203" s="2">
        <f>'SUECIA 7 &amp; 8'!Z19</f>
        <v>17</v>
      </c>
      <c r="AB203" s="2">
        <f>'SUECIA 7 &amp; 8'!AA19</f>
        <v>16</v>
      </c>
      <c r="AC203" s="2">
        <f>'SUECIA 7 &amp; 8'!AB19</f>
        <v>15</v>
      </c>
      <c r="AD203" s="2">
        <f>'SUECIA 7 &amp; 8'!AC19</f>
        <v>17</v>
      </c>
      <c r="AE203" s="2">
        <f>'SUECIA 7 &amp; 8'!AD19</f>
        <v>17</v>
      </c>
      <c r="AF203" s="2">
        <f>'SUECIA 7 &amp; 8'!AE19</f>
        <v>16</v>
      </c>
      <c r="AG203" s="2">
        <f>'SUECIA 7 &amp; 8'!AF19</f>
        <v>16</v>
      </c>
      <c r="AH203" s="2">
        <f>'SUECIA 7 &amp; 8'!AG19</f>
        <v>19</v>
      </c>
      <c r="AI203" s="2">
        <f>'SUECIA 7 &amp; 8'!AH19</f>
        <v>18</v>
      </c>
      <c r="AJ203" s="2">
        <f>'SUECIA 7 &amp; 8'!AI19</f>
        <v>17</v>
      </c>
      <c r="AK203" s="2">
        <f>'SUECIA 7 &amp; 8'!AJ19</f>
        <v>17</v>
      </c>
      <c r="AL203" s="2">
        <f>'SUECIA 7 &amp; 8'!AK19</f>
        <v>17</v>
      </c>
      <c r="AM203" s="2">
        <f>'SUECIA 7 &amp; 8'!AL19</f>
        <v>16</v>
      </c>
      <c r="AN203" s="2">
        <f>'SUECIA 7 &amp; 8'!AM19</f>
        <v>15</v>
      </c>
      <c r="AO203" s="2">
        <f>'SUECIA 7 &amp; 8'!AN19</f>
        <v>14</v>
      </c>
      <c r="AP203" s="2">
        <f>'SUECIA 7 &amp; 8'!AO19</f>
        <v>14</v>
      </c>
      <c r="AQ203" s="2">
        <f>'SUECIA 7 &amp; 8'!AP19</f>
        <v>14</v>
      </c>
      <c r="AR203" s="2">
        <f>'SUECIA 7 &amp; 8'!AQ19</f>
        <v>22</v>
      </c>
      <c r="AS203" s="2">
        <f>'SUECIA 7 &amp; 8'!AR19</f>
        <v>18</v>
      </c>
      <c r="AT203" s="2">
        <f>'SUECIA 7 &amp; 8'!AS19</f>
        <v>16</v>
      </c>
      <c r="AU203" s="2">
        <f>'SUECIA 7 &amp; 8'!AT19</f>
        <v>16</v>
      </c>
      <c r="AV203" s="2">
        <f>'SUECIA 7 &amp; 8'!AU19</f>
        <v>16</v>
      </c>
      <c r="AW203" s="2">
        <f>'SUECIA 7 &amp; 8'!AV19</f>
        <v>15</v>
      </c>
      <c r="AX203" s="2">
        <f>'SUECIA 7 &amp; 8'!AW19</f>
        <v>15</v>
      </c>
      <c r="AY203" s="2">
        <f>'SUECIA 7 &amp; 8'!AX19</f>
        <v>14</v>
      </c>
      <c r="AZ203" s="2">
        <f>'SUECIA 7 &amp; 8'!AY19</f>
        <v>14</v>
      </c>
      <c r="BA203" s="2">
        <f>'SUECIA 7 &amp; 8'!AZ19</f>
        <v>12</v>
      </c>
      <c r="BB203" s="2">
        <f>'SUECIA 7 &amp; 8'!BA19</f>
        <v>8</v>
      </c>
      <c r="BC203" s="2">
        <f>'SUECIA 7 &amp; 8'!BB19</f>
        <v>8</v>
      </c>
      <c r="BD203" s="2">
        <f>'SUECIA 7 &amp; 8'!BC19</f>
        <v>25</v>
      </c>
      <c r="BE203" s="2">
        <f>'SUECIA 7 &amp; 8'!BD19</f>
        <v>25</v>
      </c>
      <c r="BF203" s="2">
        <f>'SUECIA 7 &amp; 8'!BE19</f>
        <v>24</v>
      </c>
      <c r="BG203" s="2">
        <f>'SUECIA 7 &amp; 8'!BF19</f>
        <v>24</v>
      </c>
      <c r="BH203" s="2" t="str">
        <f>'SUECIA 7 &amp; 8'!BG19</f>
        <v/>
      </c>
      <c r="BI203" s="2" t="str">
        <f>'SUECIA 7 &amp; 8'!BH19</f>
        <v/>
      </c>
      <c r="BJ203" s="2" t="str">
        <f>'SUECIA 7 &amp; 8'!BI19</f>
        <v/>
      </c>
      <c r="BK203" s="2" t="str">
        <f>'SUECIA 7 &amp; 8'!BJ19</f>
        <v/>
      </c>
      <c r="BL203" s="2" t="str">
        <f>'SUECIA 7 &amp; 8'!BK19</f>
        <v/>
      </c>
      <c r="BM203" s="2" t="str">
        <f>'SUECIA 7 &amp; 8'!BL19</f>
        <v/>
      </c>
      <c r="BN203" s="2"/>
      <c r="BO203" s="2"/>
      <c r="BP203" s="2"/>
      <c r="BQ203" s="2"/>
      <c r="BR203" s="2"/>
      <c r="BS203" s="2"/>
      <c r="BT203" s="2"/>
      <c r="BU203" s="2"/>
      <c r="BV203" s="2"/>
      <c r="BW203" s="2"/>
    </row>
    <row r="204">
      <c r="A204" s="2" t="str">
        <f t="shared" si="185"/>
        <v>Papel Higienico (UN)Suecia piso 8</v>
      </c>
      <c r="B204" s="2" t="str">
        <f>'SUECIA 7 &amp; 8'!A20</f>
        <v>Suecia piso 8</v>
      </c>
      <c r="C204" s="2" t="str">
        <f>'SUECIA 7 &amp; 8'!B20</f>
        <v>Cafeteria</v>
      </c>
      <c r="D204" s="2" t="str">
        <f>'SUECIA 7 &amp; 8'!C20</f>
        <v>Papel Higienico (UN)</v>
      </c>
      <c r="E204" s="2">
        <f>'SUECIA 7 &amp; 8'!D20</f>
        <v>4</v>
      </c>
      <c r="F204" s="2">
        <f>'SUECIA 7 &amp; 8'!E20</f>
        <v>3</v>
      </c>
      <c r="G204" s="2">
        <f>'SUECIA 7 &amp; 8'!F20</f>
        <v>2</v>
      </c>
      <c r="H204" s="2">
        <f>'SUECIA 7 &amp; 8'!G20</f>
        <v>0</v>
      </c>
      <c r="I204" s="2">
        <f>'SUECIA 7 &amp; 8'!H20</f>
        <v>4</v>
      </c>
      <c r="J204" s="2" t="str">
        <f>'SUECIA 7 &amp; 8'!I20</f>
        <v>-</v>
      </c>
      <c r="K204" s="2" t="str">
        <f>'SUECIA 7 &amp; 8'!J20</f>
        <v>-</v>
      </c>
      <c r="L204" s="2">
        <f>'SUECIA 7 &amp; 8'!K20</f>
        <v>12</v>
      </c>
      <c r="M204" s="2">
        <f>'SUECIA 7 &amp; 8'!L20</f>
        <v>14</v>
      </c>
      <c r="N204" s="2">
        <f>'SUECIA 7 &amp; 8'!M20</f>
        <v>13</v>
      </c>
      <c r="O204" s="2">
        <f>'SUECIA 7 &amp; 8'!N20</f>
        <v>12</v>
      </c>
      <c r="P204" s="2">
        <f>'SUECIA 7 &amp; 8'!O20</f>
        <v>10</v>
      </c>
      <c r="Q204" s="2">
        <f>'SUECIA 7 &amp; 8'!P20</f>
        <v>8</v>
      </c>
      <c r="R204" s="2">
        <f>'SUECIA 7 &amp; 8'!Q20</f>
        <v>7</v>
      </c>
      <c r="S204" s="2">
        <f>'SUECIA 7 &amp; 8'!R20</f>
        <v>6</v>
      </c>
      <c r="T204" s="2">
        <f>'SUECIA 7 &amp; 8'!S20</f>
        <v>4</v>
      </c>
      <c r="U204" s="2">
        <f>'SUECIA 7 &amp; 8'!T20</f>
        <v>3</v>
      </c>
      <c r="V204" s="2">
        <f>'SUECIA 7 &amp; 8'!U20</f>
        <v>3</v>
      </c>
      <c r="W204" s="2">
        <f>'SUECIA 7 &amp; 8'!V20</f>
        <v>7</v>
      </c>
      <c r="X204" s="2">
        <f>'SUECIA 7 &amp; 8'!W20</f>
        <v>10</v>
      </c>
      <c r="Y204" s="2">
        <f>'SUECIA 7 &amp; 8'!X20</f>
        <v>8</v>
      </c>
      <c r="Z204" s="2">
        <f>'SUECIA 7 &amp; 8'!Y20</f>
        <v>30</v>
      </c>
      <c r="AA204" s="2">
        <f>'SUECIA 7 &amp; 8'!Z20</f>
        <v>28</v>
      </c>
      <c r="AB204" s="2">
        <f>'SUECIA 7 &amp; 8'!AA20</f>
        <v>26</v>
      </c>
      <c r="AC204" s="2">
        <f>'SUECIA 7 &amp; 8'!AB20</f>
        <v>23</v>
      </c>
      <c r="AD204" s="2">
        <f>'SUECIA 7 &amp; 8'!AC20</f>
        <v>22</v>
      </c>
      <c r="AE204" s="2">
        <f>'SUECIA 7 &amp; 8'!AD20</f>
        <v>22</v>
      </c>
      <c r="AF204" s="2">
        <f>'SUECIA 7 &amp; 8'!AE20</f>
        <v>21</v>
      </c>
      <c r="AG204" s="2">
        <f>'SUECIA 7 &amp; 8'!AF20</f>
        <v>20</v>
      </c>
      <c r="AH204" s="2">
        <f>'SUECIA 7 &amp; 8'!AG20</f>
        <v>26</v>
      </c>
      <c r="AI204" s="2">
        <f>'SUECIA 7 &amp; 8'!AH20</f>
        <v>20</v>
      </c>
      <c r="AJ204" s="2">
        <f>'SUECIA 7 &amp; 8'!AI20</f>
        <v>18</v>
      </c>
      <c r="AK204" s="2">
        <f>'SUECIA 7 &amp; 8'!AJ20</f>
        <v>18</v>
      </c>
      <c r="AL204" s="2">
        <f>'SUECIA 7 &amp; 8'!AK20</f>
        <v>12</v>
      </c>
      <c r="AM204" s="2">
        <f>'SUECIA 7 &amp; 8'!AL20</f>
        <v>12</v>
      </c>
      <c r="AN204" s="2">
        <f>'SUECIA 7 &amp; 8'!AM20</f>
        <v>10</v>
      </c>
      <c r="AO204" s="2">
        <f>'SUECIA 7 &amp; 8'!AN20</f>
        <v>10</v>
      </c>
      <c r="AP204" s="2">
        <f>'SUECIA 7 &amp; 8'!AO20</f>
        <v>9</v>
      </c>
      <c r="AQ204" s="2">
        <f>'SUECIA 7 &amp; 8'!AP20</f>
        <v>7</v>
      </c>
      <c r="AR204" s="2">
        <f>'SUECIA 7 &amp; 8'!AQ20</f>
        <v>34</v>
      </c>
      <c r="AS204" s="2">
        <f>'SUECIA 7 &amp; 8'!AR20</f>
        <v>33</v>
      </c>
      <c r="AT204" s="2">
        <f>'SUECIA 7 &amp; 8'!AS20</f>
        <v>27</v>
      </c>
      <c r="AU204" s="2">
        <f>'SUECIA 7 &amp; 8'!AT20</f>
        <v>19</v>
      </c>
      <c r="AV204" s="2">
        <f>'SUECIA 7 &amp; 8'!AU20</f>
        <v>19</v>
      </c>
      <c r="AW204" s="2">
        <f>'SUECIA 7 &amp; 8'!AV20</f>
        <v>19</v>
      </c>
      <c r="AX204" s="2">
        <f>'SUECIA 7 &amp; 8'!AW20</f>
        <v>17</v>
      </c>
      <c r="AY204" s="2">
        <f>'SUECIA 7 &amp; 8'!AX20</f>
        <v>17</v>
      </c>
      <c r="AZ204" s="2">
        <f>'SUECIA 7 &amp; 8'!AY20</f>
        <v>16</v>
      </c>
      <c r="BA204" s="2">
        <f>'SUECIA 7 &amp; 8'!AZ20</f>
        <v>15</v>
      </c>
      <c r="BB204" s="2">
        <f>'SUECIA 7 &amp; 8'!BA20</f>
        <v>12</v>
      </c>
      <c r="BC204" s="2">
        <f>'SUECIA 7 &amp; 8'!BB20</f>
        <v>12</v>
      </c>
      <c r="BD204" s="2">
        <f>'SUECIA 7 &amp; 8'!BC20</f>
        <v>18</v>
      </c>
      <c r="BE204" s="2">
        <f>'SUECIA 7 &amp; 8'!BD20</f>
        <v>18</v>
      </c>
      <c r="BF204" s="2">
        <f>'SUECIA 7 &amp; 8'!BE20</f>
        <v>15</v>
      </c>
      <c r="BG204" s="2">
        <f>'SUECIA 7 &amp; 8'!BF20</f>
        <v>15</v>
      </c>
      <c r="BH204" s="2" t="str">
        <f>'SUECIA 7 &amp; 8'!BG20</f>
        <v/>
      </c>
      <c r="BI204" s="2" t="str">
        <f>'SUECIA 7 &amp; 8'!BH20</f>
        <v/>
      </c>
      <c r="BJ204" s="2" t="str">
        <f>'SUECIA 7 &amp; 8'!BI20</f>
        <v/>
      </c>
      <c r="BK204" s="2" t="str">
        <f>'SUECIA 7 &amp; 8'!BJ20</f>
        <v/>
      </c>
      <c r="BL204" s="2" t="str">
        <f>'SUECIA 7 &amp; 8'!BK20</f>
        <v/>
      </c>
      <c r="BM204" s="2" t="str">
        <f>'SUECIA 7 &amp; 8'!BL20</f>
        <v/>
      </c>
      <c r="BN204" s="2"/>
      <c r="BO204" s="2"/>
      <c r="BP204" s="2"/>
      <c r="BQ204" s="2"/>
      <c r="BR204" s="2"/>
      <c r="BS204" s="2"/>
      <c r="BT204" s="2"/>
      <c r="BU204" s="2"/>
      <c r="BV204" s="2"/>
      <c r="BW204" s="2"/>
    </row>
    <row r="205">
      <c r="A205" s="2" t="str">
        <f t="shared" si="185"/>
        <v>Resma Papel Fotocopia (UN)Suecia piso 8</v>
      </c>
      <c r="B205" s="2" t="str">
        <f>'SUECIA 7 &amp; 8'!A21</f>
        <v>Suecia piso 8</v>
      </c>
      <c r="C205" s="2" t="str">
        <f>'SUECIA 7 &amp; 8'!B21</f>
        <v>Cafeteria</v>
      </c>
      <c r="D205" s="2" t="str">
        <f>'SUECIA 7 &amp; 8'!C21</f>
        <v>Resma Papel Fotocopia (UN)</v>
      </c>
      <c r="E205" s="2">
        <f>'SUECIA 7 &amp; 8'!D21</f>
        <v>1</v>
      </c>
      <c r="F205" s="2">
        <f>'SUECIA 7 &amp; 8'!E21</f>
        <v>1</v>
      </c>
      <c r="G205" s="2">
        <f>'SUECIA 7 &amp; 8'!F21</f>
        <v>1</v>
      </c>
      <c r="H205" s="2">
        <f>'SUECIA 7 &amp; 8'!G21</f>
        <v>1</v>
      </c>
      <c r="I205" s="2">
        <f>'SUECIA 7 &amp; 8'!H21</f>
        <v>1</v>
      </c>
      <c r="J205" s="2" t="str">
        <f>'SUECIA 7 &amp; 8'!I21</f>
        <v>-</v>
      </c>
      <c r="K205" s="2" t="str">
        <f>'SUECIA 7 &amp; 8'!J21</f>
        <v>-</v>
      </c>
      <c r="L205" s="2">
        <f>'SUECIA 7 &amp; 8'!K21</f>
        <v>1</v>
      </c>
      <c r="M205" s="2">
        <f>'SUECIA 7 &amp; 8'!L21</f>
        <v>3</v>
      </c>
      <c r="N205" s="2">
        <f>'SUECIA 7 &amp; 8'!M21</f>
        <v>3</v>
      </c>
      <c r="O205" s="2">
        <f>'SUECIA 7 &amp; 8'!N21</f>
        <v>3</v>
      </c>
      <c r="P205" s="2">
        <f>'SUECIA 7 &amp; 8'!O21</f>
        <v>3</v>
      </c>
      <c r="Q205" s="2">
        <f>'SUECIA 7 &amp; 8'!P21</f>
        <v>3</v>
      </c>
      <c r="R205" s="2">
        <f>'SUECIA 7 &amp; 8'!Q21</f>
        <v>3</v>
      </c>
      <c r="S205" s="2">
        <f>'SUECIA 7 &amp; 8'!R21</f>
        <v>3</v>
      </c>
      <c r="T205" s="2">
        <f>'SUECIA 7 &amp; 8'!S21</f>
        <v>2</v>
      </c>
      <c r="U205" s="2">
        <f>'SUECIA 7 &amp; 8'!T21</f>
        <v>2</v>
      </c>
      <c r="V205" s="2">
        <f>'SUECIA 7 &amp; 8'!U21</f>
        <v>2</v>
      </c>
      <c r="W205" s="2">
        <f>'SUECIA 7 &amp; 8'!V21</f>
        <v>3</v>
      </c>
      <c r="X205" s="2">
        <f>'SUECIA 7 &amp; 8'!W21</f>
        <v>2</v>
      </c>
      <c r="Y205" s="2">
        <f>'SUECIA 7 &amp; 8'!X21</f>
        <v>1</v>
      </c>
      <c r="Z205" s="2">
        <f>'SUECIA 7 &amp; 8'!Y21</f>
        <v>2</v>
      </c>
      <c r="AA205" s="2">
        <f>'SUECIA 7 &amp; 8'!Z21</f>
        <v>2</v>
      </c>
      <c r="AB205" s="2">
        <f>'SUECIA 7 &amp; 8'!AA21</f>
        <v>2</v>
      </c>
      <c r="AC205" s="2">
        <f>'SUECIA 7 &amp; 8'!AB21</f>
        <v>2</v>
      </c>
      <c r="AD205" s="2">
        <f>'SUECIA 7 &amp; 8'!AC21</f>
        <v>2</v>
      </c>
      <c r="AE205" s="2">
        <f>'SUECIA 7 &amp; 8'!AD21</f>
        <v>2</v>
      </c>
      <c r="AF205" s="2">
        <f>'SUECIA 7 &amp; 8'!AE21</f>
        <v>2</v>
      </c>
      <c r="AG205" s="2">
        <f>'SUECIA 7 &amp; 8'!AF21</f>
        <v>1</v>
      </c>
      <c r="AH205" s="2">
        <f>'SUECIA 7 &amp; 8'!AG21</f>
        <v>0</v>
      </c>
      <c r="AI205" s="2">
        <f>'SUECIA 7 &amp; 8'!AH21</f>
        <v>0</v>
      </c>
      <c r="AJ205" s="2">
        <f>'SUECIA 7 &amp; 8'!AI21</f>
        <v>0</v>
      </c>
      <c r="AK205" s="2">
        <f>'SUECIA 7 &amp; 8'!AJ21</f>
        <v>0</v>
      </c>
      <c r="AL205" s="2">
        <f>'SUECIA 7 &amp; 8'!AK21</f>
        <v>0</v>
      </c>
      <c r="AM205" s="2">
        <f>'SUECIA 7 &amp; 8'!AL21</f>
        <v>0</v>
      </c>
      <c r="AN205" s="2">
        <f>'SUECIA 7 &amp; 8'!AM21</f>
        <v>0</v>
      </c>
      <c r="AO205" s="2">
        <f>'SUECIA 7 &amp; 8'!AN21</f>
        <v>0</v>
      </c>
      <c r="AP205" s="2">
        <f>'SUECIA 7 &amp; 8'!AO21</f>
        <v>0</v>
      </c>
      <c r="AQ205" s="2">
        <f>'SUECIA 7 &amp; 8'!AP21</f>
        <v>2</v>
      </c>
      <c r="AR205" s="2">
        <f>'SUECIA 7 &amp; 8'!AQ21</f>
        <v>2</v>
      </c>
      <c r="AS205" s="2">
        <f>'SUECIA 7 &amp; 8'!AR21</f>
        <v>1</v>
      </c>
      <c r="AT205" s="2">
        <f>'SUECIA 7 &amp; 8'!AS21</f>
        <v>0</v>
      </c>
      <c r="AU205" s="2">
        <f>'SUECIA 7 &amp; 8'!AT21</f>
        <v>0</v>
      </c>
      <c r="AV205" s="2">
        <f>'SUECIA 7 &amp; 8'!AU21</f>
        <v>0</v>
      </c>
      <c r="AW205" s="2">
        <f>'SUECIA 7 &amp; 8'!AV21</f>
        <v>0</v>
      </c>
      <c r="AX205" s="2">
        <f>'SUECIA 7 &amp; 8'!AW21</f>
        <v>1</v>
      </c>
      <c r="AY205" s="2">
        <f>'SUECIA 7 &amp; 8'!AX21</f>
        <v>1</v>
      </c>
      <c r="AZ205" s="2">
        <f>'SUECIA 7 &amp; 8'!AY21</f>
        <v>1</v>
      </c>
      <c r="BA205" s="2">
        <f>'SUECIA 7 &amp; 8'!AZ21</f>
        <v>1</v>
      </c>
      <c r="BB205" s="2">
        <f>'SUECIA 7 &amp; 8'!BA21</f>
        <v>1</v>
      </c>
      <c r="BC205" s="2">
        <f>'SUECIA 7 &amp; 8'!BB21</f>
        <v>1</v>
      </c>
      <c r="BD205" s="2">
        <f>'SUECIA 7 &amp; 8'!BC21</f>
        <v>6</v>
      </c>
      <c r="BE205" s="2">
        <f>'SUECIA 7 &amp; 8'!BD21</f>
        <v>6</v>
      </c>
      <c r="BF205" s="2">
        <f>'SUECIA 7 &amp; 8'!BE21</f>
        <v>5</v>
      </c>
      <c r="BG205" s="2">
        <f>'SUECIA 7 &amp; 8'!BF21</f>
        <v>5</v>
      </c>
      <c r="BH205" s="2" t="str">
        <f>'SUECIA 7 &amp; 8'!BG21</f>
        <v/>
      </c>
      <c r="BI205" s="2" t="str">
        <f>'SUECIA 7 &amp; 8'!BH21</f>
        <v/>
      </c>
      <c r="BJ205" s="2" t="str">
        <f>'SUECIA 7 &amp; 8'!BI21</f>
        <v/>
      </c>
      <c r="BK205" s="2" t="str">
        <f>'SUECIA 7 &amp; 8'!BJ21</f>
        <v/>
      </c>
      <c r="BL205" s="2" t="str">
        <f>'SUECIA 7 &amp; 8'!BK21</f>
        <v/>
      </c>
      <c r="BM205" s="2" t="str">
        <f>'SUECIA 7 &amp; 8'!BL21</f>
        <v/>
      </c>
      <c r="BN205" s="2"/>
      <c r="BO205" s="2"/>
      <c r="BP205" s="2"/>
      <c r="BQ205" s="2"/>
      <c r="BR205" s="2"/>
      <c r="BS205" s="2"/>
      <c r="BT205" s="2"/>
      <c r="BU205" s="2"/>
      <c r="BV205" s="2"/>
      <c r="BW205" s="2"/>
    </row>
    <row r="206">
      <c r="A206" s="2" t="str">
        <f t="shared" si="185"/>
        <v>Leche LiquidaSuecia piso 8</v>
      </c>
      <c r="B206" s="2" t="str">
        <f>'SUECIA 7 &amp; 8'!A22</f>
        <v>Suecia piso 8</v>
      </c>
      <c r="C206" s="2" t="str">
        <f>'SUECIA 7 &amp; 8'!B22</f>
        <v>Cafeteria</v>
      </c>
      <c r="D206" s="2" t="str">
        <f>'SUECIA 7 &amp; 8'!C22</f>
        <v>Leche Liquida</v>
      </c>
      <c r="E206" s="2" t="str">
        <f>'SUECIA 7 &amp; 8'!D22</f>
        <v/>
      </c>
      <c r="F206" s="2" t="str">
        <f>'SUECIA 7 &amp; 8'!E22</f>
        <v/>
      </c>
      <c r="G206" s="2" t="str">
        <f>'SUECIA 7 &amp; 8'!F22</f>
        <v/>
      </c>
      <c r="H206" s="2" t="str">
        <f>'SUECIA 7 &amp; 8'!G22</f>
        <v/>
      </c>
      <c r="I206" s="2" t="str">
        <f>'SUECIA 7 &amp; 8'!H22</f>
        <v/>
      </c>
      <c r="J206" s="2" t="str">
        <f>'SUECIA 7 &amp; 8'!I22</f>
        <v/>
      </c>
      <c r="K206" s="2" t="str">
        <f>'SUECIA 7 &amp; 8'!J22</f>
        <v/>
      </c>
      <c r="L206" s="2" t="str">
        <f>'SUECIA 7 &amp; 8'!K22</f>
        <v/>
      </c>
      <c r="M206" s="2" t="str">
        <f>'SUECIA 7 &amp; 8'!L22</f>
        <v/>
      </c>
      <c r="N206" s="2" t="str">
        <f>'SUECIA 7 &amp; 8'!M22</f>
        <v/>
      </c>
      <c r="O206" s="2" t="str">
        <f>'SUECIA 7 &amp; 8'!N22</f>
        <v/>
      </c>
      <c r="P206" s="2" t="str">
        <f>'SUECIA 7 &amp; 8'!O22</f>
        <v/>
      </c>
      <c r="Q206" s="2" t="str">
        <f>'SUECIA 7 &amp; 8'!P22</f>
        <v/>
      </c>
      <c r="R206" s="2" t="str">
        <f>'SUECIA 7 &amp; 8'!Q22</f>
        <v>-</v>
      </c>
      <c r="S206" s="2" t="str">
        <f>'SUECIA 7 &amp; 8'!R22</f>
        <v>-</v>
      </c>
      <c r="T206" s="2" t="str">
        <f>'SUECIA 7 &amp; 8'!S22</f>
        <v>-</v>
      </c>
      <c r="U206" s="2" t="str">
        <f>'SUECIA 7 &amp; 8'!T22</f>
        <v>-</v>
      </c>
      <c r="V206" s="2" t="str">
        <f>'SUECIA 7 &amp; 8'!U22</f>
        <v>-</v>
      </c>
      <c r="W206" s="2" t="str">
        <f>'SUECIA 7 &amp; 8'!V22</f>
        <v>-</v>
      </c>
      <c r="X206" s="2" t="str">
        <f>'SUECIA 7 &amp; 8'!W22</f>
        <v>-</v>
      </c>
      <c r="Y206" s="2" t="str">
        <f>'SUECIA 7 &amp; 8'!X22</f>
        <v>-</v>
      </c>
      <c r="Z206" s="2" t="str">
        <f>'SUECIA 7 &amp; 8'!Y22</f>
        <v>-</v>
      </c>
      <c r="AA206" s="2">
        <f>'SUECIA 7 &amp; 8'!Z22</f>
        <v>28</v>
      </c>
      <c r="AB206" s="2">
        <f>'SUECIA 7 &amp; 8'!AA22</f>
        <v>26</v>
      </c>
      <c r="AC206" s="2">
        <f>'SUECIA 7 &amp; 8'!AB22</f>
        <v>25</v>
      </c>
      <c r="AD206" s="2">
        <f>'SUECIA 7 &amp; 8'!AC22</f>
        <v>20</v>
      </c>
      <c r="AE206" s="2">
        <f>'SUECIA 7 &amp; 8'!AD22</f>
        <v>17</v>
      </c>
      <c r="AF206" s="2">
        <f>'SUECIA 7 &amp; 8'!AE22</f>
        <v>15</v>
      </c>
      <c r="AG206" s="2">
        <f>'SUECIA 7 &amp; 8'!AF22</f>
        <v>13</v>
      </c>
      <c r="AH206" s="2">
        <f>'SUECIA 7 &amp; 8'!AG22</f>
        <v>12</v>
      </c>
      <c r="AI206" s="2">
        <f>'SUECIA 7 &amp; 8'!AH22</f>
        <v>9</v>
      </c>
      <c r="AJ206" s="2">
        <f>'SUECIA 7 &amp; 8'!AI22</f>
        <v>5</v>
      </c>
      <c r="AK206" s="2">
        <f>'SUECIA 7 &amp; 8'!AJ22</f>
        <v>5</v>
      </c>
      <c r="AL206" s="2">
        <f>'SUECIA 7 &amp; 8'!AK22</f>
        <v>21</v>
      </c>
      <c r="AM206" s="2">
        <f>'SUECIA 7 &amp; 8'!AL22</f>
        <v>19</v>
      </c>
      <c r="AN206" s="2">
        <f>'SUECIA 7 &amp; 8'!AM22</f>
        <v>16</v>
      </c>
      <c r="AO206" s="2">
        <f>'SUECIA 7 &amp; 8'!AN22</f>
        <v>14</v>
      </c>
      <c r="AP206" s="2">
        <f>'SUECIA 7 &amp; 8'!AO22</f>
        <v>12</v>
      </c>
      <c r="AQ206" s="2">
        <f>'SUECIA 7 &amp; 8'!AP22</f>
        <v>10</v>
      </c>
      <c r="AR206" s="2">
        <f>'SUECIA 7 &amp; 8'!AQ22</f>
        <v>22</v>
      </c>
      <c r="AS206" s="2">
        <f>'SUECIA 7 &amp; 8'!AR22</f>
        <v>22</v>
      </c>
      <c r="AT206" s="2">
        <f>'SUECIA 7 &amp; 8'!AS22</f>
        <v>10</v>
      </c>
      <c r="AU206" s="2">
        <f>'SUECIA 7 &amp; 8'!AT22</f>
        <v>25</v>
      </c>
      <c r="AV206" s="2">
        <f>'SUECIA 7 &amp; 8'!AU22</f>
        <v>22</v>
      </c>
      <c r="AW206" s="2">
        <f>'SUECIA 7 &amp; 8'!AV22</f>
        <v>20</v>
      </c>
      <c r="AX206" s="2">
        <f>'SUECIA 7 &amp; 8'!AW22</f>
        <v>22</v>
      </c>
      <c r="AY206" s="2">
        <f>'SUECIA 7 &amp; 8'!AX22</f>
        <v>20</v>
      </c>
      <c r="AZ206" s="2">
        <f>'SUECIA 7 &amp; 8'!AY22</f>
        <v>17</v>
      </c>
      <c r="BA206" s="2">
        <f>'SUECIA 7 &amp; 8'!AZ22</f>
        <v>15</v>
      </c>
      <c r="BB206" s="2">
        <f>'SUECIA 7 &amp; 8'!BA22</f>
        <v>15</v>
      </c>
      <c r="BC206" s="2">
        <f>'SUECIA 7 &amp; 8'!BB22</f>
        <v>14</v>
      </c>
      <c r="BD206" s="2">
        <f>'SUECIA 7 &amp; 8'!BC22</f>
        <v>35</v>
      </c>
      <c r="BE206" s="2">
        <f>'SUECIA 7 &amp; 8'!BD22</f>
        <v>33</v>
      </c>
      <c r="BF206" s="2">
        <f>'SUECIA 7 &amp; 8'!BE22</f>
        <v>23</v>
      </c>
      <c r="BG206" s="2">
        <f>'SUECIA 7 &amp; 8'!BF22</f>
        <v>23</v>
      </c>
      <c r="BH206" s="2" t="str">
        <f>'SUECIA 7 &amp; 8'!BG22</f>
        <v/>
      </c>
      <c r="BI206" s="2" t="str">
        <f>'SUECIA 7 &amp; 8'!BH22</f>
        <v/>
      </c>
      <c r="BJ206" s="2" t="str">
        <f>'SUECIA 7 &amp; 8'!BI22</f>
        <v/>
      </c>
      <c r="BK206" s="2" t="str">
        <f>'SUECIA 7 &amp; 8'!BJ22</f>
        <v/>
      </c>
      <c r="BL206" s="2" t="str">
        <f>'SUECIA 7 &amp; 8'!BK22</f>
        <v/>
      </c>
      <c r="BM206" s="2" t="str">
        <f>'SUECIA 7 &amp; 8'!BL22</f>
        <v/>
      </c>
      <c r="BN206" s="2"/>
      <c r="BO206" s="2"/>
      <c r="BP206" s="2"/>
      <c r="BQ206" s="2"/>
      <c r="BR206" s="2"/>
      <c r="BS206" s="2"/>
      <c r="BT206" s="2"/>
      <c r="BU206" s="2"/>
      <c r="BV206" s="2"/>
      <c r="BW206" s="2"/>
    </row>
    <row r="207">
      <c r="A207" s="2" t="str">
        <f t="shared" si="185"/>
        <v>Cafe GranuladoSuecia piso 8</v>
      </c>
      <c r="B207" s="2" t="str">
        <f>'SUECIA 7 &amp; 8'!A23</f>
        <v>Suecia piso 8</v>
      </c>
      <c r="C207" s="2" t="str">
        <f>'SUECIA 7 &amp; 8'!B23</f>
        <v>Cafeteria</v>
      </c>
      <c r="D207" s="2" t="str">
        <f>'SUECIA 7 &amp; 8'!C23</f>
        <v>Cafe Granulado</v>
      </c>
      <c r="E207" s="2" t="str">
        <f>'SUECIA 7 &amp; 8'!D23</f>
        <v/>
      </c>
      <c r="F207" s="2" t="str">
        <f>'SUECIA 7 &amp; 8'!E23</f>
        <v/>
      </c>
      <c r="G207" s="2" t="str">
        <f>'SUECIA 7 &amp; 8'!F23</f>
        <v/>
      </c>
      <c r="H207" s="2" t="str">
        <f>'SUECIA 7 &amp; 8'!G23</f>
        <v/>
      </c>
      <c r="I207" s="2" t="str">
        <f>'SUECIA 7 &amp; 8'!H23</f>
        <v/>
      </c>
      <c r="J207" s="2" t="str">
        <f>'SUECIA 7 &amp; 8'!I23</f>
        <v/>
      </c>
      <c r="K207" s="2" t="str">
        <f>'SUECIA 7 &amp; 8'!J23</f>
        <v/>
      </c>
      <c r="L207" s="2" t="str">
        <f>'SUECIA 7 &amp; 8'!K23</f>
        <v/>
      </c>
      <c r="M207" s="2" t="str">
        <f>'SUECIA 7 &amp; 8'!L23</f>
        <v/>
      </c>
      <c r="N207" s="2" t="str">
        <f>'SUECIA 7 &amp; 8'!M23</f>
        <v/>
      </c>
      <c r="O207" s="2" t="str">
        <f>'SUECIA 7 &amp; 8'!N23</f>
        <v/>
      </c>
      <c r="P207" s="2" t="str">
        <f>'SUECIA 7 &amp; 8'!O23</f>
        <v/>
      </c>
      <c r="Q207" s="2" t="str">
        <f>'SUECIA 7 &amp; 8'!P23</f>
        <v/>
      </c>
      <c r="R207" s="2" t="str">
        <f>'SUECIA 7 &amp; 8'!Q23</f>
        <v/>
      </c>
      <c r="S207" s="2" t="str">
        <f>'SUECIA 7 &amp; 8'!R23</f>
        <v/>
      </c>
      <c r="T207" s="2" t="str">
        <f>'SUECIA 7 &amp; 8'!S23</f>
        <v/>
      </c>
      <c r="U207" s="2" t="str">
        <f>'SUECIA 7 &amp; 8'!T23</f>
        <v/>
      </c>
      <c r="V207" s="2" t="str">
        <f>'SUECIA 7 &amp; 8'!U23</f>
        <v/>
      </c>
      <c r="W207" s="2" t="str">
        <f>'SUECIA 7 &amp; 8'!V23</f>
        <v/>
      </c>
      <c r="X207" s="2" t="str">
        <f>'SUECIA 7 &amp; 8'!W23</f>
        <v/>
      </c>
      <c r="Y207" s="2" t="str">
        <f>'SUECIA 7 &amp; 8'!X23</f>
        <v/>
      </c>
      <c r="Z207" s="2" t="str">
        <f>'SUECIA 7 &amp; 8'!Y23</f>
        <v/>
      </c>
      <c r="AA207" s="2" t="str">
        <f>'SUECIA 7 &amp; 8'!Z23</f>
        <v/>
      </c>
      <c r="AB207" s="2" t="str">
        <f>'SUECIA 7 &amp; 8'!AA23</f>
        <v/>
      </c>
      <c r="AC207" s="2" t="str">
        <f>'SUECIA 7 &amp; 8'!AB23</f>
        <v/>
      </c>
      <c r="AD207" s="2" t="str">
        <f>'SUECIA 7 &amp; 8'!AC23</f>
        <v/>
      </c>
      <c r="AE207" s="2" t="str">
        <f>'SUECIA 7 &amp; 8'!AD23</f>
        <v/>
      </c>
      <c r="AF207" s="2" t="str">
        <f>'SUECIA 7 &amp; 8'!AE23</f>
        <v/>
      </c>
      <c r="AG207" s="2" t="str">
        <f>'SUECIA 7 &amp; 8'!AF23</f>
        <v/>
      </c>
      <c r="AH207" s="2" t="str">
        <f>'SUECIA 7 &amp; 8'!AG23</f>
        <v/>
      </c>
      <c r="AI207" s="2" t="str">
        <f>'SUECIA 7 &amp; 8'!AH23</f>
        <v/>
      </c>
      <c r="AJ207" s="2" t="str">
        <f>'SUECIA 7 &amp; 8'!AI23</f>
        <v/>
      </c>
      <c r="AK207" s="2" t="str">
        <f>'SUECIA 7 &amp; 8'!AJ23</f>
        <v/>
      </c>
      <c r="AL207" s="2" t="str">
        <f>'SUECIA 7 &amp; 8'!AK23</f>
        <v/>
      </c>
      <c r="AM207" s="2" t="str">
        <f>'SUECIA 7 &amp; 8'!AL23</f>
        <v/>
      </c>
      <c r="AN207" s="2" t="str">
        <f>'SUECIA 7 &amp; 8'!AM23</f>
        <v/>
      </c>
      <c r="AO207" s="2" t="str">
        <f>'SUECIA 7 &amp; 8'!AN23</f>
        <v/>
      </c>
      <c r="AP207" s="2" t="str">
        <f>'SUECIA 7 &amp; 8'!AO23</f>
        <v/>
      </c>
      <c r="AQ207" s="2" t="str">
        <f>'SUECIA 7 &amp; 8'!AP23</f>
        <v/>
      </c>
      <c r="AR207" s="2" t="str">
        <f>'SUECIA 7 &amp; 8'!AQ23</f>
        <v/>
      </c>
      <c r="AS207" s="2" t="str">
        <f>'SUECIA 7 &amp; 8'!AR23</f>
        <v/>
      </c>
      <c r="AT207" s="2" t="str">
        <f>'SUECIA 7 &amp; 8'!AS23</f>
        <v/>
      </c>
      <c r="AU207" s="2" t="str">
        <f>'SUECIA 7 &amp; 8'!AT23</f>
        <v/>
      </c>
      <c r="AV207" s="2" t="str">
        <f>'SUECIA 7 &amp; 8'!AU23</f>
        <v/>
      </c>
      <c r="AW207" s="2" t="str">
        <f>'SUECIA 7 &amp; 8'!AV23</f>
        <v/>
      </c>
      <c r="AX207" s="2" t="str">
        <f>'SUECIA 7 &amp; 8'!AW23</f>
        <v/>
      </c>
      <c r="AY207" s="2" t="str">
        <f>'SUECIA 7 &amp; 8'!AX23</f>
        <v/>
      </c>
      <c r="AZ207" s="2" t="str">
        <f>'SUECIA 7 &amp; 8'!AY23</f>
        <v/>
      </c>
      <c r="BA207" s="2" t="str">
        <f>'SUECIA 7 &amp; 8'!AZ23</f>
        <v/>
      </c>
      <c r="BB207" s="2" t="str">
        <f>'SUECIA 7 &amp; 8'!BA23</f>
        <v/>
      </c>
      <c r="BC207" s="2" t="str">
        <f>'SUECIA 7 &amp; 8'!BB23</f>
        <v/>
      </c>
      <c r="BD207" s="2">
        <f>'SUECIA 7 &amp; 8'!BC23</f>
        <v>4</v>
      </c>
      <c r="BE207" s="2">
        <f>'SUECIA 7 &amp; 8'!BD23</f>
        <v>4</v>
      </c>
      <c r="BF207" s="2">
        <f>'SUECIA 7 &amp; 8'!BE23</f>
        <v>4</v>
      </c>
      <c r="BG207" s="2">
        <f>'SUECIA 7 &amp; 8'!BF23</f>
        <v>4</v>
      </c>
      <c r="BH207" s="2" t="str">
        <f>'SUECIA 7 &amp; 8'!BG23</f>
        <v/>
      </c>
      <c r="BI207" s="2" t="str">
        <f>'SUECIA 7 &amp; 8'!BH23</f>
        <v/>
      </c>
      <c r="BJ207" s="2" t="str">
        <f>'SUECIA 7 &amp; 8'!BI23</f>
        <v/>
      </c>
      <c r="BK207" s="2" t="str">
        <f>'SUECIA 7 &amp; 8'!BJ23</f>
        <v/>
      </c>
      <c r="BL207" s="2" t="str">
        <f>'SUECIA 7 &amp; 8'!BK23</f>
        <v/>
      </c>
      <c r="BM207" s="2" t="str">
        <f>'SUECIA 7 &amp; 8'!BL23</f>
        <v/>
      </c>
      <c r="BN207" s="2"/>
      <c r="BO207" s="2"/>
      <c r="BP207" s="2"/>
      <c r="BQ207" s="2"/>
      <c r="BR207" s="2"/>
      <c r="BS207" s="2"/>
      <c r="BT207" s="2"/>
      <c r="BU207" s="2"/>
      <c r="BV207" s="2"/>
      <c r="BW207" s="2"/>
    </row>
    <row r="208">
      <c r="A208" s="2" t="str">
        <f t="shared" si="185"/>
        <v>EndulzanteSuecia piso 8</v>
      </c>
      <c r="B208" s="2" t="str">
        <f>'SUECIA 7 &amp; 8'!A24</f>
        <v>Suecia piso 8</v>
      </c>
      <c r="C208" s="2" t="str">
        <f>'SUECIA 7 &amp; 8'!B24</f>
        <v>Cafeteria</v>
      </c>
      <c r="D208" s="2" t="str">
        <f>'SUECIA 7 &amp; 8'!C24</f>
        <v>Endulzante</v>
      </c>
      <c r="E208" s="2" t="str">
        <f>'SUECIA 7 &amp; 8'!D24</f>
        <v/>
      </c>
      <c r="F208" s="2" t="str">
        <f>'SUECIA 7 &amp; 8'!E24</f>
        <v/>
      </c>
      <c r="G208" s="2" t="str">
        <f>'SUECIA 7 &amp; 8'!F24</f>
        <v/>
      </c>
      <c r="H208" s="2" t="str">
        <f>'SUECIA 7 &amp; 8'!G24</f>
        <v/>
      </c>
      <c r="I208" s="2" t="str">
        <f>'SUECIA 7 &amp; 8'!H24</f>
        <v/>
      </c>
      <c r="J208" s="2" t="str">
        <f>'SUECIA 7 &amp; 8'!I24</f>
        <v/>
      </c>
      <c r="K208" s="2" t="str">
        <f>'SUECIA 7 &amp; 8'!J24</f>
        <v/>
      </c>
      <c r="L208" s="2" t="str">
        <f>'SUECIA 7 &amp; 8'!K24</f>
        <v/>
      </c>
      <c r="M208" s="2" t="str">
        <f>'SUECIA 7 &amp; 8'!L24</f>
        <v/>
      </c>
      <c r="N208" s="2" t="str">
        <f>'SUECIA 7 &amp; 8'!M24</f>
        <v/>
      </c>
      <c r="O208" s="2" t="str">
        <f>'SUECIA 7 &amp; 8'!N24</f>
        <v/>
      </c>
      <c r="P208" s="2" t="str">
        <f>'SUECIA 7 &amp; 8'!O24</f>
        <v/>
      </c>
      <c r="Q208" s="2" t="str">
        <f>'SUECIA 7 &amp; 8'!P24</f>
        <v/>
      </c>
      <c r="R208" s="2" t="str">
        <f>'SUECIA 7 &amp; 8'!Q24</f>
        <v>-</v>
      </c>
      <c r="S208" s="2" t="str">
        <f>'SUECIA 7 &amp; 8'!R24</f>
        <v>-</v>
      </c>
      <c r="T208" s="2" t="str">
        <f>'SUECIA 7 &amp; 8'!S24</f>
        <v>-</v>
      </c>
      <c r="U208" s="2" t="str">
        <f>'SUECIA 7 &amp; 8'!T24</f>
        <v>-</v>
      </c>
      <c r="V208" s="2" t="str">
        <f>'SUECIA 7 &amp; 8'!U24</f>
        <v>-</v>
      </c>
      <c r="W208" s="2" t="str">
        <f>'SUECIA 7 &amp; 8'!V24</f>
        <v>-</v>
      </c>
      <c r="X208" s="2" t="str">
        <f>'SUECIA 7 &amp; 8'!W24</f>
        <v>-</v>
      </c>
      <c r="Y208" s="2" t="str">
        <f>'SUECIA 7 &amp; 8'!X24</f>
        <v>-</v>
      </c>
      <c r="Z208" s="2" t="str">
        <f>'SUECIA 7 &amp; 8'!Y24</f>
        <v>-</v>
      </c>
      <c r="AA208" s="2">
        <f>'SUECIA 7 &amp; 8'!Z24</f>
        <v>6</v>
      </c>
      <c r="AB208" s="2">
        <f>'SUECIA 7 &amp; 8'!AA24</f>
        <v>6</v>
      </c>
      <c r="AC208" s="2">
        <f>'SUECIA 7 &amp; 8'!AB24</f>
        <v>6</v>
      </c>
      <c r="AD208" s="2">
        <f>'SUECIA 7 &amp; 8'!AC24</f>
        <v>6</v>
      </c>
      <c r="AE208" s="2">
        <f>'SUECIA 7 &amp; 8'!AD24</f>
        <v>6</v>
      </c>
      <c r="AF208" s="2">
        <f>'SUECIA 7 &amp; 8'!AE24</f>
        <v>6</v>
      </c>
      <c r="AG208" s="2">
        <f>'SUECIA 7 &amp; 8'!AF24</f>
        <v>5</v>
      </c>
      <c r="AH208" s="2">
        <f>'SUECIA 7 &amp; 8'!AG24</f>
        <v>5</v>
      </c>
      <c r="AI208" s="2">
        <f>'SUECIA 7 &amp; 8'!AH24</f>
        <v>5</v>
      </c>
      <c r="AJ208" s="2">
        <f>'SUECIA 7 &amp; 8'!AI24</f>
        <v>4</v>
      </c>
      <c r="AK208" s="2">
        <f>'SUECIA 7 &amp; 8'!AJ24</f>
        <v>4</v>
      </c>
      <c r="AL208" s="2">
        <f>'SUECIA 7 &amp; 8'!AK24</f>
        <v>7</v>
      </c>
      <c r="AM208" s="2">
        <f>'SUECIA 7 &amp; 8'!AL24</f>
        <v>7</v>
      </c>
      <c r="AN208" s="2">
        <f>'SUECIA 7 &amp; 8'!AM24</f>
        <v>7</v>
      </c>
      <c r="AO208" s="2">
        <f>'SUECIA 7 &amp; 8'!AN24</f>
        <v>6</v>
      </c>
      <c r="AP208" s="2">
        <f>'SUECIA 7 &amp; 8'!AO24</f>
        <v>6</v>
      </c>
      <c r="AQ208" s="2">
        <f>'SUECIA 7 &amp; 8'!AP24</f>
        <v>6</v>
      </c>
      <c r="AR208" s="2">
        <f>'SUECIA 7 &amp; 8'!AQ24</f>
        <v>6</v>
      </c>
      <c r="AS208" s="2">
        <f>'SUECIA 7 &amp; 8'!AR24</f>
        <v>6</v>
      </c>
      <c r="AT208" s="2">
        <f>'SUECIA 7 &amp; 8'!AS24</f>
        <v>5</v>
      </c>
      <c r="AU208" s="2">
        <f>'SUECIA 7 &amp; 8'!AT24</f>
        <v>5</v>
      </c>
      <c r="AV208" s="2">
        <f>'SUECIA 7 &amp; 8'!AU24</f>
        <v>5</v>
      </c>
      <c r="AW208" s="2">
        <f>'SUECIA 7 &amp; 8'!AV24</f>
        <v>5</v>
      </c>
      <c r="AX208" s="2">
        <f>'SUECIA 7 &amp; 8'!AW24</f>
        <v>5</v>
      </c>
      <c r="AY208" s="2">
        <f>'SUECIA 7 &amp; 8'!AX24</f>
        <v>5</v>
      </c>
      <c r="AZ208" s="2">
        <f>'SUECIA 7 &amp; 8'!AY24</f>
        <v>5</v>
      </c>
      <c r="BA208" s="2">
        <f>'SUECIA 7 &amp; 8'!AZ24</f>
        <v>5</v>
      </c>
      <c r="BB208" s="2">
        <f>'SUECIA 7 &amp; 8'!BA24</f>
        <v>5</v>
      </c>
      <c r="BC208" s="2">
        <f>'SUECIA 7 &amp; 8'!BB24</f>
        <v>4</v>
      </c>
      <c r="BD208" s="2">
        <f>'SUECIA 7 &amp; 8'!BC24</f>
        <v>4</v>
      </c>
      <c r="BE208" s="2">
        <f>'SUECIA 7 &amp; 8'!BD24</f>
        <v>4</v>
      </c>
      <c r="BF208" s="2">
        <f>'SUECIA 7 &amp; 8'!BE24</f>
        <v>3</v>
      </c>
      <c r="BG208" s="2">
        <f>'SUECIA 7 &amp; 8'!BF24</f>
        <v>3</v>
      </c>
      <c r="BH208" s="2" t="str">
        <f>'SUECIA 7 &amp; 8'!BG24</f>
        <v/>
      </c>
      <c r="BI208" s="2" t="str">
        <f>'SUECIA 7 &amp; 8'!BH24</f>
        <v/>
      </c>
      <c r="BJ208" s="2" t="str">
        <f>'SUECIA 7 &amp; 8'!BI24</f>
        <v/>
      </c>
      <c r="BK208" s="2" t="str">
        <f>'SUECIA 7 &amp; 8'!BJ24</f>
        <v/>
      </c>
      <c r="BL208" s="2" t="str">
        <f>'SUECIA 7 &amp; 8'!BK24</f>
        <v/>
      </c>
      <c r="BM208" s="2" t="str">
        <f>'SUECIA 7 &amp; 8'!BL24</f>
        <v/>
      </c>
      <c r="BN208" s="2"/>
      <c r="BO208" s="2"/>
      <c r="BP208" s="2"/>
      <c r="BQ208" s="2"/>
      <c r="BR208" s="2"/>
      <c r="BS208" s="2"/>
      <c r="BT208" s="2"/>
      <c r="BU208" s="2"/>
      <c r="BV208" s="2"/>
      <c r="BW208" s="2"/>
    </row>
    <row r="209">
      <c r="A209" s="2" t="str">
        <f t="shared" si="185"/>
        <v>Cloro GelSuecia piso 8</v>
      </c>
      <c r="B209" s="2" t="str">
        <f>'SUECIA 7 &amp; 8'!A25</f>
        <v>Suecia piso 8</v>
      </c>
      <c r="C209" s="2" t="str">
        <f>'SUECIA 7 &amp; 8'!B25</f>
        <v>Aseo</v>
      </c>
      <c r="D209" s="2" t="str">
        <f>'SUECIA 7 &amp; 8'!C25</f>
        <v>Cloro Gel</v>
      </c>
      <c r="E209" s="2" t="str">
        <f>'SUECIA 7 &amp; 8'!D25</f>
        <v/>
      </c>
      <c r="F209" s="2" t="str">
        <f>'SUECIA 7 &amp; 8'!E25</f>
        <v/>
      </c>
      <c r="G209" s="2" t="str">
        <f>'SUECIA 7 &amp; 8'!F25</f>
        <v/>
      </c>
      <c r="H209" s="2" t="str">
        <f>'SUECIA 7 &amp; 8'!G25</f>
        <v/>
      </c>
      <c r="I209" s="2" t="str">
        <f>'SUECIA 7 &amp; 8'!H25</f>
        <v/>
      </c>
      <c r="J209" s="2" t="str">
        <f>'SUECIA 7 &amp; 8'!I25</f>
        <v/>
      </c>
      <c r="K209" s="2" t="str">
        <f>'SUECIA 7 &amp; 8'!J25</f>
        <v/>
      </c>
      <c r="L209" s="2" t="str">
        <f>'SUECIA 7 &amp; 8'!K25</f>
        <v/>
      </c>
      <c r="M209" s="2" t="str">
        <f>'SUECIA 7 &amp; 8'!L25</f>
        <v/>
      </c>
      <c r="N209" s="2" t="str">
        <f>'SUECIA 7 &amp; 8'!M25</f>
        <v/>
      </c>
      <c r="O209" s="2" t="str">
        <f>'SUECIA 7 &amp; 8'!N25</f>
        <v/>
      </c>
      <c r="P209" s="2" t="str">
        <f>'SUECIA 7 &amp; 8'!O25</f>
        <v/>
      </c>
      <c r="Q209" s="2" t="str">
        <f>'SUECIA 7 &amp; 8'!P25</f>
        <v/>
      </c>
      <c r="R209" s="2" t="str">
        <f>'SUECIA 7 &amp; 8'!Q25</f>
        <v/>
      </c>
      <c r="S209" s="2" t="str">
        <f>'SUECIA 7 &amp; 8'!R25</f>
        <v/>
      </c>
      <c r="T209" s="2" t="str">
        <f>'SUECIA 7 &amp; 8'!S25</f>
        <v/>
      </c>
      <c r="U209" s="2" t="str">
        <f>'SUECIA 7 &amp; 8'!T25</f>
        <v/>
      </c>
      <c r="V209" s="2" t="str">
        <f>'SUECIA 7 &amp; 8'!U25</f>
        <v>-</v>
      </c>
      <c r="W209" s="2" t="str">
        <f>'SUECIA 7 &amp; 8'!V25</f>
        <v>-</v>
      </c>
      <c r="X209" s="2" t="str">
        <f>'SUECIA 7 &amp; 8'!W25</f>
        <v>-</v>
      </c>
      <c r="Y209" s="2" t="str">
        <f>'SUECIA 7 &amp; 8'!X25</f>
        <v>-</v>
      </c>
      <c r="Z209" s="2" t="str">
        <f>'SUECIA 7 &amp; 8'!Y25</f>
        <v>-</v>
      </c>
      <c r="AA209" s="2" t="str">
        <f>'SUECIA 7 &amp; 8'!Z25</f>
        <v>-</v>
      </c>
      <c r="AB209" s="2" t="str">
        <f>'SUECIA 7 &amp; 8'!AA25</f>
        <v>-</v>
      </c>
      <c r="AC209" s="2" t="str">
        <f>'SUECIA 7 &amp; 8'!AB25</f>
        <v>-</v>
      </c>
      <c r="AD209" s="2">
        <f>'SUECIA 7 &amp; 8'!AC25</f>
        <v>2</v>
      </c>
      <c r="AE209" s="2">
        <f>'SUECIA 7 &amp; 8'!AD25</f>
        <v>2</v>
      </c>
      <c r="AF209" s="2">
        <f>'SUECIA 7 &amp; 8'!AE25</f>
        <v>2</v>
      </c>
      <c r="AG209" s="2">
        <f>'SUECIA 7 &amp; 8'!AF25</f>
        <v>2</v>
      </c>
      <c r="AH209" s="2">
        <f>'SUECIA 7 &amp; 8'!AG25</f>
        <v>3</v>
      </c>
      <c r="AI209" s="2">
        <f>'SUECIA 7 &amp; 8'!AH25</f>
        <v>3</v>
      </c>
      <c r="AJ209" s="2">
        <f>'SUECIA 7 &amp; 8'!AI25</f>
        <v>3</v>
      </c>
      <c r="AK209" s="2">
        <f>'SUECIA 7 &amp; 8'!AJ25</f>
        <v>3</v>
      </c>
      <c r="AL209" s="2">
        <f>'SUECIA 7 &amp; 8'!AK25</f>
        <v>3</v>
      </c>
      <c r="AM209" s="2">
        <f>'SUECIA 7 &amp; 8'!AL25</f>
        <v>3</v>
      </c>
      <c r="AN209" s="2">
        <f>'SUECIA 7 &amp; 8'!AM25</f>
        <v>3</v>
      </c>
      <c r="AO209" s="2">
        <f>'SUECIA 7 &amp; 8'!AN25</f>
        <v>3</v>
      </c>
      <c r="AP209" s="2">
        <f>'SUECIA 7 &amp; 8'!AO25</f>
        <v>2</v>
      </c>
      <c r="AQ209" s="2">
        <f>'SUECIA 7 &amp; 8'!AP25</f>
        <v>2</v>
      </c>
      <c r="AR209" s="2">
        <f>'SUECIA 7 &amp; 8'!AQ25</f>
        <v>3</v>
      </c>
      <c r="AS209" s="2">
        <f>'SUECIA 7 &amp; 8'!AR25</f>
        <v>3</v>
      </c>
      <c r="AT209" s="2">
        <f>'SUECIA 7 &amp; 8'!AS25</f>
        <v>3</v>
      </c>
      <c r="AU209" s="2">
        <f>'SUECIA 7 &amp; 8'!AT25</f>
        <v>3</v>
      </c>
      <c r="AV209" s="2">
        <f>'SUECIA 7 &amp; 8'!AU25</f>
        <v>3</v>
      </c>
      <c r="AW209" s="2">
        <f>'SUECIA 7 &amp; 8'!AV25</f>
        <v>3</v>
      </c>
      <c r="AX209" s="2">
        <f>'SUECIA 7 &amp; 8'!AW25</f>
        <v>3</v>
      </c>
      <c r="AY209" s="2">
        <f>'SUECIA 7 &amp; 8'!AX25</f>
        <v>3</v>
      </c>
      <c r="AZ209" s="2">
        <f>'SUECIA 7 &amp; 8'!AY25</f>
        <v>3</v>
      </c>
      <c r="BA209" s="2">
        <f>'SUECIA 7 &amp; 8'!AZ25</f>
        <v>3</v>
      </c>
      <c r="BB209" s="2">
        <f>'SUECIA 7 &amp; 8'!BA25</f>
        <v>3</v>
      </c>
      <c r="BC209" s="2">
        <f>'SUECIA 7 &amp; 8'!BB25</f>
        <v>3</v>
      </c>
      <c r="BD209" s="2">
        <f>'SUECIA 7 &amp; 8'!BC25</f>
        <v>2</v>
      </c>
      <c r="BE209" s="2">
        <f>'SUECIA 7 &amp; 8'!BD25</f>
        <v>2</v>
      </c>
      <c r="BF209" s="2">
        <f>'SUECIA 7 &amp; 8'!BE25</f>
        <v>2</v>
      </c>
      <c r="BG209" s="2">
        <f>'SUECIA 7 &amp; 8'!BF25</f>
        <v>2</v>
      </c>
      <c r="BH209" s="2" t="str">
        <f>'SUECIA 7 &amp; 8'!BG25</f>
        <v/>
      </c>
      <c r="BI209" s="2" t="str">
        <f>'SUECIA 7 &amp; 8'!BH25</f>
        <v/>
      </c>
      <c r="BJ209" s="2" t="str">
        <f>'SUECIA 7 &amp; 8'!BI25</f>
        <v/>
      </c>
      <c r="BK209" s="2" t="str">
        <f>'SUECIA 7 &amp; 8'!BJ25</f>
        <v/>
      </c>
      <c r="BL209" s="2" t="str">
        <f>'SUECIA 7 &amp; 8'!BK25</f>
        <v/>
      </c>
      <c r="BM209" s="2" t="str">
        <f>'SUECIA 7 &amp; 8'!BL25</f>
        <v/>
      </c>
      <c r="BN209" s="2"/>
      <c r="BO209" s="2"/>
      <c r="BP209" s="2"/>
      <c r="BQ209" s="2"/>
      <c r="BR209" s="2"/>
      <c r="BS209" s="2"/>
      <c r="BT209" s="2"/>
      <c r="BU209" s="2"/>
      <c r="BV209" s="2"/>
      <c r="BW209" s="2"/>
    </row>
    <row r="210">
      <c r="A210" s="2" t="str">
        <f t="shared" si="185"/>
        <v>Limpia PisoSuecia piso 8</v>
      </c>
      <c r="B210" s="2" t="str">
        <f>'SUECIA 7 &amp; 8'!A26</f>
        <v>Suecia piso 8</v>
      </c>
      <c r="C210" s="2" t="str">
        <f>'SUECIA 7 &amp; 8'!B26</f>
        <v>Aseo</v>
      </c>
      <c r="D210" s="2" t="str">
        <f>'SUECIA 7 &amp; 8'!C26</f>
        <v>Limpia Piso</v>
      </c>
      <c r="E210" s="2" t="str">
        <f>'SUECIA 7 &amp; 8'!D26</f>
        <v/>
      </c>
      <c r="F210" s="2" t="str">
        <f>'SUECIA 7 &amp; 8'!E26</f>
        <v/>
      </c>
      <c r="G210" s="2" t="str">
        <f>'SUECIA 7 &amp; 8'!F26</f>
        <v/>
      </c>
      <c r="H210" s="2" t="str">
        <f>'SUECIA 7 &amp; 8'!G26</f>
        <v/>
      </c>
      <c r="I210" s="2" t="str">
        <f>'SUECIA 7 &amp; 8'!H26</f>
        <v/>
      </c>
      <c r="J210" s="2" t="str">
        <f>'SUECIA 7 &amp; 8'!I26</f>
        <v/>
      </c>
      <c r="K210" s="2" t="str">
        <f>'SUECIA 7 &amp; 8'!J26</f>
        <v/>
      </c>
      <c r="L210" s="2" t="str">
        <f>'SUECIA 7 &amp; 8'!K26</f>
        <v/>
      </c>
      <c r="M210" s="2" t="str">
        <f>'SUECIA 7 &amp; 8'!L26</f>
        <v/>
      </c>
      <c r="N210" s="2" t="str">
        <f>'SUECIA 7 &amp; 8'!M26</f>
        <v/>
      </c>
      <c r="O210" s="2" t="str">
        <f>'SUECIA 7 &amp; 8'!N26</f>
        <v/>
      </c>
      <c r="P210" s="2" t="str">
        <f>'SUECIA 7 &amp; 8'!O26</f>
        <v/>
      </c>
      <c r="Q210" s="2" t="str">
        <f>'SUECIA 7 &amp; 8'!P26</f>
        <v/>
      </c>
      <c r="R210" s="2" t="str">
        <f>'SUECIA 7 &amp; 8'!Q26</f>
        <v/>
      </c>
      <c r="S210" s="2" t="str">
        <f>'SUECIA 7 &amp; 8'!R26</f>
        <v/>
      </c>
      <c r="T210" s="2" t="str">
        <f>'SUECIA 7 &amp; 8'!S26</f>
        <v/>
      </c>
      <c r="U210" s="2" t="str">
        <f>'SUECIA 7 &amp; 8'!T26</f>
        <v/>
      </c>
      <c r="V210" s="2" t="str">
        <f>'SUECIA 7 &amp; 8'!U26</f>
        <v>-</v>
      </c>
      <c r="W210" s="2" t="str">
        <f>'SUECIA 7 &amp; 8'!V26</f>
        <v>-</v>
      </c>
      <c r="X210" s="2" t="str">
        <f>'SUECIA 7 &amp; 8'!W26</f>
        <v>-</v>
      </c>
      <c r="Y210" s="2" t="str">
        <f>'SUECIA 7 &amp; 8'!X26</f>
        <v>-</v>
      </c>
      <c r="Z210" s="2" t="str">
        <f>'SUECIA 7 &amp; 8'!Y26</f>
        <v>-</v>
      </c>
      <c r="AA210" s="2" t="str">
        <f>'SUECIA 7 &amp; 8'!Z26</f>
        <v>-</v>
      </c>
      <c r="AB210" s="2" t="str">
        <f>'SUECIA 7 &amp; 8'!AA26</f>
        <v>-</v>
      </c>
      <c r="AC210" s="2" t="str">
        <f>'SUECIA 7 &amp; 8'!AB26</f>
        <v>-</v>
      </c>
      <c r="AD210" s="2">
        <f>'SUECIA 7 &amp; 8'!AC26</f>
        <v>4</v>
      </c>
      <c r="AE210" s="2">
        <f>'SUECIA 7 &amp; 8'!AD26</f>
        <v>4</v>
      </c>
      <c r="AF210" s="2">
        <f>'SUECIA 7 &amp; 8'!AE26</f>
        <v>4</v>
      </c>
      <c r="AG210" s="2">
        <f>'SUECIA 7 &amp; 8'!AF26</f>
        <v>4</v>
      </c>
      <c r="AH210" s="2">
        <f>'SUECIA 7 &amp; 8'!AG26</f>
        <v>4</v>
      </c>
      <c r="AI210" s="2">
        <f>'SUECIA 7 &amp; 8'!AH26</f>
        <v>4</v>
      </c>
      <c r="AJ210" s="2">
        <f>'SUECIA 7 &amp; 8'!AI26</f>
        <v>4</v>
      </c>
      <c r="AK210" s="2">
        <f>'SUECIA 7 &amp; 8'!AJ26</f>
        <v>4</v>
      </c>
      <c r="AL210" s="2">
        <f>'SUECIA 7 &amp; 8'!AK26</f>
        <v>4</v>
      </c>
      <c r="AM210" s="2">
        <f>'SUECIA 7 &amp; 8'!AL26</f>
        <v>4</v>
      </c>
      <c r="AN210" s="2">
        <f>'SUECIA 7 &amp; 8'!AM26</f>
        <v>4</v>
      </c>
      <c r="AO210" s="2">
        <f>'SUECIA 7 &amp; 8'!AN26</f>
        <v>4</v>
      </c>
      <c r="AP210" s="2">
        <f>'SUECIA 7 &amp; 8'!AO26</f>
        <v>3</v>
      </c>
      <c r="AQ210" s="2">
        <f>'SUECIA 7 &amp; 8'!AP26</f>
        <v>3</v>
      </c>
      <c r="AR210" s="2">
        <f>'SUECIA 7 &amp; 8'!AQ26</f>
        <v>4</v>
      </c>
      <c r="AS210" s="2">
        <f>'SUECIA 7 &amp; 8'!AR26</f>
        <v>4</v>
      </c>
      <c r="AT210" s="2">
        <f>'SUECIA 7 &amp; 8'!AS26</f>
        <v>4</v>
      </c>
      <c r="AU210" s="2">
        <f>'SUECIA 7 &amp; 8'!AT26</f>
        <v>4</v>
      </c>
      <c r="AV210" s="2">
        <f>'SUECIA 7 &amp; 8'!AU26</f>
        <v>4</v>
      </c>
      <c r="AW210" s="2">
        <f>'SUECIA 7 &amp; 8'!AV26</f>
        <v>4</v>
      </c>
      <c r="AX210" s="2">
        <f>'SUECIA 7 &amp; 8'!AW26</f>
        <v>4</v>
      </c>
      <c r="AY210" s="2">
        <f>'SUECIA 7 &amp; 8'!AX26</f>
        <v>4</v>
      </c>
      <c r="AZ210" s="2">
        <f>'SUECIA 7 &amp; 8'!AY26</f>
        <v>4</v>
      </c>
      <c r="BA210" s="2">
        <f>'SUECIA 7 &amp; 8'!AZ26</f>
        <v>4</v>
      </c>
      <c r="BB210" s="2">
        <f>'SUECIA 7 &amp; 8'!BA26</f>
        <v>4</v>
      </c>
      <c r="BC210" s="2">
        <f>'SUECIA 7 &amp; 8'!BB26</f>
        <v>4</v>
      </c>
      <c r="BD210" s="2">
        <f>'SUECIA 7 &amp; 8'!BC26</f>
        <v>7</v>
      </c>
      <c r="BE210" s="2">
        <f>'SUECIA 7 &amp; 8'!BD26</f>
        <v>7</v>
      </c>
      <c r="BF210" s="2">
        <f>'SUECIA 7 &amp; 8'!BE26</f>
        <v>7</v>
      </c>
      <c r="BG210" s="2">
        <f>'SUECIA 7 &amp; 8'!BF26</f>
        <v>7</v>
      </c>
      <c r="BH210" s="2" t="str">
        <f>'SUECIA 7 &amp; 8'!BG26</f>
        <v/>
      </c>
      <c r="BI210" s="2" t="str">
        <f>'SUECIA 7 &amp; 8'!BH26</f>
        <v/>
      </c>
      <c r="BJ210" s="2" t="str">
        <f>'SUECIA 7 &amp; 8'!BI26</f>
        <v/>
      </c>
      <c r="BK210" s="2" t="str">
        <f>'SUECIA 7 &amp; 8'!BJ26</f>
        <v/>
      </c>
      <c r="BL210" s="2" t="str">
        <f>'SUECIA 7 &amp; 8'!BK26</f>
        <v/>
      </c>
      <c r="BM210" s="2" t="str">
        <f>'SUECIA 7 &amp; 8'!BL26</f>
        <v/>
      </c>
      <c r="BN210" s="2"/>
      <c r="BO210" s="2"/>
      <c r="BP210" s="2"/>
      <c r="BQ210" s="2"/>
      <c r="BR210" s="2"/>
      <c r="BS210" s="2"/>
      <c r="BT210" s="2"/>
      <c r="BU210" s="2"/>
      <c r="BV210" s="2"/>
      <c r="BW210" s="2"/>
    </row>
    <row r="211">
      <c r="A211" s="2" t="str">
        <f t="shared" si="185"/>
        <v>Bolsas Basura 50x70Suecia piso 8</v>
      </c>
      <c r="B211" s="2" t="str">
        <f>'SUECIA 7 &amp; 8'!A27</f>
        <v>Suecia piso 8</v>
      </c>
      <c r="C211" s="2" t="str">
        <f>'SUECIA 7 &amp; 8'!B27</f>
        <v>Aseo</v>
      </c>
      <c r="D211" s="2" t="str">
        <f>'SUECIA 7 &amp; 8'!C27</f>
        <v>Bolsas Basura 50x70</v>
      </c>
      <c r="E211" s="2" t="str">
        <f>'SUECIA 7 &amp; 8'!D27</f>
        <v/>
      </c>
      <c r="F211" s="2" t="str">
        <f>'SUECIA 7 &amp; 8'!E27</f>
        <v/>
      </c>
      <c r="G211" s="2" t="str">
        <f>'SUECIA 7 &amp; 8'!F27</f>
        <v/>
      </c>
      <c r="H211" s="2" t="str">
        <f>'SUECIA 7 &amp; 8'!G27</f>
        <v/>
      </c>
      <c r="I211" s="2" t="str">
        <f>'SUECIA 7 &amp; 8'!H27</f>
        <v/>
      </c>
      <c r="J211" s="2" t="str">
        <f>'SUECIA 7 &amp; 8'!I27</f>
        <v/>
      </c>
      <c r="K211" s="2" t="str">
        <f>'SUECIA 7 &amp; 8'!J27</f>
        <v/>
      </c>
      <c r="L211" s="2" t="str">
        <f>'SUECIA 7 &amp; 8'!K27</f>
        <v/>
      </c>
      <c r="M211" s="2" t="str">
        <f>'SUECIA 7 &amp; 8'!L27</f>
        <v/>
      </c>
      <c r="N211" s="2" t="str">
        <f>'SUECIA 7 &amp; 8'!M27</f>
        <v/>
      </c>
      <c r="O211" s="2" t="str">
        <f>'SUECIA 7 &amp; 8'!N27</f>
        <v/>
      </c>
      <c r="P211" s="2" t="str">
        <f>'SUECIA 7 &amp; 8'!O27</f>
        <v/>
      </c>
      <c r="Q211" s="2" t="str">
        <f>'SUECIA 7 &amp; 8'!P27</f>
        <v/>
      </c>
      <c r="R211" s="2" t="str">
        <f>'SUECIA 7 &amp; 8'!Q27</f>
        <v/>
      </c>
      <c r="S211" s="2" t="str">
        <f>'SUECIA 7 &amp; 8'!R27</f>
        <v/>
      </c>
      <c r="T211" s="2" t="str">
        <f>'SUECIA 7 &amp; 8'!S27</f>
        <v/>
      </c>
      <c r="U211" s="2" t="str">
        <f>'SUECIA 7 &amp; 8'!T27</f>
        <v/>
      </c>
      <c r="V211" s="2" t="str">
        <f>'SUECIA 7 &amp; 8'!U27</f>
        <v>-</v>
      </c>
      <c r="W211" s="2" t="str">
        <f>'SUECIA 7 &amp; 8'!V27</f>
        <v>-</v>
      </c>
      <c r="X211" s="2" t="str">
        <f>'SUECIA 7 &amp; 8'!W27</f>
        <v>-</v>
      </c>
      <c r="Y211" s="2" t="str">
        <f>'SUECIA 7 &amp; 8'!X27</f>
        <v>-</v>
      </c>
      <c r="Z211" s="2" t="str">
        <f>'SUECIA 7 &amp; 8'!Y27</f>
        <v>-</v>
      </c>
      <c r="AA211" s="2" t="str">
        <f>'SUECIA 7 &amp; 8'!Z27</f>
        <v>-</v>
      </c>
      <c r="AB211" s="2" t="str">
        <f>'SUECIA 7 &amp; 8'!AA27</f>
        <v>-</v>
      </c>
      <c r="AC211" s="2" t="str">
        <f>'SUECIA 7 &amp; 8'!AB27</f>
        <v>-</v>
      </c>
      <c r="AD211" s="2">
        <f>'SUECIA 7 &amp; 8'!AC27</f>
        <v>36</v>
      </c>
      <c r="AE211" s="2">
        <f>'SUECIA 7 &amp; 8'!AD27</f>
        <v>36</v>
      </c>
      <c r="AF211" s="2">
        <f>'SUECIA 7 &amp; 8'!AE27</f>
        <v>36</v>
      </c>
      <c r="AG211" s="2">
        <f>'SUECIA 7 &amp; 8'!AF27</f>
        <v>35</v>
      </c>
      <c r="AH211" s="2">
        <f>'SUECIA 7 &amp; 8'!AG27</f>
        <v>35</v>
      </c>
      <c r="AI211" s="2">
        <f>'SUECIA 7 &amp; 8'!AH27</f>
        <v>34</v>
      </c>
      <c r="AJ211" s="2">
        <f>'SUECIA 7 &amp; 8'!AI27</f>
        <v>34</v>
      </c>
      <c r="AK211" s="2">
        <f>'SUECIA 7 &amp; 8'!AJ27</f>
        <v>34</v>
      </c>
      <c r="AL211" s="2">
        <f>'SUECIA 7 &amp; 8'!AK27</f>
        <v>34</v>
      </c>
      <c r="AM211" s="2">
        <f>'SUECIA 7 &amp; 8'!AL27</f>
        <v>33</v>
      </c>
      <c r="AN211" s="2">
        <f>'SUECIA 7 &amp; 8'!AM27</f>
        <v>33</v>
      </c>
      <c r="AO211" s="2">
        <f>'SUECIA 7 &amp; 8'!AN27</f>
        <v>32</v>
      </c>
      <c r="AP211" s="2">
        <f>'SUECIA 7 &amp; 8'!AO27</f>
        <v>32</v>
      </c>
      <c r="AQ211" s="2">
        <f>'SUECIA 7 &amp; 8'!AP27</f>
        <v>32</v>
      </c>
      <c r="AR211" s="2">
        <f>'SUECIA 7 &amp; 8'!AQ27</f>
        <v>50</v>
      </c>
      <c r="AS211" s="2" t="str">
        <f>'SUECIA 7 &amp; 8'!AR27</f>
        <v/>
      </c>
      <c r="AT211" s="2">
        <f>'SUECIA 7 &amp; 8'!AS27</f>
        <v>10</v>
      </c>
      <c r="AU211" s="2">
        <f>'SUECIA 7 &amp; 8'!AT27</f>
        <v>10</v>
      </c>
      <c r="AV211" s="2">
        <f>'SUECIA 7 &amp; 8'!AU27</f>
        <v>10</v>
      </c>
      <c r="AW211" s="2">
        <f>'SUECIA 7 &amp; 8'!AV27</f>
        <v>10</v>
      </c>
      <c r="AX211" s="2">
        <f>'SUECIA 7 &amp; 8'!AW27</f>
        <v>10</v>
      </c>
      <c r="AY211" s="2">
        <f>'SUECIA 7 &amp; 8'!AX27</f>
        <v>9</v>
      </c>
      <c r="AZ211" s="2">
        <f>'SUECIA 7 &amp; 8'!AY27</f>
        <v>9</v>
      </c>
      <c r="BA211" s="2">
        <f>'SUECIA 7 &amp; 8'!AZ27</f>
        <v>9</v>
      </c>
      <c r="BB211" s="2">
        <f>'SUECIA 7 &amp; 8'!BA27</f>
        <v>9</v>
      </c>
      <c r="BC211" s="2">
        <f>'SUECIA 7 &amp; 8'!BB27</f>
        <v>9</v>
      </c>
      <c r="BD211" s="2">
        <f>'SUECIA 7 &amp; 8'!BC27</f>
        <v>6</v>
      </c>
      <c r="BE211" s="2">
        <f>'SUECIA 7 &amp; 8'!BD27</f>
        <v>6</v>
      </c>
      <c r="BF211" s="2">
        <f>'SUECIA 7 &amp; 8'!BE27</f>
        <v>4</v>
      </c>
      <c r="BG211" s="2">
        <f>'SUECIA 7 &amp; 8'!BF27</f>
        <v>4</v>
      </c>
      <c r="BH211" s="2" t="str">
        <f>'SUECIA 7 &amp; 8'!BG27</f>
        <v/>
      </c>
      <c r="BI211" s="2" t="str">
        <f>'SUECIA 7 &amp; 8'!BH27</f>
        <v/>
      </c>
      <c r="BJ211" s="2" t="str">
        <f>'SUECIA 7 &amp; 8'!BI27</f>
        <v/>
      </c>
      <c r="BK211" s="2" t="str">
        <f>'SUECIA 7 &amp; 8'!BJ27</f>
        <v/>
      </c>
      <c r="BL211" s="2" t="str">
        <f>'SUECIA 7 &amp; 8'!BK27</f>
        <v/>
      </c>
      <c r="BM211" s="2" t="str">
        <f>'SUECIA 7 &amp; 8'!BL27</f>
        <v/>
      </c>
      <c r="BN211" s="2"/>
      <c r="BO211" s="2"/>
      <c r="BP211" s="2"/>
      <c r="BQ211" s="2"/>
      <c r="BR211" s="2"/>
      <c r="BS211" s="2"/>
      <c r="BT211" s="2"/>
      <c r="BU211" s="2"/>
      <c r="BV211" s="2"/>
      <c r="BW211" s="2"/>
    </row>
    <row r="212">
      <c r="A212" s="2" t="str">
        <f t="shared" si="185"/>
        <v>Bolsas Basura 70x90Suecia piso 8</v>
      </c>
      <c r="B212" s="2" t="str">
        <f>'SUECIA 7 &amp; 8'!A28</f>
        <v>Suecia piso 8</v>
      </c>
      <c r="C212" s="2" t="str">
        <f>'SUECIA 7 &amp; 8'!B28</f>
        <v>Aseo</v>
      </c>
      <c r="D212" s="2" t="str">
        <f>'SUECIA 7 &amp; 8'!C28</f>
        <v>Bolsas Basura 70x90</v>
      </c>
      <c r="E212" s="2" t="str">
        <f>'SUECIA 7 &amp; 8'!D28</f>
        <v/>
      </c>
      <c r="F212" s="2" t="str">
        <f>'SUECIA 7 &amp; 8'!E28</f>
        <v/>
      </c>
      <c r="G212" s="2" t="str">
        <f>'SUECIA 7 &amp; 8'!F28</f>
        <v/>
      </c>
      <c r="H212" s="2" t="str">
        <f>'SUECIA 7 &amp; 8'!G28</f>
        <v/>
      </c>
      <c r="I212" s="2" t="str">
        <f>'SUECIA 7 &amp; 8'!H28</f>
        <v/>
      </c>
      <c r="J212" s="2" t="str">
        <f>'SUECIA 7 &amp; 8'!I28</f>
        <v/>
      </c>
      <c r="K212" s="2" t="str">
        <f>'SUECIA 7 &amp; 8'!J28</f>
        <v/>
      </c>
      <c r="L212" s="2" t="str">
        <f>'SUECIA 7 &amp; 8'!K28</f>
        <v/>
      </c>
      <c r="M212" s="2" t="str">
        <f>'SUECIA 7 &amp; 8'!L28</f>
        <v/>
      </c>
      <c r="N212" s="2" t="str">
        <f>'SUECIA 7 &amp; 8'!M28</f>
        <v/>
      </c>
      <c r="O212" s="2" t="str">
        <f>'SUECIA 7 &amp; 8'!N28</f>
        <v/>
      </c>
      <c r="P212" s="2" t="str">
        <f>'SUECIA 7 &amp; 8'!O28</f>
        <v/>
      </c>
      <c r="Q212" s="2" t="str">
        <f>'SUECIA 7 &amp; 8'!P28</f>
        <v/>
      </c>
      <c r="R212" s="2" t="str">
        <f>'SUECIA 7 &amp; 8'!Q28</f>
        <v/>
      </c>
      <c r="S212" s="2" t="str">
        <f>'SUECIA 7 &amp; 8'!R28</f>
        <v/>
      </c>
      <c r="T212" s="2" t="str">
        <f>'SUECIA 7 &amp; 8'!S28</f>
        <v/>
      </c>
      <c r="U212" s="2" t="str">
        <f>'SUECIA 7 &amp; 8'!T28</f>
        <v/>
      </c>
      <c r="V212" s="2" t="str">
        <f>'SUECIA 7 &amp; 8'!U28</f>
        <v/>
      </c>
      <c r="W212" s="2" t="str">
        <f>'SUECIA 7 &amp; 8'!V28</f>
        <v/>
      </c>
      <c r="X212" s="2" t="str">
        <f>'SUECIA 7 &amp; 8'!W28</f>
        <v/>
      </c>
      <c r="Y212" s="2" t="str">
        <f>'SUECIA 7 &amp; 8'!X28</f>
        <v/>
      </c>
      <c r="Z212" s="2" t="str">
        <f>'SUECIA 7 &amp; 8'!Y28</f>
        <v/>
      </c>
      <c r="AA212" s="2" t="str">
        <f>'SUECIA 7 &amp; 8'!Z28</f>
        <v/>
      </c>
      <c r="AB212" s="2" t="str">
        <f>'SUECIA 7 &amp; 8'!AA28</f>
        <v/>
      </c>
      <c r="AC212" s="2" t="str">
        <f>'SUECIA 7 &amp; 8'!AB28</f>
        <v/>
      </c>
      <c r="AD212" s="2" t="str">
        <f>'SUECIA 7 &amp; 8'!AC28</f>
        <v/>
      </c>
      <c r="AE212" s="2" t="str">
        <f>'SUECIA 7 &amp; 8'!AD28</f>
        <v/>
      </c>
      <c r="AF212" s="2" t="str">
        <f>'SUECIA 7 &amp; 8'!AE28</f>
        <v/>
      </c>
      <c r="AG212" s="2" t="str">
        <f>'SUECIA 7 &amp; 8'!AF28</f>
        <v/>
      </c>
      <c r="AH212" s="2" t="str">
        <f>'SUECIA 7 &amp; 8'!AG28</f>
        <v/>
      </c>
      <c r="AI212" s="2" t="str">
        <f>'SUECIA 7 &amp; 8'!AH28</f>
        <v/>
      </c>
      <c r="AJ212" s="2" t="str">
        <f>'SUECIA 7 &amp; 8'!AI28</f>
        <v/>
      </c>
      <c r="AK212" s="2">
        <f>'SUECIA 7 &amp; 8'!AJ28</f>
        <v>0</v>
      </c>
      <c r="AL212" s="2">
        <f>'SUECIA 7 &amp; 8'!AK28</f>
        <v>0</v>
      </c>
      <c r="AM212" s="2">
        <f>'SUECIA 7 &amp; 8'!AL28</f>
        <v>0</v>
      </c>
      <c r="AN212" s="2">
        <f>'SUECIA 7 &amp; 8'!AM28</f>
        <v>0</v>
      </c>
      <c r="AO212" s="2">
        <f>'SUECIA 7 &amp; 8'!AN28</f>
        <v>0</v>
      </c>
      <c r="AP212" s="2">
        <f>'SUECIA 7 &amp; 8'!AO28</f>
        <v>0</v>
      </c>
      <c r="AQ212" s="2">
        <f>'SUECIA 7 &amp; 8'!AP28</f>
        <v>0</v>
      </c>
      <c r="AR212" s="2">
        <f>'SUECIA 7 &amp; 8'!AQ28</f>
        <v>50</v>
      </c>
      <c r="AS212" s="2" t="str">
        <f>'SUECIA 7 &amp; 8'!AR28</f>
        <v/>
      </c>
      <c r="AT212" s="2">
        <f>'SUECIA 7 &amp; 8'!AS28</f>
        <v>17</v>
      </c>
      <c r="AU212" s="2">
        <f>'SUECIA 7 &amp; 8'!AT28</f>
        <v>17</v>
      </c>
      <c r="AV212" s="2">
        <f>'SUECIA 7 &amp; 8'!AU28</f>
        <v>17</v>
      </c>
      <c r="AW212" s="2">
        <f>'SUECIA 7 &amp; 8'!AV28</f>
        <v>17</v>
      </c>
      <c r="AX212" s="2">
        <f>'SUECIA 7 &amp; 8'!AW28</f>
        <v>17</v>
      </c>
      <c r="AY212" s="2">
        <f>'SUECIA 7 &amp; 8'!AX28</f>
        <v>17</v>
      </c>
      <c r="AZ212" s="2">
        <f>'SUECIA 7 &amp; 8'!AY28</f>
        <v>17</v>
      </c>
      <c r="BA212" s="2">
        <f>'SUECIA 7 &amp; 8'!AZ28</f>
        <v>16</v>
      </c>
      <c r="BB212" s="2">
        <f>'SUECIA 7 &amp; 8'!BA28</f>
        <v>13</v>
      </c>
      <c r="BC212" s="2">
        <f>'SUECIA 7 &amp; 8'!BB28</f>
        <v>13</v>
      </c>
      <c r="BD212" s="2">
        <f>'SUECIA 7 &amp; 8'!BC28</f>
        <v>11</v>
      </c>
      <c r="BE212" s="2">
        <f>'SUECIA 7 &amp; 8'!BD28</f>
        <v>11</v>
      </c>
      <c r="BF212" s="2">
        <f>'SUECIA 7 &amp; 8'!BE28</f>
        <v>11</v>
      </c>
      <c r="BG212" s="2">
        <f>'SUECIA 7 &amp; 8'!BF28</f>
        <v>11</v>
      </c>
      <c r="BH212" s="2" t="str">
        <f>'SUECIA 7 &amp; 8'!BG28</f>
        <v/>
      </c>
      <c r="BI212" s="2" t="str">
        <f>'SUECIA 7 &amp; 8'!BH28</f>
        <v/>
      </c>
      <c r="BJ212" s="2" t="str">
        <f>'SUECIA 7 &amp; 8'!BI28</f>
        <v/>
      </c>
      <c r="BK212" s="2" t="str">
        <f>'SUECIA 7 &amp; 8'!BJ28</f>
        <v/>
      </c>
      <c r="BL212" s="2" t="str">
        <f>'SUECIA 7 &amp; 8'!BK28</f>
        <v/>
      </c>
      <c r="BM212" s="2" t="str">
        <f>'SUECIA 7 &amp; 8'!BL28</f>
        <v/>
      </c>
      <c r="BN212" s="2"/>
      <c r="BO212" s="2"/>
      <c r="BP212" s="2"/>
      <c r="BQ212" s="2"/>
      <c r="BR212" s="2"/>
      <c r="BS212" s="2"/>
      <c r="BT212" s="2"/>
      <c r="BU212" s="2"/>
      <c r="BV212" s="2"/>
      <c r="BW212" s="2"/>
    </row>
    <row r="213">
      <c r="A213" s="2" t="str">
        <f t="shared" si="185"/>
        <v>Bolsas Basura 80x110Suecia piso 8</v>
      </c>
      <c r="B213" s="2" t="str">
        <f>'SUECIA 7 &amp; 8'!A29</f>
        <v>Suecia piso 8</v>
      </c>
      <c r="C213" s="2" t="str">
        <f>'SUECIA 7 &amp; 8'!B29</f>
        <v>Aseo</v>
      </c>
      <c r="D213" s="2" t="str">
        <f>'SUECIA 7 &amp; 8'!C29</f>
        <v>Bolsas Basura 80x110</v>
      </c>
      <c r="E213" s="2" t="str">
        <f>'SUECIA 7 &amp; 8'!D29</f>
        <v/>
      </c>
      <c r="F213" s="2" t="str">
        <f>'SUECIA 7 &amp; 8'!E29</f>
        <v/>
      </c>
      <c r="G213" s="2" t="str">
        <f>'SUECIA 7 &amp; 8'!F29</f>
        <v/>
      </c>
      <c r="H213" s="2" t="str">
        <f>'SUECIA 7 &amp; 8'!G29</f>
        <v/>
      </c>
      <c r="I213" s="2" t="str">
        <f>'SUECIA 7 &amp; 8'!H29</f>
        <v/>
      </c>
      <c r="J213" s="2" t="str">
        <f>'SUECIA 7 &amp; 8'!I29</f>
        <v/>
      </c>
      <c r="K213" s="2" t="str">
        <f>'SUECIA 7 &amp; 8'!J29</f>
        <v/>
      </c>
      <c r="L213" s="2" t="str">
        <f>'SUECIA 7 &amp; 8'!K29</f>
        <v/>
      </c>
      <c r="M213" s="2" t="str">
        <f>'SUECIA 7 &amp; 8'!L29</f>
        <v/>
      </c>
      <c r="N213" s="2" t="str">
        <f>'SUECIA 7 &amp; 8'!M29</f>
        <v/>
      </c>
      <c r="O213" s="2" t="str">
        <f>'SUECIA 7 &amp; 8'!N29</f>
        <v/>
      </c>
      <c r="P213" s="2" t="str">
        <f>'SUECIA 7 &amp; 8'!O29</f>
        <v/>
      </c>
      <c r="Q213" s="2" t="str">
        <f>'SUECIA 7 &amp; 8'!P29</f>
        <v/>
      </c>
      <c r="R213" s="2" t="str">
        <f>'SUECIA 7 &amp; 8'!Q29</f>
        <v/>
      </c>
      <c r="S213" s="2" t="str">
        <f>'SUECIA 7 &amp; 8'!R29</f>
        <v/>
      </c>
      <c r="T213" s="2" t="str">
        <f>'SUECIA 7 &amp; 8'!S29</f>
        <v/>
      </c>
      <c r="U213" s="2" t="str">
        <f>'SUECIA 7 &amp; 8'!T29</f>
        <v/>
      </c>
      <c r="V213" s="2" t="str">
        <f>'SUECIA 7 &amp; 8'!U29</f>
        <v/>
      </c>
      <c r="W213" s="2" t="str">
        <f>'SUECIA 7 &amp; 8'!V29</f>
        <v/>
      </c>
      <c r="X213" s="2" t="str">
        <f>'SUECIA 7 &amp; 8'!W29</f>
        <v/>
      </c>
      <c r="Y213" s="2" t="str">
        <f>'SUECIA 7 &amp; 8'!X29</f>
        <v/>
      </c>
      <c r="Z213" s="2" t="str">
        <f>'SUECIA 7 &amp; 8'!Y29</f>
        <v/>
      </c>
      <c r="AA213" s="2" t="str">
        <f>'SUECIA 7 &amp; 8'!Z29</f>
        <v/>
      </c>
      <c r="AB213" s="2" t="str">
        <f>'SUECIA 7 &amp; 8'!AA29</f>
        <v/>
      </c>
      <c r="AC213" s="2" t="str">
        <f>'SUECIA 7 &amp; 8'!AB29</f>
        <v/>
      </c>
      <c r="AD213" s="2" t="str">
        <f>'SUECIA 7 &amp; 8'!AC29</f>
        <v/>
      </c>
      <c r="AE213" s="2" t="str">
        <f>'SUECIA 7 &amp; 8'!AD29</f>
        <v/>
      </c>
      <c r="AF213" s="2" t="str">
        <f>'SUECIA 7 &amp; 8'!AE29</f>
        <v/>
      </c>
      <c r="AG213" s="2" t="str">
        <f>'SUECIA 7 &amp; 8'!AF29</f>
        <v/>
      </c>
      <c r="AH213" s="2" t="str">
        <f>'SUECIA 7 &amp; 8'!AG29</f>
        <v/>
      </c>
      <c r="AI213" s="2" t="str">
        <f>'SUECIA 7 &amp; 8'!AH29</f>
        <v/>
      </c>
      <c r="AJ213" s="2" t="str">
        <f>'SUECIA 7 &amp; 8'!AI29</f>
        <v/>
      </c>
      <c r="AK213" s="2">
        <f>'SUECIA 7 &amp; 8'!AJ29</f>
        <v>0</v>
      </c>
      <c r="AL213" s="2">
        <f>'SUECIA 7 &amp; 8'!AK29</f>
        <v>0</v>
      </c>
      <c r="AM213" s="2">
        <f>'SUECIA 7 &amp; 8'!AL29</f>
        <v>0</v>
      </c>
      <c r="AN213" s="2">
        <f>'SUECIA 7 &amp; 8'!AM29</f>
        <v>0</v>
      </c>
      <c r="AO213" s="2">
        <f>'SUECIA 7 &amp; 8'!AN29</f>
        <v>0</v>
      </c>
      <c r="AP213" s="2">
        <f>'SUECIA 7 &amp; 8'!AO29</f>
        <v>0</v>
      </c>
      <c r="AQ213" s="2">
        <f>'SUECIA 7 &amp; 8'!AP29</f>
        <v>0</v>
      </c>
      <c r="AR213" s="2" t="str">
        <f>'SUECIA 7 &amp; 8'!AQ29</f>
        <v/>
      </c>
      <c r="AS213" s="2" t="str">
        <f>'SUECIA 7 &amp; 8'!AR29</f>
        <v/>
      </c>
      <c r="AT213" s="2">
        <f>'SUECIA 7 &amp; 8'!AS29</f>
        <v>4</v>
      </c>
      <c r="AU213" s="2">
        <f>'SUECIA 7 &amp; 8'!AT29</f>
        <v>4</v>
      </c>
      <c r="AV213" s="2">
        <f>'SUECIA 7 &amp; 8'!AU29</f>
        <v>4</v>
      </c>
      <c r="AW213" s="2">
        <f>'SUECIA 7 &amp; 8'!AV29</f>
        <v>4</v>
      </c>
      <c r="AX213" s="2">
        <f>'SUECIA 7 &amp; 8'!AW29</f>
        <v>4</v>
      </c>
      <c r="AY213" s="2">
        <f>'SUECIA 7 &amp; 8'!AX29</f>
        <v>3</v>
      </c>
      <c r="AZ213" s="2">
        <f>'SUECIA 7 &amp; 8'!AY29</f>
        <v>3</v>
      </c>
      <c r="BA213" s="2">
        <f>'SUECIA 7 &amp; 8'!AZ29</f>
        <v>3</v>
      </c>
      <c r="BB213" s="2">
        <f>'SUECIA 7 &amp; 8'!BA29</f>
        <v>2</v>
      </c>
      <c r="BC213" s="2">
        <f>'SUECIA 7 &amp; 8'!BB29</f>
        <v>2</v>
      </c>
      <c r="BD213" s="2">
        <f>'SUECIA 7 &amp; 8'!BC29</f>
        <v>2</v>
      </c>
      <c r="BE213" s="2">
        <f>'SUECIA 7 &amp; 8'!BD29</f>
        <v>2</v>
      </c>
      <c r="BF213" s="2">
        <f>'SUECIA 7 &amp; 8'!BE29</f>
        <v>0</v>
      </c>
      <c r="BG213" s="2">
        <f>'SUECIA 7 &amp; 8'!BF29</f>
        <v>0</v>
      </c>
      <c r="BH213" s="2" t="str">
        <f>'SUECIA 7 &amp; 8'!BG29</f>
        <v/>
      </c>
      <c r="BI213" s="2" t="str">
        <f>'SUECIA 7 &amp; 8'!BH29</f>
        <v/>
      </c>
      <c r="BJ213" s="2" t="str">
        <f>'SUECIA 7 &amp; 8'!BI29</f>
        <v/>
      </c>
      <c r="BK213" s="2" t="str">
        <f>'SUECIA 7 &amp; 8'!BJ29</f>
        <v/>
      </c>
      <c r="BL213" s="2" t="str">
        <f>'SUECIA 7 &amp; 8'!BK29</f>
        <v/>
      </c>
      <c r="BM213" s="2" t="str">
        <f>'SUECIA 7 &amp; 8'!BL29</f>
        <v/>
      </c>
      <c r="BN213" s="2"/>
      <c r="BO213" s="2"/>
      <c r="BP213" s="2"/>
      <c r="BQ213" s="2"/>
      <c r="BR213" s="2"/>
      <c r="BS213" s="2"/>
      <c r="BT213" s="2"/>
      <c r="BU213" s="2"/>
      <c r="BV213" s="2"/>
      <c r="BW213" s="2"/>
    </row>
    <row r="214">
      <c r="A214" s="2" t="str">
        <f t="shared" si="185"/>
        <v>Esponja 4USuecia piso 8</v>
      </c>
      <c r="B214" s="2" t="str">
        <f>'SUECIA 7 &amp; 8'!A30</f>
        <v>Suecia piso 8</v>
      </c>
      <c r="C214" s="2" t="str">
        <f>'SUECIA 7 &amp; 8'!B30</f>
        <v>Aseo</v>
      </c>
      <c r="D214" s="2" t="str">
        <f>'SUECIA 7 &amp; 8'!C30</f>
        <v>Esponja 4U</v>
      </c>
      <c r="E214" s="2" t="str">
        <f>'SUECIA 7 &amp; 8'!D30</f>
        <v/>
      </c>
      <c r="F214" s="2" t="str">
        <f>'SUECIA 7 &amp; 8'!E30</f>
        <v/>
      </c>
      <c r="G214" s="2" t="str">
        <f>'SUECIA 7 &amp; 8'!F30</f>
        <v/>
      </c>
      <c r="H214" s="2" t="str">
        <f>'SUECIA 7 &amp; 8'!G30</f>
        <v/>
      </c>
      <c r="I214" s="2" t="str">
        <f>'SUECIA 7 &amp; 8'!H30</f>
        <v/>
      </c>
      <c r="J214" s="2" t="str">
        <f>'SUECIA 7 &amp; 8'!I30</f>
        <v/>
      </c>
      <c r="K214" s="2" t="str">
        <f>'SUECIA 7 &amp; 8'!J30</f>
        <v/>
      </c>
      <c r="L214" s="2" t="str">
        <f>'SUECIA 7 &amp; 8'!K30</f>
        <v/>
      </c>
      <c r="M214" s="2" t="str">
        <f>'SUECIA 7 &amp; 8'!L30</f>
        <v/>
      </c>
      <c r="N214" s="2" t="str">
        <f>'SUECIA 7 &amp; 8'!M30</f>
        <v/>
      </c>
      <c r="O214" s="2" t="str">
        <f>'SUECIA 7 &amp; 8'!N30</f>
        <v/>
      </c>
      <c r="P214" s="2" t="str">
        <f>'SUECIA 7 &amp; 8'!O30</f>
        <v/>
      </c>
      <c r="Q214" s="2" t="str">
        <f>'SUECIA 7 &amp; 8'!P30</f>
        <v/>
      </c>
      <c r="R214" s="2" t="str">
        <f>'SUECIA 7 &amp; 8'!Q30</f>
        <v/>
      </c>
      <c r="S214" s="2" t="str">
        <f>'SUECIA 7 &amp; 8'!R30</f>
        <v/>
      </c>
      <c r="T214" s="2" t="str">
        <f>'SUECIA 7 &amp; 8'!S30</f>
        <v/>
      </c>
      <c r="U214" s="2" t="str">
        <f>'SUECIA 7 &amp; 8'!T30</f>
        <v/>
      </c>
      <c r="V214" s="2" t="str">
        <f>'SUECIA 7 &amp; 8'!U30</f>
        <v>-</v>
      </c>
      <c r="W214" s="2" t="str">
        <f>'SUECIA 7 &amp; 8'!V30</f>
        <v>-</v>
      </c>
      <c r="X214" s="2" t="str">
        <f>'SUECIA 7 &amp; 8'!W30</f>
        <v>-</v>
      </c>
      <c r="Y214" s="2" t="str">
        <f>'SUECIA 7 &amp; 8'!X30</f>
        <v>-</v>
      </c>
      <c r="Z214" s="2" t="str">
        <f>'SUECIA 7 &amp; 8'!Y30</f>
        <v>-</v>
      </c>
      <c r="AA214" s="2" t="str">
        <f>'SUECIA 7 &amp; 8'!Z30</f>
        <v>-</v>
      </c>
      <c r="AB214" s="2" t="str">
        <f>'SUECIA 7 &amp; 8'!AA30</f>
        <v>-</v>
      </c>
      <c r="AC214" s="2" t="str">
        <f>'SUECIA 7 &amp; 8'!AB30</f>
        <v>-</v>
      </c>
      <c r="AD214" s="2">
        <f>'SUECIA 7 &amp; 8'!AC30</f>
        <v>8</v>
      </c>
      <c r="AE214" s="2">
        <f>'SUECIA 7 &amp; 8'!AD30</f>
        <v>8</v>
      </c>
      <c r="AF214" s="2">
        <f>'SUECIA 7 &amp; 8'!AE30</f>
        <v>8</v>
      </c>
      <c r="AG214" s="2">
        <f>'SUECIA 7 &amp; 8'!AF30</f>
        <v>8</v>
      </c>
      <c r="AH214" s="2">
        <f>'SUECIA 7 &amp; 8'!AG30</f>
        <v>6</v>
      </c>
      <c r="AI214" s="2">
        <f>'SUECIA 7 &amp; 8'!AH30</f>
        <v>6</v>
      </c>
      <c r="AJ214" s="2">
        <f>'SUECIA 7 &amp; 8'!AI30</f>
        <v>5</v>
      </c>
      <c r="AK214" s="2">
        <f>'SUECIA 7 &amp; 8'!AJ30</f>
        <v>5</v>
      </c>
      <c r="AL214" s="2">
        <f>'SUECIA 7 &amp; 8'!AK30</f>
        <v>11</v>
      </c>
      <c r="AM214" s="2">
        <f>'SUECIA 7 &amp; 8'!AL30</f>
        <v>11</v>
      </c>
      <c r="AN214" s="2">
        <f>'SUECIA 7 &amp; 8'!AM30</f>
        <v>10</v>
      </c>
      <c r="AO214" s="2">
        <f>'SUECIA 7 &amp; 8'!AN30</f>
        <v>10</v>
      </c>
      <c r="AP214" s="2">
        <f>'SUECIA 7 &amp; 8'!AO30</f>
        <v>9</v>
      </c>
      <c r="AQ214" s="2">
        <f>'SUECIA 7 &amp; 8'!AP30</f>
        <v>9</v>
      </c>
      <c r="AR214" s="2">
        <f>'SUECIA 7 &amp; 8'!AQ30</f>
        <v>20</v>
      </c>
      <c r="AS214" s="2">
        <f>'SUECIA 7 &amp; 8'!AR30</f>
        <v>20</v>
      </c>
      <c r="AT214" s="2">
        <f>'SUECIA 7 &amp; 8'!AS30</f>
        <v>16</v>
      </c>
      <c r="AU214" s="2">
        <f>'SUECIA 7 &amp; 8'!AT30</f>
        <v>16</v>
      </c>
      <c r="AV214" s="2">
        <f>'SUECIA 7 &amp; 8'!AU30</f>
        <v>16</v>
      </c>
      <c r="AW214" s="2">
        <f>'SUECIA 7 &amp; 8'!AV30</f>
        <v>15</v>
      </c>
      <c r="AX214" s="2">
        <f>'SUECIA 7 &amp; 8'!AW30</f>
        <v>15</v>
      </c>
      <c r="AY214" s="2">
        <f>'SUECIA 7 &amp; 8'!AX30</f>
        <v>15</v>
      </c>
      <c r="AZ214" s="2">
        <f>'SUECIA 7 &amp; 8'!AY30</f>
        <v>15</v>
      </c>
      <c r="BA214" s="2">
        <f>'SUECIA 7 &amp; 8'!AZ30</f>
        <v>15</v>
      </c>
      <c r="BB214" s="2">
        <f>'SUECIA 7 &amp; 8'!BA30</f>
        <v>14</v>
      </c>
      <c r="BC214" s="2">
        <f>'SUECIA 7 &amp; 8'!BB30</f>
        <v>14</v>
      </c>
      <c r="BD214" s="2">
        <f>'SUECIA 7 &amp; 8'!BC30</f>
        <v>10</v>
      </c>
      <c r="BE214" s="2">
        <f>'SUECIA 7 &amp; 8'!BD30</f>
        <v>10</v>
      </c>
      <c r="BF214" s="2">
        <f>'SUECIA 7 &amp; 8'!BE30</f>
        <v>9</v>
      </c>
      <c r="BG214" s="2">
        <f>'SUECIA 7 &amp; 8'!BF30</f>
        <v>9</v>
      </c>
      <c r="BH214" s="2" t="str">
        <f>'SUECIA 7 &amp; 8'!BG30</f>
        <v/>
      </c>
      <c r="BI214" s="2" t="str">
        <f>'SUECIA 7 &amp; 8'!BH30</f>
        <v/>
      </c>
      <c r="BJ214" s="2" t="str">
        <f>'SUECIA 7 &amp; 8'!BI30</f>
        <v/>
      </c>
      <c r="BK214" s="2" t="str">
        <f>'SUECIA 7 &amp; 8'!BJ30</f>
        <v/>
      </c>
      <c r="BL214" s="2" t="str">
        <f>'SUECIA 7 &amp; 8'!BK30</f>
        <v/>
      </c>
      <c r="BM214" s="2" t="str">
        <f>'SUECIA 7 &amp; 8'!BL30</f>
        <v/>
      </c>
      <c r="BN214" s="2"/>
      <c r="BO214" s="2"/>
      <c r="BP214" s="2"/>
      <c r="BQ214" s="2"/>
      <c r="BR214" s="2"/>
      <c r="BS214" s="2"/>
      <c r="BT214" s="2"/>
      <c r="BU214" s="2"/>
      <c r="BV214" s="2"/>
      <c r="BW214" s="2"/>
    </row>
    <row r="215">
      <c r="A215" s="2" t="str">
        <f t="shared" si="185"/>
        <v>Mopa RedondaSuecia piso 8</v>
      </c>
      <c r="B215" s="2" t="str">
        <f>'SUECIA 7 &amp; 8'!A31</f>
        <v>Suecia piso 8</v>
      </c>
      <c r="C215" s="2" t="str">
        <f>'SUECIA 7 &amp; 8'!B31</f>
        <v>Aseo</v>
      </c>
      <c r="D215" s="2" t="str">
        <f>'SUECIA 7 &amp; 8'!C31</f>
        <v>Mopa Redonda</v>
      </c>
      <c r="E215" s="2" t="str">
        <f>'SUECIA 7 &amp; 8'!D31</f>
        <v/>
      </c>
      <c r="F215" s="2" t="str">
        <f>'SUECIA 7 &amp; 8'!E31</f>
        <v/>
      </c>
      <c r="G215" s="2" t="str">
        <f>'SUECIA 7 &amp; 8'!F31</f>
        <v/>
      </c>
      <c r="H215" s="2" t="str">
        <f>'SUECIA 7 &amp; 8'!G31</f>
        <v/>
      </c>
      <c r="I215" s="2" t="str">
        <f>'SUECIA 7 &amp; 8'!H31</f>
        <v/>
      </c>
      <c r="J215" s="2" t="str">
        <f>'SUECIA 7 &amp; 8'!I31</f>
        <v/>
      </c>
      <c r="K215" s="2" t="str">
        <f>'SUECIA 7 &amp; 8'!J31</f>
        <v/>
      </c>
      <c r="L215" s="2" t="str">
        <f>'SUECIA 7 &amp; 8'!K31</f>
        <v/>
      </c>
      <c r="M215" s="2" t="str">
        <f>'SUECIA 7 &amp; 8'!L31</f>
        <v/>
      </c>
      <c r="N215" s="2" t="str">
        <f>'SUECIA 7 &amp; 8'!M31</f>
        <v/>
      </c>
      <c r="O215" s="2" t="str">
        <f>'SUECIA 7 &amp; 8'!N31</f>
        <v/>
      </c>
      <c r="P215" s="2" t="str">
        <f>'SUECIA 7 &amp; 8'!O31</f>
        <v/>
      </c>
      <c r="Q215" s="2" t="str">
        <f>'SUECIA 7 &amp; 8'!P31</f>
        <v/>
      </c>
      <c r="R215" s="2" t="str">
        <f>'SUECIA 7 &amp; 8'!Q31</f>
        <v/>
      </c>
      <c r="S215" s="2" t="str">
        <f>'SUECIA 7 &amp; 8'!R31</f>
        <v/>
      </c>
      <c r="T215" s="2" t="str">
        <f>'SUECIA 7 &amp; 8'!S31</f>
        <v/>
      </c>
      <c r="U215" s="2" t="str">
        <f>'SUECIA 7 &amp; 8'!T31</f>
        <v/>
      </c>
      <c r="V215" s="2" t="str">
        <f>'SUECIA 7 &amp; 8'!U31</f>
        <v>-</v>
      </c>
      <c r="W215" s="2" t="str">
        <f>'SUECIA 7 &amp; 8'!V31</f>
        <v>-</v>
      </c>
      <c r="X215" s="2" t="str">
        <f>'SUECIA 7 &amp; 8'!W31</f>
        <v>-</v>
      </c>
      <c r="Y215" s="2" t="str">
        <f>'SUECIA 7 &amp; 8'!X31</f>
        <v>-</v>
      </c>
      <c r="Z215" s="2" t="str">
        <f>'SUECIA 7 &amp; 8'!Y31</f>
        <v>-</v>
      </c>
      <c r="AA215" s="2" t="str">
        <f>'SUECIA 7 &amp; 8'!Z31</f>
        <v>-</v>
      </c>
      <c r="AB215" s="2" t="str">
        <f>'SUECIA 7 &amp; 8'!AA31</f>
        <v>-</v>
      </c>
      <c r="AC215" s="2" t="str">
        <f>'SUECIA 7 &amp; 8'!AB31</f>
        <v>-</v>
      </c>
      <c r="AD215" s="2">
        <f>'SUECIA 7 &amp; 8'!AC31</f>
        <v>8</v>
      </c>
      <c r="AE215" s="2">
        <f>'SUECIA 7 &amp; 8'!AD31</f>
        <v>8</v>
      </c>
      <c r="AF215" s="2">
        <f>'SUECIA 7 &amp; 8'!AE31</f>
        <v>8</v>
      </c>
      <c r="AG215" s="2">
        <f>'SUECIA 7 &amp; 8'!AF31</f>
        <v>8</v>
      </c>
      <c r="AH215" s="2">
        <f>'SUECIA 7 &amp; 8'!AG31</f>
        <v>8</v>
      </c>
      <c r="AI215" s="2">
        <f>'SUECIA 7 &amp; 8'!AH31</f>
        <v>7</v>
      </c>
      <c r="AJ215" s="2">
        <f>'SUECIA 7 &amp; 8'!AI31</f>
        <v>6</v>
      </c>
      <c r="AK215" s="2">
        <f>'SUECIA 7 &amp; 8'!AJ31</f>
        <v>6</v>
      </c>
      <c r="AL215" s="2">
        <f>'SUECIA 7 &amp; 8'!AK31</f>
        <v>5</v>
      </c>
      <c r="AM215" s="2">
        <f>'SUECIA 7 &amp; 8'!AL31</f>
        <v>5</v>
      </c>
      <c r="AN215" s="2">
        <f>'SUECIA 7 &amp; 8'!AM31</f>
        <v>5</v>
      </c>
      <c r="AO215" s="2">
        <f>'SUECIA 7 &amp; 8'!AN31</f>
        <v>5</v>
      </c>
      <c r="AP215" s="2">
        <f>'SUECIA 7 &amp; 8'!AO31</f>
        <v>5</v>
      </c>
      <c r="AQ215" s="2">
        <f>'SUECIA 7 &amp; 8'!AP31</f>
        <v>5</v>
      </c>
      <c r="AR215" s="2">
        <f>'SUECIA 7 &amp; 8'!AQ31</f>
        <v>7</v>
      </c>
      <c r="AS215" s="2">
        <f>'SUECIA 7 &amp; 8'!AR31</f>
        <v>7</v>
      </c>
      <c r="AT215" s="2">
        <f>'SUECIA 7 &amp; 8'!AS31</f>
        <v>6</v>
      </c>
      <c r="AU215" s="2">
        <f>'SUECIA 7 &amp; 8'!AT31</f>
        <v>6</v>
      </c>
      <c r="AV215" s="2">
        <f>'SUECIA 7 &amp; 8'!AU31</f>
        <v>6</v>
      </c>
      <c r="AW215" s="2">
        <f>'SUECIA 7 &amp; 8'!AV31</f>
        <v>6</v>
      </c>
      <c r="AX215" s="2">
        <f>'SUECIA 7 &amp; 8'!AW31</f>
        <v>5</v>
      </c>
      <c r="AY215" s="2">
        <f>'SUECIA 7 &amp; 8'!AX31</f>
        <v>5</v>
      </c>
      <c r="AZ215" s="2">
        <f>'SUECIA 7 &amp; 8'!AY31</f>
        <v>5</v>
      </c>
      <c r="BA215" s="2">
        <f>'SUECIA 7 &amp; 8'!AZ31</f>
        <v>5</v>
      </c>
      <c r="BB215" s="2">
        <f>'SUECIA 7 &amp; 8'!BA31</f>
        <v>5</v>
      </c>
      <c r="BC215" s="2">
        <f>'SUECIA 7 &amp; 8'!BB31</f>
        <v>5</v>
      </c>
      <c r="BD215" s="2">
        <f>'SUECIA 7 &amp; 8'!BC31</f>
        <v>5</v>
      </c>
      <c r="BE215" s="2">
        <f>'SUECIA 7 &amp; 8'!BD31</f>
        <v>5</v>
      </c>
      <c r="BF215" s="2">
        <f>'SUECIA 7 &amp; 8'!BE31</f>
        <v>5</v>
      </c>
      <c r="BG215" s="2">
        <f>'SUECIA 7 &amp; 8'!BF31</f>
        <v>5</v>
      </c>
      <c r="BH215" s="2" t="str">
        <f>'SUECIA 7 &amp; 8'!BG31</f>
        <v/>
      </c>
      <c r="BI215" s="2" t="str">
        <f>'SUECIA 7 &amp; 8'!BH31</f>
        <v/>
      </c>
      <c r="BJ215" s="2" t="str">
        <f>'SUECIA 7 &amp; 8'!BI31</f>
        <v/>
      </c>
      <c r="BK215" s="2" t="str">
        <f>'SUECIA 7 &amp; 8'!BJ31</f>
        <v/>
      </c>
      <c r="BL215" s="2" t="str">
        <f>'SUECIA 7 &amp; 8'!BK31</f>
        <v/>
      </c>
      <c r="BM215" s="2" t="str">
        <f>'SUECIA 7 &amp; 8'!BL31</f>
        <v/>
      </c>
      <c r="BN215" s="2"/>
      <c r="BO215" s="2"/>
      <c r="BP215" s="2"/>
      <c r="BQ215" s="2"/>
      <c r="BR215" s="2"/>
      <c r="BS215" s="2"/>
      <c r="BT215" s="2"/>
      <c r="BU215" s="2"/>
      <c r="BV215" s="2"/>
      <c r="BW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</row>
    <row r="217">
      <c r="A217" s="2"/>
      <c r="B217" s="2" t="str">
        <f>'TOBALABA 3'!A1</f>
        <v/>
      </c>
      <c r="C217" s="2" t="str">
        <f>'TOBALABA 3'!B1</f>
        <v/>
      </c>
      <c r="D217" s="22" t="str">
        <f>'TOBALABA 3'!C1</f>
        <v/>
      </c>
      <c r="E217" s="22">
        <f>'TOBALABA 3'!D1</f>
        <v>45811</v>
      </c>
      <c r="F217" s="22">
        <f>'TOBALABA 3'!E1</f>
        <v>45817</v>
      </c>
      <c r="G217" s="22">
        <f>'TOBALABA 3'!F1</f>
        <v>45824</v>
      </c>
      <c r="H217" s="22">
        <f>'TOBALABA 3'!G1</f>
        <v>45831</v>
      </c>
      <c r="I217" s="22">
        <f>'TOBALABA 3'!H1</f>
        <v>45838</v>
      </c>
      <c r="J217" s="22">
        <f>'TOBALABA 3'!I1</f>
        <v>45845</v>
      </c>
      <c r="K217" s="22">
        <f>'TOBALABA 3'!J1</f>
        <v>45852</v>
      </c>
      <c r="L217" s="22">
        <f>'TOBALABA 3'!K1</f>
        <v>45859</v>
      </c>
      <c r="M217" s="22">
        <f>'TOBALABA 3'!L1</f>
        <v>45866</v>
      </c>
      <c r="N217" s="22">
        <f>'TOBALABA 3'!M1</f>
        <v>45873</v>
      </c>
      <c r="O217" s="22">
        <f>'TOBALABA 3'!N1</f>
        <v>45880</v>
      </c>
      <c r="P217" s="22">
        <f>'TOBALABA 3'!O1</f>
        <v>45887</v>
      </c>
      <c r="Q217" s="22">
        <f>'TOBALABA 3'!P1</f>
        <v>45894</v>
      </c>
      <c r="R217" s="22">
        <f>'TOBALABA 3'!Q1</f>
        <v>45901</v>
      </c>
      <c r="S217" s="22">
        <f>'TOBALABA 3'!R1</f>
        <v>45908</v>
      </c>
      <c r="T217" s="22">
        <f>'TOBALABA 3'!S1</f>
        <v>45915</v>
      </c>
      <c r="U217" s="22">
        <f>'TOBALABA 3'!T1</f>
        <v>45922</v>
      </c>
      <c r="V217" s="22">
        <f>'TOBALABA 3'!U1</f>
        <v>45929</v>
      </c>
      <c r="W217" s="22">
        <f>'TOBALABA 3'!V1</f>
        <v>45936</v>
      </c>
      <c r="X217" s="22">
        <f>'TOBALABA 3'!W1</f>
        <v>45943</v>
      </c>
      <c r="Y217" s="22">
        <f>'TOBALABA 3'!X1</f>
        <v>45950</v>
      </c>
      <c r="Z217" s="22">
        <f>'TOBALABA 3'!Y1</f>
        <v>45957</v>
      </c>
      <c r="AA217" s="22">
        <f>'TOBALABA 3'!Z1</f>
        <v>45964</v>
      </c>
      <c r="AB217" s="22">
        <f>'TOBALABA 3'!AA1</f>
        <v>45967</v>
      </c>
      <c r="AC217" s="22">
        <f>'TOBALABA 3'!AB1</f>
        <v>45971</v>
      </c>
      <c r="AD217" s="22">
        <f>'TOBALABA 3'!AC1</f>
        <v>45978</v>
      </c>
      <c r="AE217" s="22">
        <f>'TOBALABA 3'!AD1</f>
        <v>45979</v>
      </c>
      <c r="AF217" s="22">
        <f>'TOBALABA 3'!AE1</f>
        <v>45981</v>
      </c>
      <c r="AG217" s="22">
        <f>'TOBALABA 3'!AF1</f>
        <v>45985</v>
      </c>
      <c r="AH217" s="22">
        <f>'TOBALABA 3'!AG1</f>
        <v>45988</v>
      </c>
      <c r="AI217" s="22">
        <f>'TOBALABA 3'!AH1</f>
        <v>45993</v>
      </c>
      <c r="AJ217" s="22">
        <f>'TOBALABA 3'!AI1</f>
        <v>45995</v>
      </c>
      <c r="AK217" s="22">
        <f>'TOBALABA 3'!AJ1</f>
        <v>46000</v>
      </c>
      <c r="AL217" s="22">
        <f>'TOBALABA 3'!AK1</f>
        <v>46002</v>
      </c>
      <c r="AM217" s="22">
        <f>'TOBALABA 3'!AL1</f>
        <v>46006</v>
      </c>
      <c r="AN217" s="22">
        <f>'TOBALABA 3'!AM1</f>
        <v>46027</v>
      </c>
      <c r="AO217" s="22">
        <f>'TOBALABA 3'!AN1</f>
        <v>46030</v>
      </c>
      <c r="AP217" s="22">
        <f>'TOBALABA 3'!AO1</f>
        <v>46034</v>
      </c>
      <c r="AQ217" s="22">
        <f>'TOBALABA 3'!AP1</f>
        <v>46037</v>
      </c>
      <c r="AR217" s="22">
        <f>'TOBALABA 3'!AQ1</f>
        <v>46041</v>
      </c>
      <c r="AS217" s="22">
        <f>'TOBALABA 3'!AR1</f>
        <v>46051</v>
      </c>
      <c r="AT217" s="22">
        <f>'TOBALABA 3'!AS1</f>
        <v>46062</v>
      </c>
      <c r="AU217" s="22">
        <f>'TOBALABA 3'!AT1</f>
        <v>46065</v>
      </c>
      <c r="AV217" s="22">
        <f>'TOBALABA 3'!AU1</f>
        <v>46069</v>
      </c>
      <c r="AW217" s="22">
        <f>'TOBALABA 3'!AV1</f>
        <v>46072</v>
      </c>
      <c r="AX217" s="22">
        <f>'TOBALABA 3'!AW1</f>
        <v>46079</v>
      </c>
      <c r="AY217" s="22">
        <f>'TOBALABA 3'!AX1</f>
        <v>46083</v>
      </c>
      <c r="AZ217" s="22">
        <f>'TOBALABA 3'!AY1</f>
        <v>46086</v>
      </c>
      <c r="BA217" s="22">
        <f>'TOBALABA 3'!AZ1</f>
        <v>46090</v>
      </c>
      <c r="BB217" s="22">
        <f>'TOBALABA 3'!BA1</f>
        <v>46093</v>
      </c>
      <c r="BC217" s="22">
        <f>'TOBALABA 3'!BB1</f>
        <v>46100</v>
      </c>
      <c r="BD217" s="22">
        <f>'TOBALABA 3'!BC1</f>
        <v>46104</v>
      </c>
      <c r="BE217" s="22" t="str">
        <f>'TOBALABA 3'!BD1</f>
        <v/>
      </c>
      <c r="BF217" s="22" t="str">
        <f>'TOBALABA 3'!BE1</f>
        <v/>
      </c>
      <c r="BG217" s="22" t="str">
        <f>'TOBALABA 3'!BF1</f>
        <v/>
      </c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</row>
    <row r="218">
      <c r="A218" s="2"/>
      <c r="B218" s="2" t="str">
        <f>'TOBALABA 3'!A2</f>
        <v>Sede</v>
      </c>
      <c r="C218" s="2" t="str">
        <f>'TOBALABA 3'!B2</f>
        <v>Proveedor</v>
      </c>
      <c r="D218" s="2" t="str">
        <f>'TOBALABA 3'!C2</f>
        <v>Producto</v>
      </c>
      <c r="E218" s="2" t="str">
        <f>'TOBALABA 3'!D2</f>
        <v>Stock Actual</v>
      </c>
      <c r="F218" s="2" t="str">
        <f>'TOBALABA 3'!E2</f>
        <v>Stock Actual</v>
      </c>
      <c r="G218" s="2" t="str">
        <f>'TOBALABA 3'!F2</f>
        <v>Stock Actual</v>
      </c>
      <c r="H218" s="2" t="str">
        <f>'TOBALABA 3'!G2</f>
        <v>Stock Actual</v>
      </c>
      <c r="I218" s="2" t="str">
        <f>'TOBALABA 3'!H2</f>
        <v>Stock Actual</v>
      </c>
      <c r="J218" s="2" t="str">
        <f>'TOBALABA 3'!I2</f>
        <v>Stock Actual</v>
      </c>
      <c r="K218" s="2" t="str">
        <f>'TOBALABA 3'!J2</f>
        <v>Stock Actual</v>
      </c>
      <c r="L218" s="2" t="str">
        <f>'TOBALABA 3'!K2</f>
        <v>Stock Actual</v>
      </c>
      <c r="M218" s="2" t="str">
        <f>'TOBALABA 3'!L2</f>
        <v>Stock Actual</v>
      </c>
      <c r="N218" s="2" t="str">
        <f>'TOBALABA 3'!M2</f>
        <v>Stock Actual</v>
      </c>
      <c r="O218" s="2" t="str">
        <f>'TOBALABA 3'!N2</f>
        <v>Stock Actual</v>
      </c>
      <c r="P218" s="2" t="str">
        <f>'TOBALABA 3'!O2</f>
        <v>Stock Actual</v>
      </c>
      <c r="Q218" s="2" t="str">
        <f>'TOBALABA 3'!P2</f>
        <v>Stock Actual</v>
      </c>
      <c r="R218" s="2" t="str">
        <f>'TOBALABA 3'!Q2</f>
        <v>Stock Actual</v>
      </c>
      <c r="S218" s="2" t="str">
        <f>'TOBALABA 3'!R2</f>
        <v>Stock Actual</v>
      </c>
      <c r="T218" s="2" t="str">
        <f>'TOBALABA 3'!S2</f>
        <v>Stock Actual</v>
      </c>
      <c r="U218" s="2" t="str">
        <f>'TOBALABA 3'!T2</f>
        <v>Stock Actual</v>
      </c>
      <c r="V218" s="2" t="str">
        <f>'TOBALABA 3'!U2</f>
        <v>Stock Actual</v>
      </c>
      <c r="W218" s="2" t="str">
        <f>'TOBALABA 3'!V2</f>
        <v>Stock Actual</v>
      </c>
      <c r="X218" s="2" t="str">
        <f>'TOBALABA 3'!W2</f>
        <v>Stock Actual</v>
      </c>
      <c r="Y218" s="2" t="str">
        <f>'TOBALABA 3'!X2</f>
        <v>Stock Actual</v>
      </c>
      <c r="Z218" s="2" t="str">
        <f>'TOBALABA 3'!Y2</f>
        <v>Stock Actual</v>
      </c>
      <c r="AA218" s="2" t="str">
        <f>'TOBALABA 3'!Z2</f>
        <v>Stock Actual</v>
      </c>
      <c r="AB218" s="2" t="str">
        <f>'TOBALABA 3'!AA2</f>
        <v>Stock Actual</v>
      </c>
      <c r="AC218" s="2" t="str">
        <f>'TOBALABA 3'!AB2</f>
        <v>Stock Actual</v>
      </c>
      <c r="AD218" s="2" t="str">
        <f>'TOBALABA 3'!AC2</f>
        <v>Stock Actual</v>
      </c>
      <c r="AE218" s="2" t="str">
        <f>'TOBALABA 3'!AD2</f>
        <v>Stock Actual</v>
      </c>
      <c r="AF218" s="2" t="str">
        <f>'TOBALABA 3'!AE2</f>
        <v>Stock Actual</v>
      </c>
      <c r="AG218" s="2" t="str">
        <f>'TOBALABA 3'!AF2</f>
        <v>Stock Actual</v>
      </c>
      <c r="AH218" s="2" t="str">
        <f>'TOBALABA 3'!AG2</f>
        <v>Stock Actual</v>
      </c>
      <c r="AI218" s="2" t="str">
        <f>'TOBALABA 3'!AH2</f>
        <v>Stock Actual</v>
      </c>
      <c r="AJ218" s="2" t="str">
        <f>'TOBALABA 3'!AI2</f>
        <v>Stock Actual</v>
      </c>
      <c r="AK218" s="2" t="str">
        <f>'TOBALABA 3'!AJ2</f>
        <v>Stock Actual</v>
      </c>
      <c r="AL218" s="2" t="str">
        <f>'TOBALABA 3'!AK2</f>
        <v>Stock Actual</v>
      </c>
      <c r="AM218" s="2" t="str">
        <f>'TOBALABA 3'!AL2</f>
        <v>Stock Actual</v>
      </c>
      <c r="AN218" s="2" t="str">
        <f>'TOBALABA 3'!AM2</f>
        <v>Stock Actual</v>
      </c>
      <c r="AO218" s="2" t="str">
        <f>'TOBALABA 3'!AN2</f>
        <v>Stock Actual</v>
      </c>
      <c r="AP218" s="2" t="str">
        <f>'TOBALABA 3'!AO2</f>
        <v>Stock Actual</v>
      </c>
      <c r="AQ218" s="2" t="str">
        <f>'TOBALABA 3'!AP2</f>
        <v>Stock Actual</v>
      </c>
      <c r="AR218" s="2" t="str">
        <f>'TOBALABA 3'!AQ2</f>
        <v>Stock Actual</v>
      </c>
      <c r="AS218" s="2" t="str">
        <f>'TOBALABA 3'!AR2</f>
        <v>Stock Actual</v>
      </c>
      <c r="AT218" s="2" t="str">
        <f>'TOBALABA 3'!AS2</f>
        <v>Stock Actual</v>
      </c>
      <c r="AU218" s="2" t="str">
        <f>'TOBALABA 3'!AT2</f>
        <v>Stock Actual</v>
      </c>
      <c r="AV218" s="2" t="str">
        <f>'TOBALABA 3'!AU2</f>
        <v>Stock Actual</v>
      </c>
      <c r="AW218" s="2" t="str">
        <f>'TOBALABA 3'!AV2</f>
        <v>Stock Actual</v>
      </c>
      <c r="AX218" s="2" t="str">
        <f>'TOBALABA 3'!AW2</f>
        <v>Stock Actual</v>
      </c>
      <c r="AY218" s="2" t="str">
        <f>'TOBALABA 3'!AX2</f>
        <v>Stock Actual</v>
      </c>
      <c r="AZ218" s="2" t="str">
        <f>'TOBALABA 3'!AY2</f>
        <v>Stock Actual</v>
      </c>
      <c r="BA218" s="2" t="str">
        <f>'TOBALABA 3'!AZ2</f>
        <v>Stock Actual</v>
      </c>
      <c r="BB218" s="2" t="str">
        <f>'TOBALABA 3'!BA2</f>
        <v>Stock Actual</v>
      </c>
      <c r="BC218" s="2" t="str">
        <f>'TOBALABA 3'!BB2</f>
        <v>Stock Actual</v>
      </c>
      <c r="BD218" s="2" t="str">
        <f>'TOBALABA 3'!BC2</f>
        <v>Stock Actual</v>
      </c>
      <c r="BE218" s="2" t="str">
        <f>'TOBALABA 3'!BD2</f>
        <v/>
      </c>
      <c r="BF218" s="2" t="str">
        <f>'TOBALABA 3'!BE2</f>
        <v/>
      </c>
      <c r="BG218" s="2" t="str">
        <f>'TOBALABA 3'!BF2</f>
        <v/>
      </c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</row>
    <row r="219">
      <c r="A219" s="2" t="str">
        <f t="shared" ref="A219:A231" si="186">D219&amp;B219</f>
        <v>Cafe Grano (KG)Tobalaba 3</v>
      </c>
      <c r="B219" s="2" t="str">
        <f>'TOBALABA 3'!A3</f>
        <v>Tobalaba 3</v>
      </c>
      <c r="C219" s="2" t="str">
        <f>'TOBALABA 3'!B3</f>
        <v>Cafeteria</v>
      </c>
      <c r="D219" s="2" t="str">
        <f>'TOBALABA 3'!C3</f>
        <v>Cafe Grano (KG)</v>
      </c>
      <c r="E219" s="2">
        <f>'TOBALABA 3'!D3</f>
        <v>14</v>
      </c>
      <c r="F219" s="25">
        <f>'TOBALABA 3'!E3</f>
        <v>45779</v>
      </c>
      <c r="G219" s="2">
        <f>'TOBALABA 3'!F3</f>
        <v>0</v>
      </c>
      <c r="H219" s="2">
        <f>'TOBALABA 3'!G3</f>
        <v>8</v>
      </c>
      <c r="I219" s="2">
        <f>'TOBALABA 3'!H3</f>
        <v>6</v>
      </c>
      <c r="J219" s="2">
        <f>'TOBALABA 3'!I3</f>
        <v>2</v>
      </c>
      <c r="K219" s="2">
        <f>'TOBALABA 3'!J3</f>
        <v>7</v>
      </c>
      <c r="L219" s="2">
        <f>'TOBALABA 3'!K3</f>
        <v>9.5</v>
      </c>
      <c r="M219" s="2">
        <f>'TOBALABA 3'!L3</f>
        <v>5</v>
      </c>
      <c r="N219" s="2">
        <f>'TOBALABA 3'!M3</f>
        <v>2</v>
      </c>
      <c r="O219" s="2">
        <f>'TOBALABA 3'!N3</f>
        <v>0</v>
      </c>
      <c r="P219" s="2">
        <f>'TOBALABA 3'!O3</f>
        <v>10</v>
      </c>
      <c r="Q219" s="2">
        <f>'TOBALABA 3'!P3</f>
        <v>4</v>
      </c>
      <c r="R219" s="2">
        <f>'TOBALABA 3'!Q3</f>
        <v>0</v>
      </c>
      <c r="S219" s="2">
        <f>'TOBALABA 3'!R3</f>
        <v>0</v>
      </c>
      <c r="T219" s="2">
        <f>'TOBALABA 3'!S3</f>
        <v>8.5</v>
      </c>
      <c r="U219" s="2">
        <f>'TOBALABA 3'!T3</f>
        <v>8</v>
      </c>
      <c r="V219" s="2">
        <f>'TOBALABA 3'!U3</f>
        <v>2</v>
      </c>
      <c r="W219" s="2">
        <f>'TOBALABA 3'!V3</f>
        <v>0</v>
      </c>
      <c r="X219" s="2">
        <f>'TOBALABA 3'!W3</f>
        <v>7</v>
      </c>
      <c r="Y219" s="2">
        <f>'TOBALABA 3'!X3</f>
        <v>6</v>
      </c>
      <c r="Z219" s="2">
        <f>'TOBALABA 3'!Y3</f>
        <v>3.5</v>
      </c>
      <c r="AA219" s="2">
        <f>'TOBALABA 3'!Z3</f>
        <v>7.5</v>
      </c>
      <c r="AB219" s="2">
        <f>'TOBALABA 3'!AA3</f>
        <v>4.5</v>
      </c>
      <c r="AC219" s="2">
        <f>'TOBALABA 3'!AB3</f>
        <v>4.5</v>
      </c>
      <c r="AD219" s="2">
        <f>'TOBALABA 3'!AC3</f>
        <v>0.5</v>
      </c>
      <c r="AE219" s="2">
        <f>'TOBALABA 3'!AD3</f>
        <v>4.5</v>
      </c>
      <c r="AF219" s="2">
        <f>'TOBALABA 3'!AE3</f>
        <v>2.5</v>
      </c>
      <c r="AG219" s="2">
        <f>'TOBALABA 3'!AF3</f>
        <v>1</v>
      </c>
      <c r="AH219" s="2">
        <f>'TOBALABA 3'!AG3</f>
        <v>1</v>
      </c>
      <c r="AI219" s="2">
        <f>'TOBALABA 3'!AH3</f>
        <v>9.5</v>
      </c>
      <c r="AJ219" s="2">
        <f>'TOBALABA 3'!AI3</f>
        <v>7.5</v>
      </c>
      <c r="AK219" s="2">
        <f>'TOBALABA 3'!AJ3</f>
        <v>6.5</v>
      </c>
      <c r="AL219" s="2">
        <f>'TOBALABA 3'!AK3</f>
        <v>5</v>
      </c>
      <c r="AM219" s="2">
        <f>'TOBALABA 3'!AL3</f>
        <v>4</v>
      </c>
      <c r="AN219" s="2">
        <f>'TOBALABA 3'!AM3</f>
        <v>0</v>
      </c>
      <c r="AO219" s="2">
        <f>'TOBALABA 3'!AN3</f>
        <v>11</v>
      </c>
      <c r="AP219" s="2">
        <f>'TOBALABA 3'!AO3</f>
        <v>9</v>
      </c>
      <c r="AQ219" s="2">
        <f>'TOBALABA 3'!AP3</f>
        <v>6</v>
      </c>
      <c r="AR219" s="2">
        <f>'TOBALABA 3'!AQ3</f>
        <v>4.5</v>
      </c>
      <c r="AS219" s="2">
        <f>'TOBALABA 3'!AR3</f>
        <v>0</v>
      </c>
      <c r="AT219" s="2">
        <f>'TOBALABA 3'!AS3</f>
        <v>8.5</v>
      </c>
      <c r="AU219" s="2">
        <f>'TOBALABA 3'!AT3</f>
        <v>3.5</v>
      </c>
      <c r="AV219" s="2">
        <f>'TOBALABA 3'!AU3</f>
        <v>12</v>
      </c>
      <c r="AW219" s="2">
        <f>'TOBALABA 3'!AV3</f>
        <v>10</v>
      </c>
      <c r="AX219" s="2">
        <f>'TOBALABA 3'!AW3</f>
        <v>6</v>
      </c>
      <c r="AY219" s="2">
        <f>'TOBALABA 3'!AX3</f>
        <v>21</v>
      </c>
      <c r="AZ219" s="2">
        <f>'TOBALABA 3'!AY3</f>
        <v>18.5</v>
      </c>
      <c r="BA219" s="2">
        <f>'TOBALABA 3'!AZ3</f>
        <v>14.5</v>
      </c>
      <c r="BB219" s="2">
        <f>'TOBALABA 3'!BA3</f>
        <v>14</v>
      </c>
      <c r="BC219" s="2">
        <f>'TOBALABA 3'!BB3</f>
        <v>12.5</v>
      </c>
      <c r="BD219" s="2">
        <f>'TOBALABA 3'!BC3</f>
        <v>8.5</v>
      </c>
      <c r="BE219" s="2" t="str">
        <f>'TOBALABA 3'!BD3</f>
        <v/>
      </c>
      <c r="BF219" s="2" t="str">
        <f>'TOBALABA 3'!BE3</f>
        <v/>
      </c>
      <c r="BG219" s="2" t="str">
        <f>'TOBALABA 3'!BF3</f>
        <v/>
      </c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</row>
    <row r="220">
      <c r="A220" s="2" t="str">
        <f t="shared" si="186"/>
        <v>Toalla de Papel Jumbo (UN)Tobalaba 3</v>
      </c>
      <c r="B220" s="2" t="str">
        <f>'TOBALABA 3'!A4</f>
        <v>Tobalaba 3</v>
      </c>
      <c r="C220" s="2" t="str">
        <f>'TOBALABA 3'!B4</f>
        <v>Cafeteria</v>
      </c>
      <c r="D220" s="2" t="str">
        <f>'TOBALABA 3'!C4</f>
        <v>Toalla de Papel Jumbo (UN)</v>
      </c>
      <c r="E220" s="2">
        <f>'TOBALABA 3'!D4</f>
        <v>0</v>
      </c>
      <c r="F220" s="2">
        <f>'TOBALABA 3'!E4</f>
        <v>0</v>
      </c>
      <c r="G220" s="2">
        <f>'TOBALABA 3'!F4</f>
        <v>0</v>
      </c>
      <c r="H220" s="2">
        <f>'TOBALABA 3'!G4</f>
        <v>0</v>
      </c>
      <c r="I220" s="2">
        <f>'TOBALABA 3'!H4</f>
        <v>6</v>
      </c>
      <c r="J220" s="2">
        <f>'TOBALABA 3'!I4</f>
        <v>0</v>
      </c>
      <c r="K220" s="2">
        <f>'TOBALABA 3'!J4</f>
        <v>0</v>
      </c>
      <c r="L220" s="2">
        <f>'TOBALABA 3'!K4</f>
        <v>0</v>
      </c>
      <c r="M220" s="2">
        <f>'TOBALABA 3'!L4</f>
        <v>0</v>
      </c>
      <c r="N220" s="2">
        <f>'TOBALABA 3'!M4</f>
        <v>12</v>
      </c>
      <c r="O220" s="2">
        <f>'TOBALABA 3'!N4</f>
        <v>4</v>
      </c>
      <c r="P220" s="2">
        <f>'TOBALABA 3'!O4</f>
        <v>2</v>
      </c>
      <c r="Q220" s="2">
        <f>'TOBALABA 3'!P4</f>
        <v>0</v>
      </c>
      <c r="R220" s="2">
        <f>'TOBALABA 3'!Q4</f>
        <v>8</v>
      </c>
      <c r="S220" s="2">
        <f>'TOBALABA 3'!R4</f>
        <v>18</v>
      </c>
      <c r="T220" s="2">
        <f>'TOBALABA 3'!S4</f>
        <v>8</v>
      </c>
      <c r="U220" s="2">
        <f>'TOBALABA 3'!T4</f>
        <v>6</v>
      </c>
      <c r="V220" s="2">
        <f>'TOBALABA 3'!U4</f>
        <v>0</v>
      </c>
      <c r="W220" s="2">
        <f>'TOBALABA 3'!V4</f>
        <v>20</v>
      </c>
      <c r="X220" s="2">
        <f>'TOBALABA 3'!W4</f>
        <v>6</v>
      </c>
      <c r="Y220" s="2">
        <f>'TOBALABA 3'!X4</f>
        <v>0</v>
      </c>
      <c r="Z220" s="2">
        <f>'TOBALABA 3'!Y4</f>
        <v>8</v>
      </c>
      <c r="AA220" s="2">
        <f>'TOBALABA 3'!Z4</f>
        <v>2</v>
      </c>
      <c r="AB220" s="2">
        <f>'TOBALABA 3'!AA4</f>
        <v>14</v>
      </c>
      <c r="AC220" s="2">
        <f>'TOBALABA 3'!AB4</f>
        <v>14</v>
      </c>
      <c r="AD220" s="2">
        <f>'TOBALABA 3'!AC4</f>
        <v>8</v>
      </c>
      <c r="AE220" s="2">
        <f>'TOBALABA 3'!AD4</f>
        <v>8</v>
      </c>
      <c r="AF220" s="2">
        <f>'TOBALABA 3'!AE4</f>
        <v>6</v>
      </c>
      <c r="AG220" s="2">
        <f>'TOBALABA 3'!AF4</f>
        <v>6</v>
      </c>
      <c r="AH220" s="2">
        <f>'TOBALABA 3'!AG4</f>
        <v>3</v>
      </c>
      <c r="AI220" s="2">
        <f>'TOBALABA 3'!AH4</f>
        <v>10</v>
      </c>
      <c r="AJ220" s="2">
        <f>'TOBALABA 3'!AI4</f>
        <v>6</v>
      </c>
      <c r="AK220" s="2">
        <f>'TOBALABA 3'!AJ4</f>
        <v>4</v>
      </c>
      <c r="AL220" s="2">
        <f>'TOBALABA 3'!AK4</f>
        <v>2</v>
      </c>
      <c r="AM220" s="2">
        <f>'TOBALABA 3'!AL4</f>
        <v>0</v>
      </c>
      <c r="AN220" s="2">
        <f>'TOBALABA 3'!AM4</f>
        <v>14</v>
      </c>
      <c r="AO220" s="2">
        <f>'TOBALABA 3'!AN4</f>
        <v>10</v>
      </c>
      <c r="AP220" s="2">
        <f>'TOBALABA 3'!AO4</f>
        <v>6</v>
      </c>
      <c r="AQ220" s="2">
        <f>'TOBALABA 3'!AP4</f>
        <v>10</v>
      </c>
      <c r="AR220" s="2">
        <f>'TOBALABA 3'!AQ4</f>
        <v>10</v>
      </c>
      <c r="AS220" s="2">
        <f>'TOBALABA 3'!AR4</f>
        <v>13</v>
      </c>
      <c r="AT220" s="2">
        <f>'TOBALABA 3'!AS4</f>
        <v>4</v>
      </c>
      <c r="AU220" s="2">
        <f>'TOBALABA 3'!AT4</f>
        <v>2</v>
      </c>
      <c r="AV220" s="2">
        <f>'TOBALABA 3'!AU4</f>
        <v>0</v>
      </c>
      <c r="AW220" s="2">
        <f>'TOBALABA 3'!AV4</f>
        <v>13</v>
      </c>
      <c r="AX220" s="2">
        <f>'TOBALABA 3'!AW4</f>
        <v>9</v>
      </c>
      <c r="AY220" s="2">
        <f>'TOBALABA 3'!AX4</f>
        <v>8</v>
      </c>
      <c r="AZ220" s="2">
        <f>'TOBALABA 3'!AY4</f>
        <v>4</v>
      </c>
      <c r="BA220" s="2">
        <f>'TOBALABA 3'!AZ4</f>
        <v>1</v>
      </c>
      <c r="BB220" s="2">
        <f>'TOBALABA 3'!BA4</f>
        <v>16</v>
      </c>
      <c r="BC220" s="2">
        <f>'TOBALABA 3'!BB4</f>
        <v>14</v>
      </c>
      <c r="BD220" s="2">
        <f>'TOBALABA 3'!BC4</f>
        <v>5</v>
      </c>
      <c r="BE220" s="2" t="str">
        <f>'TOBALABA 3'!BD4</f>
        <v/>
      </c>
      <c r="BF220" s="2" t="str">
        <f>'TOBALABA 3'!BE4</f>
        <v/>
      </c>
      <c r="BG220" s="2" t="str">
        <f>'TOBALABA 3'!BF4</f>
        <v/>
      </c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</row>
    <row r="221">
      <c r="A221" s="2" t="str">
        <f t="shared" si="186"/>
        <v>Papel Higienico (UN)Tobalaba 3</v>
      </c>
      <c r="B221" s="2" t="str">
        <f>'TOBALABA 3'!A5</f>
        <v>Tobalaba 3</v>
      </c>
      <c r="C221" s="2" t="str">
        <f>'TOBALABA 3'!B5</f>
        <v>Cafeteria</v>
      </c>
      <c r="D221" s="2" t="str">
        <f>'TOBALABA 3'!C5</f>
        <v>Papel Higienico (UN)</v>
      </c>
      <c r="E221" s="2">
        <f>'TOBALABA 3'!D5</f>
        <v>32</v>
      </c>
      <c r="F221" s="2">
        <f>'TOBALABA 3'!E5</f>
        <v>28</v>
      </c>
      <c r="G221" s="2">
        <f>'TOBALABA 3'!F5</f>
        <v>25</v>
      </c>
      <c r="H221" s="2">
        <f>'TOBALABA 3'!G5</f>
        <v>14</v>
      </c>
      <c r="I221" s="2">
        <f>'TOBALABA 3'!H5</f>
        <v>40</v>
      </c>
      <c r="J221" s="2">
        <f>'TOBALABA 3'!I5</f>
        <v>32</v>
      </c>
      <c r="K221" s="2">
        <f>'TOBALABA 3'!J5</f>
        <v>24</v>
      </c>
      <c r="L221" s="2">
        <f>'TOBALABA 3'!K5</f>
        <v>50</v>
      </c>
      <c r="M221" s="2">
        <f>'TOBALABA 3'!L5</f>
        <v>45</v>
      </c>
      <c r="N221" s="2">
        <f>'TOBALABA 3'!M5</f>
        <v>38</v>
      </c>
      <c r="O221" s="2">
        <f>'TOBALABA 3'!N5</f>
        <v>32</v>
      </c>
      <c r="P221" s="2">
        <f>'TOBALABA 3'!O5</f>
        <v>20</v>
      </c>
      <c r="Q221" s="2">
        <f>'TOBALABA 3'!P5</f>
        <v>6</v>
      </c>
      <c r="R221" s="2">
        <f>'TOBALABA 3'!Q5</f>
        <v>24</v>
      </c>
      <c r="S221" s="2">
        <f>'TOBALABA 3'!R5</f>
        <v>28</v>
      </c>
      <c r="T221" s="2">
        <f>'TOBALABA 3'!S5</f>
        <v>20</v>
      </c>
      <c r="U221" s="2">
        <f>'TOBALABA 3'!T5</f>
        <v>20</v>
      </c>
      <c r="V221" s="2">
        <f>'TOBALABA 3'!U5</f>
        <v>24</v>
      </c>
      <c r="W221" s="2">
        <f>'TOBALABA 3'!V5</f>
        <v>50</v>
      </c>
      <c r="X221" s="2">
        <f>'TOBALABA 3'!W5</f>
        <v>40</v>
      </c>
      <c r="Y221" s="2">
        <f>'TOBALABA 3'!X5</f>
        <v>28</v>
      </c>
      <c r="Z221" s="2">
        <f>'TOBALABA 3'!Y5</f>
        <v>40</v>
      </c>
      <c r="AA221" s="2">
        <f>'TOBALABA 3'!Z5</f>
        <v>32</v>
      </c>
      <c r="AB221" s="2">
        <f>'TOBALABA 3'!AA5</f>
        <v>50</v>
      </c>
      <c r="AC221" s="2">
        <f>'TOBALABA 3'!AB5</f>
        <v>32</v>
      </c>
      <c r="AD221" s="2">
        <f>'TOBALABA 3'!AC5</f>
        <v>48</v>
      </c>
      <c r="AE221" s="2">
        <f>'TOBALABA 3'!AD5</f>
        <v>47</v>
      </c>
      <c r="AF221" s="2">
        <f>'TOBALABA 3'!AE5</f>
        <v>44</v>
      </c>
      <c r="AG221" s="2">
        <f>'TOBALABA 3'!AF5</f>
        <v>44</v>
      </c>
      <c r="AH221" s="2">
        <f>'TOBALABA 3'!AG5</f>
        <v>36</v>
      </c>
      <c r="AI221" s="2">
        <f>'TOBALABA 3'!AH5</f>
        <v>48</v>
      </c>
      <c r="AJ221" s="2">
        <f>'TOBALABA 3'!AI5</f>
        <v>44</v>
      </c>
      <c r="AK221" s="2">
        <f>'TOBALABA 3'!AJ5</f>
        <v>44</v>
      </c>
      <c r="AL221" s="2">
        <f>'TOBALABA 3'!AK5</f>
        <v>44</v>
      </c>
      <c r="AM221" s="2">
        <f>'TOBALABA 3'!AL5</f>
        <v>32</v>
      </c>
      <c r="AN221" s="2">
        <f>'TOBALABA 3'!AM5</f>
        <v>56</v>
      </c>
      <c r="AO221" s="2">
        <f>'TOBALABA 3'!AN5</f>
        <v>56</v>
      </c>
      <c r="AP221" s="2">
        <f>'TOBALABA 3'!AO5</f>
        <v>56</v>
      </c>
      <c r="AQ221" s="2">
        <f>'TOBALABA 3'!AP5</f>
        <v>56</v>
      </c>
      <c r="AR221" s="2">
        <f>'TOBALABA 3'!AQ5</f>
        <v>56</v>
      </c>
      <c r="AS221" s="2">
        <f>'TOBALABA 3'!AR5</f>
        <v>50</v>
      </c>
      <c r="AT221" s="2">
        <f>'TOBALABA 3'!AS5</f>
        <v>43</v>
      </c>
      <c r="AU221" s="2">
        <f>'TOBALABA 3'!AT5</f>
        <v>32</v>
      </c>
      <c r="AV221" s="2">
        <f>'TOBALABA 3'!AU5</f>
        <v>31</v>
      </c>
      <c r="AW221" s="2">
        <f>'TOBALABA 3'!AV5</f>
        <v>23</v>
      </c>
      <c r="AX221" s="2">
        <f>'TOBALABA 3'!AW5</f>
        <v>22</v>
      </c>
      <c r="AY221" s="2">
        <f>'TOBALABA 3'!AX5</f>
        <v>17</v>
      </c>
      <c r="AZ221" s="2">
        <f>'TOBALABA 3'!AY5</f>
        <v>16</v>
      </c>
      <c r="BA221" s="2">
        <f>'TOBALABA 3'!AZ5</f>
        <v>13</v>
      </c>
      <c r="BB221" s="2">
        <f>'TOBALABA 3'!BA5</f>
        <v>28</v>
      </c>
      <c r="BC221" s="2">
        <f>'TOBALABA 3'!BB5</f>
        <v>24</v>
      </c>
      <c r="BD221" s="2">
        <f>'TOBALABA 3'!BC5</f>
        <v>20</v>
      </c>
      <c r="BE221" s="2" t="str">
        <f>'TOBALABA 3'!BD5</f>
        <v/>
      </c>
      <c r="BF221" s="2" t="str">
        <f>'TOBALABA 3'!BE5</f>
        <v/>
      </c>
      <c r="BG221" s="2" t="str">
        <f>'TOBALABA 3'!BF5</f>
        <v/>
      </c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</row>
    <row r="222">
      <c r="A222" s="2" t="str">
        <f t="shared" si="186"/>
        <v>Resma Papel Fotocopia (UN)Tobalaba 3</v>
      </c>
      <c r="B222" s="2" t="str">
        <f>'TOBALABA 3'!A6</f>
        <v>Tobalaba 3</v>
      </c>
      <c r="C222" s="2" t="str">
        <f>'TOBALABA 3'!B6</f>
        <v>Cafeteria</v>
      </c>
      <c r="D222" s="2" t="str">
        <f>'TOBALABA 3'!C6</f>
        <v>Resma Papel Fotocopia (UN)</v>
      </c>
      <c r="E222" s="2">
        <f>'TOBALABA 3'!D6</f>
        <v>4</v>
      </c>
      <c r="F222" s="2">
        <f>'TOBALABA 3'!E6</f>
        <v>3</v>
      </c>
      <c r="G222" s="2">
        <f>'TOBALABA 3'!F6</f>
        <v>3</v>
      </c>
      <c r="H222" s="2">
        <f>'TOBALABA 3'!G6</f>
        <v>3</v>
      </c>
      <c r="I222" s="2">
        <f>'TOBALABA 3'!H6</f>
        <v>3</v>
      </c>
      <c r="J222" s="2">
        <f>'TOBALABA 3'!I6</f>
        <v>3</v>
      </c>
      <c r="K222" s="2">
        <f>'TOBALABA 3'!J6</f>
        <v>3</v>
      </c>
      <c r="L222" s="2">
        <f>'TOBALABA 3'!K6</f>
        <v>3</v>
      </c>
      <c r="M222" s="2">
        <f>'TOBALABA 3'!L6</f>
        <v>3</v>
      </c>
      <c r="N222" s="2">
        <f>'TOBALABA 3'!M6</f>
        <v>3</v>
      </c>
      <c r="O222" s="2">
        <f>'TOBALABA 3'!N6</f>
        <v>2</v>
      </c>
      <c r="P222" s="2">
        <f>'TOBALABA 3'!O6</f>
        <v>2</v>
      </c>
      <c r="Q222" s="2">
        <f>'TOBALABA 3'!P6</f>
        <v>1</v>
      </c>
      <c r="R222" s="2">
        <f>'TOBALABA 3'!Q6</f>
        <v>1</v>
      </c>
      <c r="S222" s="2">
        <f>'TOBALABA 3'!R6</f>
        <v>1</v>
      </c>
      <c r="T222" s="2">
        <f>'TOBALABA 3'!S6</f>
        <v>0</v>
      </c>
      <c r="U222" s="2">
        <f>'TOBALABA 3'!T6</f>
        <v>0</v>
      </c>
      <c r="V222" s="2">
        <f>'TOBALABA 3'!U6</f>
        <v>0</v>
      </c>
      <c r="W222" s="2">
        <f>'TOBALABA 3'!V6</f>
        <v>1</v>
      </c>
      <c r="X222" s="2">
        <f>'TOBALABA 3'!W6</f>
        <v>1</v>
      </c>
      <c r="Y222" s="2">
        <f>'TOBALABA 3'!X6</f>
        <v>1</v>
      </c>
      <c r="Z222" s="2">
        <f>'TOBALABA 3'!Y6</f>
        <v>1</v>
      </c>
      <c r="AA222" s="2">
        <f>'TOBALABA 3'!Z6</f>
        <v>1</v>
      </c>
      <c r="AB222" s="2">
        <f>'TOBALABA 3'!AA6</f>
        <v>0</v>
      </c>
      <c r="AC222" s="2">
        <f>'TOBALABA 3'!AB6</f>
        <v>0</v>
      </c>
      <c r="AD222" s="2">
        <f>'TOBALABA 3'!AC6</f>
        <v>0</v>
      </c>
      <c r="AE222" s="2">
        <f>'TOBALABA 3'!AD6</f>
        <v>2</v>
      </c>
      <c r="AF222" s="2">
        <f>'TOBALABA 3'!AE6</f>
        <v>2</v>
      </c>
      <c r="AG222" s="2">
        <f>'TOBALABA 3'!AF6</f>
        <v>2</v>
      </c>
      <c r="AH222" s="2">
        <f>'TOBALABA 3'!AG6</f>
        <v>2</v>
      </c>
      <c r="AI222" s="2">
        <f>'TOBALABA 3'!AH6</f>
        <v>4</v>
      </c>
      <c r="AJ222" s="2">
        <f>'TOBALABA 3'!AI6</f>
        <v>4</v>
      </c>
      <c r="AK222" s="2">
        <f>'TOBALABA 3'!AJ6</f>
        <v>4</v>
      </c>
      <c r="AL222" s="2">
        <f>'TOBALABA 3'!AK6</f>
        <v>4</v>
      </c>
      <c r="AM222" s="2">
        <f>'TOBALABA 3'!AL6</f>
        <v>4</v>
      </c>
      <c r="AN222" s="2">
        <f>'TOBALABA 3'!AM6</f>
        <v>4</v>
      </c>
      <c r="AO222" s="2">
        <f>'TOBALABA 3'!AN6</f>
        <v>4</v>
      </c>
      <c r="AP222" s="2">
        <f>'TOBALABA 3'!AO6</f>
        <v>5</v>
      </c>
      <c r="AQ222" s="2">
        <f>'TOBALABA 3'!AP6</f>
        <v>8</v>
      </c>
      <c r="AR222" s="2">
        <f>'TOBALABA 3'!AQ6</f>
        <v>8</v>
      </c>
      <c r="AS222" s="2">
        <f>'TOBALABA 3'!AR6</f>
        <v>8</v>
      </c>
      <c r="AT222" s="2">
        <f>'TOBALABA 3'!AS6</f>
        <v>8</v>
      </c>
      <c r="AU222" s="2">
        <f>'TOBALABA 3'!AT6</f>
        <v>4</v>
      </c>
      <c r="AV222" s="2">
        <f>'TOBALABA 3'!AU6</f>
        <v>4</v>
      </c>
      <c r="AW222" s="2">
        <f>'TOBALABA 3'!AV6</f>
        <v>7</v>
      </c>
      <c r="AX222" s="2">
        <f>'TOBALABA 3'!AW6</f>
        <v>7</v>
      </c>
      <c r="AY222" s="2">
        <f>'TOBALABA 3'!AX6</f>
        <v>6</v>
      </c>
      <c r="AZ222" s="2">
        <f>'TOBALABA 3'!AY6</f>
        <v>10</v>
      </c>
      <c r="BA222" s="2">
        <f>'TOBALABA 3'!AZ6</f>
        <v>10</v>
      </c>
      <c r="BB222" s="2">
        <f>'TOBALABA 3'!BA6</f>
        <v>7</v>
      </c>
      <c r="BC222" s="2">
        <f>'TOBALABA 3'!BB6</f>
        <v>7</v>
      </c>
      <c r="BD222" s="2">
        <f>'TOBALABA 3'!BC6</f>
        <v>6</v>
      </c>
      <c r="BE222" s="2" t="str">
        <f>'TOBALABA 3'!BD6</f>
        <v/>
      </c>
      <c r="BF222" s="2" t="str">
        <f>'TOBALABA 3'!BE6</f>
        <v/>
      </c>
      <c r="BG222" s="2" t="str">
        <f>'TOBALABA 3'!BF6</f>
        <v/>
      </c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</row>
    <row r="223">
      <c r="A223" s="2" t="str">
        <f t="shared" si="186"/>
        <v>Leche LiquidaTobalaba 3</v>
      </c>
      <c r="B223" s="2" t="str">
        <f>'TOBALABA 3'!A7</f>
        <v>Tobalaba 3</v>
      </c>
      <c r="C223" s="2" t="str">
        <f>'TOBALABA 3'!B7</f>
        <v>Cafeteria</v>
      </c>
      <c r="D223" s="2" t="str">
        <f>'TOBALABA 3'!C7</f>
        <v>Leche Liquida</v>
      </c>
      <c r="E223" s="2" t="str">
        <f>'TOBALABA 3'!D7</f>
        <v/>
      </c>
      <c r="F223" s="2" t="str">
        <f>'TOBALABA 3'!E7</f>
        <v/>
      </c>
      <c r="G223" s="2" t="str">
        <f>'TOBALABA 3'!F7</f>
        <v/>
      </c>
      <c r="H223" s="2" t="str">
        <f>'TOBALABA 3'!G7</f>
        <v/>
      </c>
      <c r="I223" s="2" t="str">
        <f>'TOBALABA 3'!H7</f>
        <v/>
      </c>
      <c r="J223" s="2" t="str">
        <f>'TOBALABA 3'!I7</f>
        <v/>
      </c>
      <c r="K223" s="2" t="str">
        <f>'TOBALABA 3'!J7</f>
        <v/>
      </c>
      <c r="L223" s="2" t="str">
        <f>'TOBALABA 3'!K7</f>
        <v/>
      </c>
      <c r="M223" s="2" t="str">
        <f>'TOBALABA 3'!L7</f>
        <v/>
      </c>
      <c r="N223" s="2" t="str">
        <f>'TOBALABA 3'!M7</f>
        <v/>
      </c>
      <c r="O223" s="2" t="str">
        <f>'TOBALABA 3'!N7</f>
        <v/>
      </c>
      <c r="P223" s="2" t="str">
        <f>'TOBALABA 3'!O7</f>
        <v/>
      </c>
      <c r="Q223" s="2" t="str">
        <f>'TOBALABA 3'!P7</f>
        <v/>
      </c>
      <c r="R223" s="2" t="str">
        <f>'TOBALABA 3'!Q7</f>
        <v>-</v>
      </c>
      <c r="S223" s="2" t="str">
        <f>'TOBALABA 3'!R7</f>
        <v>-</v>
      </c>
      <c r="T223" s="2" t="str">
        <f>'TOBALABA 3'!S7</f>
        <v>-</v>
      </c>
      <c r="U223" s="2" t="str">
        <f>'TOBALABA 3'!T7</f>
        <v>-</v>
      </c>
      <c r="V223" s="2" t="str">
        <f>'TOBALABA 3'!U7</f>
        <v>-</v>
      </c>
      <c r="W223" s="2" t="str">
        <f>'TOBALABA 3'!V7</f>
        <v>-</v>
      </c>
      <c r="X223" s="2" t="str">
        <f>'TOBALABA 3'!W7</f>
        <v>-</v>
      </c>
      <c r="Y223" s="2" t="str">
        <f>'TOBALABA 3'!X7</f>
        <v>-</v>
      </c>
      <c r="Z223" s="2" t="str">
        <f>'TOBALABA 3'!Y7</f>
        <v>-</v>
      </c>
      <c r="AA223" s="2">
        <f>'TOBALABA 3'!Z7</f>
        <v>0</v>
      </c>
      <c r="AB223" s="2">
        <f>'TOBALABA 3'!AA7</f>
        <v>15</v>
      </c>
      <c r="AC223" s="2">
        <f>'TOBALABA 3'!AB7</f>
        <v>14</v>
      </c>
      <c r="AD223" s="2">
        <f>'TOBALABA 3'!AC7</f>
        <v>10</v>
      </c>
      <c r="AE223" s="2">
        <f>'TOBALABA 3'!AD7</f>
        <v>9</v>
      </c>
      <c r="AF223" s="2">
        <f>'TOBALABA 3'!AE7</f>
        <v>6</v>
      </c>
      <c r="AG223" s="2">
        <f>'TOBALABA 3'!AF7</f>
        <v>5</v>
      </c>
      <c r="AH223" s="2">
        <f>'TOBALABA 3'!AG7</f>
        <v>2</v>
      </c>
      <c r="AI223" s="2">
        <f>'TOBALABA 3'!AH7</f>
        <v>27</v>
      </c>
      <c r="AJ223" s="2">
        <f>'TOBALABA 3'!AI7</f>
        <v>25</v>
      </c>
      <c r="AK223" s="2">
        <f>'TOBALABA 3'!AJ7</f>
        <v>23</v>
      </c>
      <c r="AL223" s="2">
        <f>'TOBALABA 3'!AK7</f>
        <v>21</v>
      </c>
      <c r="AM223" s="2">
        <f>'TOBALABA 3'!AL7</f>
        <v>20</v>
      </c>
      <c r="AN223" s="2">
        <f>'TOBALABA 3'!AM7</f>
        <v>10</v>
      </c>
      <c r="AO223" s="2">
        <f>'TOBALABA 3'!AN7</f>
        <v>8</v>
      </c>
      <c r="AP223" s="2">
        <f>'TOBALABA 3'!AO7</f>
        <v>22</v>
      </c>
      <c r="AQ223" s="2">
        <f>'TOBALABA 3'!AP7</f>
        <v>44</v>
      </c>
      <c r="AR223" s="2">
        <f>'TOBALABA 3'!AQ7</f>
        <v>42</v>
      </c>
      <c r="AS223" s="2">
        <f>'TOBALABA 3'!AR7</f>
        <v>36</v>
      </c>
      <c r="AT223" s="2">
        <f>'TOBALABA 3'!AS7</f>
        <v>31</v>
      </c>
      <c r="AU223" s="2">
        <f>'TOBALABA 3'!AT7</f>
        <v>23</v>
      </c>
      <c r="AV223" s="2">
        <f>'TOBALABA 3'!AU7</f>
        <v>20</v>
      </c>
      <c r="AW223" s="2">
        <f>'TOBALABA 3'!AV7</f>
        <v>18</v>
      </c>
      <c r="AX223" s="2">
        <f>'TOBALABA 3'!AW7</f>
        <v>13</v>
      </c>
      <c r="AY223" s="2">
        <f>'TOBALABA 3'!AX7</f>
        <v>11</v>
      </c>
      <c r="AZ223" s="2">
        <f>'TOBALABA 3'!AY7</f>
        <v>8</v>
      </c>
      <c r="BA223" s="2">
        <f>'TOBALABA 3'!AZ7</f>
        <v>6</v>
      </c>
      <c r="BB223" s="2">
        <f>'TOBALABA 3'!BA7</f>
        <v>27</v>
      </c>
      <c r="BC223" s="2">
        <f>'TOBALABA 3'!BB7</f>
        <v>24</v>
      </c>
      <c r="BD223" s="2">
        <f>'TOBALABA 3'!BC7</f>
        <v>20</v>
      </c>
      <c r="BE223" s="2" t="str">
        <f>'TOBALABA 3'!BD7</f>
        <v/>
      </c>
      <c r="BF223" s="2" t="str">
        <f>'TOBALABA 3'!BE7</f>
        <v/>
      </c>
      <c r="BG223" s="2" t="str">
        <f>'TOBALABA 3'!BF7</f>
        <v/>
      </c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</row>
    <row r="224">
      <c r="A224" s="2" t="str">
        <f t="shared" si="186"/>
        <v>Endulzante Tobalaba 3</v>
      </c>
      <c r="B224" s="2" t="str">
        <f>'TOBALABA 3'!A8</f>
        <v>Tobalaba 3</v>
      </c>
      <c r="C224" s="2" t="str">
        <f>'TOBALABA 3'!B8</f>
        <v>Cafeteria</v>
      </c>
      <c r="D224" s="2" t="str">
        <f>'TOBALABA 3'!C8</f>
        <v>Endulzante </v>
      </c>
      <c r="E224" s="2" t="str">
        <f>'TOBALABA 3'!D8</f>
        <v/>
      </c>
      <c r="F224" s="2" t="str">
        <f>'TOBALABA 3'!E8</f>
        <v/>
      </c>
      <c r="G224" s="2" t="str">
        <f>'TOBALABA 3'!F8</f>
        <v/>
      </c>
      <c r="H224" s="2" t="str">
        <f>'TOBALABA 3'!G8</f>
        <v/>
      </c>
      <c r="I224" s="2" t="str">
        <f>'TOBALABA 3'!H8</f>
        <v/>
      </c>
      <c r="J224" s="2" t="str">
        <f>'TOBALABA 3'!I8</f>
        <v/>
      </c>
      <c r="K224" s="2" t="str">
        <f>'TOBALABA 3'!J8</f>
        <v/>
      </c>
      <c r="L224" s="2" t="str">
        <f>'TOBALABA 3'!K8</f>
        <v/>
      </c>
      <c r="M224" s="2" t="str">
        <f>'TOBALABA 3'!L8</f>
        <v/>
      </c>
      <c r="N224" s="2" t="str">
        <f>'TOBALABA 3'!M8</f>
        <v/>
      </c>
      <c r="O224" s="2" t="str">
        <f>'TOBALABA 3'!N8</f>
        <v/>
      </c>
      <c r="P224" s="2" t="str">
        <f>'TOBALABA 3'!O8</f>
        <v/>
      </c>
      <c r="Q224" s="2" t="str">
        <f>'TOBALABA 3'!P8</f>
        <v/>
      </c>
      <c r="R224" s="2" t="str">
        <f>'TOBALABA 3'!Q8</f>
        <v>-</v>
      </c>
      <c r="S224" s="2" t="str">
        <f>'TOBALABA 3'!R8</f>
        <v>-</v>
      </c>
      <c r="T224" s="2" t="str">
        <f>'TOBALABA 3'!S8</f>
        <v>-</v>
      </c>
      <c r="U224" s="2" t="str">
        <f>'TOBALABA 3'!T8</f>
        <v>-</v>
      </c>
      <c r="V224" s="2" t="str">
        <f>'TOBALABA 3'!U8</f>
        <v>-</v>
      </c>
      <c r="W224" s="2" t="str">
        <f>'TOBALABA 3'!V8</f>
        <v>-</v>
      </c>
      <c r="X224" s="2" t="str">
        <f>'TOBALABA 3'!W8</f>
        <v>-</v>
      </c>
      <c r="Y224" s="2" t="str">
        <f>'TOBALABA 3'!X8</f>
        <v>-</v>
      </c>
      <c r="Z224" s="2" t="str">
        <f>'TOBALABA 3'!Y8</f>
        <v>-</v>
      </c>
      <c r="AA224" s="2">
        <f>'TOBALABA 3'!Z8</f>
        <v>1</v>
      </c>
      <c r="AB224" s="2">
        <f>'TOBALABA 3'!AA8</f>
        <v>2</v>
      </c>
      <c r="AC224" s="2">
        <f>'TOBALABA 3'!AB8</f>
        <v>3</v>
      </c>
      <c r="AD224" s="2">
        <f>'TOBALABA 3'!AC8</f>
        <v>2</v>
      </c>
      <c r="AE224" s="2">
        <f>'TOBALABA 3'!AD8</f>
        <v>2</v>
      </c>
      <c r="AF224" s="2">
        <f>'TOBALABA 3'!AE8</f>
        <v>1</v>
      </c>
      <c r="AG224" s="2">
        <f>'TOBALABA 3'!AF8</f>
        <v>1</v>
      </c>
      <c r="AH224" s="2">
        <f>'TOBALABA 3'!AG8</f>
        <v>1</v>
      </c>
      <c r="AI224" s="2">
        <f>'TOBALABA 3'!AH8</f>
        <v>5</v>
      </c>
      <c r="AJ224" s="2">
        <f>'TOBALABA 3'!AI8</f>
        <v>5</v>
      </c>
      <c r="AK224" s="2">
        <f>'TOBALABA 3'!AJ8</f>
        <v>4</v>
      </c>
      <c r="AL224" s="2">
        <f>'TOBALABA 3'!AK8</f>
        <v>3</v>
      </c>
      <c r="AM224" s="2">
        <f>'TOBALABA 3'!AL8</f>
        <v>3</v>
      </c>
      <c r="AN224" s="2">
        <f>'TOBALABA 3'!AM8</f>
        <v>3</v>
      </c>
      <c r="AO224" s="2">
        <f>'TOBALABA 3'!AN8</f>
        <v>2</v>
      </c>
      <c r="AP224" s="2">
        <f>'TOBALABA 3'!AO8</f>
        <v>2</v>
      </c>
      <c r="AQ224" s="2">
        <f>'TOBALABA 3'!AP8</f>
        <v>2</v>
      </c>
      <c r="AR224" s="2">
        <f>'TOBALABA 3'!AQ8</f>
        <v>2</v>
      </c>
      <c r="AS224" s="2">
        <f>'TOBALABA 3'!AR8</f>
        <v>1</v>
      </c>
      <c r="AT224" s="2">
        <f>'TOBALABA 3'!AS8</f>
        <v>0</v>
      </c>
      <c r="AU224" s="2">
        <f>'TOBALABA 3'!AT8</f>
        <v>1</v>
      </c>
      <c r="AV224" s="2">
        <f>'TOBALABA 3'!AU8</f>
        <v>2</v>
      </c>
      <c r="AW224" s="2">
        <f>'TOBALABA 3'!AV8</f>
        <v>2</v>
      </c>
      <c r="AX224" s="2">
        <f>'TOBALABA 3'!AW8</f>
        <v>2</v>
      </c>
      <c r="AY224" s="2">
        <f>'TOBALABA 3'!AX8</f>
        <v>2</v>
      </c>
      <c r="AZ224" s="2">
        <f>'TOBALABA 3'!AY8</f>
        <v>1</v>
      </c>
      <c r="BA224" s="2">
        <f>'TOBALABA 3'!AZ8</f>
        <v>1</v>
      </c>
      <c r="BB224" s="2">
        <f>'TOBALABA 3'!BA8</f>
        <v>3</v>
      </c>
      <c r="BC224" s="2">
        <f>'TOBALABA 3'!BB8</f>
        <v>3</v>
      </c>
      <c r="BD224" s="2">
        <f>'TOBALABA 3'!BC8</f>
        <v>2</v>
      </c>
      <c r="BE224" s="2" t="str">
        <f>'TOBALABA 3'!BD8</f>
        <v/>
      </c>
      <c r="BF224" s="2" t="str">
        <f>'TOBALABA 3'!BE8</f>
        <v/>
      </c>
      <c r="BG224" s="2" t="str">
        <f>'TOBALABA 3'!BF8</f>
        <v/>
      </c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</row>
    <row r="225">
      <c r="A225" s="2" t="str">
        <f t="shared" si="186"/>
        <v>Azucar (caja)Tobalaba 3</v>
      </c>
      <c r="B225" s="2" t="str">
        <f>'TOBALABA 3'!A9</f>
        <v>Tobalaba 3</v>
      </c>
      <c r="C225" s="2" t="str">
        <f>'TOBALABA 3'!B9</f>
        <v>Cafeteria</v>
      </c>
      <c r="D225" s="2" t="str">
        <f>'TOBALABA 3'!C9</f>
        <v>Azucar (caja)</v>
      </c>
      <c r="E225" s="2" t="str">
        <f>'TOBALABA 3'!D9</f>
        <v/>
      </c>
      <c r="F225" s="2" t="str">
        <f>'TOBALABA 3'!E9</f>
        <v/>
      </c>
      <c r="G225" s="2" t="str">
        <f>'TOBALABA 3'!F9</f>
        <v/>
      </c>
      <c r="H225" s="2" t="str">
        <f>'TOBALABA 3'!G9</f>
        <v/>
      </c>
      <c r="I225" s="2" t="str">
        <f>'TOBALABA 3'!H9</f>
        <v/>
      </c>
      <c r="J225" s="2" t="str">
        <f>'TOBALABA 3'!I9</f>
        <v/>
      </c>
      <c r="K225" s="2" t="str">
        <f>'TOBALABA 3'!J9</f>
        <v/>
      </c>
      <c r="L225" s="2" t="str">
        <f>'TOBALABA 3'!K9</f>
        <v/>
      </c>
      <c r="M225" s="2" t="str">
        <f>'TOBALABA 3'!L9</f>
        <v/>
      </c>
      <c r="N225" s="2" t="str">
        <f>'TOBALABA 3'!M9</f>
        <v/>
      </c>
      <c r="O225" s="2" t="str">
        <f>'TOBALABA 3'!N9</f>
        <v/>
      </c>
      <c r="P225" s="2" t="str">
        <f>'TOBALABA 3'!O9</f>
        <v/>
      </c>
      <c r="Q225" s="2" t="str">
        <f>'TOBALABA 3'!P9</f>
        <v/>
      </c>
      <c r="R225" s="2" t="str">
        <f>'TOBALABA 3'!Q9</f>
        <v/>
      </c>
      <c r="S225" s="2" t="str">
        <f>'TOBALABA 3'!R9</f>
        <v/>
      </c>
      <c r="T225" s="2" t="str">
        <f>'TOBALABA 3'!S9</f>
        <v/>
      </c>
      <c r="U225" s="2" t="str">
        <f>'TOBALABA 3'!T9</f>
        <v/>
      </c>
      <c r="V225" s="2" t="str">
        <f>'TOBALABA 3'!U9</f>
        <v/>
      </c>
      <c r="W225" s="2" t="str">
        <f>'TOBALABA 3'!V9</f>
        <v/>
      </c>
      <c r="X225" s="2" t="str">
        <f>'TOBALABA 3'!W9</f>
        <v/>
      </c>
      <c r="Y225" s="2" t="str">
        <f>'TOBALABA 3'!X9</f>
        <v/>
      </c>
      <c r="Z225" s="2" t="str">
        <f>'TOBALABA 3'!Y9</f>
        <v/>
      </c>
      <c r="AA225" s="2" t="str">
        <f>'TOBALABA 3'!Z9</f>
        <v/>
      </c>
      <c r="AB225" s="2" t="str">
        <f>'TOBALABA 3'!AA9</f>
        <v/>
      </c>
      <c r="AC225" s="2" t="str">
        <f>'TOBALABA 3'!AB9</f>
        <v/>
      </c>
      <c r="AD225" s="2" t="str">
        <f>'TOBALABA 3'!AC9</f>
        <v/>
      </c>
      <c r="AE225" s="2" t="str">
        <f>'TOBALABA 3'!AD9</f>
        <v/>
      </c>
      <c r="AF225" s="2" t="str">
        <f>'TOBALABA 3'!AE9</f>
        <v/>
      </c>
      <c r="AG225" s="2" t="str">
        <f>'TOBALABA 3'!AF9</f>
        <v/>
      </c>
      <c r="AH225" s="2" t="str">
        <f>'TOBALABA 3'!AG9</f>
        <v/>
      </c>
      <c r="AI225" s="2" t="str">
        <f>'TOBALABA 3'!AH9</f>
        <v/>
      </c>
      <c r="AJ225" s="2" t="str">
        <f>'TOBALABA 3'!AI9</f>
        <v/>
      </c>
      <c r="AK225" s="2" t="str">
        <f>'TOBALABA 3'!AJ9</f>
        <v/>
      </c>
      <c r="AL225" s="2" t="str">
        <f>'TOBALABA 3'!AK9</f>
        <v/>
      </c>
      <c r="AM225" s="2">
        <f>'TOBALABA 3'!AL9</f>
        <v>0</v>
      </c>
      <c r="AN225" s="2">
        <f>'TOBALABA 3'!AM9</f>
        <v>0</v>
      </c>
      <c r="AO225" s="2">
        <f>'TOBALABA 3'!AN9</f>
        <v>0</v>
      </c>
      <c r="AP225" s="2">
        <f>'TOBALABA 3'!AO9</f>
        <v>0</v>
      </c>
      <c r="AQ225" s="2">
        <f>'TOBALABA 3'!AP9</f>
        <v>0</v>
      </c>
      <c r="AR225" s="2">
        <f>'TOBALABA 3'!AQ9</f>
        <v>0</v>
      </c>
      <c r="AS225" s="2">
        <f>'TOBALABA 3'!AR9</f>
        <v>0</v>
      </c>
      <c r="AT225" s="2">
        <f>'TOBALABA 3'!AS9</f>
        <v>0</v>
      </c>
      <c r="AU225" s="2">
        <f>'TOBALABA 3'!AT9</f>
        <v>0</v>
      </c>
      <c r="AV225" s="2">
        <f>'TOBALABA 3'!AU9</f>
        <v>2</v>
      </c>
      <c r="AW225" s="2">
        <f>'TOBALABA 3'!AV9</f>
        <v>2</v>
      </c>
      <c r="AX225" s="2">
        <f>'TOBALABA 3'!AW9</f>
        <v>2</v>
      </c>
      <c r="AY225" s="2">
        <f>'TOBALABA 3'!AX9</f>
        <v>2</v>
      </c>
      <c r="AZ225" s="2">
        <f>'TOBALABA 3'!AY9</f>
        <v>1</v>
      </c>
      <c r="BA225" s="2">
        <f>'TOBALABA 3'!AZ9</f>
        <v>1</v>
      </c>
      <c r="BB225" s="2">
        <f>'TOBALABA 3'!BA9</f>
        <v>1</v>
      </c>
      <c r="BC225" s="2">
        <f>'TOBALABA 3'!BB9</f>
        <v>1</v>
      </c>
      <c r="BD225" s="2">
        <f>'TOBALABA 3'!BC9</f>
        <v>1</v>
      </c>
      <c r="BE225" s="2" t="str">
        <f>'TOBALABA 3'!BD9</f>
        <v/>
      </c>
      <c r="BF225" s="2" t="str">
        <f>'TOBALABA 3'!BE9</f>
        <v/>
      </c>
      <c r="BG225" s="2" t="str">
        <f>'TOBALABA 3'!BF9</f>
        <v/>
      </c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</row>
    <row r="226">
      <c r="A226" s="2" t="str">
        <f t="shared" si="186"/>
        <v>ServilletasTobalaba 3</v>
      </c>
      <c r="B226" s="2" t="str">
        <f>'TOBALABA 3'!A10</f>
        <v>Tobalaba 3</v>
      </c>
      <c r="C226" s="2" t="str">
        <f>'TOBALABA 3'!B10</f>
        <v>Cafeteria</v>
      </c>
      <c r="D226" s="2" t="str">
        <f>'TOBALABA 3'!C10</f>
        <v>Servilletas</v>
      </c>
      <c r="E226" s="2" t="str">
        <f>'TOBALABA 3'!D10</f>
        <v/>
      </c>
      <c r="F226" s="2" t="str">
        <f>'TOBALABA 3'!E10</f>
        <v/>
      </c>
      <c r="G226" s="2" t="str">
        <f>'TOBALABA 3'!F10</f>
        <v/>
      </c>
      <c r="H226" s="2" t="str">
        <f>'TOBALABA 3'!G10</f>
        <v/>
      </c>
      <c r="I226" s="2" t="str">
        <f>'TOBALABA 3'!H10</f>
        <v/>
      </c>
      <c r="J226" s="2" t="str">
        <f>'TOBALABA 3'!I10</f>
        <v/>
      </c>
      <c r="K226" s="2" t="str">
        <f>'TOBALABA 3'!J10</f>
        <v/>
      </c>
      <c r="L226" s="2" t="str">
        <f>'TOBALABA 3'!K10</f>
        <v/>
      </c>
      <c r="M226" s="2" t="str">
        <f>'TOBALABA 3'!L10</f>
        <v/>
      </c>
      <c r="N226" s="2" t="str">
        <f>'TOBALABA 3'!M10</f>
        <v/>
      </c>
      <c r="O226" s="2" t="str">
        <f>'TOBALABA 3'!N10</f>
        <v/>
      </c>
      <c r="P226" s="2" t="str">
        <f>'TOBALABA 3'!O10</f>
        <v/>
      </c>
      <c r="Q226" s="2" t="str">
        <f>'TOBALABA 3'!P10</f>
        <v/>
      </c>
      <c r="R226" s="2" t="str">
        <f>'TOBALABA 3'!Q10</f>
        <v/>
      </c>
      <c r="S226" s="2" t="str">
        <f>'TOBALABA 3'!R10</f>
        <v/>
      </c>
      <c r="T226" s="2" t="str">
        <f>'TOBALABA 3'!S10</f>
        <v/>
      </c>
      <c r="U226" s="2" t="str">
        <f>'TOBALABA 3'!T10</f>
        <v/>
      </c>
      <c r="V226" s="2" t="str">
        <f>'TOBALABA 3'!U10</f>
        <v/>
      </c>
      <c r="W226" s="2" t="str">
        <f>'TOBALABA 3'!V10</f>
        <v/>
      </c>
      <c r="X226" s="2" t="str">
        <f>'TOBALABA 3'!W10</f>
        <v/>
      </c>
      <c r="Y226" s="2" t="str">
        <f>'TOBALABA 3'!X10</f>
        <v/>
      </c>
      <c r="Z226" s="2" t="str">
        <f>'TOBALABA 3'!Y10</f>
        <v/>
      </c>
      <c r="AA226" s="2" t="str">
        <f>'TOBALABA 3'!Z10</f>
        <v/>
      </c>
      <c r="AB226" s="2" t="str">
        <f>'TOBALABA 3'!AA10</f>
        <v/>
      </c>
      <c r="AC226" s="2" t="str">
        <f>'TOBALABA 3'!AB10</f>
        <v/>
      </c>
      <c r="AD226" s="2" t="str">
        <f>'TOBALABA 3'!AC10</f>
        <v/>
      </c>
      <c r="AE226" s="2" t="str">
        <f>'TOBALABA 3'!AD10</f>
        <v/>
      </c>
      <c r="AF226" s="2" t="str">
        <f>'TOBALABA 3'!AE10</f>
        <v/>
      </c>
      <c r="AG226" s="2" t="str">
        <f>'TOBALABA 3'!AF10</f>
        <v/>
      </c>
      <c r="AH226" s="2" t="str">
        <f>'TOBALABA 3'!AG10</f>
        <v/>
      </c>
      <c r="AI226" s="2" t="str">
        <f>'TOBALABA 3'!AH10</f>
        <v/>
      </c>
      <c r="AJ226" s="2" t="str">
        <f>'TOBALABA 3'!AI10</f>
        <v/>
      </c>
      <c r="AK226" s="2" t="str">
        <f>'TOBALABA 3'!AJ10</f>
        <v/>
      </c>
      <c r="AL226" s="2" t="str">
        <f>'TOBALABA 3'!AK10</f>
        <v/>
      </c>
      <c r="AM226" s="2">
        <f>'TOBALABA 3'!AL10</f>
        <v>0</v>
      </c>
      <c r="AN226" s="2" t="str">
        <f>'TOBALABA 3'!AM10</f>
        <v/>
      </c>
      <c r="AO226" s="2" t="str">
        <f>'TOBALABA 3'!AN10</f>
        <v/>
      </c>
      <c r="AP226" s="2" t="str">
        <f>'TOBALABA 3'!AO10</f>
        <v/>
      </c>
      <c r="AQ226" s="2" t="str">
        <f>'TOBALABA 3'!AP10</f>
        <v/>
      </c>
      <c r="AR226" s="2" t="str">
        <f>'TOBALABA 3'!AQ10</f>
        <v/>
      </c>
      <c r="AS226" s="2" t="str">
        <f>'TOBALABA 3'!AR10</f>
        <v/>
      </c>
      <c r="AT226" s="2">
        <f>'TOBALABA 3'!AS10</f>
        <v>0</v>
      </c>
      <c r="AU226" s="2">
        <f>'TOBALABA 3'!AT10</f>
        <v>0</v>
      </c>
      <c r="AV226" s="2">
        <f>'TOBALABA 3'!AU10</f>
        <v>10</v>
      </c>
      <c r="AW226" s="2">
        <f>'TOBALABA 3'!AV10</f>
        <v>9</v>
      </c>
      <c r="AX226" s="2">
        <f>'TOBALABA 3'!AW10</f>
        <v>14</v>
      </c>
      <c r="AY226" s="2">
        <f>'TOBALABA 3'!AX10</f>
        <v>13</v>
      </c>
      <c r="AZ226" s="2">
        <f>'TOBALABA 3'!AY10</f>
        <v>10</v>
      </c>
      <c r="BA226" s="2">
        <f>'TOBALABA 3'!AZ10</f>
        <v>9</v>
      </c>
      <c r="BB226" s="2">
        <f>'TOBALABA 3'!BA10</f>
        <v>15</v>
      </c>
      <c r="BC226" s="2">
        <f>'TOBALABA 3'!BB10</f>
        <v>15</v>
      </c>
      <c r="BD226" s="2">
        <f>'TOBALABA 3'!BC10</f>
        <v>4</v>
      </c>
      <c r="BE226" s="2" t="str">
        <f>'TOBALABA 3'!BD10</f>
        <v/>
      </c>
      <c r="BF226" s="2" t="str">
        <f>'TOBALABA 3'!BE10</f>
        <v/>
      </c>
      <c r="BG226" s="2" t="str">
        <f>'TOBALABA 3'!BF10</f>
        <v/>
      </c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</row>
    <row r="227">
      <c r="A227" s="2" t="str">
        <f t="shared" si="186"/>
        <v>Cloro Gel Tobalaba 3</v>
      </c>
      <c r="B227" s="2" t="str">
        <f>'TOBALABA 3'!A11</f>
        <v>Tobalaba 3</v>
      </c>
      <c r="C227" s="2" t="str">
        <f>'TOBALABA 3'!B11</f>
        <v>Aseo</v>
      </c>
      <c r="D227" s="2" t="str">
        <f>'TOBALABA 3'!C11</f>
        <v>Cloro Gel </v>
      </c>
      <c r="E227" s="2" t="str">
        <f>'TOBALABA 3'!D11</f>
        <v/>
      </c>
      <c r="F227" s="2" t="str">
        <f>'TOBALABA 3'!E11</f>
        <v/>
      </c>
      <c r="G227" s="2" t="str">
        <f>'TOBALABA 3'!F11</f>
        <v/>
      </c>
      <c r="H227" s="2" t="str">
        <f>'TOBALABA 3'!G11</f>
        <v/>
      </c>
      <c r="I227" s="2" t="str">
        <f>'TOBALABA 3'!H11</f>
        <v/>
      </c>
      <c r="J227" s="2" t="str">
        <f>'TOBALABA 3'!I11</f>
        <v/>
      </c>
      <c r="K227" s="2" t="str">
        <f>'TOBALABA 3'!J11</f>
        <v/>
      </c>
      <c r="L227" s="2" t="str">
        <f>'TOBALABA 3'!K11</f>
        <v/>
      </c>
      <c r="M227" s="2" t="str">
        <f>'TOBALABA 3'!L11</f>
        <v/>
      </c>
      <c r="N227" s="2" t="str">
        <f>'TOBALABA 3'!M11</f>
        <v/>
      </c>
      <c r="O227" s="2" t="str">
        <f>'TOBALABA 3'!N11</f>
        <v/>
      </c>
      <c r="P227" s="2" t="str">
        <f>'TOBALABA 3'!O11</f>
        <v/>
      </c>
      <c r="Q227" s="2" t="str">
        <f>'TOBALABA 3'!P11</f>
        <v/>
      </c>
      <c r="R227" s="2" t="str">
        <f>'TOBALABA 3'!Q11</f>
        <v/>
      </c>
      <c r="S227" s="2" t="str">
        <f>'TOBALABA 3'!R11</f>
        <v/>
      </c>
      <c r="T227" s="2" t="str">
        <f>'TOBALABA 3'!S11</f>
        <v/>
      </c>
      <c r="U227" s="2" t="str">
        <f>'TOBALABA 3'!T11</f>
        <v/>
      </c>
      <c r="V227" s="2" t="str">
        <f>'TOBALABA 3'!U11</f>
        <v/>
      </c>
      <c r="W227" s="2" t="str">
        <f>'TOBALABA 3'!V11</f>
        <v>-</v>
      </c>
      <c r="X227" s="2" t="str">
        <f>'TOBALABA 3'!W11</f>
        <v>-</v>
      </c>
      <c r="Y227" s="2" t="str">
        <f>'TOBALABA 3'!X11</f>
        <v>-</v>
      </c>
      <c r="Z227" s="2" t="str">
        <f>'TOBALABA 3'!Y11</f>
        <v>-</v>
      </c>
      <c r="AA227" s="2" t="str">
        <f>'TOBALABA 3'!Z11</f>
        <v>-</v>
      </c>
      <c r="AB227" s="2" t="str">
        <f>'TOBALABA 3'!AA11</f>
        <v>-</v>
      </c>
      <c r="AC227" s="2" t="str">
        <f>'TOBALABA 3'!AB11</f>
        <v>-</v>
      </c>
      <c r="AD227" s="2">
        <f>'TOBALABA 3'!AC11</f>
        <v>1</v>
      </c>
      <c r="AE227" s="2">
        <f>'TOBALABA 3'!AD11</f>
        <v>1</v>
      </c>
      <c r="AF227" s="2">
        <f>'TOBALABA 3'!AE11</f>
        <v>1</v>
      </c>
      <c r="AG227" s="2">
        <f>'TOBALABA 3'!AF11</f>
        <v>1</v>
      </c>
      <c r="AH227" s="2">
        <f>'TOBALABA 3'!AG11</f>
        <v>1</v>
      </c>
      <c r="AI227" s="2">
        <f>'TOBALABA 3'!AH11</f>
        <v>2</v>
      </c>
      <c r="AJ227" s="2">
        <f>'TOBALABA 3'!AI11</f>
        <v>2</v>
      </c>
      <c r="AK227" s="2">
        <f>'TOBALABA 3'!AJ11</f>
        <v>2</v>
      </c>
      <c r="AL227" s="2">
        <f>'TOBALABA 3'!AK11</f>
        <v>1</v>
      </c>
      <c r="AM227" s="2">
        <f>'TOBALABA 3'!AL11</f>
        <v>1</v>
      </c>
      <c r="AN227" s="2">
        <f>'TOBALABA 3'!AM11</f>
        <v>1</v>
      </c>
      <c r="AO227" s="2">
        <f>'TOBALABA 3'!AN11</f>
        <v>1</v>
      </c>
      <c r="AP227" s="2">
        <f>'TOBALABA 3'!AO11</f>
        <v>1</v>
      </c>
      <c r="AQ227" s="2">
        <f>'TOBALABA 3'!AP11</f>
        <v>1</v>
      </c>
      <c r="AR227" s="2">
        <f>'TOBALABA 3'!AQ11</f>
        <v>1</v>
      </c>
      <c r="AS227" s="2">
        <f>'TOBALABA 3'!AR11</f>
        <v>1</v>
      </c>
      <c r="AT227" s="2">
        <f>'TOBALABA 3'!AS11</f>
        <v>1</v>
      </c>
      <c r="AU227" s="2">
        <f>'TOBALABA 3'!AT11</f>
        <v>2</v>
      </c>
      <c r="AV227" s="2">
        <f>'TOBALABA 3'!AU11</f>
        <v>2</v>
      </c>
      <c r="AW227" s="2">
        <f>'TOBALABA 3'!AV11</f>
        <v>2</v>
      </c>
      <c r="AX227" s="2">
        <f>'TOBALABA 3'!AW11</f>
        <v>1.5</v>
      </c>
      <c r="AY227" s="2">
        <f>'TOBALABA 3'!AX11</f>
        <v>1.5</v>
      </c>
      <c r="AZ227" s="2">
        <f>'TOBALABA 3'!AY11</f>
        <v>1</v>
      </c>
      <c r="BA227" s="2">
        <f>'TOBALABA 3'!AZ11</f>
        <v>1</v>
      </c>
      <c r="BB227" s="2">
        <f>'TOBALABA 3'!BA11</f>
        <v>2</v>
      </c>
      <c r="BC227" s="2">
        <f>'TOBALABA 3'!BB11</f>
        <v>1</v>
      </c>
      <c r="BD227" s="2">
        <f>'TOBALABA 3'!BC11</f>
        <v>1</v>
      </c>
      <c r="BE227" s="2" t="str">
        <f>'TOBALABA 3'!BD11</f>
        <v/>
      </c>
      <c r="BF227" s="2" t="str">
        <f>'TOBALABA 3'!BE11</f>
        <v/>
      </c>
      <c r="BG227" s="2" t="str">
        <f>'TOBALABA 3'!BF11</f>
        <v/>
      </c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</row>
    <row r="228">
      <c r="A228" s="2" t="str">
        <f t="shared" si="186"/>
        <v>Limpia Piso Tobalaba 3</v>
      </c>
      <c r="B228" s="2" t="str">
        <f>'TOBALABA 3'!A12</f>
        <v>Tobalaba 3</v>
      </c>
      <c r="C228" s="2" t="str">
        <f>'TOBALABA 3'!B12</f>
        <v>Aseo</v>
      </c>
      <c r="D228" s="2" t="str">
        <f>'TOBALABA 3'!C12</f>
        <v>Limpia Piso </v>
      </c>
      <c r="E228" s="2" t="str">
        <f>'TOBALABA 3'!D12</f>
        <v/>
      </c>
      <c r="F228" s="2" t="str">
        <f>'TOBALABA 3'!E12</f>
        <v/>
      </c>
      <c r="G228" s="2" t="str">
        <f>'TOBALABA 3'!F12</f>
        <v/>
      </c>
      <c r="H228" s="2" t="str">
        <f>'TOBALABA 3'!G12</f>
        <v/>
      </c>
      <c r="I228" s="2" t="str">
        <f>'TOBALABA 3'!H12</f>
        <v/>
      </c>
      <c r="J228" s="2" t="str">
        <f>'TOBALABA 3'!I12</f>
        <v/>
      </c>
      <c r="K228" s="2" t="str">
        <f>'TOBALABA 3'!J12</f>
        <v/>
      </c>
      <c r="L228" s="2" t="str">
        <f>'TOBALABA 3'!K12</f>
        <v/>
      </c>
      <c r="M228" s="2" t="str">
        <f>'TOBALABA 3'!L12</f>
        <v/>
      </c>
      <c r="N228" s="2" t="str">
        <f>'TOBALABA 3'!M12</f>
        <v/>
      </c>
      <c r="O228" s="2" t="str">
        <f>'TOBALABA 3'!N12</f>
        <v/>
      </c>
      <c r="P228" s="2" t="str">
        <f>'TOBALABA 3'!O12</f>
        <v/>
      </c>
      <c r="Q228" s="2" t="str">
        <f>'TOBALABA 3'!P12</f>
        <v/>
      </c>
      <c r="R228" s="2" t="str">
        <f>'TOBALABA 3'!Q12</f>
        <v/>
      </c>
      <c r="S228" s="2" t="str">
        <f>'TOBALABA 3'!R12</f>
        <v/>
      </c>
      <c r="T228" s="2" t="str">
        <f>'TOBALABA 3'!S12</f>
        <v/>
      </c>
      <c r="U228" s="2" t="str">
        <f>'TOBALABA 3'!T12</f>
        <v/>
      </c>
      <c r="V228" s="2" t="str">
        <f>'TOBALABA 3'!U12</f>
        <v/>
      </c>
      <c r="W228" s="2" t="str">
        <f>'TOBALABA 3'!V12</f>
        <v>-</v>
      </c>
      <c r="X228" s="2" t="str">
        <f>'TOBALABA 3'!W12</f>
        <v>-</v>
      </c>
      <c r="Y228" s="2" t="str">
        <f>'TOBALABA 3'!X12</f>
        <v>-</v>
      </c>
      <c r="Z228" s="2" t="str">
        <f>'TOBALABA 3'!Y12</f>
        <v>-</v>
      </c>
      <c r="AA228" s="2" t="str">
        <f>'TOBALABA 3'!Z12</f>
        <v>-</v>
      </c>
      <c r="AB228" s="2" t="str">
        <f>'TOBALABA 3'!AA12</f>
        <v>-</v>
      </c>
      <c r="AC228" s="2" t="str">
        <f>'TOBALABA 3'!AB12</f>
        <v>-</v>
      </c>
      <c r="AD228" s="2">
        <f>'TOBALABA 3'!AC12</f>
        <v>2.5</v>
      </c>
      <c r="AE228" s="2">
        <f>'TOBALABA 3'!AD12</f>
        <v>2.5</v>
      </c>
      <c r="AF228" s="2">
        <f>'TOBALABA 3'!AE12</f>
        <v>2.5</v>
      </c>
      <c r="AG228" s="2">
        <f>'TOBALABA 3'!AF12</f>
        <v>2.5</v>
      </c>
      <c r="AH228" s="2">
        <f>'TOBALABA 3'!AG12</f>
        <v>1.5</v>
      </c>
      <c r="AI228" s="2">
        <f>'TOBALABA 3'!AH12</f>
        <v>3.5</v>
      </c>
      <c r="AJ228" s="2">
        <f>'TOBALABA 3'!AI12</f>
        <v>3.5</v>
      </c>
      <c r="AK228" s="2">
        <f>'TOBALABA 3'!AJ12</f>
        <v>3.5</v>
      </c>
      <c r="AL228" s="2">
        <f>'TOBALABA 3'!AK12</f>
        <v>3.5</v>
      </c>
      <c r="AM228" s="2">
        <f>'TOBALABA 3'!AL12</f>
        <v>3.5</v>
      </c>
      <c r="AN228" s="2">
        <f>'TOBALABA 3'!AM12</f>
        <v>2</v>
      </c>
      <c r="AO228" s="2">
        <f>'TOBALABA 3'!AN12</f>
        <v>2</v>
      </c>
      <c r="AP228" s="2">
        <f>'TOBALABA 3'!AO12</f>
        <v>5</v>
      </c>
      <c r="AQ228" s="2">
        <f>'TOBALABA 3'!AP12</f>
        <v>5</v>
      </c>
      <c r="AR228" s="2">
        <f>'TOBALABA 3'!AQ12</f>
        <v>5</v>
      </c>
      <c r="AS228" s="2">
        <f>'TOBALABA 3'!AR12</f>
        <v>4.5</v>
      </c>
      <c r="AT228" s="2">
        <f>'TOBALABA 3'!AS12</f>
        <v>4</v>
      </c>
      <c r="AU228" s="2">
        <f>'TOBALABA 3'!AT12</f>
        <v>3.5</v>
      </c>
      <c r="AV228" s="2">
        <f>'TOBALABA 3'!AU12</f>
        <v>3</v>
      </c>
      <c r="AW228" s="2">
        <f>'TOBALABA 3'!AV12</f>
        <v>3</v>
      </c>
      <c r="AX228" s="2">
        <f>'TOBALABA 3'!AW12</f>
        <v>3</v>
      </c>
      <c r="AY228" s="2">
        <f>'TOBALABA 3'!AX12</f>
        <v>3</v>
      </c>
      <c r="AZ228" s="2">
        <f>'TOBALABA 3'!AY12</f>
        <v>2</v>
      </c>
      <c r="BA228" s="2">
        <f>'TOBALABA 3'!AZ12</f>
        <v>2</v>
      </c>
      <c r="BB228" s="2">
        <f>'TOBALABA 3'!BA12</f>
        <v>3</v>
      </c>
      <c r="BC228" s="2">
        <f>'TOBALABA 3'!BB12</f>
        <v>3</v>
      </c>
      <c r="BD228" s="2">
        <f>'TOBALABA 3'!BC12</f>
        <v>2</v>
      </c>
      <c r="BE228" s="2" t="str">
        <f>'TOBALABA 3'!BD12</f>
        <v/>
      </c>
      <c r="BF228" s="2" t="str">
        <f>'TOBALABA 3'!BE12</f>
        <v/>
      </c>
      <c r="BG228" s="2" t="str">
        <f>'TOBALABA 3'!BF12</f>
        <v/>
      </c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</row>
    <row r="229">
      <c r="A229" s="2" t="str">
        <f t="shared" si="186"/>
        <v>Bolsas BasuraTobalaba 3</v>
      </c>
      <c r="B229" s="2" t="str">
        <f>'TOBALABA 3'!A13</f>
        <v>Tobalaba 3</v>
      </c>
      <c r="C229" s="2" t="str">
        <f>'TOBALABA 3'!B13</f>
        <v>Aseo</v>
      </c>
      <c r="D229" s="2" t="str">
        <f>'TOBALABA 3'!C13</f>
        <v>Bolsas Basura</v>
      </c>
      <c r="E229" s="2" t="str">
        <f>'TOBALABA 3'!D13</f>
        <v/>
      </c>
      <c r="F229" s="2" t="str">
        <f>'TOBALABA 3'!E13</f>
        <v/>
      </c>
      <c r="G229" s="2" t="str">
        <f>'TOBALABA 3'!F13</f>
        <v/>
      </c>
      <c r="H229" s="2" t="str">
        <f>'TOBALABA 3'!G13</f>
        <v/>
      </c>
      <c r="I229" s="2" t="str">
        <f>'TOBALABA 3'!H13</f>
        <v/>
      </c>
      <c r="J229" s="2" t="str">
        <f>'TOBALABA 3'!I13</f>
        <v/>
      </c>
      <c r="K229" s="2" t="str">
        <f>'TOBALABA 3'!J13</f>
        <v/>
      </c>
      <c r="L229" s="2" t="str">
        <f>'TOBALABA 3'!K13</f>
        <v/>
      </c>
      <c r="M229" s="2" t="str">
        <f>'TOBALABA 3'!L13</f>
        <v/>
      </c>
      <c r="N229" s="2" t="str">
        <f>'TOBALABA 3'!M13</f>
        <v/>
      </c>
      <c r="O229" s="2" t="str">
        <f>'TOBALABA 3'!N13</f>
        <v/>
      </c>
      <c r="P229" s="2" t="str">
        <f>'TOBALABA 3'!O13</f>
        <v/>
      </c>
      <c r="Q229" s="2" t="str">
        <f>'TOBALABA 3'!P13</f>
        <v/>
      </c>
      <c r="R229" s="2" t="str">
        <f>'TOBALABA 3'!Q13</f>
        <v/>
      </c>
      <c r="S229" s="2" t="str">
        <f>'TOBALABA 3'!R13</f>
        <v/>
      </c>
      <c r="T229" s="2" t="str">
        <f>'TOBALABA 3'!S13</f>
        <v/>
      </c>
      <c r="U229" s="2" t="str">
        <f>'TOBALABA 3'!T13</f>
        <v/>
      </c>
      <c r="V229" s="2" t="str">
        <f>'TOBALABA 3'!U13</f>
        <v/>
      </c>
      <c r="W229" s="2" t="str">
        <f>'TOBALABA 3'!V13</f>
        <v>-</v>
      </c>
      <c r="X229" s="2" t="str">
        <f>'TOBALABA 3'!W13</f>
        <v>-</v>
      </c>
      <c r="Y229" s="2" t="str">
        <f>'TOBALABA 3'!X13</f>
        <v>-</v>
      </c>
      <c r="Z229" s="2" t="str">
        <f>'TOBALABA 3'!Y13</f>
        <v>-</v>
      </c>
      <c r="AA229" s="2" t="str">
        <f>'TOBALABA 3'!Z13</f>
        <v>-</v>
      </c>
      <c r="AB229" s="2" t="str">
        <f>'TOBALABA 3'!AA13</f>
        <v>-</v>
      </c>
      <c r="AC229" s="2" t="str">
        <f>'TOBALABA 3'!AB13</f>
        <v>-</v>
      </c>
      <c r="AD229" s="2">
        <f>'TOBALABA 3'!AC13</f>
        <v>35</v>
      </c>
      <c r="AE229" s="2">
        <f>'TOBALABA 3'!AD13</f>
        <v>35</v>
      </c>
      <c r="AF229" s="2">
        <f>'TOBALABA 3'!AE13</f>
        <v>33</v>
      </c>
      <c r="AG229" s="2">
        <f>'TOBALABA 3'!AF13</f>
        <v>31</v>
      </c>
      <c r="AH229" s="2">
        <f>'TOBALABA 3'!AG13</f>
        <v>30</v>
      </c>
      <c r="AI229" s="2">
        <f>'TOBALABA 3'!AH13</f>
        <v>41</v>
      </c>
      <c r="AJ229" s="2">
        <f>'TOBALABA 3'!AI13</f>
        <v>40</v>
      </c>
      <c r="AK229" s="2">
        <f>'TOBALABA 3'!AJ13</f>
        <v>40</v>
      </c>
      <c r="AL229" s="2">
        <f>'TOBALABA 3'!AK13</f>
        <v>36</v>
      </c>
      <c r="AM229" s="2">
        <f>'TOBALABA 3'!AL13</f>
        <v>34</v>
      </c>
      <c r="AN229" s="2">
        <f>'TOBALABA 3'!AM13</f>
        <v>47</v>
      </c>
      <c r="AO229" s="2">
        <f>'TOBALABA 3'!AN13</f>
        <v>43</v>
      </c>
      <c r="AP229" s="2">
        <f>'TOBALABA 3'!AO13</f>
        <v>39</v>
      </c>
      <c r="AQ229" s="2">
        <f>'TOBALABA 3'!AP13</f>
        <v>48</v>
      </c>
      <c r="AR229" s="2">
        <f>'TOBALABA 3'!AQ13</f>
        <v>45</v>
      </c>
      <c r="AS229" s="2">
        <f>'TOBALABA 3'!AR13</f>
        <v>37</v>
      </c>
      <c r="AT229" s="2">
        <f>'TOBALABA 3'!AS13</f>
        <v>31</v>
      </c>
      <c r="AU229" s="2">
        <f>'TOBALABA 3'!AT13</f>
        <v>28</v>
      </c>
      <c r="AV229" s="2">
        <f>'TOBALABA 3'!AU13</f>
        <v>24</v>
      </c>
      <c r="AW229" s="2">
        <f>'TOBALABA 3'!AV13</f>
        <v>26</v>
      </c>
      <c r="AX229" s="2">
        <f>'TOBALABA 3'!AW13</f>
        <v>19</v>
      </c>
      <c r="AY229" s="2">
        <f>'TOBALABA 3'!AX13</f>
        <v>14</v>
      </c>
      <c r="AZ229" s="2">
        <f>'TOBALABA 3'!AY13</f>
        <v>9</v>
      </c>
      <c r="BA229" s="2">
        <f>'TOBALABA 3'!AZ13</f>
        <v>4</v>
      </c>
      <c r="BB229" s="2">
        <f>'TOBALABA 3'!BA13</f>
        <v>27</v>
      </c>
      <c r="BC229" s="2">
        <f>'TOBALABA 3'!BB13</f>
        <v>23</v>
      </c>
      <c r="BD229" s="2">
        <f>'TOBALABA 3'!BC13</f>
        <v>16</v>
      </c>
      <c r="BE229" s="2" t="str">
        <f>'TOBALABA 3'!BD13</f>
        <v/>
      </c>
      <c r="BF229" s="2" t="str">
        <f>'TOBALABA 3'!BE13</f>
        <v/>
      </c>
      <c r="BG229" s="2" t="str">
        <f>'TOBALABA 3'!BF13</f>
        <v/>
      </c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</row>
    <row r="230">
      <c r="A230" s="2" t="str">
        <f t="shared" si="186"/>
        <v>Esponja 4UTobalaba 3</v>
      </c>
      <c r="B230" s="2" t="str">
        <f>'TOBALABA 3'!A14</f>
        <v>Tobalaba 3</v>
      </c>
      <c r="C230" s="2" t="str">
        <f>'TOBALABA 3'!B14</f>
        <v>Aseo</v>
      </c>
      <c r="D230" s="2" t="str">
        <f>'TOBALABA 3'!C14</f>
        <v>Esponja 4U</v>
      </c>
      <c r="E230" s="2" t="str">
        <f>'TOBALABA 3'!D14</f>
        <v/>
      </c>
      <c r="F230" s="2" t="str">
        <f>'TOBALABA 3'!E14</f>
        <v/>
      </c>
      <c r="G230" s="2" t="str">
        <f>'TOBALABA 3'!F14</f>
        <v/>
      </c>
      <c r="H230" s="2" t="str">
        <f>'TOBALABA 3'!G14</f>
        <v/>
      </c>
      <c r="I230" s="2" t="str">
        <f>'TOBALABA 3'!H14</f>
        <v/>
      </c>
      <c r="J230" s="2" t="str">
        <f>'TOBALABA 3'!I14</f>
        <v/>
      </c>
      <c r="K230" s="2" t="str">
        <f>'TOBALABA 3'!J14</f>
        <v/>
      </c>
      <c r="L230" s="2" t="str">
        <f>'TOBALABA 3'!K14</f>
        <v/>
      </c>
      <c r="M230" s="2" t="str">
        <f>'TOBALABA 3'!L14</f>
        <v/>
      </c>
      <c r="N230" s="2" t="str">
        <f>'TOBALABA 3'!M14</f>
        <v/>
      </c>
      <c r="O230" s="2" t="str">
        <f>'TOBALABA 3'!N14</f>
        <v/>
      </c>
      <c r="P230" s="2" t="str">
        <f>'TOBALABA 3'!O14</f>
        <v/>
      </c>
      <c r="Q230" s="2" t="str">
        <f>'TOBALABA 3'!P14</f>
        <v/>
      </c>
      <c r="R230" s="2" t="str">
        <f>'TOBALABA 3'!Q14</f>
        <v/>
      </c>
      <c r="S230" s="2" t="str">
        <f>'TOBALABA 3'!R14</f>
        <v/>
      </c>
      <c r="T230" s="2" t="str">
        <f>'TOBALABA 3'!S14</f>
        <v/>
      </c>
      <c r="U230" s="2" t="str">
        <f>'TOBALABA 3'!T14</f>
        <v/>
      </c>
      <c r="V230" s="2" t="str">
        <f>'TOBALABA 3'!U14</f>
        <v/>
      </c>
      <c r="W230" s="2" t="str">
        <f>'TOBALABA 3'!V14</f>
        <v>-</v>
      </c>
      <c r="X230" s="2" t="str">
        <f>'TOBALABA 3'!W14</f>
        <v>-</v>
      </c>
      <c r="Y230" s="2" t="str">
        <f>'TOBALABA 3'!X14</f>
        <v>-</v>
      </c>
      <c r="Z230" s="2" t="str">
        <f>'TOBALABA 3'!Y14</f>
        <v>-</v>
      </c>
      <c r="AA230" s="2" t="str">
        <f>'TOBALABA 3'!Z14</f>
        <v>-</v>
      </c>
      <c r="AB230" s="2" t="str">
        <f>'TOBALABA 3'!AA14</f>
        <v>-</v>
      </c>
      <c r="AC230" s="2" t="str">
        <f>'TOBALABA 3'!AB14</f>
        <v>-</v>
      </c>
      <c r="AD230" s="2">
        <f>'TOBALABA 3'!AC14</f>
        <v>2</v>
      </c>
      <c r="AE230" s="2">
        <f>'TOBALABA 3'!AD14</f>
        <v>2</v>
      </c>
      <c r="AF230" s="2">
        <f>'TOBALABA 3'!AE14</f>
        <v>1.5</v>
      </c>
      <c r="AG230" s="2">
        <f>'TOBALABA 3'!AF14</f>
        <v>1.5</v>
      </c>
      <c r="AH230" s="2">
        <f>'TOBALABA 3'!AG14</f>
        <v>1.5</v>
      </c>
      <c r="AI230" s="2">
        <f>'TOBALABA 3'!AH14</f>
        <v>2</v>
      </c>
      <c r="AJ230" s="2">
        <f>'TOBALABA 3'!AI14</f>
        <v>2</v>
      </c>
      <c r="AK230" s="2">
        <f>'TOBALABA 3'!AJ14</f>
        <v>2</v>
      </c>
      <c r="AL230" s="2">
        <f>'TOBALABA 3'!AK14</f>
        <v>2</v>
      </c>
      <c r="AM230" s="2">
        <f>'TOBALABA 3'!AL14</f>
        <v>2</v>
      </c>
      <c r="AN230" s="2">
        <f>'TOBALABA 3'!AM14</f>
        <v>4</v>
      </c>
      <c r="AO230" s="2">
        <f>'TOBALABA 3'!AN14</f>
        <v>4</v>
      </c>
      <c r="AP230" s="2">
        <f>'TOBALABA 3'!AO14</f>
        <v>5</v>
      </c>
      <c r="AQ230" s="2">
        <f>'TOBALABA 3'!AP14</f>
        <v>4</v>
      </c>
      <c r="AR230" s="2">
        <f>'TOBALABA 3'!AQ14</f>
        <v>4</v>
      </c>
      <c r="AS230" s="2">
        <f>'TOBALABA 3'!AR14</f>
        <v>2</v>
      </c>
      <c r="AT230" s="2">
        <f>'TOBALABA 3'!AS14</f>
        <v>5</v>
      </c>
      <c r="AU230" s="2">
        <f>'TOBALABA 3'!AT14</f>
        <v>2</v>
      </c>
      <c r="AV230" s="2">
        <f>'TOBALABA 3'!AU14</f>
        <v>2</v>
      </c>
      <c r="AW230" s="2">
        <f>'TOBALABA 3'!AV14</f>
        <v>0</v>
      </c>
      <c r="AX230" s="2">
        <f>'TOBALABA 3'!AW14</f>
        <v>0</v>
      </c>
      <c r="AY230" s="2">
        <f>'TOBALABA 3'!AX14</f>
        <v>0</v>
      </c>
      <c r="AZ230" s="2">
        <f>'TOBALABA 3'!AY14</f>
        <v>0</v>
      </c>
      <c r="BA230" s="2">
        <f>'TOBALABA 3'!AZ14</f>
        <v>0</v>
      </c>
      <c r="BB230" s="2">
        <f>'TOBALABA 3'!BA14</f>
        <v>7</v>
      </c>
      <c r="BC230" s="2">
        <f>'TOBALABA 3'!BB14</f>
        <v>4</v>
      </c>
      <c r="BD230" s="2">
        <f>'TOBALABA 3'!BC14</f>
        <v>4</v>
      </c>
      <c r="BE230" s="2" t="str">
        <f>'TOBALABA 3'!BD14</f>
        <v/>
      </c>
      <c r="BF230" s="2" t="str">
        <f>'TOBALABA 3'!BE14</f>
        <v/>
      </c>
      <c r="BG230" s="2" t="str">
        <f>'TOBALABA 3'!BF14</f>
        <v/>
      </c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</row>
    <row r="231">
      <c r="A231" s="2" t="str">
        <f t="shared" si="186"/>
        <v>Mopa RedondaTobalaba 3</v>
      </c>
      <c r="B231" s="2" t="str">
        <f>'TOBALABA 3'!A15</f>
        <v>Tobalaba 3</v>
      </c>
      <c r="C231" s="2" t="str">
        <f>'TOBALABA 3'!B15</f>
        <v>Aseo</v>
      </c>
      <c r="D231" s="2" t="str">
        <f>'TOBALABA 3'!C15</f>
        <v>Mopa Redonda</v>
      </c>
      <c r="E231" s="2" t="str">
        <f>'TOBALABA 3'!D15</f>
        <v/>
      </c>
      <c r="F231" s="2" t="str">
        <f>'TOBALABA 3'!E15</f>
        <v/>
      </c>
      <c r="G231" s="2" t="str">
        <f>'TOBALABA 3'!F15</f>
        <v/>
      </c>
      <c r="H231" s="2" t="str">
        <f>'TOBALABA 3'!G15</f>
        <v/>
      </c>
      <c r="I231" s="2" t="str">
        <f>'TOBALABA 3'!H15</f>
        <v/>
      </c>
      <c r="J231" s="2" t="str">
        <f>'TOBALABA 3'!I15</f>
        <v/>
      </c>
      <c r="K231" s="2" t="str">
        <f>'TOBALABA 3'!J15</f>
        <v/>
      </c>
      <c r="L231" s="2" t="str">
        <f>'TOBALABA 3'!K15</f>
        <v/>
      </c>
      <c r="M231" s="2" t="str">
        <f>'TOBALABA 3'!L15</f>
        <v/>
      </c>
      <c r="N231" s="2" t="str">
        <f>'TOBALABA 3'!M15</f>
        <v/>
      </c>
      <c r="O231" s="2" t="str">
        <f>'TOBALABA 3'!N15</f>
        <v/>
      </c>
      <c r="P231" s="2" t="str">
        <f>'TOBALABA 3'!O15</f>
        <v/>
      </c>
      <c r="Q231" s="2" t="str">
        <f>'TOBALABA 3'!P15</f>
        <v/>
      </c>
      <c r="R231" s="2" t="str">
        <f>'TOBALABA 3'!Q15</f>
        <v/>
      </c>
      <c r="S231" s="2" t="str">
        <f>'TOBALABA 3'!R15</f>
        <v/>
      </c>
      <c r="T231" s="2" t="str">
        <f>'TOBALABA 3'!S15</f>
        <v/>
      </c>
      <c r="U231" s="2" t="str">
        <f>'TOBALABA 3'!T15</f>
        <v/>
      </c>
      <c r="V231" s="2" t="str">
        <f>'TOBALABA 3'!U15</f>
        <v/>
      </c>
      <c r="W231" s="2" t="str">
        <f>'TOBALABA 3'!V15</f>
        <v>-</v>
      </c>
      <c r="X231" s="2" t="str">
        <f>'TOBALABA 3'!W15</f>
        <v>-</v>
      </c>
      <c r="Y231" s="2" t="str">
        <f>'TOBALABA 3'!X15</f>
        <v>-</v>
      </c>
      <c r="Z231" s="2" t="str">
        <f>'TOBALABA 3'!Y15</f>
        <v>-</v>
      </c>
      <c r="AA231" s="2" t="str">
        <f>'TOBALABA 3'!Z15</f>
        <v>-</v>
      </c>
      <c r="AB231" s="2" t="str">
        <f>'TOBALABA 3'!AA15</f>
        <v>-</v>
      </c>
      <c r="AC231" s="2" t="str">
        <f>'TOBALABA 3'!AB15</f>
        <v>-</v>
      </c>
      <c r="AD231" s="2">
        <f>'TOBALABA 3'!AC15</f>
        <v>1</v>
      </c>
      <c r="AE231" s="2">
        <f>'TOBALABA 3'!AD15</f>
        <v>1</v>
      </c>
      <c r="AF231" s="2">
        <f>'TOBALABA 3'!AE15</f>
        <v>0</v>
      </c>
      <c r="AG231" s="2">
        <f>'TOBALABA 3'!AF15</f>
        <v>0</v>
      </c>
      <c r="AH231" s="2">
        <f>'TOBALABA 3'!AG15</f>
        <v>0</v>
      </c>
      <c r="AI231" s="2">
        <f>'TOBALABA 3'!AH15</f>
        <v>3</v>
      </c>
      <c r="AJ231" s="2">
        <f>'TOBALABA 3'!AI15</f>
        <v>3</v>
      </c>
      <c r="AK231" s="2">
        <f>'TOBALABA 3'!AJ15</f>
        <v>3</v>
      </c>
      <c r="AL231" s="2">
        <f>'TOBALABA 3'!AK15</f>
        <v>3</v>
      </c>
      <c r="AM231" s="2">
        <f>'TOBALABA 3'!AL15</f>
        <v>3</v>
      </c>
      <c r="AN231" s="2">
        <f>'TOBALABA 3'!AM15</f>
        <v>3</v>
      </c>
      <c r="AO231" s="2">
        <f>'TOBALABA 3'!AN15</f>
        <v>3</v>
      </c>
      <c r="AP231" s="2">
        <f>'TOBALABA 3'!AO15</f>
        <v>6</v>
      </c>
      <c r="AQ231" s="2">
        <f>'TOBALABA 3'!AP15</f>
        <v>6</v>
      </c>
      <c r="AR231" s="2">
        <f>'TOBALABA 3'!AQ15</f>
        <v>6</v>
      </c>
      <c r="AS231" s="2">
        <f>'TOBALABA 3'!AR15</f>
        <v>6</v>
      </c>
      <c r="AT231" s="2">
        <f>'TOBALABA 3'!AS15</f>
        <v>4</v>
      </c>
      <c r="AU231" s="2">
        <f>'TOBALABA 3'!AT15</f>
        <v>4</v>
      </c>
      <c r="AV231" s="2">
        <f>'TOBALABA 3'!AU15</f>
        <v>4</v>
      </c>
      <c r="AW231" s="2">
        <f>'TOBALABA 3'!AV15</f>
        <v>4</v>
      </c>
      <c r="AX231" s="2">
        <f>'TOBALABA 3'!AW15</f>
        <v>2</v>
      </c>
      <c r="AY231" s="2">
        <f>'TOBALABA 3'!AX15</f>
        <v>2</v>
      </c>
      <c r="AZ231" s="2">
        <f>'TOBALABA 3'!AY15</f>
        <v>2</v>
      </c>
      <c r="BA231" s="2">
        <f>'TOBALABA 3'!AZ15</f>
        <v>2</v>
      </c>
      <c r="BB231" s="2">
        <f>'TOBALABA 3'!BA15</f>
        <v>3</v>
      </c>
      <c r="BC231" s="2">
        <f>'TOBALABA 3'!BB15</f>
        <v>3</v>
      </c>
      <c r="BD231" s="2">
        <f>'TOBALABA 3'!BC15</f>
        <v>2</v>
      </c>
      <c r="BE231" s="2" t="str">
        <f>'TOBALABA 3'!BD15</f>
        <v/>
      </c>
      <c r="BF231" s="2" t="str">
        <f>'TOBALABA 3'!BE15</f>
        <v/>
      </c>
      <c r="BG231" s="2" t="str">
        <f>'TOBALABA 3'!BF15</f>
        <v/>
      </c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</row>
    <row r="232">
      <c r="A232" s="2"/>
      <c r="B232" s="2"/>
      <c r="C232" s="2"/>
      <c r="D232" s="2"/>
      <c r="E232" s="20"/>
      <c r="F232" s="20"/>
      <c r="G232" s="20"/>
      <c r="H232" s="20"/>
      <c r="I232" s="20"/>
      <c r="J232" s="20"/>
      <c r="K232" s="20"/>
      <c r="L232" s="20"/>
      <c r="M232" s="20"/>
      <c r="N232" s="20"/>
      <c r="O232" s="20"/>
      <c r="P232" s="20"/>
      <c r="Q232" s="20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</row>
    <row r="233">
      <c r="A233" s="2" t="str">
        <f>'SANTA ROSA '!A2</f>
        <v/>
      </c>
      <c r="B233" s="2" t="str">
        <f>'SANTA ROSA '!B2</f>
        <v/>
      </c>
      <c r="C233" s="22" t="str">
        <f>'SANTA ROSA '!C2</f>
        <v/>
      </c>
      <c r="E233" s="22">
        <f>'SANTA ROSA '!D2</f>
        <v>45992</v>
      </c>
      <c r="F233" s="22">
        <f>'SANTA ROSA '!E2</f>
        <v>46020</v>
      </c>
      <c r="G233" s="22">
        <f>'SANTA ROSA '!F2</f>
        <v>46027</v>
      </c>
      <c r="H233" s="22">
        <f>'SANTA ROSA '!G2</f>
        <v>46031</v>
      </c>
      <c r="I233" s="22">
        <f>'SANTA ROSA '!H2</f>
        <v>46034</v>
      </c>
      <c r="J233" s="22">
        <f>'SANTA ROSA '!I2</f>
        <v>46037</v>
      </c>
      <c r="K233" s="22">
        <f>'SANTA ROSA '!K2</f>
        <v>46045</v>
      </c>
      <c r="L233" s="22">
        <f>'SANTA ROSA '!L2</f>
        <v>46049</v>
      </c>
      <c r="M233" s="22">
        <f>'SANTA ROSA '!M2</f>
        <v>46051</v>
      </c>
      <c r="N233" s="22">
        <f>'SANTA ROSA '!N2</f>
        <v>46055</v>
      </c>
      <c r="O233" s="22">
        <f>'SANTA ROSA '!O2</f>
        <v>46058</v>
      </c>
      <c r="P233" s="22">
        <f>'SANTA ROSA '!P2</f>
        <v>46062</v>
      </c>
      <c r="Q233" s="22">
        <f>'SANTA ROSA '!Q2</f>
        <v>46065</v>
      </c>
      <c r="R233" s="22">
        <f>'SANTA ROSA '!R2</f>
        <v>46069</v>
      </c>
      <c r="S233" s="22">
        <f>'SANTA ROSA '!S2</f>
        <v>46072</v>
      </c>
      <c r="T233" s="22">
        <f>'SANTA ROSA '!S2</f>
        <v>46072</v>
      </c>
      <c r="U233" s="22">
        <f>'SANTA ROSA '!T2</f>
        <v>46076</v>
      </c>
      <c r="V233" s="22">
        <f>'SANTA ROSA '!U2</f>
        <v>46077</v>
      </c>
      <c r="W233" s="22">
        <f>'SANTA ROSA '!V2</f>
        <v>46083</v>
      </c>
      <c r="X233" s="22">
        <f>'SANTA ROSA '!W2</f>
        <v>46086</v>
      </c>
      <c r="Y233" s="22">
        <f>'SANTA ROSA '!X2</f>
        <v>46090</v>
      </c>
      <c r="Z233" s="22">
        <f>'SANTA ROSA '!Y2</f>
        <v>46094</v>
      </c>
      <c r="AA233" s="22">
        <f>'SANTA ROSA '!Z2</f>
        <v>46100</v>
      </c>
      <c r="AB233" s="22">
        <f>'SANTA ROSA '!AA2</f>
        <v>46104</v>
      </c>
      <c r="AC233" s="2" t="str">
        <f>'SANTA ROSA '!AB2</f>
        <v/>
      </c>
      <c r="AD233" s="2" t="str">
        <f>'SANTA ROSA '!AC2</f>
        <v/>
      </c>
      <c r="AE233" s="2" t="str">
        <f>'SANTA ROSA '!AD2</f>
        <v/>
      </c>
      <c r="AF233" s="2" t="str">
        <f>'SANTA ROSA '!AE2</f>
        <v/>
      </c>
      <c r="AG233" s="2" t="str">
        <f>'SANTA ROSA '!AF2</f>
        <v/>
      </c>
      <c r="AH233" s="2" t="str">
        <f>'SANTA ROSA '!AG2</f>
        <v/>
      </c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</row>
    <row r="234">
      <c r="B234" s="2" t="str">
        <f>'SANTA ROSA '!A3</f>
        <v>Sede</v>
      </c>
      <c r="C234" s="2" t="str">
        <f>'SANTA ROSA '!B3</f>
        <v>Proveedor</v>
      </c>
      <c r="D234" s="2" t="str">
        <f>'SANTA ROSA '!C3</f>
        <v>Producto</v>
      </c>
      <c r="E234" s="2" t="str">
        <f>'SANTA ROSA '!D3</f>
        <v>Stock Actual</v>
      </c>
      <c r="F234" s="2" t="str">
        <f>'SANTA ROSA '!E3</f>
        <v>Stock Actual</v>
      </c>
      <c r="G234" s="2" t="str">
        <f>'SANTA ROSA '!F3</f>
        <v>Stock Actual</v>
      </c>
      <c r="H234" s="2" t="str">
        <f>'SANTA ROSA '!G3</f>
        <v>Stock Actual</v>
      </c>
      <c r="I234" s="2" t="str">
        <f>'SANTA ROSA '!H3</f>
        <v>Stock Actual</v>
      </c>
      <c r="J234" s="2" t="str">
        <f>'SANTA ROSA '!I3</f>
        <v>Stock Actual</v>
      </c>
      <c r="K234" s="2" t="str">
        <f>'SANTA ROSA '!J3</f>
        <v>Stock Actual</v>
      </c>
      <c r="L234" s="2" t="str">
        <f>'SANTA ROSA '!K3</f>
        <v>Stock Actual</v>
      </c>
      <c r="M234" s="2" t="str">
        <f>'SANTA ROSA '!L3</f>
        <v>Stock Actual</v>
      </c>
      <c r="N234" s="2" t="str">
        <f>'SANTA ROSA '!M3</f>
        <v>Stock Actual </v>
      </c>
      <c r="O234" s="2" t="str">
        <f>'SANTA ROSA '!N3</f>
        <v>Stock Actual</v>
      </c>
      <c r="P234" s="2" t="str">
        <f>'SANTA ROSA '!O3</f>
        <v>Stock Actual</v>
      </c>
      <c r="Q234" s="2" t="str">
        <f>'SANTA ROSA '!P3</f>
        <v>Stock Actual </v>
      </c>
      <c r="R234" s="2" t="str">
        <f>'SANTA ROSA '!Q3</f>
        <v>Stock Actual </v>
      </c>
      <c r="S234" s="2" t="str">
        <f>'SANTA ROSA '!R3</f>
        <v>Stock Actual </v>
      </c>
      <c r="T234" s="2" t="str">
        <f>'SANTA ROSA '!S3</f>
        <v>Stock Actual </v>
      </c>
      <c r="U234" s="2" t="str">
        <f>'SANTA ROSA '!T3</f>
        <v>Stock Actual</v>
      </c>
      <c r="V234" s="2" t="str">
        <f>'SANTA ROSA '!U3</f>
        <v>Stock Actual </v>
      </c>
      <c r="W234" s="2" t="str">
        <f>'SANTA ROSA '!V3</f>
        <v>Stock Actual </v>
      </c>
      <c r="X234" s="2" t="str">
        <f>'SANTA ROSA '!W3</f>
        <v>Stock Actual</v>
      </c>
      <c r="Y234" s="2" t="str">
        <f>'SANTA ROSA '!X3</f>
        <v>Stock Actual</v>
      </c>
      <c r="Z234" s="2" t="str">
        <f>'SANTA ROSA '!Y3</f>
        <v>Stock Actual</v>
      </c>
      <c r="AA234" s="2" t="str">
        <f>'SANTA ROSA '!Z3</f>
        <v>Stock Actual</v>
      </c>
      <c r="AB234" s="2" t="str">
        <f>'SANTA ROSA '!AA3</f>
        <v>Stock Actual</v>
      </c>
      <c r="AC234" s="2" t="str">
        <f>'SANTA ROSA '!AB3</f>
        <v/>
      </c>
      <c r="AD234" s="2" t="str">
        <f>'SANTA ROSA '!AC3</f>
        <v/>
      </c>
      <c r="AE234" s="2" t="str">
        <f>'SANTA ROSA '!AD3</f>
        <v/>
      </c>
      <c r="AF234" s="2" t="str">
        <f>'SANTA ROSA '!AE3</f>
        <v/>
      </c>
      <c r="AG234" s="2" t="str">
        <f>'SANTA ROSA '!AF3</f>
        <v/>
      </c>
      <c r="AH234" s="2" t="str">
        <f>'SANTA ROSA '!AG3</f>
        <v/>
      </c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</row>
    <row r="235">
      <c r="B235" s="2" t="str">
        <f>'SANTA ROSA '!A4</f>
        <v>Santa Rosa</v>
      </c>
      <c r="C235" s="2" t="str">
        <f>'SANTA ROSA '!B4</f>
        <v>Cafeteria</v>
      </c>
      <c r="D235" s="2" t="str">
        <f>'SANTA ROSA '!C4</f>
        <v>Cafe Grano (KG)</v>
      </c>
      <c r="E235" s="2" t="str">
        <f>'SANTA ROSA '!D4</f>
        <v>6 - 6</v>
      </c>
      <c r="F235" s="2" t="str">
        <f>'SANTA ROSA '!E4</f>
        <v>3 - 3</v>
      </c>
      <c r="G235" s="2" t="str">
        <f>'SANTA ROSA '!F4</f>
        <v>piso 5 (2) -  piso 6 (2)</v>
      </c>
      <c r="H235" s="2" t="str">
        <f>'SANTA ROSA '!G4</f>
        <v>piso 5 (2) -  piso 6 (2)</v>
      </c>
      <c r="I235" s="2" t="str">
        <f>'SANTA ROSA '!H4</f>
        <v>piso 5 (2) -  piso 6 (2)</v>
      </c>
      <c r="J235" s="2" t="str">
        <f>'SANTA ROSA '!I4</f>
        <v>piso 5 (2) -  piso 6 (1)</v>
      </c>
      <c r="K235" s="2" t="str">
        <f>'SANTA ROSA '!J4</f>
        <v>piso 5 (1) -  piso 6 (0)</v>
      </c>
      <c r="L235" s="2" t="str">
        <f>'SANTA ROSA '!K4</f>
        <v>piso 5 (0) -  piso 6 (0)</v>
      </c>
      <c r="M235" s="2" t="str">
        <f>'SANTA ROSA '!L4</f>
        <v>piso 5 (1) -  piso 6 (0)</v>
      </c>
      <c r="N235" s="2" t="str">
        <f>'SANTA ROSA '!M4</f>
        <v>piso 5 (0) -  piso 6 (0)</v>
      </c>
      <c r="O235" s="2" t="str">
        <f>'SANTA ROSA '!N4</f>
        <v>piso 5 (2) -  piso 6 (2)</v>
      </c>
      <c r="P235" s="2" t="str">
        <f>'SANTA ROSA '!O4</f>
        <v>piso 5 (2) -  piso 6 (1)</v>
      </c>
      <c r="Q235" s="2" t="str">
        <f>'SANTA ROSA '!P4</f>
        <v>piso 5 (1) -  piso 6 (2)</v>
      </c>
      <c r="R235" s="2" t="str">
        <f>'SANTA ROSA '!Q4</f>
        <v>piso 5 (4) -  piso 6 (5)</v>
      </c>
      <c r="S235" s="2" t="str">
        <f>'SANTA ROSA '!R4</f>
        <v>piso 5 (3) -  piso 6 (4)</v>
      </c>
      <c r="T235" s="2" t="str">
        <f>'SANTA ROSA '!S4</f>
        <v>piso 5 (2) -  piso 6 (4)</v>
      </c>
      <c r="U235" s="2" t="str">
        <f>'SANTA ROSA '!T4</f>
        <v>piso 5 (2) -  piso 6 (4)</v>
      </c>
      <c r="V235" s="2" t="str">
        <f>'SANTA ROSA '!U4</f>
        <v>piso 5 (4) -  piso 6 (3)</v>
      </c>
      <c r="W235" s="2" t="str">
        <f>'SANTA ROSA '!V4</f>
        <v>piso 5 (4) -  piso 6 (3)</v>
      </c>
      <c r="X235" s="2" t="str">
        <f>'SANTA ROSA '!W4</f>
        <v>piso 5 (3) -  piso 6 (2)</v>
      </c>
      <c r="Y235" s="2" t="str">
        <f>'SANTA ROSA '!X4</f>
        <v>piso 5 (2) -  piso 6 (1)</v>
      </c>
      <c r="Z235" s="2" t="str">
        <f>'SANTA ROSA '!Y4</f>
        <v>piso 5 () -  piso 6 ()</v>
      </c>
      <c r="AA235" s="2" t="str">
        <f>'SANTA ROSA '!Z4</f>
        <v>piso 5 (9) -  piso 6 (9)</v>
      </c>
      <c r="AB235" s="2" t="str">
        <f>'SANTA ROSA '!AA4</f>
        <v>piso 3 (3)- piso 5 (2) -  piso 6 (3)</v>
      </c>
      <c r="AC235" s="2" t="str">
        <f>'SANTA ROSA '!AB4</f>
        <v/>
      </c>
      <c r="AD235" s="2" t="str">
        <f>'SANTA ROSA '!AC4</f>
        <v/>
      </c>
      <c r="AE235" s="2" t="str">
        <f>'SANTA ROSA '!AD4</f>
        <v/>
      </c>
      <c r="AF235" s="2" t="str">
        <f>'SANTA ROSA '!AE4</f>
        <v/>
      </c>
      <c r="AG235" s="2" t="str">
        <f>'SANTA ROSA '!AF4</f>
        <v/>
      </c>
      <c r="AH235" s="2" t="str">
        <f>'SANTA ROSA '!AG4</f>
        <v/>
      </c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</row>
    <row r="236">
      <c r="B236" s="2" t="str">
        <f>'SANTA ROSA '!A5</f>
        <v>Santa Rosa</v>
      </c>
      <c r="C236" s="2" t="str">
        <f>'SANTA ROSA '!B5</f>
        <v>Cafeteria</v>
      </c>
      <c r="D236" s="2" t="str">
        <f>'SANTA ROSA '!C5</f>
        <v>Vainilla 500gr</v>
      </c>
      <c r="E236" s="2" t="str">
        <f>'SANTA ROSA '!D5</f>
        <v>12 - 12</v>
      </c>
      <c r="F236" s="2" t="str">
        <f>'SANTA ROSA '!E5</f>
        <v>6 - 8</v>
      </c>
      <c r="G236" s="2" t="str">
        <f>'SANTA ROSA '!F5</f>
        <v>piso 5 (6) - piso 6 (8)</v>
      </c>
      <c r="H236" s="2" t="str">
        <f>'SANTA ROSA '!G5</f>
        <v>piso 5 (5) -  piso 6 (6)</v>
      </c>
      <c r="I236" s="2" t="str">
        <f>'SANTA ROSA '!H5</f>
        <v>piso 5 (5) -  piso 6 (6)</v>
      </c>
      <c r="J236" s="2" t="str">
        <f>'SANTA ROSA '!I5</f>
        <v>piso 5 (5) -  piso 6 (5)</v>
      </c>
      <c r="K236" s="2" t="str">
        <f>'SANTA ROSA '!J5</f>
        <v>piso 5 (3) -  piso 6 (4)</v>
      </c>
      <c r="L236" s="2" t="str">
        <f>'SANTA ROSA '!K5</f>
        <v>piso 5 (3) -  piso 6 (3)</v>
      </c>
      <c r="M236" s="2" t="str">
        <f>'SANTA ROSA '!L5</f>
        <v>piso 5 (6) -  piso 6 (6)</v>
      </c>
      <c r="N236" s="2" t="str">
        <f>'SANTA ROSA '!M5</f>
        <v>piso 5 (5) -  piso 6 (5)</v>
      </c>
      <c r="O236" s="2" t="str">
        <f>'SANTA ROSA '!N5</f>
        <v>piso 5 (8) -  piso 6 (8)</v>
      </c>
      <c r="P236" s="2" t="str">
        <f>'SANTA ROSA '!O5</f>
        <v>piso 5 (7) -  piso 6 (7)</v>
      </c>
      <c r="Q236" s="2" t="str">
        <f>'SANTA ROSA '!P5</f>
        <v>piso 5 (5) -  piso 6 (6)</v>
      </c>
      <c r="R236" s="2" t="str">
        <f>'SANTA ROSA '!Q5</f>
        <v>piso 5 (10) -  piso 6 (11)</v>
      </c>
      <c r="S236" s="2" t="str">
        <f>'SANTA ROSA '!R5</f>
        <v>piso 5 (9) -  piso 6 (10)</v>
      </c>
      <c r="T236" s="2" t="str">
        <f>'SANTA ROSA '!S5</f>
        <v>piso 5 (8) -  piso 6 (9)</v>
      </c>
      <c r="U236" s="2" t="str">
        <f>'SANTA ROSA '!T5</f>
        <v>piso 5 (6) -  piso 6 (9)</v>
      </c>
      <c r="V236" s="2" t="str">
        <f>'SANTA ROSA '!U5</f>
        <v>piso 5 (10) -  piso 6 (8)</v>
      </c>
      <c r="W236" s="2" t="str">
        <f>'SANTA ROSA '!V5</f>
        <v>piso 5 (10) -  piso 6 (7)</v>
      </c>
      <c r="X236" s="2" t="str">
        <f>'SANTA ROSA '!W5</f>
        <v>piso 5 (9) -  piso 6 (6)</v>
      </c>
      <c r="Y236" s="2" t="str">
        <f>'SANTA ROSA '!X5</f>
        <v>piso 5 (7) -  piso 6 (4)</v>
      </c>
      <c r="Z236" s="2" t="str">
        <f>'SANTA ROSA '!Y5</f>
        <v>piso 5 () -  piso 6 ()</v>
      </c>
      <c r="AA236" s="2" t="str">
        <f>'SANTA ROSA '!Z5</f>
        <v>piso 5 (15) -  piso 6 (14)</v>
      </c>
      <c r="AB236" s="2" t="str">
        <f>'SANTA ROSA '!AA5</f>
        <v>piso 3 (6)- piso 5 (6) -  piso 6 (6)</v>
      </c>
      <c r="AC236" s="2" t="str">
        <f>'SANTA ROSA '!AB5</f>
        <v/>
      </c>
      <c r="AD236" s="2" t="str">
        <f>'SANTA ROSA '!AC5</f>
        <v/>
      </c>
      <c r="AE236" s="2" t="str">
        <f>'SANTA ROSA '!AD5</f>
        <v/>
      </c>
      <c r="AF236" s="2" t="str">
        <f>'SANTA ROSA '!AE5</f>
        <v/>
      </c>
      <c r="AG236" s="2" t="str">
        <f>'SANTA ROSA '!AF5</f>
        <v/>
      </c>
      <c r="AH236" s="2" t="str">
        <f>'SANTA ROSA '!AG5</f>
        <v/>
      </c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</row>
    <row r="237">
      <c r="B237" s="2" t="str">
        <f>'SANTA ROSA '!A6</f>
        <v>Santa Rosa</v>
      </c>
      <c r="C237" s="2" t="str">
        <f>'SANTA ROSA '!B6</f>
        <v>Cafeteria</v>
      </c>
      <c r="D237" s="2" t="str">
        <f>'SANTA ROSA '!C6</f>
        <v>Chocolate</v>
      </c>
      <c r="E237" s="2" t="str">
        <f>'SANTA ROSA '!D6</f>
        <v>6 - 6</v>
      </c>
      <c r="F237" s="2" t="str">
        <f>'SANTA ROSA '!E6</f>
        <v>4 - 4</v>
      </c>
      <c r="G237" s="2" t="str">
        <f>'SANTA ROSA '!F6</f>
        <v>piso 5 (3) - piso 6 (4)</v>
      </c>
      <c r="H237" s="2" t="str">
        <f>'SANTA ROSA '!G6</f>
        <v>piso 5 (3) -  piso 6 (3)</v>
      </c>
      <c r="I237" s="2" t="str">
        <f>'SANTA ROSA '!H6</f>
        <v>piso 5 (3) -  piso 6 (3)</v>
      </c>
      <c r="J237" s="2" t="str">
        <f>'SANTA ROSA '!I6</f>
        <v>piso 5 (3) -  piso 6 (3)</v>
      </c>
      <c r="K237" s="2" t="str">
        <f>'SANTA ROSA '!J6</f>
        <v>piso 5 (2) -  piso 6 (3)</v>
      </c>
      <c r="L237" s="2" t="str">
        <f>'SANTA ROSA '!K6</f>
        <v>piso 5 (2) -  piso 6 (1)</v>
      </c>
      <c r="M237" s="2" t="str">
        <f>'SANTA ROSA '!L6</f>
        <v>piso 5 (2) -  piso 6 (3)</v>
      </c>
      <c r="N237" s="2" t="str">
        <f>'SANTA ROSA '!M6</f>
        <v>piso 5 (5) -  piso 6 (1)</v>
      </c>
      <c r="O237" s="2" t="str">
        <f>'SANTA ROSA '!N6</f>
        <v>piso 5 (3) -  piso 6 (5)</v>
      </c>
      <c r="P237" s="2" t="str">
        <f>'SANTA ROSA '!O6</f>
        <v>piso 5 (3) -  piso 6 (5)</v>
      </c>
      <c r="Q237" s="2" t="str">
        <f>'SANTA ROSA '!P6</f>
        <v>piso 5 (4) -  piso 6 (3)</v>
      </c>
      <c r="R237" s="2" t="str">
        <f>'SANTA ROSA '!Q6</f>
        <v>piso 5 (5) -  piso 6 (6)</v>
      </c>
      <c r="S237" s="2" t="str">
        <f>'SANTA ROSA '!R6</f>
        <v>piso 5 (5) -  piso 6 (6)</v>
      </c>
      <c r="T237" s="2" t="str">
        <f>'SANTA ROSA '!S6</f>
        <v>piso 5 (5) -  piso 6 (5)</v>
      </c>
      <c r="U237" s="2" t="str">
        <f>'SANTA ROSA '!T6</f>
        <v>piso 5 (5) -  piso 6 (5)</v>
      </c>
      <c r="V237" s="2" t="str">
        <f>'SANTA ROSA '!U6</f>
        <v>piso 5 (5) -  piso 6 (5)</v>
      </c>
      <c r="W237" s="2" t="str">
        <f>'SANTA ROSA '!V6</f>
        <v>piso 5 (4) -  piso 6 (5)</v>
      </c>
      <c r="X237" s="2" t="str">
        <f>'SANTA ROSA '!W6</f>
        <v>piso 5 (4) -  piso 6 (5)</v>
      </c>
      <c r="Y237" s="2" t="str">
        <f>'SANTA ROSA '!X6</f>
        <v>piso 5 (3) -  piso 6 (4)</v>
      </c>
      <c r="Z237" s="2" t="str">
        <f>'SANTA ROSA '!Y6</f>
        <v>piso 5 () -  piso 6 ()</v>
      </c>
      <c r="AA237" s="2" t="str">
        <f>'SANTA ROSA '!Z6</f>
        <v>piso 5 (10) -  piso 6 (15)</v>
      </c>
      <c r="AB237" s="2" t="str">
        <f>'SANTA ROSA '!AA6</f>
        <v>piso 3 (6)- piso 5 (4) -  piso 6 (6)</v>
      </c>
      <c r="AC237" s="2" t="str">
        <f>'SANTA ROSA '!AB6</f>
        <v/>
      </c>
      <c r="AD237" s="2" t="str">
        <f>'SANTA ROSA '!AC6</f>
        <v/>
      </c>
      <c r="AE237" s="2" t="str">
        <f>'SANTA ROSA '!AD6</f>
        <v/>
      </c>
      <c r="AF237" s="2" t="str">
        <f>'SANTA ROSA '!AE6</f>
        <v/>
      </c>
      <c r="AG237" s="2" t="str">
        <f>'SANTA ROSA '!AF6</f>
        <v/>
      </c>
      <c r="AH237" s="2" t="str">
        <f>'SANTA ROSA '!AG6</f>
        <v/>
      </c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</row>
    <row r="238">
      <c r="B238" s="2" t="str">
        <f>'SANTA ROSA '!A7</f>
        <v>Santa Rosa</v>
      </c>
      <c r="C238" s="2" t="str">
        <f>'SANTA ROSA '!B7</f>
        <v>Cafeteria</v>
      </c>
      <c r="D238" s="2" t="str">
        <f>'SANTA ROSA '!C7</f>
        <v>Te Natural</v>
      </c>
      <c r="E238" s="2" t="str">
        <f>'SANTA ROSA '!D7</f>
        <v>1 - 1</v>
      </c>
      <c r="F238" s="2" t="str">
        <f>'SANTA ROSA '!E7</f>
        <v>en uso maq</v>
      </c>
      <c r="G238" s="2" t="str">
        <f>'SANTA ROSA '!F7</f>
        <v>en uso maq</v>
      </c>
      <c r="H238" s="2" t="str">
        <f>'SANTA ROSA '!G7</f>
        <v>en maquina</v>
      </c>
      <c r="I238" s="2" t="str">
        <f>'SANTA ROSA '!H7</f>
        <v>en maquina</v>
      </c>
      <c r="J238" s="2" t="str">
        <f>'SANTA ROSA '!I7</f>
        <v>en maquina</v>
      </c>
      <c r="K238" s="2" t="str">
        <f>'SANTA ROSA '!J7</f>
        <v>en maquina </v>
      </c>
      <c r="L238" s="2" t="str">
        <f>'SANTA ROSA '!K7</f>
        <v>en maquina</v>
      </c>
      <c r="M238" s="2" t="str">
        <f>'SANTA ROSA '!L7</f>
        <v>1 bolsa</v>
      </c>
      <c r="N238" s="2" t="str">
        <f>'SANTA ROSA '!M7</f>
        <v>1 bolsa</v>
      </c>
      <c r="O238" s="2" t="str">
        <f>'SANTA ROSA '!N7</f>
        <v>1 bolsa</v>
      </c>
      <c r="P238" s="2" t="str">
        <f>'SANTA ROSA '!O7</f>
        <v>1 bolsa</v>
      </c>
      <c r="Q238" s="2" t="str">
        <f>'SANTA ROSA '!P7</f>
        <v>1 bolsa </v>
      </c>
      <c r="R238" s="2" t="str">
        <f>'SANTA ROSA '!Q7</f>
        <v>1 bolsa </v>
      </c>
      <c r="S238" s="2" t="str">
        <f>'SANTA ROSA '!R7</f>
        <v>1 bolsa </v>
      </c>
      <c r="T238" s="2" t="str">
        <f>'SANTA ROSA '!S7</f>
        <v>1 bolsa </v>
      </c>
      <c r="U238" s="2" t="str">
        <f>'SANTA ROSA '!T7</f>
        <v>1 bolsa </v>
      </c>
      <c r="V238" s="2" t="str">
        <f>'SANTA ROSA '!U7</f>
        <v>2 bolsas</v>
      </c>
      <c r="W238" s="2" t="str">
        <f>'SANTA ROSA '!V7</f>
        <v>2 bolsas</v>
      </c>
      <c r="X238" s="2" t="str">
        <f>'SANTA ROSA '!W7</f>
        <v>2 bolsas </v>
      </c>
      <c r="Y238" s="2" t="str">
        <f>'SANTA ROSA '!X7</f>
        <v>1 bolsas </v>
      </c>
      <c r="Z238" s="2" t="str">
        <f>'SANTA ROSA '!Y7</f>
        <v/>
      </c>
      <c r="AA238" s="2">
        <f>'SANTA ROSA '!Z7</f>
        <v>2</v>
      </c>
      <c r="AB238" s="2">
        <f>'SANTA ROSA '!AA7</f>
        <v>3</v>
      </c>
      <c r="AC238" s="2" t="str">
        <f>'SANTA ROSA '!AB7</f>
        <v/>
      </c>
      <c r="AD238" s="2" t="str">
        <f>'SANTA ROSA '!AC7</f>
        <v/>
      </c>
      <c r="AE238" s="2" t="str">
        <f>'SANTA ROSA '!AD7</f>
        <v/>
      </c>
      <c r="AF238" s="2" t="str">
        <f>'SANTA ROSA '!AE7</f>
        <v/>
      </c>
      <c r="AG238" s="2" t="str">
        <f>'SANTA ROSA '!AF7</f>
        <v/>
      </c>
      <c r="AH238" s="2" t="str">
        <f>'SANTA ROSA '!AG7</f>
        <v/>
      </c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</row>
    <row r="239">
      <c r="B239" s="2" t="str">
        <f>'SANTA ROSA '!A8</f>
        <v>Santa Rosa</v>
      </c>
      <c r="C239" s="2" t="str">
        <f>'SANTA ROSA '!B8</f>
        <v>Aseo</v>
      </c>
      <c r="D239" s="2" t="str">
        <f>'SANTA ROSA '!C8</f>
        <v>Toalla de Papel Jumbo (UN)</v>
      </c>
      <c r="E239" s="2" t="str">
        <f>'SANTA ROSA '!D8</f>
        <v/>
      </c>
      <c r="F239" s="2" t="str">
        <f>'SANTA ROSA '!E8</f>
        <v>2ud</v>
      </c>
      <c r="G239" s="2" t="str">
        <f>'SANTA ROSA '!F8</f>
        <v>2 ud</v>
      </c>
      <c r="H239" s="2" t="str">
        <f>'SANTA ROSA '!G8</f>
        <v>1ud</v>
      </c>
      <c r="I239" s="2">
        <f>'SANTA ROSA '!H8</f>
        <v>0</v>
      </c>
      <c r="J239" s="2">
        <f>'SANTA ROSA '!I8</f>
        <v>0</v>
      </c>
      <c r="K239" s="2">
        <f>'SANTA ROSA '!J8</f>
        <v>10</v>
      </c>
      <c r="L239" s="2">
        <f>'SANTA ROSA '!K8</f>
        <v>8</v>
      </c>
      <c r="M239" s="2">
        <f>'SANTA ROSA '!L8</f>
        <v>4</v>
      </c>
      <c r="N239" s="2">
        <f>'SANTA ROSA '!M8</f>
        <v>2</v>
      </c>
      <c r="O239" s="2">
        <f>'SANTA ROSA '!N8</f>
        <v>0</v>
      </c>
      <c r="P239" s="2">
        <f>'SANTA ROSA '!O8</f>
        <v>14</v>
      </c>
      <c r="Q239" s="2">
        <f>'SANTA ROSA '!P8</f>
        <v>14</v>
      </c>
      <c r="R239" s="2">
        <f>'SANTA ROSA '!Q8</f>
        <v>18</v>
      </c>
      <c r="S239" s="2">
        <f>'SANTA ROSA '!R8</f>
        <v>14</v>
      </c>
      <c r="T239" s="2">
        <f>'SANTA ROSA '!S8</f>
        <v>12</v>
      </c>
      <c r="U239" s="2">
        <f>'SANTA ROSA '!T8</f>
        <v>12</v>
      </c>
      <c r="V239" s="2">
        <f>'SANTA ROSA '!U8</f>
        <v>4</v>
      </c>
      <c r="W239" s="2">
        <f>'SANTA ROSA '!V8</f>
        <v>2</v>
      </c>
      <c r="X239" s="2">
        <f>'SANTA ROSA '!W8</f>
        <v>4</v>
      </c>
      <c r="Y239" s="2">
        <f>'SANTA ROSA '!X8</f>
        <v>4</v>
      </c>
      <c r="Z239" s="2" t="str">
        <f>'SANTA ROSA '!Y8</f>
        <v/>
      </c>
      <c r="AA239" s="2">
        <f>'SANTA ROSA '!Z8</f>
        <v>26</v>
      </c>
      <c r="AB239" s="2">
        <f>'SANTA ROSA '!AA8</f>
        <v>20</v>
      </c>
      <c r="AC239" s="2" t="str">
        <f>'SANTA ROSA '!AB8</f>
        <v/>
      </c>
      <c r="AD239" s="2" t="str">
        <f>'SANTA ROSA '!AC8</f>
        <v/>
      </c>
      <c r="AE239" s="2" t="str">
        <f>'SANTA ROSA '!AD8</f>
        <v/>
      </c>
      <c r="AF239" s="2" t="str">
        <f>'SANTA ROSA '!AE8</f>
        <v/>
      </c>
      <c r="AG239" s="2" t="str">
        <f>'SANTA ROSA '!AF8</f>
        <v/>
      </c>
      <c r="AH239" s="2" t="str">
        <f>'SANTA ROSA '!AG8</f>
        <v/>
      </c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</row>
    <row r="240">
      <c r="B240" s="2" t="str">
        <f>'SANTA ROSA '!A9</f>
        <v>Santa Rosa </v>
      </c>
      <c r="C240" s="2" t="str">
        <f>'SANTA ROSA '!B9</f>
        <v>Aseo</v>
      </c>
      <c r="D240" s="2" t="str">
        <f>'SANTA ROSA '!C9</f>
        <v>Papel Higienico (UN)</v>
      </c>
      <c r="E240" s="2" t="str">
        <f>'SANTA ROSA '!D9</f>
        <v/>
      </c>
      <c r="F240" s="2">
        <f>'SANTA ROSA '!E9</f>
        <v>7</v>
      </c>
      <c r="G240" s="2" t="str">
        <f>'SANTA ROSA '!F9</f>
        <v>4 ud</v>
      </c>
      <c r="H240" s="2" t="str">
        <f>'SANTA ROSA '!G9</f>
        <v>16ud</v>
      </c>
      <c r="I240" s="2">
        <f>'SANTA ROSA '!H9</f>
        <v>8</v>
      </c>
      <c r="J240" s="2">
        <f>'SANTA ROSA '!I9</f>
        <v>8</v>
      </c>
      <c r="K240" s="2">
        <f>'SANTA ROSA '!J9</f>
        <v>24</v>
      </c>
      <c r="L240" s="2">
        <f>'SANTA ROSA '!K9</f>
        <v>52</v>
      </c>
      <c r="M240" s="2">
        <f>'SANTA ROSA '!L9</f>
        <v>40</v>
      </c>
      <c r="N240" s="2">
        <f>'SANTA ROSA '!M9</f>
        <v>36</v>
      </c>
      <c r="O240" s="2">
        <f>'SANTA ROSA '!N9</f>
        <v>32</v>
      </c>
      <c r="P240" s="2">
        <f>'SANTA ROSA '!O9</f>
        <v>32</v>
      </c>
      <c r="Q240" s="2">
        <f>'SANTA ROSA '!P9</f>
        <v>32</v>
      </c>
      <c r="R240" s="2">
        <f>'SANTA ROSA '!Q9</f>
        <v>40</v>
      </c>
      <c r="S240" s="2">
        <f>'SANTA ROSA '!R9</f>
        <v>36</v>
      </c>
      <c r="T240" s="2">
        <f>'SANTA ROSA '!S9</f>
        <v>36</v>
      </c>
      <c r="U240" s="2">
        <f>'SANTA ROSA '!T9</f>
        <v>36</v>
      </c>
      <c r="V240" s="2">
        <f>'SANTA ROSA '!U9</f>
        <v>36</v>
      </c>
      <c r="W240" s="2">
        <f>'SANTA ROSA '!V9</f>
        <v>32</v>
      </c>
      <c r="X240" s="2">
        <f>'SANTA ROSA '!W9</f>
        <v>28</v>
      </c>
      <c r="Y240" s="2">
        <f>'SANTA ROSA '!X9</f>
        <v>28</v>
      </c>
      <c r="Z240" s="2" t="str">
        <f>'SANTA ROSA '!Y9</f>
        <v/>
      </c>
      <c r="AA240" s="2">
        <f>'SANTA ROSA '!Z9</f>
        <v>40</v>
      </c>
      <c r="AB240" s="2">
        <f>'SANTA ROSA '!AA9</f>
        <v>36</v>
      </c>
      <c r="AC240" s="2" t="str">
        <f>'SANTA ROSA '!AB9</f>
        <v/>
      </c>
      <c r="AD240" s="2" t="str">
        <f>'SANTA ROSA '!AC9</f>
        <v/>
      </c>
      <c r="AE240" s="2" t="str">
        <f>'SANTA ROSA '!AD9</f>
        <v/>
      </c>
      <c r="AF240" s="2" t="str">
        <f>'SANTA ROSA '!AE9</f>
        <v/>
      </c>
      <c r="AG240" s="2" t="str">
        <f>'SANTA ROSA '!AF9</f>
        <v/>
      </c>
      <c r="AH240" s="2" t="str">
        <f>'SANTA ROSA '!AG9</f>
        <v/>
      </c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</row>
    <row r="241">
      <c r="B241" s="2" t="str">
        <f>'SANTA ROSA '!A10</f>
        <v>Santa Rosa</v>
      </c>
      <c r="C241" s="2" t="str">
        <f>'SANTA ROSA '!B10</f>
        <v>Cafeteria</v>
      </c>
      <c r="D241" s="2" t="str">
        <f>'SANTA ROSA '!C10</f>
        <v>Resma Papel Fotocopia (UN)</v>
      </c>
      <c r="E241" s="2" t="str">
        <f>'SANTA ROSA '!D10</f>
        <v/>
      </c>
      <c r="F241" s="2">
        <f>'SANTA ROSA '!E10</f>
        <v>5</v>
      </c>
      <c r="G241" s="2">
        <f>'SANTA ROSA '!F10</f>
        <v>5</v>
      </c>
      <c r="H241" s="2">
        <f>'SANTA ROSA '!G10</f>
        <v>5</v>
      </c>
      <c r="I241" s="2">
        <f>'SANTA ROSA '!H10</f>
        <v>5</v>
      </c>
      <c r="J241" s="2">
        <f>'SANTA ROSA '!I10</f>
        <v>5</v>
      </c>
      <c r="K241" s="2">
        <f>'SANTA ROSA '!J10</f>
        <v>5</v>
      </c>
      <c r="L241" s="2">
        <f>'SANTA ROSA '!K10</f>
        <v>6</v>
      </c>
      <c r="M241" s="2">
        <f>'SANTA ROSA '!L10</f>
        <v>5</v>
      </c>
      <c r="N241" s="2">
        <f>'SANTA ROSA '!M10</f>
        <v>5</v>
      </c>
      <c r="O241" s="2">
        <f>'SANTA ROSA '!N10</f>
        <v>5</v>
      </c>
      <c r="P241" s="2">
        <f>'SANTA ROSA '!O10</f>
        <v>5</v>
      </c>
      <c r="Q241" s="2">
        <f>'SANTA ROSA '!P10</f>
        <v>5</v>
      </c>
      <c r="R241" s="2">
        <f>'SANTA ROSA '!Q10</f>
        <v>4</v>
      </c>
      <c r="S241" s="2">
        <f>'SANTA ROSA '!R10</f>
        <v>4</v>
      </c>
      <c r="T241" s="2">
        <f>'SANTA ROSA '!S10</f>
        <v>5</v>
      </c>
      <c r="U241" s="2">
        <f>'SANTA ROSA '!T10</f>
        <v>5</v>
      </c>
      <c r="V241" s="2">
        <f>'SANTA ROSA '!U10</f>
        <v>5</v>
      </c>
      <c r="W241" s="2">
        <f>'SANTA ROSA '!V10</f>
        <v>5</v>
      </c>
      <c r="X241" s="2">
        <f>'SANTA ROSA '!W10</f>
        <v>5</v>
      </c>
      <c r="Y241" s="2">
        <f>'SANTA ROSA '!X10</f>
        <v>5</v>
      </c>
      <c r="Z241" s="2" t="str">
        <f>'SANTA ROSA '!Y10</f>
        <v/>
      </c>
      <c r="AA241" s="2">
        <f>'SANTA ROSA '!Z10</f>
        <v>5</v>
      </c>
      <c r="AB241" s="2">
        <f>'SANTA ROSA '!AA10</f>
        <v>6</v>
      </c>
      <c r="AC241" s="2" t="str">
        <f>'SANTA ROSA '!AB10</f>
        <v/>
      </c>
      <c r="AD241" s="2" t="str">
        <f>'SANTA ROSA '!AC10</f>
        <v/>
      </c>
      <c r="AE241" s="2" t="str">
        <f>'SANTA ROSA '!AD10</f>
        <v/>
      </c>
      <c r="AF241" s="2" t="str">
        <f>'SANTA ROSA '!AE10</f>
        <v/>
      </c>
      <c r="AG241" s="2" t="str">
        <f>'SANTA ROSA '!AF10</f>
        <v/>
      </c>
      <c r="AH241" s="2" t="str">
        <f>'SANTA ROSA '!AG10</f>
        <v/>
      </c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</row>
    <row r="242">
      <c r="B242" s="2" t="str">
        <f>'SANTA ROSA '!A11</f>
        <v>Santa Rosa</v>
      </c>
      <c r="C242" s="2" t="str">
        <f>'SANTA ROSA '!B11</f>
        <v>Cafeteria</v>
      </c>
      <c r="D242" s="2" t="str">
        <f>'SANTA ROSA '!C11</f>
        <v>Servilletas</v>
      </c>
      <c r="E242" s="2" t="str">
        <f>'SANTA ROSA '!D11</f>
        <v/>
      </c>
      <c r="F242" s="2">
        <f>'SANTA ROSA '!E11</f>
        <v>9</v>
      </c>
      <c r="G242" s="2">
        <f>'SANTA ROSA '!F11</f>
        <v>8</v>
      </c>
      <c r="H242" s="2">
        <f>'SANTA ROSA '!G11</f>
        <v>8</v>
      </c>
      <c r="I242" s="2">
        <f>'SANTA ROSA '!H11</f>
        <v>7</v>
      </c>
      <c r="J242" s="2">
        <f>'SANTA ROSA '!I11</f>
        <v>7</v>
      </c>
      <c r="K242" s="2">
        <f>'SANTA ROSA '!J11</f>
        <v>5</v>
      </c>
      <c r="L242" s="2">
        <f>'SANTA ROSA '!K11</f>
        <v>10</v>
      </c>
      <c r="M242" s="2">
        <f>'SANTA ROSA '!L11</f>
        <v>9</v>
      </c>
      <c r="N242" s="2">
        <f>'SANTA ROSA '!M11</f>
        <v>8</v>
      </c>
      <c r="O242" s="2">
        <f>'SANTA ROSA '!N11</f>
        <v>7</v>
      </c>
      <c r="P242" s="2">
        <f>'SANTA ROSA '!O11</f>
        <v>6</v>
      </c>
      <c r="Q242" s="2">
        <f>'SANTA ROSA '!P11</f>
        <v>6</v>
      </c>
      <c r="R242" s="2">
        <f>'SANTA ROSA '!Q11</f>
        <v>44</v>
      </c>
      <c r="S242" s="2">
        <f>'SANTA ROSA '!R11</f>
        <v>44</v>
      </c>
      <c r="T242" s="2">
        <f>'SANTA ROSA '!S11</f>
        <v>40</v>
      </c>
      <c r="U242" s="2">
        <f>'SANTA ROSA '!T11</f>
        <v>39</v>
      </c>
      <c r="V242" s="2">
        <f>'SANTA ROSA '!U11</f>
        <v>33</v>
      </c>
      <c r="W242" s="2">
        <f>'SANTA ROSA '!V11</f>
        <v>30</v>
      </c>
      <c r="X242" s="2">
        <f>'SANTA ROSA '!W11</f>
        <v>25</v>
      </c>
      <c r="Y242" s="2">
        <f>'SANTA ROSA '!X11</f>
        <v>25</v>
      </c>
      <c r="Z242" s="2" t="str">
        <f>'SANTA ROSA '!Y11</f>
        <v/>
      </c>
      <c r="AA242" s="2">
        <f>'SANTA ROSA '!Z11</f>
        <v>29</v>
      </c>
      <c r="AB242" s="2">
        <f>'SANTA ROSA '!AA11</f>
        <v>29</v>
      </c>
      <c r="AC242" s="2" t="str">
        <f>'SANTA ROSA '!AB11</f>
        <v/>
      </c>
      <c r="AD242" s="2" t="str">
        <f>'SANTA ROSA '!AC11</f>
        <v/>
      </c>
      <c r="AE242" s="2" t="str">
        <f>'SANTA ROSA '!AD11</f>
        <v/>
      </c>
      <c r="AF242" s="2" t="str">
        <f>'SANTA ROSA '!AE11</f>
        <v/>
      </c>
      <c r="AG242" s="2" t="str">
        <f>'SANTA ROSA '!AF11</f>
        <v/>
      </c>
      <c r="AH242" s="2" t="str">
        <f>'SANTA ROSA '!AG11</f>
        <v/>
      </c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</row>
    <row r="243">
      <c r="B243" s="2" t="str">
        <f>'SANTA ROSA '!A12</f>
        <v>Santa Rosa</v>
      </c>
      <c r="C243" s="2" t="str">
        <f>'SANTA ROSA '!B12</f>
        <v>Cafeteria</v>
      </c>
      <c r="D243" s="2" t="str">
        <f>'SANTA ROSA '!C12</f>
        <v>Leche en polvo </v>
      </c>
      <c r="E243" s="2" t="str">
        <f>'SANTA ROSA '!D12</f>
        <v/>
      </c>
      <c r="F243" s="2" t="str">
        <f>'SANTA ROSA '!E12</f>
        <v>6 - 7</v>
      </c>
      <c r="G243" s="2" t="str">
        <f>'SANTA ROSA '!F12</f>
        <v>piso 5 (4) - piso 6 (6)</v>
      </c>
      <c r="H243" s="2" t="str">
        <f>'SANTA ROSA '!G12</f>
        <v>piso 5 (4) -  piso 6 (4)</v>
      </c>
      <c r="I243" s="2" t="str">
        <f>'SANTA ROSA '!H12</f>
        <v>piso 5 (3) -  piso 6 (4)</v>
      </c>
      <c r="J243" s="2" t="str">
        <f>'SANTA ROSA '!I12</f>
        <v>piso 5 (2) -  piso 6 (3)</v>
      </c>
      <c r="K243" s="2" t="str">
        <f>'SANTA ROSA '!J12</f>
        <v>piso 5 (1) -  piso 6 (2)</v>
      </c>
      <c r="L243" s="2" t="str">
        <f>'SANTA ROSA '!K12</f>
        <v>piso 5 (0) -  piso 6 (0)</v>
      </c>
      <c r="M243" s="2" t="str">
        <f>'SANTA ROSA '!L12</f>
        <v>piso 5 (2) -  piso 6 (2)</v>
      </c>
      <c r="N243" s="2" t="str">
        <f>'SANTA ROSA '!M12</f>
        <v>piso 5 (1) -  piso 6 (1)</v>
      </c>
      <c r="O243" s="2" t="str">
        <f>'SANTA ROSA '!N12</f>
        <v>piso 5 (5) -  piso 6 (4)</v>
      </c>
      <c r="P243" s="2" t="str">
        <f>'SANTA ROSA '!O12</f>
        <v>piso 5 (2) -  piso 6 (1)</v>
      </c>
      <c r="Q243" s="2" t="str">
        <f>'SANTA ROSA '!P12</f>
        <v>piso 5 (2) -  piso 6 (2)</v>
      </c>
      <c r="R243" s="2" t="str">
        <f>'SANTA ROSA '!Q12</f>
        <v>piso 5 (6) -  piso 6 (7)</v>
      </c>
      <c r="S243" s="2" t="str">
        <f>'SANTA ROSA '!R12</f>
        <v>piso 5 (5) -  piso 6 (6)</v>
      </c>
      <c r="T243" s="2" t="str">
        <f>'SANTA ROSA '!S12</f>
        <v>piso 5 (4) -  piso 6 (5)</v>
      </c>
      <c r="U243" s="2" t="str">
        <f>'SANTA ROSA '!T12</f>
        <v>piso 5 (3) -  piso 6 (6)</v>
      </c>
      <c r="V243" s="2" t="str">
        <f>'SANTA ROSA '!U12</f>
        <v>piso 5 (6) -  piso 6 (6)</v>
      </c>
      <c r="W243" s="2" t="str">
        <f>'SANTA ROSA '!V12</f>
        <v>piso 5 (6) -  piso 6 (6)</v>
      </c>
      <c r="X243" s="2" t="str">
        <f>'SANTA ROSA '!W12</f>
        <v>piso 5 (5) -  piso 6 (5)</v>
      </c>
      <c r="Y243" s="2" t="str">
        <f>'SANTA ROSA '!X12</f>
        <v>piso 5 (2) -  piso 6 (2)</v>
      </c>
      <c r="Z243" s="2" t="str">
        <f>'SANTA ROSA '!Y12</f>
        <v>piso 5 () -  piso 6 ()</v>
      </c>
      <c r="AA243" s="2" t="str">
        <f>'SANTA ROSA '!Z12</f>
        <v>piso 5 (16) -  piso 6 (15)</v>
      </c>
      <c r="AB243" s="2" t="str">
        <f>'SANTA ROSA '!AA12</f>
        <v>piso 3 (6)- piso 5 (6) -  piso 6 (6)</v>
      </c>
      <c r="AC243" s="2" t="str">
        <f>'SANTA ROSA '!AB12</f>
        <v/>
      </c>
      <c r="AD243" s="2" t="str">
        <f>'SANTA ROSA '!AC12</f>
        <v/>
      </c>
      <c r="AE243" s="2" t="str">
        <f>'SANTA ROSA '!AD12</f>
        <v/>
      </c>
      <c r="AF243" s="2" t="str">
        <f>'SANTA ROSA '!AE12</f>
        <v/>
      </c>
      <c r="AG243" s="2" t="str">
        <f>'SANTA ROSA '!AF12</f>
        <v/>
      </c>
      <c r="AH243" s="2" t="str">
        <f>'SANTA ROSA '!AG12</f>
        <v/>
      </c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</row>
    <row r="244">
      <c r="B244" s="2" t="str">
        <f>'SANTA ROSA '!A13</f>
        <v>Santa Rosa</v>
      </c>
      <c r="C244" s="2" t="str">
        <f>'SANTA ROSA '!B13</f>
        <v>Cafeteria</v>
      </c>
      <c r="D244" s="2" t="str">
        <f>'SANTA ROSA '!C13</f>
        <v>Cafe Granulado</v>
      </c>
      <c r="E244" s="2" t="str">
        <f>'SANTA ROSA '!D13</f>
        <v/>
      </c>
      <c r="F244" s="2" t="str">
        <f>'SANTA ROSA '!E13</f>
        <v/>
      </c>
      <c r="G244" s="2" t="str">
        <f>'SANTA ROSA '!F13</f>
        <v/>
      </c>
      <c r="H244" s="2" t="str">
        <f>'SANTA ROSA '!G13</f>
        <v/>
      </c>
      <c r="I244" s="2" t="str">
        <f>'SANTA ROSA '!H13</f>
        <v/>
      </c>
      <c r="J244" s="2" t="str">
        <f>'SANTA ROSA '!I13</f>
        <v/>
      </c>
      <c r="K244" s="2" t="str">
        <f>'SANTA ROSA '!J13</f>
        <v/>
      </c>
      <c r="L244" s="2" t="str">
        <f>'SANTA ROSA '!K13</f>
        <v/>
      </c>
      <c r="M244" s="2" t="str">
        <f>'SANTA ROSA '!L13</f>
        <v/>
      </c>
      <c r="N244" s="2" t="str">
        <f>'SANTA ROSA '!M13</f>
        <v/>
      </c>
      <c r="O244" s="2" t="str">
        <f>'SANTA ROSA '!N13</f>
        <v/>
      </c>
      <c r="P244" s="2" t="str">
        <f>'SANTA ROSA '!O13</f>
        <v/>
      </c>
      <c r="Q244" s="2" t="str">
        <f>'SANTA ROSA '!P13</f>
        <v/>
      </c>
      <c r="R244" s="2" t="str">
        <f>'SANTA ROSA '!Q13</f>
        <v/>
      </c>
      <c r="S244" s="2" t="str">
        <f>'SANTA ROSA '!R13</f>
        <v/>
      </c>
      <c r="T244" s="2" t="str">
        <f>'SANTA ROSA '!S13</f>
        <v/>
      </c>
      <c r="U244" s="2" t="str">
        <f>'SANTA ROSA '!T13</f>
        <v/>
      </c>
      <c r="V244" s="2" t="str">
        <f>'SANTA ROSA '!U13</f>
        <v/>
      </c>
      <c r="W244" s="2" t="str">
        <f>'SANTA ROSA '!V13</f>
        <v/>
      </c>
      <c r="X244" s="2" t="str">
        <f>'SANTA ROSA '!W13</f>
        <v/>
      </c>
      <c r="Y244" s="2" t="str">
        <f>'SANTA ROSA '!X13</f>
        <v/>
      </c>
      <c r="Z244" s="2" t="str">
        <f>'SANTA ROSA '!Y13</f>
        <v/>
      </c>
      <c r="AA244" s="2">
        <f>'SANTA ROSA '!Z13</f>
        <v>2</v>
      </c>
      <c r="AB244" s="2">
        <f>'SANTA ROSA '!AA13</f>
        <v>1</v>
      </c>
      <c r="AC244" s="2" t="str">
        <f>'SANTA ROSA '!AB13</f>
        <v/>
      </c>
      <c r="AD244" s="2" t="str">
        <f>'SANTA ROSA '!AC13</f>
        <v/>
      </c>
      <c r="AE244" s="2" t="str">
        <f>'SANTA ROSA '!AD13</f>
        <v/>
      </c>
      <c r="AF244" s="2" t="str">
        <f>'SANTA ROSA '!AE13</f>
        <v/>
      </c>
      <c r="AG244" s="2" t="str">
        <f>'SANTA ROSA '!AF13</f>
        <v/>
      </c>
      <c r="AH244" s="2" t="str">
        <f>'SANTA ROSA '!AG13</f>
        <v/>
      </c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</row>
    <row r="245">
      <c r="B245" s="2" t="str">
        <f>'SANTA ROSA '!A14</f>
        <v>Santa Rosa</v>
      </c>
      <c r="C245" s="2" t="str">
        <f>'SANTA ROSA '!B14</f>
        <v>Cafeteria</v>
      </c>
      <c r="D245" s="2" t="str">
        <f>'SANTA ROSA '!C14</f>
        <v>Endulzante </v>
      </c>
      <c r="E245" s="2" t="str">
        <f>'SANTA ROSA '!D14</f>
        <v/>
      </c>
      <c r="F245" s="2">
        <f>'SANTA ROSA '!E14</f>
        <v>0</v>
      </c>
      <c r="G245" s="2">
        <f>'SANTA ROSA '!F14</f>
        <v>0</v>
      </c>
      <c r="H245" s="2">
        <f>'SANTA ROSA '!G14</f>
        <v>0</v>
      </c>
      <c r="I245" s="2">
        <f>'SANTA ROSA '!H14</f>
        <v>0</v>
      </c>
      <c r="J245" s="2">
        <f>'SANTA ROSA '!I14</f>
        <v>0</v>
      </c>
      <c r="K245" s="2">
        <f>'SANTA ROSA '!J14</f>
        <v>0</v>
      </c>
      <c r="L245" s="2">
        <f>'SANTA ROSA '!K14</f>
        <v>0</v>
      </c>
      <c r="M245" s="2">
        <f>'SANTA ROSA '!L14</f>
        <v>0</v>
      </c>
      <c r="N245" s="2">
        <f>'SANTA ROSA '!M14</f>
        <v>0</v>
      </c>
      <c r="O245" s="2">
        <f>'SANTA ROSA '!N14</f>
        <v>0</v>
      </c>
      <c r="P245" s="2">
        <f>'SANTA ROSA '!O14</f>
        <v>0</v>
      </c>
      <c r="Q245" s="2">
        <f>'SANTA ROSA '!P14</f>
        <v>1</v>
      </c>
      <c r="R245" s="2">
        <f>'SANTA ROSA '!Q14</f>
        <v>1</v>
      </c>
      <c r="S245" s="2">
        <f>'SANTA ROSA '!R14</f>
        <v>1</v>
      </c>
      <c r="T245" s="2">
        <f>'SANTA ROSA '!S14</f>
        <v>1</v>
      </c>
      <c r="U245" s="2">
        <f>'SANTA ROSA '!T14</f>
        <v>1</v>
      </c>
      <c r="V245" s="2">
        <f>'SANTA ROSA '!U14</f>
        <v>1</v>
      </c>
      <c r="W245" s="2">
        <f>'SANTA ROSA '!V14</f>
        <v>1</v>
      </c>
      <c r="X245" s="2">
        <f>'SANTA ROSA '!W14</f>
        <v>1</v>
      </c>
      <c r="Y245" s="2">
        <f>'SANTA ROSA '!X14</f>
        <v>1</v>
      </c>
      <c r="Z245" s="2" t="str">
        <f>'SANTA ROSA '!Y14</f>
        <v/>
      </c>
      <c r="AA245" s="2">
        <f>'SANTA ROSA '!Z14</f>
        <v>4</v>
      </c>
      <c r="AB245" s="2">
        <f>'SANTA ROSA '!AA14</f>
        <v>5</v>
      </c>
      <c r="AC245" s="2" t="str">
        <f>'SANTA ROSA '!AB14</f>
        <v/>
      </c>
      <c r="AD245" s="2" t="str">
        <f>'SANTA ROSA '!AC14</f>
        <v/>
      </c>
      <c r="AE245" s="2" t="str">
        <f>'SANTA ROSA '!AD14</f>
        <v/>
      </c>
      <c r="AF245" s="2" t="str">
        <f>'SANTA ROSA '!AE14</f>
        <v/>
      </c>
      <c r="AG245" s="2" t="str">
        <f>'SANTA ROSA '!AF14</f>
        <v/>
      </c>
      <c r="AH245" s="2" t="str">
        <f>'SANTA ROSA '!AG14</f>
        <v/>
      </c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</row>
    <row r="246">
      <c r="B246" s="2" t="str">
        <f>'SANTA ROSA '!A15</f>
        <v>Santa Rosa</v>
      </c>
      <c r="C246" s="2" t="str">
        <f>'SANTA ROSA '!B15</f>
        <v>Aseo</v>
      </c>
      <c r="D246" s="2" t="str">
        <f>'SANTA ROSA '!C15</f>
        <v>Cloro Gel </v>
      </c>
      <c r="E246" s="2" t="str">
        <f>'SANTA ROSA '!D15</f>
        <v/>
      </c>
      <c r="F246" s="2">
        <f>'SANTA ROSA '!E15</f>
        <v>0</v>
      </c>
      <c r="G246" s="2">
        <f>'SANTA ROSA '!F15</f>
        <v>0</v>
      </c>
      <c r="H246" s="2">
        <f>'SANTA ROSA '!G15</f>
        <v>0</v>
      </c>
      <c r="I246" s="2">
        <f>'SANTA ROSA '!H15</f>
        <v>0</v>
      </c>
      <c r="J246" s="2">
        <f>'SANTA ROSA '!I15</f>
        <v>0</v>
      </c>
      <c r="K246" s="2">
        <f>'SANTA ROSA '!J15</f>
        <v>1</v>
      </c>
      <c r="L246" s="2">
        <f>'SANTA ROSA '!K15</f>
        <v>1</v>
      </c>
      <c r="M246" s="2">
        <f>'SANTA ROSA '!L15</f>
        <v>1</v>
      </c>
      <c r="N246" s="2">
        <f>'SANTA ROSA '!M15</f>
        <v>1</v>
      </c>
      <c r="O246" s="2">
        <f>'SANTA ROSA '!N15</f>
        <v>1</v>
      </c>
      <c r="P246" s="2">
        <f>'SANTA ROSA '!O15</f>
        <v>1</v>
      </c>
      <c r="Q246" s="2">
        <f>'SANTA ROSA '!P15</f>
        <v>1</v>
      </c>
      <c r="R246" s="2">
        <f>'SANTA ROSA '!Q15</f>
        <v>3</v>
      </c>
      <c r="S246" s="2">
        <f>'SANTA ROSA '!R15</f>
        <v>3</v>
      </c>
      <c r="T246" s="2">
        <f>'SANTA ROSA '!S15</f>
        <v>2</v>
      </c>
      <c r="U246" s="2">
        <f>'SANTA ROSA '!T15</f>
        <v>2</v>
      </c>
      <c r="V246" s="2">
        <f>'SANTA ROSA '!U15</f>
        <v>1</v>
      </c>
      <c r="W246" s="2">
        <f>'SANTA ROSA '!V15</f>
        <v>1</v>
      </c>
      <c r="X246" s="2">
        <f>'SANTA ROSA '!W15</f>
        <v>1</v>
      </c>
      <c r="Y246" s="2">
        <f>'SANTA ROSA '!X15</f>
        <v>0</v>
      </c>
      <c r="Z246" s="2" t="str">
        <f>'SANTA ROSA '!Y15</f>
        <v/>
      </c>
      <c r="AA246" s="2">
        <f>'SANTA ROSA '!Z15</f>
        <v>1</v>
      </c>
      <c r="AB246" s="2">
        <f>'SANTA ROSA '!AA15</f>
        <v>1</v>
      </c>
      <c r="AC246" s="2" t="str">
        <f>'SANTA ROSA '!AB15</f>
        <v/>
      </c>
      <c r="AD246" s="2" t="str">
        <f>'SANTA ROSA '!AC15</f>
        <v/>
      </c>
      <c r="AE246" s="2" t="str">
        <f>'SANTA ROSA '!AD15</f>
        <v/>
      </c>
      <c r="AF246" s="2" t="str">
        <f>'SANTA ROSA '!AE15</f>
        <v/>
      </c>
      <c r="AG246" s="2" t="str">
        <f>'SANTA ROSA '!AF15</f>
        <v/>
      </c>
      <c r="AH246" s="2" t="str">
        <f>'SANTA ROSA '!AG15</f>
        <v/>
      </c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</row>
    <row r="247">
      <c r="B247" s="2" t="str">
        <f>'SANTA ROSA '!A16</f>
        <v>Santa Rosa</v>
      </c>
      <c r="C247" s="2" t="str">
        <f>'SANTA ROSA '!B16</f>
        <v>Aseo</v>
      </c>
      <c r="D247" s="2" t="str">
        <f>'SANTA ROSA '!C16</f>
        <v>Limpia Piso </v>
      </c>
      <c r="E247" s="2" t="str">
        <f>'SANTA ROSA '!D16</f>
        <v/>
      </c>
      <c r="F247" s="2">
        <f>'SANTA ROSA '!E16</f>
        <v>2</v>
      </c>
      <c r="G247" s="2">
        <f>'SANTA ROSA '!F16</f>
        <v>2</v>
      </c>
      <c r="H247" s="2">
        <f>'SANTA ROSA '!G16</f>
        <v>1</v>
      </c>
      <c r="I247" s="2">
        <f>'SANTA ROSA '!H16</f>
        <v>1</v>
      </c>
      <c r="J247" s="2">
        <f>'SANTA ROSA '!I16</f>
        <v>1</v>
      </c>
      <c r="K247" s="2">
        <f>'SANTA ROSA '!J16</f>
        <v>1</v>
      </c>
      <c r="L247" s="2">
        <f>'SANTA ROSA '!K16</f>
        <v>2</v>
      </c>
      <c r="M247" s="2">
        <f>'SANTA ROSA '!L16</f>
        <v>2</v>
      </c>
      <c r="N247" s="2">
        <f>'SANTA ROSA '!M16</f>
        <v>2</v>
      </c>
      <c r="O247" s="2">
        <f>'SANTA ROSA '!N16</f>
        <v>2</v>
      </c>
      <c r="P247" s="2">
        <f>'SANTA ROSA '!O16</f>
        <v>2</v>
      </c>
      <c r="Q247" s="2">
        <f>'SANTA ROSA '!P16</f>
        <v>2</v>
      </c>
      <c r="R247" s="2">
        <f>'SANTA ROSA '!Q16</f>
        <v>5</v>
      </c>
      <c r="S247" s="2">
        <f>'SANTA ROSA '!R16</f>
        <v>4</v>
      </c>
      <c r="T247" s="2">
        <f>'SANTA ROSA '!S16</f>
        <v>3</v>
      </c>
      <c r="U247" s="2">
        <f>'SANTA ROSA '!T16</f>
        <v>3</v>
      </c>
      <c r="V247" s="2">
        <f>'SANTA ROSA '!U16</f>
        <v>3</v>
      </c>
      <c r="W247" s="2">
        <f>'SANTA ROSA '!V16</f>
        <v>3</v>
      </c>
      <c r="X247" s="2">
        <f>'SANTA ROSA '!W16</f>
        <v>1</v>
      </c>
      <c r="Y247" s="2">
        <f>'SANTA ROSA '!X16</f>
        <v>1</v>
      </c>
      <c r="Z247" s="2" t="str">
        <f>'SANTA ROSA '!Y16</f>
        <v/>
      </c>
      <c r="AA247" s="2">
        <f>'SANTA ROSA '!Z16</f>
        <v>1</v>
      </c>
      <c r="AB247" s="2">
        <f>'SANTA ROSA '!AA16</f>
        <v>3</v>
      </c>
      <c r="AC247" s="2" t="str">
        <f>'SANTA ROSA '!AB16</f>
        <v/>
      </c>
      <c r="AD247" s="2" t="str">
        <f>'SANTA ROSA '!AC16</f>
        <v/>
      </c>
      <c r="AE247" s="2" t="str">
        <f>'SANTA ROSA '!AD16</f>
        <v/>
      </c>
      <c r="AF247" s="2" t="str">
        <f>'SANTA ROSA '!AE16</f>
        <v/>
      </c>
      <c r="AG247" s="2" t="str">
        <f>'SANTA ROSA '!AF16</f>
        <v/>
      </c>
      <c r="AH247" s="2" t="str">
        <f>'SANTA ROSA '!AG16</f>
        <v/>
      </c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</row>
    <row r="248">
      <c r="B248" s="2" t="str">
        <f>'SANTA ROSA '!A17</f>
        <v>Santa Rosa</v>
      </c>
      <c r="C248" s="2" t="str">
        <f>'SANTA ROSA '!B17</f>
        <v>Aseo</v>
      </c>
      <c r="D248" s="2" t="str">
        <f>'SANTA ROSA '!C17</f>
        <v>Bolsas Basura 80x110</v>
      </c>
      <c r="E248" s="2" t="str">
        <f>'SANTA ROSA '!D17</f>
        <v>80x110</v>
      </c>
      <c r="F248" s="2">
        <f>'SANTA ROSA '!E17</f>
        <v>5</v>
      </c>
      <c r="G248" s="2">
        <f>'SANTA ROSA '!F17</f>
        <v>5</v>
      </c>
      <c r="H248" s="2">
        <f>'SANTA ROSA '!G17</f>
        <v>2</v>
      </c>
      <c r="I248" s="2">
        <f>'SANTA ROSA '!H17</f>
        <v>1</v>
      </c>
      <c r="J248" s="2">
        <f>'SANTA ROSA '!I17</f>
        <v>1</v>
      </c>
      <c r="K248" s="2">
        <f>'SANTA ROSA '!J17</f>
        <v>8</v>
      </c>
      <c r="L248" s="2">
        <f>'SANTA ROSA '!K17</f>
        <v>11</v>
      </c>
      <c r="M248" s="2">
        <f>'SANTA ROSA '!L17</f>
        <v>11</v>
      </c>
      <c r="N248" s="2">
        <f>'SANTA ROSA '!M17</f>
        <v>10</v>
      </c>
      <c r="O248" s="2">
        <f>'SANTA ROSA '!N17</f>
        <v>8</v>
      </c>
      <c r="P248" s="2">
        <f>'SANTA ROSA '!O17</f>
        <v>8</v>
      </c>
      <c r="Q248" s="2">
        <f>'SANTA ROSA '!P17</f>
        <v>8</v>
      </c>
      <c r="R248" s="2">
        <f>'SANTA ROSA '!Q17</f>
        <v>25</v>
      </c>
      <c r="S248" s="2">
        <f>'SANTA ROSA '!R17</f>
        <v>24</v>
      </c>
      <c r="T248" s="2">
        <f>'SANTA ROSA '!S17</f>
        <v>24</v>
      </c>
      <c r="U248" s="2">
        <f>'SANTA ROSA '!T17</f>
        <v>24</v>
      </c>
      <c r="V248" s="2">
        <f>'SANTA ROSA '!U17</f>
        <v>20</v>
      </c>
      <c r="W248" s="2">
        <f>'SANTA ROSA '!V17</f>
        <v>15</v>
      </c>
      <c r="X248" s="2">
        <f>'SANTA ROSA '!W17</f>
        <v>15</v>
      </c>
      <c r="Y248" s="2">
        <f>'SANTA ROSA '!X17</f>
        <v>15</v>
      </c>
      <c r="Z248" s="2" t="str">
        <f>'SANTA ROSA '!Y17</f>
        <v/>
      </c>
      <c r="AA248" s="2">
        <f>'SANTA ROSA '!Z17</f>
        <v>28</v>
      </c>
      <c r="AB248" s="2">
        <f>'SANTA ROSA '!AA17</f>
        <v>26</v>
      </c>
      <c r="AC248" s="2" t="str">
        <f>'SANTA ROSA '!AB17</f>
        <v/>
      </c>
      <c r="AD248" s="2" t="str">
        <f>'SANTA ROSA '!AC17</f>
        <v/>
      </c>
      <c r="AE248" s="2" t="str">
        <f>'SANTA ROSA '!AD17</f>
        <v/>
      </c>
      <c r="AF248" s="2" t="str">
        <f>'SANTA ROSA '!AE17</f>
        <v/>
      </c>
      <c r="AG248" s="2" t="str">
        <f>'SANTA ROSA '!AF17</f>
        <v/>
      </c>
      <c r="AH248" s="2" t="str">
        <f>'SANTA ROSA '!AG17</f>
        <v/>
      </c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</row>
    <row r="249">
      <c r="B249" s="2" t="str">
        <f>'SANTA ROSA '!A18</f>
        <v>Santa Rosa</v>
      </c>
      <c r="C249" s="2" t="str">
        <f>'SANTA ROSA '!B18</f>
        <v>Aseo</v>
      </c>
      <c r="D249" s="2" t="str">
        <f>'SANTA ROSA '!C18</f>
        <v>Bolsas Basura 70x90</v>
      </c>
      <c r="E249" s="2" t="str">
        <f>'SANTA ROSA '!D18</f>
        <v>70x90</v>
      </c>
      <c r="F249" s="2">
        <f>'SANTA ROSA '!E18</f>
        <v>6</v>
      </c>
      <c r="G249" s="2">
        <f>'SANTA ROSA '!F18</f>
        <v>5</v>
      </c>
      <c r="H249" s="2">
        <f>'SANTA ROSA '!G18</f>
        <v>5</v>
      </c>
      <c r="I249" s="2">
        <f>'SANTA ROSA '!H18</f>
        <v>2</v>
      </c>
      <c r="J249" s="2">
        <f>'SANTA ROSA '!I18</f>
        <v>2</v>
      </c>
      <c r="K249" s="2">
        <f>'SANTA ROSA '!J18</f>
        <v>8</v>
      </c>
      <c r="L249" s="2">
        <f>'SANTA ROSA '!K18</f>
        <v>16</v>
      </c>
      <c r="M249" s="2">
        <f>'SANTA ROSA '!L18</f>
        <v>13</v>
      </c>
      <c r="N249" s="2">
        <f>'SANTA ROSA '!M18</f>
        <v>13</v>
      </c>
      <c r="O249" s="2">
        <f>'SANTA ROSA '!N18</f>
        <v>10</v>
      </c>
      <c r="P249" s="2">
        <f>'SANTA ROSA '!O18</f>
        <v>8</v>
      </c>
      <c r="Q249" s="2">
        <f>'SANTA ROSA '!P18</f>
        <v>8</v>
      </c>
      <c r="R249" s="2">
        <f>'SANTA ROSA '!Q18</f>
        <v>20</v>
      </c>
      <c r="S249" s="2">
        <f>'SANTA ROSA '!R18</f>
        <v>17</v>
      </c>
      <c r="T249" s="2">
        <f>'SANTA ROSA '!S18</f>
        <v>16</v>
      </c>
      <c r="U249" s="2">
        <f>'SANTA ROSA '!T18</f>
        <v>16</v>
      </c>
      <c r="V249" s="2">
        <f>'SANTA ROSA '!U18</f>
        <v>13</v>
      </c>
      <c r="W249" s="2">
        <f>'SANTA ROSA '!V18</f>
        <v>10</v>
      </c>
      <c r="X249" s="2">
        <f>'SANTA ROSA '!W18</f>
        <v>3</v>
      </c>
      <c r="Y249" s="2">
        <f>'SANTA ROSA '!X18</f>
        <v>3</v>
      </c>
      <c r="Z249" s="2" t="str">
        <f>'SANTA ROSA '!Y18</f>
        <v/>
      </c>
      <c r="AA249" s="2">
        <f>'SANTA ROSA '!Z18</f>
        <v>21</v>
      </c>
      <c r="AB249" s="2">
        <f>'SANTA ROSA '!AA18</f>
        <v>13</v>
      </c>
      <c r="AC249" s="2" t="str">
        <f>'SANTA ROSA '!AB18</f>
        <v/>
      </c>
      <c r="AD249" s="2" t="str">
        <f>'SANTA ROSA '!AC18</f>
        <v/>
      </c>
      <c r="AE249" s="2" t="str">
        <f>'SANTA ROSA '!AD18</f>
        <v/>
      </c>
      <c r="AF249" s="2" t="str">
        <f>'SANTA ROSA '!AE18</f>
        <v/>
      </c>
      <c r="AG249" s="2" t="str">
        <f>'SANTA ROSA '!AF18</f>
        <v/>
      </c>
      <c r="AH249" s="2" t="str">
        <f>'SANTA ROSA '!AG18</f>
        <v/>
      </c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</row>
    <row r="250">
      <c r="B250" s="2" t="str">
        <f>'SANTA ROSA '!A19</f>
        <v>Santa Rosa</v>
      </c>
      <c r="C250" s="2" t="str">
        <f>'SANTA ROSA '!B19</f>
        <v>Aseo</v>
      </c>
      <c r="D250" s="2" t="str">
        <f>'SANTA ROSA '!C19</f>
        <v>Bolsas Basura 50x70</v>
      </c>
      <c r="E250" s="2" t="str">
        <f>'SANTA ROSA '!D19</f>
        <v>50x70</v>
      </c>
      <c r="F250" s="2">
        <f>'SANTA ROSA '!E19</f>
        <v>9</v>
      </c>
      <c r="G250" s="2">
        <f>'SANTA ROSA '!F19</f>
        <v>6</v>
      </c>
      <c r="H250" s="2">
        <f>'SANTA ROSA '!G19</f>
        <v>4</v>
      </c>
      <c r="I250" s="2">
        <f>'SANTA ROSA '!H19</f>
        <v>1</v>
      </c>
      <c r="J250" s="2">
        <f>'SANTA ROSA '!I19</f>
        <v>1</v>
      </c>
      <c r="K250" s="2">
        <f>'SANTA ROSA '!J19</f>
        <v>5</v>
      </c>
      <c r="L250" s="2">
        <f>'SANTA ROSA '!K19</f>
        <v>12</v>
      </c>
      <c r="M250" s="2">
        <f>'SANTA ROSA '!L19</f>
        <v>9</v>
      </c>
      <c r="N250" s="2">
        <f>'SANTA ROSA '!M19</f>
        <v>7</v>
      </c>
      <c r="O250" s="2">
        <f>'SANTA ROSA '!N19</f>
        <v>4</v>
      </c>
      <c r="P250" s="2">
        <f>'SANTA ROSA '!O19</f>
        <v>1</v>
      </c>
      <c r="Q250" s="2">
        <f>'SANTA ROSA '!P19</f>
        <v>1</v>
      </c>
      <c r="R250" s="2">
        <f>'SANTA ROSA '!Q19</f>
        <v>20</v>
      </c>
      <c r="S250" s="2">
        <f>'SANTA ROSA '!R19</f>
        <v>17</v>
      </c>
      <c r="T250" s="2">
        <f>'SANTA ROSA '!S19</f>
        <v>9</v>
      </c>
      <c r="U250" s="2">
        <f>'SANTA ROSA '!T19</f>
        <v>7</v>
      </c>
      <c r="V250" s="2">
        <f>'SANTA ROSA '!U19</f>
        <v>2</v>
      </c>
      <c r="W250" s="2">
        <f>'SANTA ROSA '!V19</f>
        <v>0</v>
      </c>
      <c r="X250" s="2">
        <f>'SANTA ROSA '!W19</f>
        <v>0</v>
      </c>
      <c r="Y250" s="2">
        <f>'SANTA ROSA '!X19</f>
        <v>0</v>
      </c>
      <c r="Z250" s="2" t="str">
        <f>'SANTA ROSA '!Y19</f>
        <v/>
      </c>
      <c r="AA250" s="2">
        <f>'SANTA ROSA '!Z19</f>
        <v>4</v>
      </c>
      <c r="AB250" s="2">
        <f>'SANTA ROSA '!AA19</f>
        <v>13</v>
      </c>
      <c r="AC250" s="2" t="str">
        <f>'SANTA ROSA '!AB19</f>
        <v/>
      </c>
      <c r="AD250" s="2" t="str">
        <f>'SANTA ROSA '!AC19</f>
        <v/>
      </c>
      <c r="AE250" s="2" t="str">
        <f>'SANTA ROSA '!AD19</f>
        <v/>
      </c>
      <c r="AF250" s="2" t="str">
        <f>'SANTA ROSA '!AE19</f>
        <v/>
      </c>
      <c r="AG250" s="2" t="str">
        <f>'SANTA ROSA '!AF19</f>
        <v/>
      </c>
      <c r="AH250" s="2" t="str">
        <f>'SANTA ROSA '!AG19</f>
        <v/>
      </c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</row>
    <row r="251">
      <c r="B251" s="2" t="str">
        <f>'SANTA ROSA '!A20</f>
        <v>Santa Rosa</v>
      </c>
      <c r="C251" s="2" t="str">
        <f>'SANTA ROSA '!B20</f>
        <v>Aseo</v>
      </c>
      <c r="D251" s="2" t="str">
        <f>'SANTA ROSA '!C20</f>
        <v>Esponja 4U </v>
      </c>
      <c r="E251" s="2" t="str">
        <f>'SANTA ROSA '!D20</f>
        <v/>
      </c>
      <c r="F251" s="2">
        <f>'SANTA ROSA '!E20</f>
        <v>0</v>
      </c>
      <c r="G251" s="2">
        <f>'SANTA ROSA '!F20</f>
        <v>0</v>
      </c>
      <c r="H251" s="2">
        <f>'SANTA ROSA '!G20</f>
        <v>0</v>
      </c>
      <c r="I251" s="2">
        <f>'SANTA ROSA '!H20</f>
        <v>0</v>
      </c>
      <c r="J251" s="2">
        <f>'SANTA ROSA '!I20</f>
        <v>0</v>
      </c>
      <c r="K251" s="2">
        <f>'SANTA ROSA '!J20</f>
        <v>0</v>
      </c>
      <c r="L251" s="2">
        <f>'SANTA ROSA '!K20</f>
        <v>16</v>
      </c>
      <c r="M251" s="2">
        <f>'SANTA ROSA '!L20</f>
        <v>12</v>
      </c>
      <c r="N251" s="2">
        <f>'SANTA ROSA '!M20</f>
        <v>8</v>
      </c>
      <c r="O251" s="2">
        <f>'SANTA ROSA '!N20</f>
        <v>6</v>
      </c>
      <c r="P251" s="2">
        <f>'SANTA ROSA '!O20</f>
        <v>4</v>
      </c>
      <c r="Q251" s="2">
        <f>'SANTA ROSA '!P20</f>
        <v>2</v>
      </c>
      <c r="R251" s="2">
        <f>'SANTA ROSA '!Q20</f>
        <v>12</v>
      </c>
      <c r="S251" s="2">
        <f>'SANTA ROSA '!R20</f>
        <v>9</v>
      </c>
      <c r="T251" s="2">
        <f>'SANTA ROSA '!S20</f>
        <v>9</v>
      </c>
      <c r="U251" s="2">
        <f>'SANTA ROSA '!T20</f>
        <v>4</v>
      </c>
      <c r="V251" s="2">
        <f>'SANTA ROSA '!U20</f>
        <v>4</v>
      </c>
      <c r="W251" s="2">
        <f>'SANTA ROSA '!V20</f>
        <v>4</v>
      </c>
      <c r="X251" s="2">
        <f>'SANTA ROSA '!W20</f>
        <v>0</v>
      </c>
      <c r="Y251" s="2">
        <f>'SANTA ROSA '!X20</f>
        <v>0</v>
      </c>
      <c r="Z251" s="2" t="str">
        <f>'SANTA ROSA '!Y20</f>
        <v/>
      </c>
      <c r="AA251" s="2">
        <f>'SANTA ROSA '!Z20</f>
        <v>4</v>
      </c>
      <c r="AB251" s="2">
        <f>'SANTA ROSA '!AA20</f>
        <v>4</v>
      </c>
      <c r="AC251" s="2" t="str">
        <f>'SANTA ROSA '!AB20</f>
        <v/>
      </c>
      <c r="AD251" s="2" t="str">
        <f>'SANTA ROSA '!AC20</f>
        <v/>
      </c>
      <c r="AE251" s="2" t="str">
        <f>'SANTA ROSA '!AD20</f>
        <v/>
      </c>
      <c r="AF251" s="2" t="str">
        <f>'SANTA ROSA '!AE20</f>
        <v/>
      </c>
      <c r="AG251" s="2" t="str">
        <f>'SANTA ROSA '!AF20</f>
        <v/>
      </c>
      <c r="AH251" s="2" t="str">
        <f>'SANTA ROSA '!AG20</f>
        <v/>
      </c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</row>
    <row r="252">
      <c r="A252" s="2" t="str">
        <f>'SANTA ROSA '!A22</f>
        <v/>
      </c>
      <c r="B252" s="2" t="str">
        <f>'SANTA ROSA '!B22</f>
        <v/>
      </c>
      <c r="C252" s="2" t="str">
        <f>'SANTA ROSA '!C22</f>
        <v/>
      </c>
      <c r="D252" s="2" t="str">
        <f>'SANTA ROSA '!D22</f>
        <v/>
      </c>
      <c r="E252" s="2" t="str">
        <f>'SANTA ROSA '!E22</f>
        <v/>
      </c>
      <c r="F252" s="2" t="str">
        <f>'SANTA ROSA '!F22</f>
        <v/>
      </c>
      <c r="G252" s="2" t="str">
        <f>'SANTA ROSA '!F22</f>
        <v/>
      </c>
      <c r="H252" s="2" t="str">
        <f>'SANTA ROSA '!G22</f>
        <v/>
      </c>
      <c r="I252" s="2" t="str">
        <f>'SANTA ROSA '!H22</f>
        <v/>
      </c>
      <c r="J252" s="2" t="str">
        <f>'SANTA ROSA '!I22</f>
        <v/>
      </c>
      <c r="K252" s="2" t="str">
        <f>'SANTA ROSA '!K22</f>
        <v/>
      </c>
      <c r="L252" s="2" t="str">
        <f>'SANTA ROSA '!L22</f>
        <v/>
      </c>
      <c r="M252" s="2" t="str">
        <f>'SANTA ROSA '!AE22</f>
        <v/>
      </c>
      <c r="N252" s="2" t="str">
        <f>'SANTA ROSA '!AF22</f>
        <v/>
      </c>
      <c r="O252" s="2" t="str">
        <f>'SANTA ROSA '!AG22</f>
        <v/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</row>
    <row r="1038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</row>
    <row r="103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</row>
    <row r="1040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</row>
    <row r="1041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</row>
    <row r="1042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</row>
    <row r="1043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</row>
    <row r="1044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</row>
    <row r="1045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</row>
    <row r="1046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</row>
    <row r="1047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</row>
    <row r="1048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</row>
    <row r="104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</row>
    <row r="1050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</row>
    <row r="1051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</row>
    <row r="1052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</row>
    <row r="1053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</row>
    <row r="1054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</row>
    <row r="1055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</row>
    <row r="1056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</row>
    <row r="1057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</row>
    <row r="1058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</row>
    <row r="105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</row>
    <row r="1060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</row>
    <row r="1061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</row>
    <row r="1062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</row>
    <row r="1063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</row>
    <row r="1064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</row>
    <row r="1065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</row>
    <row r="1066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</row>
    <row r="1067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</row>
    <row r="1068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</row>
    <row r="106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</row>
    <row r="1070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</row>
    <row r="1071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</row>
    <row r="1072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</row>
    <row r="1073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</row>
    <row r="1074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</row>
    <row r="1075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</row>
    <row r="1076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</row>
    <row r="1077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</row>
    <row r="1078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</row>
    <row r="107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</row>
    <row r="1080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</row>
    <row r="1081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</row>
    <row r="1082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</row>
    <row r="1083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</row>
    <row r="1084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</row>
    <row r="1085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</row>
    <row r="1086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</row>
    <row r="1087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</row>
    <row r="1088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</row>
    <row r="108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</row>
    <row r="1090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</row>
    <row r="1091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</row>
    <row r="1092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</row>
    <row r="1093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</row>
    <row r="1094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</row>
    <row r="1095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</row>
    <row r="1096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</row>
    <row r="1097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</row>
    <row r="1098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</row>
    <row r="109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</row>
    <row r="1100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</row>
    <row r="1101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</row>
    <row r="1102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</row>
    <row r="1103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</row>
    <row r="1104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</row>
    <row r="1105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</row>
    <row r="1106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</row>
    <row r="1107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</row>
    <row r="1108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</row>
    <row r="110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</row>
    <row r="1110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</row>
    <row r="1111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</row>
    <row r="1112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</row>
    <row r="1113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</row>
    <row r="1114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</row>
    <row r="1115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</row>
    <row r="1116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</row>
    <row r="1117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</row>
    <row r="1118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</row>
    <row r="111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</row>
    <row r="1120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</row>
    <row r="1121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</row>
    <row r="1122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</row>
    <row r="1123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</row>
    <row r="1124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</row>
    <row r="1125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</row>
    <row r="1126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</row>
    <row r="1127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</row>
    <row r="1128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</row>
    <row r="11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</row>
    <row r="1130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</row>
    <row r="1131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</row>
    <row r="1132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</row>
    <row r="1133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</row>
    <row r="1134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</row>
    <row r="1135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</row>
    <row r="1136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</row>
    <row r="1137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</row>
    <row r="1138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</row>
    <row r="113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</row>
    <row r="1140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</row>
    <row r="1141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</row>
    <row r="1142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</row>
    <row r="1143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</row>
    <row r="1144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</row>
    <row r="1145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</row>
    <row r="1146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</row>
    <row r="1147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</row>
    <row r="1148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</row>
    <row r="114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</row>
    <row r="1150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</row>
    <row r="1151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</row>
    <row r="1152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</row>
    <row r="1153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</row>
    <row r="1154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</row>
    <row r="1155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</row>
    <row r="1156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</row>
    <row r="1157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</row>
    <row r="1158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</row>
    <row r="115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</row>
    <row r="1160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</row>
    <row r="1161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</row>
    <row r="1162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</row>
    <row r="1163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</row>
    <row r="1164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</row>
    <row r="1165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</row>
    <row r="1166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</row>
  </sheetData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75"/>
    <col customWidth="1" min="2" max="2" width="20.63"/>
    <col customWidth="1" min="3" max="3" width="21.25"/>
    <col hidden="1" min="4" max="63" width="12.63"/>
  </cols>
  <sheetData>
    <row r="1">
      <c r="A1" s="26"/>
      <c r="B1" s="26"/>
      <c r="C1" s="27"/>
      <c r="D1" s="28" t="s">
        <v>2</v>
      </c>
      <c r="E1" s="28" t="s">
        <v>2</v>
      </c>
      <c r="F1" s="28" t="s">
        <v>2</v>
      </c>
      <c r="G1" s="28" t="s">
        <v>2</v>
      </c>
      <c r="Y1" s="29"/>
      <c r="AB1" s="29"/>
      <c r="AC1" s="30" t="s">
        <v>3</v>
      </c>
      <c r="AH1" s="30" t="s">
        <v>3</v>
      </c>
      <c r="AI1" s="29"/>
      <c r="AM1" s="30" t="s">
        <v>3</v>
      </c>
      <c r="AQ1" s="30" t="s">
        <v>4</v>
      </c>
      <c r="AT1" s="30" t="s">
        <v>3</v>
      </c>
      <c r="AU1" s="31"/>
      <c r="AV1" s="31"/>
      <c r="AW1" s="31"/>
      <c r="AX1" s="30" t="s">
        <v>3</v>
      </c>
      <c r="AY1" s="31"/>
      <c r="AZ1" s="31"/>
      <c r="BA1" s="30" t="s">
        <v>4</v>
      </c>
      <c r="BB1" s="31"/>
      <c r="BC1" s="31"/>
      <c r="BD1" s="31"/>
      <c r="BE1" s="31" t="s">
        <v>5</v>
      </c>
      <c r="BF1" s="31"/>
      <c r="BG1" s="30" t="s">
        <v>4</v>
      </c>
      <c r="BH1" s="30" t="s">
        <v>3</v>
      </c>
      <c r="BI1" s="32"/>
      <c r="BJ1" s="32"/>
      <c r="BK1" s="32"/>
      <c r="BL1" s="30" t="s">
        <v>6</v>
      </c>
      <c r="BM1" s="30"/>
      <c r="BN1" s="31"/>
      <c r="BO1" s="31"/>
      <c r="BP1" s="31"/>
      <c r="BQ1" s="31"/>
      <c r="BR1" s="31"/>
      <c r="BS1" s="31"/>
      <c r="BT1" s="31"/>
      <c r="BU1" s="31"/>
      <c r="BV1" s="31"/>
      <c r="BW1" s="31"/>
      <c r="BX1" s="31"/>
    </row>
    <row r="2">
      <c r="A2" s="26"/>
      <c r="B2" s="26"/>
      <c r="C2" s="27"/>
      <c r="D2" s="33">
        <v>45820.0</v>
      </c>
      <c r="E2" s="34">
        <f>D2+6</f>
        <v>45826</v>
      </c>
      <c r="F2" s="34">
        <f t="shared" ref="F2:H2" si="1">E2+7</f>
        <v>45833</v>
      </c>
      <c r="G2" s="34">
        <f t="shared" si="1"/>
        <v>45840</v>
      </c>
      <c r="H2" s="34">
        <f t="shared" si="1"/>
        <v>45847</v>
      </c>
      <c r="I2" s="34">
        <f>H2+5</f>
        <v>45852</v>
      </c>
      <c r="J2" s="34">
        <f t="shared" ref="J2:K2" si="2">I2+7</f>
        <v>45859</v>
      </c>
      <c r="K2" s="34">
        <f t="shared" si="2"/>
        <v>45866</v>
      </c>
      <c r="L2" s="33">
        <v>45873.0</v>
      </c>
      <c r="M2" s="33">
        <v>45880.0</v>
      </c>
      <c r="N2" s="33">
        <v>45887.0</v>
      </c>
      <c r="O2" s="33">
        <v>45894.0</v>
      </c>
      <c r="P2" s="33">
        <v>45901.0</v>
      </c>
      <c r="Q2" s="33">
        <v>45908.0</v>
      </c>
      <c r="R2" s="33">
        <v>45915.0</v>
      </c>
      <c r="S2" s="33">
        <v>45915.0</v>
      </c>
      <c r="T2" s="33">
        <v>45929.0</v>
      </c>
      <c r="U2" s="33">
        <f t="shared" ref="U2:Y2" si="3">T2+7</f>
        <v>45936</v>
      </c>
      <c r="V2" s="33">
        <f t="shared" si="3"/>
        <v>45943</v>
      </c>
      <c r="W2" s="33">
        <f t="shared" si="3"/>
        <v>45950</v>
      </c>
      <c r="X2" s="33">
        <f t="shared" si="3"/>
        <v>45957</v>
      </c>
      <c r="Y2" s="33">
        <f t="shared" si="3"/>
        <v>45964</v>
      </c>
      <c r="Z2" s="33">
        <v>45967.0</v>
      </c>
      <c r="AA2" s="33">
        <f>Z2+4</f>
        <v>45971</v>
      </c>
      <c r="AB2" s="33">
        <f>AA2+7</f>
        <v>45978</v>
      </c>
      <c r="AC2" s="33">
        <f>AB2+1</f>
        <v>45979</v>
      </c>
      <c r="AD2" s="33">
        <v>45981.0</v>
      </c>
      <c r="AE2" s="33">
        <v>45985.0</v>
      </c>
      <c r="AF2" s="33">
        <v>45988.0</v>
      </c>
      <c r="AG2" s="33">
        <v>45992.0</v>
      </c>
      <c r="AH2" s="33">
        <v>45993.0</v>
      </c>
      <c r="AI2" s="33">
        <v>45995.0</v>
      </c>
      <c r="AJ2" s="33">
        <v>46000.0</v>
      </c>
      <c r="AK2" s="33">
        <v>46002.0</v>
      </c>
      <c r="AL2" s="33">
        <v>46006.0</v>
      </c>
      <c r="AM2" s="33">
        <v>46013.0</v>
      </c>
      <c r="AN2" s="33">
        <v>46009.0</v>
      </c>
      <c r="AO2" s="33">
        <v>46020.0</v>
      </c>
      <c r="AP2" s="34">
        <v>46027.0</v>
      </c>
      <c r="AQ2" s="33">
        <v>46029.0</v>
      </c>
      <c r="AR2" s="33">
        <v>46030.0</v>
      </c>
      <c r="AS2" s="33">
        <v>46033.0</v>
      </c>
      <c r="AT2" s="33">
        <v>46034.0</v>
      </c>
      <c r="AU2" s="33">
        <v>46037.0</v>
      </c>
      <c r="AV2" s="33">
        <v>46041.0</v>
      </c>
      <c r="AW2" s="33">
        <v>46043.0</v>
      </c>
      <c r="AX2" s="33">
        <v>46044.0</v>
      </c>
      <c r="AY2" s="33">
        <v>46045.0</v>
      </c>
      <c r="AZ2" s="33">
        <v>46048.0</v>
      </c>
      <c r="BA2" s="33">
        <v>46050.0</v>
      </c>
      <c r="BB2" s="33">
        <v>46051.0</v>
      </c>
      <c r="BC2" s="33">
        <v>46057.0</v>
      </c>
      <c r="BD2" s="33">
        <v>46058.0</v>
      </c>
      <c r="BE2" s="33">
        <v>46062.0</v>
      </c>
      <c r="BF2" s="33">
        <v>46065.0</v>
      </c>
      <c r="BG2" s="33">
        <v>46068.0</v>
      </c>
      <c r="BH2" s="33">
        <v>46069.0</v>
      </c>
      <c r="BI2" s="33">
        <v>46072.0</v>
      </c>
      <c r="BJ2" s="33">
        <v>46078.0</v>
      </c>
      <c r="BK2" s="33" t="s">
        <v>7</v>
      </c>
      <c r="BL2" s="33">
        <v>46083.0</v>
      </c>
      <c r="BM2" s="33">
        <v>46090.0</v>
      </c>
      <c r="BN2" s="33">
        <v>46093.0</v>
      </c>
      <c r="BO2" s="33">
        <v>46097.0</v>
      </c>
      <c r="BP2" s="33">
        <v>46100.0</v>
      </c>
      <c r="BQ2" s="33">
        <v>46104.0</v>
      </c>
      <c r="BR2" s="33"/>
      <c r="BS2" s="33"/>
      <c r="BT2" s="33"/>
      <c r="BU2" s="33"/>
      <c r="BV2" s="33"/>
      <c r="BW2" s="33"/>
      <c r="BX2" s="33"/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35" t="s">
        <v>11</v>
      </c>
      <c r="L3" s="35" t="s">
        <v>11</v>
      </c>
      <c r="M3" s="35" t="s">
        <v>11</v>
      </c>
      <c r="N3" s="35" t="s">
        <v>11</v>
      </c>
      <c r="O3" s="35" t="s">
        <v>11</v>
      </c>
      <c r="P3" s="35" t="s">
        <v>11</v>
      </c>
      <c r="Q3" s="35" t="s">
        <v>11</v>
      </c>
      <c r="R3" s="35" t="s">
        <v>11</v>
      </c>
      <c r="S3" s="35" t="s">
        <v>11</v>
      </c>
      <c r="T3" s="35" t="s">
        <v>11</v>
      </c>
      <c r="U3" s="35" t="s">
        <v>11</v>
      </c>
      <c r="V3" s="35" t="s">
        <v>11</v>
      </c>
      <c r="W3" s="35" t="s">
        <v>11</v>
      </c>
      <c r="X3" s="35" t="s">
        <v>11</v>
      </c>
      <c r="Y3" s="35" t="s">
        <v>11</v>
      </c>
      <c r="Z3" s="35" t="s">
        <v>11</v>
      </c>
      <c r="AA3" s="35" t="s">
        <v>11</v>
      </c>
      <c r="AB3" s="35" t="s">
        <v>11</v>
      </c>
      <c r="AC3" s="35" t="s">
        <v>11</v>
      </c>
      <c r="AD3" s="35" t="s">
        <v>11</v>
      </c>
      <c r="AE3" s="35" t="s">
        <v>11</v>
      </c>
      <c r="AF3" s="35" t="s">
        <v>11</v>
      </c>
      <c r="AG3" s="35" t="s">
        <v>11</v>
      </c>
      <c r="AH3" s="35" t="s">
        <v>11</v>
      </c>
      <c r="AI3" s="35" t="s">
        <v>11</v>
      </c>
      <c r="AJ3" s="35" t="s">
        <v>11</v>
      </c>
      <c r="AK3" s="35" t="s">
        <v>11</v>
      </c>
      <c r="AL3" s="35" t="s">
        <v>11</v>
      </c>
      <c r="AM3" s="35" t="s">
        <v>11</v>
      </c>
      <c r="AN3" s="35" t="s">
        <v>11</v>
      </c>
      <c r="AO3" s="35" t="s">
        <v>11</v>
      </c>
      <c r="AP3" s="35" t="s">
        <v>11</v>
      </c>
      <c r="AQ3" s="35" t="s">
        <v>11</v>
      </c>
      <c r="AR3" s="35" t="s">
        <v>11</v>
      </c>
      <c r="AS3" s="35" t="s">
        <v>11</v>
      </c>
      <c r="AT3" s="35" t="s">
        <v>11</v>
      </c>
      <c r="AU3" s="35" t="s">
        <v>11</v>
      </c>
      <c r="AV3" s="35" t="s">
        <v>11</v>
      </c>
      <c r="AW3" s="35" t="s">
        <v>11</v>
      </c>
      <c r="AX3" s="35" t="s">
        <v>11</v>
      </c>
      <c r="AY3" s="35" t="s">
        <v>11</v>
      </c>
      <c r="AZ3" s="35" t="s">
        <v>11</v>
      </c>
      <c r="BA3" s="35" t="s">
        <v>11</v>
      </c>
      <c r="BB3" s="35" t="s">
        <v>11</v>
      </c>
      <c r="BC3" s="35" t="s">
        <v>11</v>
      </c>
      <c r="BD3" s="35" t="s">
        <v>11</v>
      </c>
      <c r="BE3" s="35" t="s">
        <v>11</v>
      </c>
      <c r="BF3" s="35" t="s">
        <v>11</v>
      </c>
      <c r="BG3" s="35" t="s">
        <v>11</v>
      </c>
      <c r="BH3" s="35" t="s">
        <v>11</v>
      </c>
      <c r="BI3" s="35" t="s">
        <v>11</v>
      </c>
      <c r="BJ3" s="35" t="s">
        <v>11</v>
      </c>
      <c r="BK3" s="28" t="s">
        <v>12</v>
      </c>
      <c r="BL3" s="28" t="s">
        <v>13</v>
      </c>
      <c r="BM3" s="28" t="s">
        <v>13</v>
      </c>
      <c r="BN3" s="28" t="s">
        <v>13</v>
      </c>
      <c r="BO3" s="28" t="s">
        <v>13</v>
      </c>
      <c r="BP3" s="28" t="s">
        <v>13</v>
      </c>
      <c r="BQ3" s="28" t="s">
        <v>13</v>
      </c>
      <c r="BR3" s="28"/>
      <c r="BS3" s="28"/>
      <c r="BT3" s="28"/>
      <c r="BU3" s="28"/>
      <c r="BV3" s="28"/>
      <c r="BW3" s="28"/>
      <c r="BX3" s="28"/>
    </row>
    <row r="4">
      <c r="A4" s="36" t="s">
        <v>14</v>
      </c>
      <c r="B4" s="36" t="s">
        <v>15</v>
      </c>
      <c r="C4" s="37" t="s">
        <v>16</v>
      </c>
      <c r="D4" s="38">
        <v>0.0</v>
      </c>
      <c r="E4" s="38">
        <v>10.0</v>
      </c>
      <c r="F4" s="38">
        <v>12.0</v>
      </c>
      <c r="G4" s="38">
        <v>11.0</v>
      </c>
      <c r="H4" s="39">
        <v>16.0</v>
      </c>
      <c r="I4" s="39">
        <v>10.0</v>
      </c>
      <c r="J4" s="39">
        <v>7.0</v>
      </c>
      <c r="K4" s="40">
        <v>1.0</v>
      </c>
      <c r="L4" s="39">
        <v>35.0</v>
      </c>
      <c r="M4" s="39">
        <v>13.0</v>
      </c>
      <c r="N4" s="39">
        <v>22.0</v>
      </c>
      <c r="O4" s="39">
        <v>16.0</v>
      </c>
      <c r="P4" s="39">
        <v>0.0</v>
      </c>
      <c r="Q4" s="39">
        <v>4.0</v>
      </c>
      <c r="R4" s="39">
        <v>10.0</v>
      </c>
      <c r="S4" s="39">
        <v>6.0</v>
      </c>
      <c r="T4" s="39">
        <v>35.0</v>
      </c>
      <c r="U4" s="39">
        <v>25.0</v>
      </c>
      <c r="V4" s="39">
        <v>16.0</v>
      </c>
      <c r="W4" s="39">
        <v>16.0</v>
      </c>
      <c r="X4" s="39">
        <v>20.0</v>
      </c>
      <c r="Y4" s="39">
        <v>4.0</v>
      </c>
      <c r="Z4" s="39" t="s">
        <v>17</v>
      </c>
      <c r="AA4" s="39" t="s">
        <v>18</v>
      </c>
      <c r="AB4" s="39" t="s">
        <v>19</v>
      </c>
      <c r="AC4" s="39" t="s">
        <v>20</v>
      </c>
      <c r="AD4" s="39">
        <v>12.5</v>
      </c>
      <c r="AE4" s="39">
        <v>8.5</v>
      </c>
      <c r="AF4" s="39">
        <v>6.0</v>
      </c>
      <c r="AG4" s="39">
        <v>6.0</v>
      </c>
      <c r="AH4" s="39">
        <v>21.0</v>
      </c>
      <c r="AI4" s="39">
        <v>19.0</v>
      </c>
      <c r="AJ4" s="39">
        <v>17.5</v>
      </c>
      <c r="AK4" s="39">
        <v>15.0</v>
      </c>
      <c r="AL4" s="39">
        <v>12.0</v>
      </c>
      <c r="AM4" s="39">
        <v>10.0</v>
      </c>
      <c r="AN4" s="39">
        <v>10.0</v>
      </c>
      <c r="AO4" s="39">
        <v>7.0</v>
      </c>
      <c r="AP4" s="39">
        <v>5.5</v>
      </c>
      <c r="AQ4" s="39">
        <v>13.5</v>
      </c>
      <c r="AR4" s="39">
        <v>12.0</v>
      </c>
      <c r="AS4" s="39">
        <v>11.0</v>
      </c>
      <c r="AT4" s="39">
        <v>10.5</v>
      </c>
      <c r="AU4" s="39">
        <v>8.5</v>
      </c>
      <c r="AV4" s="39">
        <v>6.0</v>
      </c>
      <c r="AW4" s="39">
        <v>3.5</v>
      </c>
      <c r="AX4" s="39">
        <v>3.0</v>
      </c>
      <c r="AY4" s="39">
        <v>2.0</v>
      </c>
      <c r="AZ4" s="39">
        <v>1.5</v>
      </c>
      <c r="BA4" s="39">
        <v>9.5</v>
      </c>
      <c r="BB4" s="39">
        <v>8.0</v>
      </c>
      <c r="BC4" s="39">
        <v>6.0</v>
      </c>
      <c r="BD4" s="39">
        <v>5.0</v>
      </c>
      <c r="BE4" s="39">
        <v>2.5</v>
      </c>
      <c r="BF4" s="39">
        <v>0.0</v>
      </c>
      <c r="BG4" s="39">
        <v>8.0</v>
      </c>
      <c r="BH4" s="41">
        <v>6.0</v>
      </c>
      <c r="BI4" s="41">
        <v>4.5</v>
      </c>
      <c r="BJ4" s="40">
        <v>2.5</v>
      </c>
      <c r="BK4" s="41">
        <v>24.0</v>
      </c>
      <c r="BL4" s="41">
        <v>20.5</v>
      </c>
      <c r="BM4" s="41">
        <v>14.0</v>
      </c>
      <c r="BN4" s="39">
        <v>12.0</v>
      </c>
      <c r="BO4" s="39">
        <v>10.0</v>
      </c>
      <c r="BP4" s="39">
        <v>20.0</v>
      </c>
      <c r="BQ4" s="39">
        <v>17.5</v>
      </c>
      <c r="BR4" s="39"/>
      <c r="BS4" s="39"/>
      <c r="BT4" s="39"/>
      <c r="BU4" s="39"/>
      <c r="BV4" s="39"/>
      <c r="BW4" s="39"/>
      <c r="BX4" s="39"/>
    </row>
    <row r="5">
      <c r="A5" s="36" t="s">
        <v>14</v>
      </c>
      <c r="B5" s="36" t="s">
        <v>15</v>
      </c>
      <c r="C5" s="37" t="s">
        <v>21</v>
      </c>
      <c r="D5" s="38">
        <v>10.0</v>
      </c>
      <c r="E5" s="42">
        <v>0.0</v>
      </c>
      <c r="F5" s="38">
        <v>12.0</v>
      </c>
      <c r="G5" s="42">
        <v>0.0</v>
      </c>
      <c r="H5" s="40">
        <v>0.0</v>
      </c>
      <c r="I5" s="39">
        <v>2.0</v>
      </c>
      <c r="J5" s="40">
        <v>1.0</v>
      </c>
      <c r="K5" s="39">
        <v>10.0</v>
      </c>
      <c r="L5" s="40">
        <v>3.0</v>
      </c>
      <c r="M5" s="40">
        <v>0.0</v>
      </c>
      <c r="N5" s="39">
        <v>2.0</v>
      </c>
      <c r="O5" s="39">
        <v>0.0</v>
      </c>
      <c r="P5" s="39">
        <v>4.0</v>
      </c>
      <c r="Q5" s="39">
        <v>0.0</v>
      </c>
      <c r="R5" s="39">
        <v>0.0</v>
      </c>
      <c r="S5" s="39">
        <v>0.0</v>
      </c>
      <c r="T5" s="39">
        <v>5.0</v>
      </c>
      <c r="U5" s="39">
        <v>0.0</v>
      </c>
      <c r="V5" s="39">
        <v>0.0</v>
      </c>
      <c r="W5" s="39">
        <v>0.0</v>
      </c>
      <c r="X5" s="39">
        <v>0.0</v>
      </c>
      <c r="Y5" s="39">
        <v>0.0</v>
      </c>
      <c r="Z5" s="39">
        <v>6.0</v>
      </c>
      <c r="AA5" s="39">
        <v>5.0</v>
      </c>
      <c r="AB5" s="39">
        <v>0.0</v>
      </c>
      <c r="AC5" s="39">
        <v>10.0</v>
      </c>
      <c r="AD5" s="39">
        <v>4.0</v>
      </c>
      <c r="AE5" s="39">
        <v>0.0</v>
      </c>
      <c r="AF5" s="39">
        <v>0.0</v>
      </c>
      <c r="AG5" s="39">
        <v>0.0</v>
      </c>
      <c r="AH5" s="39">
        <v>18.0</v>
      </c>
      <c r="AI5" s="39">
        <v>0.0</v>
      </c>
      <c r="AJ5" s="39">
        <v>0.0</v>
      </c>
      <c r="AK5" s="39">
        <v>0.0</v>
      </c>
      <c r="AL5" s="39">
        <v>0.0</v>
      </c>
      <c r="AM5" s="39">
        <v>22.0</v>
      </c>
      <c r="AN5" s="39">
        <v>0.0</v>
      </c>
      <c r="AO5" s="39">
        <v>18.0</v>
      </c>
      <c r="AP5" s="39">
        <v>11.0</v>
      </c>
      <c r="AQ5" s="39">
        <v>2.0</v>
      </c>
      <c r="AR5" s="39">
        <v>8.0</v>
      </c>
      <c r="AS5" s="39">
        <v>2.0</v>
      </c>
      <c r="AT5" s="39">
        <v>7.0</v>
      </c>
      <c r="AU5" s="39">
        <v>2.0</v>
      </c>
      <c r="AV5" s="39">
        <v>0.0</v>
      </c>
      <c r="AW5" s="39">
        <v>1.0</v>
      </c>
      <c r="AX5" s="39">
        <v>27.0</v>
      </c>
      <c r="AY5" s="39">
        <v>22.0</v>
      </c>
      <c r="AZ5" s="39">
        <v>18.0</v>
      </c>
      <c r="BA5" s="39">
        <v>10.0</v>
      </c>
      <c r="BB5" s="39">
        <v>5.0</v>
      </c>
      <c r="BC5" s="39">
        <v>0.0</v>
      </c>
      <c r="BD5" s="39">
        <v>0.0</v>
      </c>
      <c r="BE5" s="39">
        <v>22.0</v>
      </c>
      <c r="BF5" s="39">
        <v>7.0</v>
      </c>
      <c r="BG5" s="39">
        <v>4.0</v>
      </c>
      <c r="BH5" s="41">
        <v>23.0</v>
      </c>
      <c r="BI5" s="41">
        <v>14.0</v>
      </c>
      <c r="BJ5" s="40">
        <v>2.0</v>
      </c>
      <c r="BK5" s="40">
        <v>0.0</v>
      </c>
      <c r="BL5" s="41">
        <v>4.0</v>
      </c>
      <c r="BM5" s="40">
        <v>0.0</v>
      </c>
      <c r="BN5" s="40">
        <v>0.0</v>
      </c>
      <c r="BO5" s="40">
        <v>0.0</v>
      </c>
      <c r="BP5" s="39">
        <v>27.0</v>
      </c>
      <c r="BQ5" s="39">
        <v>30.0</v>
      </c>
      <c r="BR5" s="39"/>
      <c r="BS5" s="39"/>
      <c r="BT5" s="39"/>
      <c r="BU5" s="39"/>
      <c r="BV5" s="39"/>
      <c r="BW5" s="39"/>
      <c r="BX5" s="39"/>
    </row>
    <row r="6">
      <c r="A6" s="36" t="s">
        <v>14</v>
      </c>
      <c r="B6" s="36" t="s">
        <v>15</v>
      </c>
      <c r="C6" s="37" t="s">
        <v>22</v>
      </c>
      <c r="D6" s="38">
        <v>11.0</v>
      </c>
      <c r="E6" s="38">
        <v>48.0</v>
      </c>
      <c r="F6" s="38">
        <v>76.0</v>
      </c>
      <c r="G6" s="38">
        <v>14.0</v>
      </c>
      <c r="H6" s="39">
        <v>12.0</v>
      </c>
      <c r="I6" s="39">
        <v>8.0</v>
      </c>
      <c r="J6" s="39">
        <v>6.0</v>
      </c>
      <c r="K6" s="39">
        <v>11.0</v>
      </c>
      <c r="L6" s="39">
        <v>4.0</v>
      </c>
      <c r="M6" s="43">
        <v>3.0</v>
      </c>
      <c r="N6" s="39">
        <v>8.0</v>
      </c>
      <c r="O6" s="39">
        <v>8.0</v>
      </c>
      <c r="P6" s="39">
        <v>12.0</v>
      </c>
      <c r="Q6" s="39">
        <v>7.0</v>
      </c>
      <c r="R6" s="39">
        <v>6.0</v>
      </c>
      <c r="S6" s="39">
        <v>4.0</v>
      </c>
      <c r="T6" s="39">
        <v>8.0</v>
      </c>
      <c r="U6" s="39">
        <v>3.0</v>
      </c>
      <c r="V6" s="39">
        <v>6.0</v>
      </c>
      <c r="W6" s="39">
        <v>6.0</v>
      </c>
      <c r="X6" s="39">
        <v>3.0</v>
      </c>
      <c r="Y6" s="39">
        <v>6.0</v>
      </c>
      <c r="Z6" s="39">
        <v>6.0</v>
      </c>
      <c r="AA6" s="39">
        <v>32.0</v>
      </c>
      <c r="AB6" s="39">
        <v>24.0</v>
      </c>
      <c r="AC6" s="39">
        <v>32.0</v>
      </c>
      <c r="AD6" s="39">
        <v>24.0</v>
      </c>
      <c r="AE6" s="39">
        <v>24.0</v>
      </c>
      <c r="AF6" s="39">
        <v>16.0</v>
      </c>
      <c r="AG6" s="39">
        <v>12.0</v>
      </c>
      <c r="AH6" s="39">
        <v>20.0</v>
      </c>
      <c r="AI6" s="39">
        <v>20.0</v>
      </c>
      <c r="AJ6" s="39">
        <v>16.0</v>
      </c>
      <c r="AK6" s="39">
        <v>12.0</v>
      </c>
      <c r="AL6" s="39">
        <v>4.0</v>
      </c>
      <c r="AM6" s="39">
        <v>36.0</v>
      </c>
      <c r="AN6" s="39">
        <v>4.0</v>
      </c>
      <c r="AO6" s="39">
        <v>28.0</v>
      </c>
      <c r="AP6" s="39">
        <v>20.0</v>
      </c>
      <c r="AQ6" s="39"/>
      <c r="AR6" s="39">
        <v>4.0</v>
      </c>
      <c r="AS6" s="39">
        <v>3.0</v>
      </c>
      <c r="AT6" s="39">
        <v>34.0</v>
      </c>
      <c r="AU6" s="39">
        <v>29.0</v>
      </c>
      <c r="AV6" s="39">
        <v>24.0</v>
      </c>
      <c r="AW6" s="39">
        <v>16.0</v>
      </c>
      <c r="AX6" s="39">
        <v>44.0</v>
      </c>
      <c r="AY6" s="39">
        <v>42.0</v>
      </c>
      <c r="AZ6" s="39">
        <v>40.0</v>
      </c>
      <c r="BA6" s="39">
        <v>13.0</v>
      </c>
      <c r="BB6" s="39">
        <v>40.0</v>
      </c>
      <c r="BC6" s="39">
        <v>33.0</v>
      </c>
      <c r="BD6" s="39">
        <v>29.0</v>
      </c>
      <c r="BE6" s="39">
        <v>37.0</v>
      </c>
      <c r="BF6" s="39">
        <v>32.0</v>
      </c>
      <c r="BG6" s="39">
        <v>24.0</v>
      </c>
      <c r="BH6" s="41">
        <v>29.0</v>
      </c>
      <c r="BI6" s="41">
        <v>26.0</v>
      </c>
      <c r="BJ6" s="41">
        <v>14.0</v>
      </c>
      <c r="BK6" s="41">
        <v>12.0</v>
      </c>
      <c r="BL6" s="41">
        <v>0.0</v>
      </c>
      <c r="BM6" s="40">
        <v>0.0</v>
      </c>
      <c r="BN6" s="39">
        <v>24.0</v>
      </c>
      <c r="BO6" s="39">
        <v>20.0</v>
      </c>
      <c r="BP6" s="39">
        <v>20.0</v>
      </c>
      <c r="BQ6" s="39">
        <v>9.0</v>
      </c>
      <c r="BR6" s="39"/>
      <c r="BS6" s="39"/>
      <c r="BT6" s="39"/>
      <c r="BU6" s="39"/>
      <c r="BV6" s="39"/>
      <c r="BW6" s="39"/>
      <c r="BX6" s="39"/>
    </row>
    <row r="7">
      <c r="A7" s="36" t="s">
        <v>14</v>
      </c>
      <c r="B7" s="36" t="s">
        <v>15</v>
      </c>
      <c r="C7" s="37" t="s">
        <v>23</v>
      </c>
      <c r="D7" s="38">
        <v>10.0</v>
      </c>
      <c r="E7" s="38">
        <v>10.0</v>
      </c>
      <c r="F7" s="38">
        <v>9.0</v>
      </c>
      <c r="G7" s="38">
        <v>9.0</v>
      </c>
      <c r="H7" s="39">
        <v>7.0</v>
      </c>
      <c r="I7" s="39">
        <v>5.0</v>
      </c>
      <c r="J7" s="39">
        <v>4.0</v>
      </c>
      <c r="K7" s="39">
        <v>7.0</v>
      </c>
      <c r="L7" s="39">
        <v>8.0</v>
      </c>
      <c r="M7" s="39">
        <v>6.0</v>
      </c>
      <c r="N7" s="39">
        <v>4.0</v>
      </c>
      <c r="O7" s="39">
        <v>2.0</v>
      </c>
      <c r="P7" s="39">
        <v>5.0</v>
      </c>
      <c r="Q7" s="39">
        <v>5.0</v>
      </c>
      <c r="R7" s="39">
        <v>3.0</v>
      </c>
      <c r="S7" s="39">
        <v>3.0</v>
      </c>
      <c r="T7" s="39">
        <v>8.0</v>
      </c>
      <c r="U7" s="39">
        <v>6.0</v>
      </c>
      <c r="V7" s="39">
        <v>4.0</v>
      </c>
      <c r="W7" s="39">
        <v>4.0</v>
      </c>
      <c r="X7" s="39">
        <v>5.0</v>
      </c>
      <c r="Y7" s="39">
        <v>3.0</v>
      </c>
      <c r="Z7" s="39">
        <v>2.0</v>
      </c>
      <c r="AA7" s="39">
        <v>1.0</v>
      </c>
      <c r="AB7" s="39">
        <v>1.0</v>
      </c>
      <c r="AC7" s="39">
        <v>3.0</v>
      </c>
      <c r="AD7" s="39">
        <v>3.0</v>
      </c>
      <c r="AE7" s="39">
        <v>3.0</v>
      </c>
      <c r="AF7" s="39">
        <v>0.0</v>
      </c>
      <c r="AG7" s="39">
        <v>0.0</v>
      </c>
      <c r="AH7" s="39">
        <v>0.0</v>
      </c>
      <c r="AI7" s="39">
        <v>0.0</v>
      </c>
      <c r="AJ7" s="39">
        <v>0.0</v>
      </c>
      <c r="AK7" s="39">
        <v>1.0</v>
      </c>
      <c r="AL7" s="39">
        <v>0.0</v>
      </c>
      <c r="AM7" s="39">
        <v>8.0</v>
      </c>
      <c r="AN7" s="39">
        <v>0.0</v>
      </c>
      <c r="AO7" s="39">
        <v>7.0</v>
      </c>
      <c r="AP7" s="39">
        <v>6.0</v>
      </c>
      <c r="AQ7" s="39"/>
      <c r="AR7" s="39">
        <v>5.0</v>
      </c>
      <c r="AS7" s="39">
        <v>5.0</v>
      </c>
      <c r="AT7" s="39">
        <v>5.0</v>
      </c>
      <c r="AU7" s="39">
        <v>4.0</v>
      </c>
      <c r="AV7" s="39">
        <v>4.0</v>
      </c>
      <c r="AW7" s="39">
        <v>3.0</v>
      </c>
      <c r="AX7" s="39">
        <v>3.0</v>
      </c>
      <c r="AY7" s="39">
        <v>3.0</v>
      </c>
      <c r="AZ7" s="39">
        <v>2.0</v>
      </c>
      <c r="BA7" s="39">
        <v>2.0</v>
      </c>
      <c r="BB7" s="39">
        <v>1.0</v>
      </c>
      <c r="BC7" s="39">
        <v>4.0</v>
      </c>
      <c r="BD7" s="39">
        <v>4.0</v>
      </c>
      <c r="BE7" s="39">
        <v>3.0</v>
      </c>
      <c r="BF7" s="39">
        <v>1.0</v>
      </c>
      <c r="BG7" s="40">
        <v>1.0</v>
      </c>
      <c r="BH7" s="41">
        <v>4.0</v>
      </c>
      <c r="BI7" s="41">
        <v>4.0</v>
      </c>
      <c r="BJ7" s="41">
        <v>3.0</v>
      </c>
      <c r="BK7" s="41">
        <v>3.0</v>
      </c>
      <c r="BL7" s="41">
        <v>2.0</v>
      </c>
      <c r="BM7" s="41">
        <v>1.0</v>
      </c>
      <c r="BN7" s="39">
        <v>7.0</v>
      </c>
      <c r="BO7" s="39">
        <v>7.0</v>
      </c>
      <c r="BP7" s="39">
        <v>6.0</v>
      </c>
      <c r="BQ7" s="39">
        <v>9.0</v>
      </c>
      <c r="BR7" s="39"/>
      <c r="BS7" s="39"/>
      <c r="BT7" s="39"/>
      <c r="BU7" s="39"/>
      <c r="BV7" s="39"/>
      <c r="BW7" s="39"/>
      <c r="BX7" s="39"/>
    </row>
    <row r="8">
      <c r="A8" s="44" t="s">
        <v>14</v>
      </c>
      <c r="B8" s="36" t="s">
        <v>15</v>
      </c>
      <c r="C8" s="37" t="s">
        <v>24</v>
      </c>
      <c r="D8" s="29"/>
      <c r="E8" s="39">
        <v>23.0</v>
      </c>
      <c r="F8" s="39">
        <v>15.0</v>
      </c>
      <c r="G8" s="40">
        <v>0.0</v>
      </c>
      <c r="H8" s="40">
        <v>0.0</v>
      </c>
      <c r="I8" s="40">
        <v>0.0</v>
      </c>
      <c r="J8" s="40">
        <v>0.0</v>
      </c>
      <c r="K8" s="39">
        <v>14.0</v>
      </c>
      <c r="L8" s="39">
        <v>7.0</v>
      </c>
      <c r="M8" s="39">
        <v>9.0</v>
      </c>
      <c r="N8" s="39">
        <v>2.0</v>
      </c>
      <c r="O8" s="39">
        <v>0.0</v>
      </c>
      <c r="P8" s="39">
        <v>0.0</v>
      </c>
      <c r="Q8" s="39">
        <v>4.0</v>
      </c>
      <c r="R8" s="39">
        <v>2.0</v>
      </c>
      <c r="S8" s="39">
        <v>0.0</v>
      </c>
      <c r="T8" s="39">
        <v>3.0</v>
      </c>
      <c r="U8" s="39">
        <v>0.0</v>
      </c>
      <c r="V8" s="39">
        <v>0.0</v>
      </c>
      <c r="W8" s="39">
        <v>0.0</v>
      </c>
      <c r="X8" s="39">
        <v>3.0</v>
      </c>
      <c r="Y8" s="39">
        <v>6.0</v>
      </c>
      <c r="Z8" s="39">
        <v>18.0</v>
      </c>
      <c r="AA8" s="39">
        <v>15.0</v>
      </c>
      <c r="AB8" s="39">
        <v>6.0</v>
      </c>
      <c r="AC8" s="39">
        <v>15.0</v>
      </c>
      <c r="AD8" s="39">
        <v>15.0</v>
      </c>
      <c r="AE8" s="39">
        <v>9.0</v>
      </c>
      <c r="AF8" s="39">
        <v>4.0</v>
      </c>
      <c r="AG8" s="39">
        <v>0.0</v>
      </c>
      <c r="AH8" s="39">
        <v>15.0</v>
      </c>
      <c r="AI8" s="39">
        <v>11.0</v>
      </c>
      <c r="AJ8" s="39">
        <v>9.0</v>
      </c>
      <c r="AK8" s="39">
        <v>6.0</v>
      </c>
      <c r="AL8" s="39">
        <v>1.0</v>
      </c>
      <c r="AM8" s="39">
        <v>17.0</v>
      </c>
      <c r="AN8" s="39">
        <v>0.0</v>
      </c>
      <c r="AO8" s="39">
        <v>16.0</v>
      </c>
      <c r="AP8" s="39">
        <v>9.0</v>
      </c>
      <c r="AQ8" s="39"/>
      <c r="AR8" s="39">
        <v>5.0</v>
      </c>
      <c r="AS8" s="39">
        <v>2.0</v>
      </c>
      <c r="AT8" s="39">
        <v>17.0</v>
      </c>
      <c r="AU8" s="39">
        <v>16.0</v>
      </c>
      <c r="AV8" s="39">
        <v>11.0</v>
      </c>
      <c r="AW8" s="39">
        <v>6.0</v>
      </c>
      <c r="AX8" s="39">
        <v>19.0</v>
      </c>
      <c r="AY8" s="39">
        <v>19.0</v>
      </c>
      <c r="AZ8" s="39">
        <v>16.0</v>
      </c>
      <c r="BA8" s="39">
        <v>10.0</v>
      </c>
      <c r="BB8" s="39">
        <v>7.0</v>
      </c>
      <c r="BC8" s="39">
        <v>2.0</v>
      </c>
      <c r="BD8" s="39">
        <v>2.0</v>
      </c>
      <c r="BE8" s="39">
        <v>8.0</v>
      </c>
      <c r="BF8" s="39">
        <v>0.0</v>
      </c>
      <c r="BG8" s="40">
        <v>0.0</v>
      </c>
      <c r="BH8" s="41">
        <v>0.0</v>
      </c>
      <c r="BI8" s="41">
        <v>7.0</v>
      </c>
      <c r="BJ8" s="40">
        <v>1.0</v>
      </c>
      <c r="BK8" s="40">
        <v>0.0</v>
      </c>
      <c r="BL8" s="41">
        <v>2.0</v>
      </c>
      <c r="BM8" s="40">
        <v>0.0</v>
      </c>
      <c r="BN8" s="39">
        <v>16.0</v>
      </c>
      <c r="BO8" s="39">
        <v>13.0</v>
      </c>
      <c r="BP8" s="39">
        <v>6.0</v>
      </c>
      <c r="BQ8" s="39">
        <v>3.0</v>
      </c>
      <c r="BR8" s="39"/>
      <c r="BS8" s="39"/>
      <c r="BT8" s="39"/>
      <c r="BU8" s="39"/>
      <c r="BV8" s="39"/>
      <c r="BW8" s="39"/>
      <c r="BX8" s="39"/>
    </row>
    <row r="9">
      <c r="A9" s="44" t="s">
        <v>14</v>
      </c>
      <c r="B9" s="36" t="s">
        <v>15</v>
      </c>
      <c r="C9" s="37" t="s">
        <v>25</v>
      </c>
      <c r="D9" s="29"/>
      <c r="E9" s="29"/>
      <c r="F9" s="29"/>
      <c r="G9" s="29"/>
      <c r="H9" s="29"/>
      <c r="Y9" s="39">
        <v>0.0</v>
      </c>
      <c r="Z9" s="39">
        <v>23.0</v>
      </c>
      <c r="AA9" s="39">
        <v>15.0</v>
      </c>
      <c r="AB9" s="39">
        <v>7.0</v>
      </c>
      <c r="AC9" s="39">
        <v>27.0</v>
      </c>
      <c r="AD9" s="39">
        <v>24.0</v>
      </c>
      <c r="AE9" s="39">
        <v>19.0</v>
      </c>
      <c r="AF9" s="39">
        <v>12.0</v>
      </c>
      <c r="AG9" s="39">
        <v>10.0</v>
      </c>
      <c r="AH9" s="31">
        <v>22.0</v>
      </c>
      <c r="AI9" s="39">
        <v>20.0</v>
      </c>
      <c r="AJ9" s="39">
        <v>13.0</v>
      </c>
      <c r="AK9" s="39">
        <v>9.0</v>
      </c>
      <c r="AL9" s="39">
        <v>5.0</v>
      </c>
      <c r="AM9" s="39">
        <v>23.0</v>
      </c>
      <c r="AN9" s="39">
        <v>0.0</v>
      </c>
      <c r="AO9" s="39">
        <v>16.0</v>
      </c>
      <c r="AP9" s="39">
        <v>11.0</v>
      </c>
      <c r="AQ9" s="39"/>
      <c r="AR9" s="39">
        <v>2.0</v>
      </c>
      <c r="AS9" s="39">
        <v>0.0</v>
      </c>
      <c r="AT9" s="39">
        <v>9.0</v>
      </c>
      <c r="AU9" s="39">
        <v>8.0</v>
      </c>
      <c r="AV9" s="39">
        <v>3.0</v>
      </c>
      <c r="AW9" s="39">
        <v>0.0</v>
      </c>
      <c r="AX9" s="39">
        <v>23.0</v>
      </c>
      <c r="AY9" s="39">
        <v>21.0</v>
      </c>
      <c r="AZ9" s="39">
        <v>18.0</v>
      </c>
      <c r="BA9" s="39">
        <v>11.0</v>
      </c>
      <c r="BB9" s="39">
        <v>6.0</v>
      </c>
      <c r="BC9" s="39">
        <v>2.0</v>
      </c>
      <c r="BD9" s="39">
        <v>0.0</v>
      </c>
      <c r="BE9" s="39">
        <v>21.0</v>
      </c>
      <c r="BF9" s="39">
        <v>14.0</v>
      </c>
      <c r="BG9" s="39">
        <v>9.0</v>
      </c>
      <c r="BH9" s="41">
        <v>30.0</v>
      </c>
      <c r="BI9" s="41">
        <v>26.0</v>
      </c>
      <c r="BJ9" s="41">
        <v>16.0</v>
      </c>
      <c r="BK9" s="41">
        <v>12.0</v>
      </c>
      <c r="BL9" s="41">
        <v>8.0</v>
      </c>
      <c r="BM9" s="40">
        <v>0.0</v>
      </c>
      <c r="BN9" s="39">
        <v>18.0</v>
      </c>
      <c r="BO9" s="39">
        <v>16.0</v>
      </c>
      <c r="BP9" s="39">
        <v>10.0</v>
      </c>
      <c r="BQ9" s="39">
        <v>7.0</v>
      </c>
      <c r="BR9" s="39"/>
      <c r="BS9" s="39"/>
      <c r="BT9" s="39"/>
      <c r="BU9" s="39"/>
      <c r="BV9" s="39"/>
      <c r="BW9" s="39"/>
      <c r="BX9" s="39"/>
    </row>
    <row r="10">
      <c r="A10" s="36" t="s">
        <v>14</v>
      </c>
      <c r="B10" s="36" t="s">
        <v>15</v>
      </c>
      <c r="C10" s="37" t="s">
        <v>26</v>
      </c>
      <c r="H10" s="29"/>
      <c r="Q10" s="45"/>
      <c r="T10" s="31"/>
      <c r="Y10" s="39"/>
      <c r="Z10" s="39"/>
      <c r="AA10" s="39"/>
      <c r="AB10" s="39"/>
      <c r="AC10" s="39"/>
      <c r="AD10" s="39"/>
      <c r="AE10" s="39"/>
      <c r="AF10" s="39"/>
      <c r="AG10" s="39"/>
      <c r="AH10" s="31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39"/>
      <c r="BC10" s="39"/>
      <c r="BD10" s="39"/>
      <c r="BE10" s="39"/>
      <c r="BF10" s="39"/>
      <c r="BG10" s="40"/>
      <c r="BH10" s="41"/>
      <c r="BI10" s="41"/>
      <c r="BJ10" s="40"/>
      <c r="BK10" s="40"/>
      <c r="BL10" s="41"/>
      <c r="BM10" s="40"/>
      <c r="BN10" s="39">
        <v>3.0</v>
      </c>
      <c r="BO10" s="39">
        <v>3.0</v>
      </c>
      <c r="BP10" s="39">
        <v>2.0</v>
      </c>
      <c r="BQ10" s="39">
        <v>2.0</v>
      </c>
      <c r="BR10" s="39"/>
      <c r="BS10" s="39"/>
      <c r="BT10" s="39"/>
      <c r="BU10" s="39"/>
      <c r="BV10" s="39"/>
      <c r="BW10" s="39"/>
      <c r="BX10" s="39"/>
    </row>
    <row r="11">
      <c r="A11" s="44" t="s">
        <v>14</v>
      </c>
      <c r="B11" s="36" t="s">
        <v>15</v>
      </c>
      <c r="C11" s="37" t="s">
        <v>27</v>
      </c>
      <c r="D11" s="46"/>
      <c r="E11" s="46"/>
      <c r="F11" s="46"/>
      <c r="G11" s="46"/>
      <c r="H11" s="47"/>
      <c r="I11" s="46"/>
      <c r="J11" s="46"/>
      <c r="K11" s="46"/>
      <c r="L11" s="46"/>
      <c r="M11" s="46"/>
      <c r="N11" s="46"/>
      <c r="O11" s="46"/>
      <c r="P11" s="46"/>
      <c r="Q11" s="48" t="s">
        <v>28</v>
      </c>
      <c r="R11" s="46"/>
      <c r="S11" s="46"/>
      <c r="T11" s="49" t="s">
        <v>29</v>
      </c>
      <c r="U11" s="46"/>
      <c r="V11" s="46"/>
      <c r="W11" s="46"/>
      <c r="X11" s="46"/>
      <c r="Y11" s="50">
        <v>0.0</v>
      </c>
      <c r="Z11" s="50">
        <v>2.0</v>
      </c>
      <c r="AA11" s="50">
        <v>1.0</v>
      </c>
      <c r="AB11" s="50">
        <v>0.0</v>
      </c>
      <c r="AC11" s="50">
        <v>2.0</v>
      </c>
      <c r="AD11" s="50">
        <v>2.0</v>
      </c>
      <c r="AE11" s="50">
        <v>2.0</v>
      </c>
      <c r="AF11" s="50">
        <v>2.0</v>
      </c>
      <c r="AG11" s="50">
        <v>1.0</v>
      </c>
      <c r="AH11" s="49">
        <v>3.0</v>
      </c>
      <c r="AI11" s="39">
        <v>2.0</v>
      </c>
      <c r="AJ11" s="39">
        <v>2.0</v>
      </c>
      <c r="AK11" s="39">
        <v>1.0</v>
      </c>
      <c r="AL11" s="39">
        <v>1.0</v>
      </c>
      <c r="AM11" s="39">
        <v>4.0</v>
      </c>
      <c r="AN11" s="39">
        <v>1.0</v>
      </c>
      <c r="AO11" s="39">
        <v>4.0</v>
      </c>
      <c r="AP11" s="39">
        <v>4.0</v>
      </c>
      <c r="AQ11" s="39"/>
      <c r="AR11" s="39">
        <v>3.0</v>
      </c>
      <c r="AS11" s="39">
        <v>2.0</v>
      </c>
      <c r="AT11" s="39">
        <v>2.0</v>
      </c>
      <c r="AU11" s="39">
        <v>2.0</v>
      </c>
      <c r="AV11" s="39">
        <v>2.0</v>
      </c>
      <c r="AW11" s="39">
        <v>2.0</v>
      </c>
      <c r="AX11" s="39">
        <v>3.0</v>
      </c>
      <c r="AY11" s="39">
        <v>3.0</v>
      </c>
      <c r="AZ11" s="39">
        <v>3.0</v>
      </c>
      <c r="BA11" s="39">
        <v>3.0</v>
      </c>
      <c r="BB11" s="39">
        <v>3.0</v>
      </c>
      <c r="BC11" s="39">
        <v>2.0</v>
      </c>
      <c r="BD11" s="39">
        <v>2.0</v>
      </c>
      <c r="BE11" s="39">
        <v>2.0</v>
      </c>
      <c r="BF11" s="39">
        <v>0.0</v>
      </c>
      <c r="BG11" s="40">
        <v>0.0</v>
      </c>
      <c r="BH11" s="41">
        <v>0.0</v>
      </c>
      <c r="BI11" s="41">
        <v>0.0</v>
      </c>
      <c r="BJ11" s="40">
        <v>0.0</v>
      </c>
      <c r="BK11" s="40">
        <v>0.0</v>
      </c>
      <c r="BL11" s="41">
        <v>0.0</v>
      </c>
      <c r="BM11" s="40">
        <v>0.0</v>
      </c>
      <c r="BN11" s="39">
        <v>3.0</v>
      </c>
      <c r="BO11" s="39">
        <v>3.0</v>
      </c>
      <c r="BP11" s="39">
        <v>3.0</v>
      </c>
      <c r="BQ11" s="39">
        <v>2.0</v>
      </c>
      <c r="BR11" s="39"/>
      <c r="BS11" s="39"/>
      <c r="BT11" s="39"/>
      <c r="BU11" s="39"/>
      <c r="BV11" s="39"/>
      <c r="BW11" s="39"/>
      <c r="BX11" s="39"/>
    </row>
    <row r="12">
      <c r="A12" s="44" t="s">
        <v>14</v>
      </c>
      <c r="B12" s="36" t="s">
        <v>15</v>
      </c>
      <c r="C12" s="37" t="s">
        <v>30</v>
      </c>
      <c r="H12" s="29"/>
      <c r="Q12" s="45"/>
      <c r="T12" s="31"/>
      <c r="Y12" s="39"/>
      <c r="Z12" s="39"/>
      <c r="AA12" s="39"/>
      <c r="AB12" s="39"/>
      <c r="AC12" s="39"/>
      <c r="AD12" s="39"/>
      <c r="AE12" s="39"/>
      <c r="AF12" s="39"/>
      <c r="AG12" s="39"/>
      <c r="AH12" s="31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>
        <v>0.0</v>
      </c>
      <c r="AW12" s="39">
        <v>0.0</v>
      </c>
      <c r="AX12" s="39">
        <v>0.0</v>
      </c>
      <c r="AY12" s="39">
        <v>0.0</v>
      </c>
      <c r="AZ12" s="39">
        <v>0.0</v>
      </c>
      <c r="BA12" s="39">
        <v>0.0</v>
      </c>
      <c r="BB12" s="39">
        <v>0.0</v>
      </c>
      <c r="BC12" s="39">
        <v>0.0</v>
      </c>
      <c r="BD12" s="39">
        <v>0.0</v>
      </c>
      <c r="BE12" s="39">
        <v>0.0</v>
      </c>
      <c r="BF12" s="39">
        <v>0.0</v>
      </c>
      <c r="BG12" s="40">
        <v>0.0</v>
      </c>
      <c r="BH12" s="41" t="s">
        <v>31</v>
      </c>
      <c r="BI12" s="41" t="s">
        <v>31</v>
      </c>
      <c r="BJ12" s="41" t="s">
        <v>31</v>
      </c>
      <c r="BK12" s="41" t="s">
        <v>31</v>
      </c>
      <c r="BL12" s="41">
        <v>2.0</v>
      </c>
      <c r="BM12" s="40">
        <v>0.0</v>
      </c>
      <c r="BN12" s="39" t="s">
        <v>31</v>
      </c>
      <c r="BO12" s="39" t="s">
        <v>32</v>
      </c>
      <c r="BP12" s="40">
        <v>0.0</v>
      </c>
      <c r="BQ12" s="40">
        <v>0.0</v>
      </c>
      <c r="BR12" s="39"/>
      <c r="BS12" s="39"/>
      <c r="BT12" s="39"/>
      <c r="BU12" s="39"/>
      <c r="BV12" s="39"/>
      <c r="BW12" s="39"/>
      <c r="BX12" s="39"/>
    </row>
    <row r="13">
      <c r="A13" s="36" t="s">
        <v>14</v>
      </c>
      <c r="B13" s="36" t="s">
        <v>33</v>
      </c>
      <c r="C13" s="37" t="s">
        <v>34</v>
      </c>
      <c r="H13" s="29"/>
      <c r="W13" s="31" t="s">
        <v>35</v>
      </c>
      <c r="X13" s="31" t="s">
        <v>35</v>
      </c>
      <c r="Y13" s="31" t="s">
        <v>35</v>
      </c>
      <c r="Z13" s="31" t="s">
        <v>35</v>
      </c>
      <c r="AA13" s="31" t="s">
        <v>35</v>
      </c>
      <c r="AB13" s="39">
        <v>0.0</v>
      </c>
      <c r="AC13" s="39">
        <v>2.0</v>
      </c>
      <c r="AD13" s="39">
        <v>2.0</v>
      </c>
      <c r="AE13" s="39">
        <v>1.0</v>
      </c>
      <c r="AF13" s="39">
        <v>0.0</v>
      </c>
      <c r="AG13" s="39">
        <v>0.0</v>
      </c>
      <c r="AH13" s="31">
        <v>1.0</v>
      </c>
      <c r="AI13" s="39">
        <v>0.0</v>
      </c>
      <c r="AJ13" s="39">
        <v>0.0</v>
      </c>
      <c r="AK13" s="39">
        <v>0.0</v>
      </c>
      <c r="AL13" s="39">
        <v>0.0</v>
      </c>
      <c r="AM13" s="39">
        <v>1.0</v>
      </c>
      <c r="AN13" s="39">
        <v>0.0</v>
      </c>
      <c r="AO13" s="39">
        <v>1.0</v>
      </c>
      <c r="AP13" s="39">
        <v>0.0</v>
      </c>
      <c r="AQ13" s="39"/>
      <c r="AR13" s="39">
        <v>0.0</v>
      </c>
      <c r="AS13" s="39">
        <v>0.0</v>
      </c>
      <c r="AT13" s="39">
        <v>1.0</v>
      </c>
      <c r="AU13" s="39">
        <v>1.0</v>
      </c>
      <c r="AV13" s="39">
        <v>1.0</v>
      </c>
      <c r="AW13" s="39">
        <v>0.0</v>
      </c>
      <c r="AX13" s="39">
        <v>2.0</v>
      </c>
      <c r="AY13" s="39">
        <v>1.0</v>
      </c>
      <c r="AZ13" s="39">
        <v>1.0</v>
      </c>
      <c r="BA13" s="39">
        <v>2.0</v>
      </c>
      <c r="BB13" s="39">
        <v>1.0</v>
      </c>
      <c r="BC13" s="39">
        <v>1.0</v>
      </c>
      <c r="BD13" s="39">
        <v>1.0</v>
      </c>
      <c r="BE13" s="39">
        <v>4.0</v>
      </c>
      <c r="BF13" s="39">
        <v>0.0</v>
      </c>
      <c r="BG13" s="39">
        <v>1.0</v>
      </c>
      <c r="BH13" s="41">
        <v>2.0</v>
      </c>
      <c r="BI13" s="41">
        <v>2.0</v>
      </c>
      <c r="BJ13" s="41">
        <v>1.0</v>
      </c>
      <c r="BK13" s="40">
        <v>0.0</v>
      </c>
      <c r="BL13" s="41">
        <v>0.0</v>
      </c>
      <c r="BM13" s="40">
        <v>0.0</v>
      </c>
      <c r="BN13" s="39">
        <v>1.0</v>
      </c>
      <c r="BO13" s="40">
        <v>0.0</v>
      </c>
      <c r="BP13" s="40">
        <v>0.0</v>
      </c>
      <c r="BQ13" s="40">
        <v>0.0</v>
      </c>
      <c r="BR13" s="39"/>
      <c r="BS13" s="39"/>
      <c r="BT13" s="39"/>
      <c r="BU13" s="39"/>
      <c r="BV13" s="39"/>
      <c r="BW13" s="39"/>
      <c r="BX13" s="39"/>
    </row>
    <row r="14">
      <c r="A14" s="36" t="s">
        <v>14</v>
      </c>
      <c r="B14" s="36" t="s">
        <v>33</v>
      </c>
      <c r="C14" s="37" t="s">
        <v>36</v>
      </c>
      <c r="H14" s="29"/>
      <c r="W14" s="31" t="s">
        <v>35</v>
      </c>
      <c r="X14" s="31" t="s">
        <v>35</v>
      </c>
      <c r="Y14" s="31" t="s">
        <v>35</v>
      </c>
      <c r="Z14" s="31" t="s">
        <v>35</v>
      </c>
      <c r="AA14" s="31" t="s">
        <v>35</v>
      </c>
      <c r="AB14" s="39">
        <v>1.0</v>
      </c>
      <c r="AC14" s="39">
        <v>2.0</v>
      </c>
      <c r="AD14" s="39">
        <v>2.0</v>
      </c>
      <c r="AE14" s="39">
        <v>2.0</v>
      </c>
      <c r="AF14" s="39">
        <v>2.0</v>
      </c>
      <c r="AG14" s="39">
        <v>1.0</v>
      </c>
      <c r="AH14" s="31">
        <v>3.0</v>
      </c>
      <c r="AI14" s="39">
        <v>2.0</v>
      </c>
      <c r="AJ14" s="39">
        <v>3.0</v>
      </c>
      <c r="AK14" s="39">
        <v>1.0</v>
      </c>
      <c r="AL14" s="39">
        <v>1.0</v>
      </c>
      <c r="AM14" s="39">
        <v>2.0</v>
      </c>
      <c r="AN14" s="39">
        <v>1.0</v>
      </c>
      <c r="AO14" s="39">
        <v>1.0</v>
      </c>
      <c r="AP14" s="39">
        <v>1.0</v>
      </c>
      <c r="AQ14" s="39"/>
      <c r="AR14" s="39">
        <v>0.0</v>
      </c>
      <c r="AS14" s="39">
        <v>0.0</v>
      </c>
      <c r="AT14" s="39">
        <v>0.0</v>
      </c>
      <c r="AU14" s="39">
        <v>0.0</v>
      </c>
      <c r="AV14" s="39">
        <v>0.0</v>
      </c>
      <c r="AW14" s="39">
        <v>0.0</v>
      </c>
      <c r="AX14" s="39">
        <v>4.0</v>
      </c>
      <c r="AY14" s="39">
        <v>3.0</v>
      </c>
      <c r="AZ14" s="39">
        <v>3.0</v>
      </c>
      <c r="BA14" s="39">
        <v>5.0</v>
      </c>
      <c r="BB14" s="39">
        <v>5.0</v>
      </c>
      <c r="BC14" s="39">
        <v>3.0</v>
      </c>
      <c r="BD14" s="39">
        <v>3.0</v>
      </c>
      <c r="BE14" s="39">
        <v>2.0</v>
      </c>
      <c r="BF14" s="39">
        <v>0.0</v>
      </c>
      <c r="BG14" s="40">
        <v>0.0</v>
      </c>
      <c r="BH14" s="41">
        <v>3.0</v>
      </c>
      <c r="BI14" s="41">
        <v>3.0</v>
      </c>
      <c r="BJ14" s="41">
        <v>1.0</v>
      </c>
      <c r="BK14" s="41">
        <v>1.0</v>
      </c>
      <c r="BL14" s="41">
        <v>0.0</v>
      </c>
      <c r="BM14" s="40">
        <v>0.0</v>
      </c>
      <c r="BN14" s="39">
        <v>1.0</v>
      </c>
      <c r="BO14" s="39">
        <v>1.0</v>
      </c>
      <c r="BP14" s="39">
        <v>1.0</v>
      </c>
      <c r="BQ14" s="40">
        <v>0.0</v>
      </c>
      <c r="BR14" s="39"/>
      <c r="BS14" s="39"/>
      <c r="BT14" s="39"/>
      <c r="BU14" s="39"/>
      <c r="BV14" s="39"/>
      <c r="BW14" s="39"/>
      <c r="BX14" s="39"/>
    </row>
    <row r="15">
      <c r="A15" s="36" t="s">
        <v>14</v>
      </c>
      <c r="B15" s="36" t="s">
        <v>33</v>
      </c>
      <c r="C15" s="37" t="s">
        <v>37</v>
      </c>
      <c r="D15" s="29"/>
      <c r="E15" s="29"/>
      <c r="F15" s="29"/>
      <c r="G15" s="29"/>
      <c r="H15" s="29"/>
      <c r="W15" s="31" t="s">
        <v>35</v>
      </c>
      <c r="X15" s="31" t="s">
        <v>35</v>
      </c>
      <c r="Y15" s="31" t="s">
        <v>35</v>
      </c>
      <c r="Z15" s="31" t="s">
        <v>35</v>
      </c>
      <c r="AA15" s="31" t="s">
        <v>35</v>
      </c>
      <c r="AB15" s="39" t="s">
        <v>38</v>
      </c>
      <c r="AC15" s="39" t="s">
        <v>39</v>
      </c>
      <c r="AD15" s="39" t="s">
        <v>39</v>
      </c>
      <c r="AE15" s="39">
        <v>12.0</v>
      </c>
      <c r="AF15" s="39">
        <v>7.0</v>
      </c>
      <c r="AG15" s="39">
        <v>5.0</v>
      </c>
      <c r="AH15" s="31">
        <v>13.0</v>
      </c>
      <c r="AI15" s="39">
        <v>9.0</v>
      </c>
      <c r="AJ15" s="39">
        <v>9.0</v>
      </c>
      <c r="AK15" s="39">
        <v>9.0</v>
      </c>
      <c r="AL15" s="39">
        <v>4.0</v>
      </c>
      <c r="AM15" s="39">
        <v>11.0</v>
      </c>
      <c r="AN15" s="39">
        <v>3.0</v>
      </c>
      <c r="AO15" s="39">
        <v>8.0</v>
      </c>
      <c r="AP15" s="39">
        <v>2.0</v>
      </c>
      <c r="AQ15" s="39"/>
      <c r="AR15" s="39">
        <v>3.0</v>
      </c>
      <c r="AS15" s="39">
        <v>3.0</v>
      </c>
      <c r="AT15" s="39">
        <v>5.0</v>
      </c>
      <c r="AU15" s="39">
        <v>3.0</v>
      </c>
      <c r="AV15" s="39">
        <v>3.0</v>
      </c>
      <c r="AW15" s="39">
        <v>0.0</v>
      </c>
      <c r="AX15" s="39">
        <v>10.0</v>
      </c>
      <c r="AY15" s="39">
        <v>9.0</v>
      </c>
      <c r="AZ15" s="39">
        <v>5.0</v>
      </c>
      <c r="BA15" s="39">
        <v>4.0</v>
      </c>
      <c r="BB15" s="39">
        <v>2.0</v>
      </c>
      <c r="BC15" s="39">
        <v>0.0</v>
      </c>
      <c r="BD15" s="39">
        <v>0.0</v>
      </c>
      <c r="BE15" s="39">
        <v>10.0</v>
      </c>
      <c r="BF15" s="39">
        <v>7.0</v>
      </c>
      <c r="BG15" s="39">
        <v>1.0</v>
      </c>
      <c r="BH15" s="41">
        <v>12.0</v>
      </c>
      <c r="BI15" s="41">
        <v>8.0</v>
      </c>
      <c r="BJ15" s="40">
        <v>0.0</v>
      </c>
      <c r="BK15" s="40">
        <v>0.0</v>
      </c>
      <c r="BL15" s="41">
        <v>0.0</v>
      </c>
      <c r="BM15" s="40">
        <v>0.0</v>
      </c>
      <c r="BN15" s="39">
        <v>1.0</v>
      </c>
      <c r="BO15" s="40">
        <v>0.0</v>
      </c>
      <c r="BP15" s="39">
        <v>0.0</v>
      </c>
      <c r="BQ15" s="40">
        <v>0.0</v>
      </c>
      <c r="BR15" s="39"/>
      <c r="BS15" s="39"/>
      <c r="BT15" s="39"/>
      <c r="BU15" s="39"/>
      <c r="BV15" s="39"/>
      <c r="BW15" s="39"/>
      <c r="BX15" s="39"/>
    </row>
    <row r="16">
      <c r="A16" s="36" t="s">
        <v>14</v>
      </c>
      <c r="B16" s="36" t="s">
        <v>33</v>
      </c>
      <c r="C16" s="37" t="s">
        <v>40</v>
      </c>
      <c r="D16" s="29"/>
      <c r="E16" s="29"/>
      <c r="F16" s="29"/>
      <c r="G16" s="29"/>
      <c r="H16" s="29"/>
      <c r="W16" s="31"/>
      <c r="X16" s="31"/>
      <c r="Y16" s="31"/>
      <c r="Z16" s="31"/>
      <c r="AA16" s="31"/>
      <c r="AB16" s="39"/>
      <c r="AC16" s="39" t="s">
        <v>41</v>
      </c>
      <c r="AD16" s="39" t="s">
        <v>42</v>
      </c>
      <c r="AE16" s="39">
        <v>3.0</v>
      </c>
      <c r="AF16" s="39">
        <v>0.0</v>
      </c>
      <c r="AG16" s="39">
        <v>0.0</v>
      </c>
      <c r="AH16" s="31">
        <v>8.0</v>
      </c>
      <c r="AI16" s="39">
        <v>2.0</v>
      </c>
      <c r="AJ16" s="39">
        <v>0.0</v>
      </c>
      <c r="AK16" s="39">
        <v>0.0</v>
      </c>
      <c r="AL16" s="39">
        <v>0.0</v>
      </c>
      <c r="AM16" s="39">
        <v>8.0</v>
      </c>
      <c r="AN16" s="39">
        <v>0.0</v>
      </c>
      <c r="AO16" s="39">
        <v>5.0</v>
      </c>
      <c r="AP16" s="39">
        <v>0.0</v>
      </c>
      <c r="AQ16" s="39"/>
      <c r="AR16" s="39">
        <v>3.0</v>
      </c>
      <c r="AS16" s="39">
        <v>2.0</v>
      </c>
      <c r="AT16" s="39">
        <v>10.0</v>
      </c>
      <c r="AU16" s="39">
        <v>7.0</v>
      </c>
      <c r="AV16" s="39">
        <v>7.0</v>
      </c>
      <c r="AW16" s="39">
        <v>4.0</v>
      </c>
      <c r="AX16" s="39">
        <v>14.0</v>
      </c>
      <c r="AY16" s="39">
        <v>12.0</v>
      </c>
      <c r="AZ16" s="39">
        <v>9.0</v>
      </c>
      <c r="BA16" s="39">
        <v>12.0</v>
      </c>
      <c r="BB16" s="39">
        <v>5.0</v>
      </c>
      <c r="BC16" s="39">
        <v>3.0</v>
      </c>
      <c r="BD16" s="39">
        <v>1.0</v>
      </c>
      <c r="BE16" s="39">
        <v>1.0</v>
      </c>
      <c r="BF16" s="39">
        <v>0.0</v>
      </c>
      <c r="BG16" s="40">
        <v>0.0</v>
      </c>
      <c r="BH16" s="41">
        <v>11.0</v>
      </c>
      <c r="BI16" s="41">
        <v>6.0</v>
      </c>
      <c r="BJ16" s="41">
        <v>4.0</v>
      </c>
      <c r="BK16" s="41">
        <v>4.0</v>
      </c>
      <c r="BL16" s="41">
        <v>1.0</v>
      </c>
      <c r="BM16" s="40">
        <v>0.0</v>
      </c>
      <c r="BN16" s="39">
        <v>8.0</v>
      </c>
      <c r="BO16" s="39">
        <v>7.0</v>
      </c>
      <c r="BP16" s="39">
        <v>2.0</v>
      </c>
      <c r="BQ16" s="39">
        <v>1.0</v>
      </c>
      <c r="BR16" s="39"/>
      <c r="BS16" s="39"/>
      <c r="BT16" s="39"/>
      <c r="BU16" s="39"/>
      <c r="BV16" s="39"/>
      <c r="BW16" s="39"/>
      <c r="BX16" s="39"/>
    </row>
    <row r="17">
      <c r="A17" s="36" t="s">
        <v>14</v>
      </c>
      <c r="B17" s="36" t="s">
        <v>33</v>
      </c>
      <c r="C17" s="37" t="s">
        <v>43</v>
      </c>
      <c r="D17" s="29"/>
      <c r="E17" s="29"/>
      <c r="F17" s="29"/>
      <c r="G17" s="29"/>
      <c r="H17" s="29"/>
      <c r="W17" s="31"/>
      <c r="X17" s="31"/>
      <c r="Y17" s="31"/>
      <c r="Z17" s="31"/>
      <c r="AA17" s="31"/>
      <c r="AB17" s="39"/>
      <c r="AC17" s="39" t="s">
        <v>44</v>
      </c>
      <c r="AD17" s="39" t="s">
        <v>45</v>
      </c>
      <c r="AE17" s="39">
        <v>0.0</v>
      </c>
      <c r="AF17" s="39">
        <v>0.0</v>
      </c>
      <c r="AG17" s="39">
        <v>0.0</v>
      </c>
      <c r="AH17" s="31">
        <v>8.0</v>
      </c>
      <c r="AI17" s="39">
        <v>0.0</v>
      </c>
      <c r="AJ17" s="39">
        <v>0.0</v>
      </c>
      <c r="AK17" s="39">
        <v>0.0</v>
      </c>
      <c r="AL17" s="39">
        <v>0.0</v>
      </c>
      <c r="AM17" s="39">
        <v>8.0</v>
      </c>
      <c r="AN17" s="39">
        <v>0.0</v>
      </c>
      <c r="AO17" s="39">
        <v>2.0</v>
      </c>
      <c r="AP17" s="39">
        <v>0.0</v>
      </c>
      <c r="AQ17" s="39"/>
      <c r="AR17" s="39">
        <v>0.0</v>
      </c>
      <c r="AS17" s="39">
        <v>0.0</v>
      </c>
      <c r="AT17" s="39">
        <v>5.0</v>
      </c>
      <c r="AU17" s="39">
        <v>4.0</v>
      </c>
      <c r="AV17" s="39">
        <v>4.0</v>
      </c>
      <c r="AW17" s="39">
        <v>0.0</v>
      </c>
      <c r="AX17" s="39">
        <v>14.0</v>
      </c>
      <c r="AY17" s="39">
        <v>11.0</v>
      </c>
      <c r="AZ17" s="39">
        <v>7.0</v>
      </c>
      <c r="BA17" s="39">
        <v>11.0</v>
      </c>
      <c r="BB17" s="39">
        <v>14.0</v>
      </c>
      <c r="BC17" s="39">
        <v>13.0</v>
      </c>
      <c r="BD17" s="39">
        <v>13.0</v>
      </c>
      <c r="BE17" s="39">
        <v>8.0</v>
      </c>
      <c r="BF17" s="39">
        <v>5.0</v>
      </c>
      <c r="BG17" s="39">
        <v>4.0</v>
      </c>
      <c r="BH17" s="41">
        <v>15.0</v>
      </c>
      <c r="BI17" s="41">
        <v>3.0</v>
      </c>
      <c r="BJ17" s="41">
        <v>2.0</v>
      </c>
      <c r="BK17" s="40">
        <v>1.0</v>
      </c>
      <c r="BL17" s="41">
        <v>0.0</v>
      </c>
      <c r="BM17" s="40">
        <v>0.0</v>
      </c>
      <c r="BN17" s="39">
        <v>8.0</v>
      </c>
      <c r="BO17" s="39">
        <v>7.0</v>
      </c>
      <c r="BP17" s="39">
        <v>2.0</v>
      </c>
      <c r="BQ17" s="39">
        <v>2.0</v>
      </c>
      <c r="BR17" s="39"/>
      <c r="BS17" s="39"/>
      <c r="BT17" s="39"/>
      <c r="BU17" s="39"/>
      <c r="BV17" s="39"/>
      <c r="BW17" s="39"/>
      <c r="BX17" s="39"/>
    </row>
    <row r="18">
      <c r="A18" s="36" t="s">
        <v>14</v>
      </c>
      <c r="B18" s="36" t="s">
        <v>33</v>
      </c>
      <c r="C18" s="37" t="s">
        <v>46</v>
      </c>
      <c r="D18" s="29"/>
      <c r="E18" s="29"/>
      <c r="F18" s="29"/>
      <c r="G18" s="29"/>
      <c r="H18" s="29"/>
      <c r="W18" s="31" t="s">
        <v>35</v>
      </c>
      <c r="X18" s="31" t="s">
        <v>35</v>
      </c>
      <c r="Y18" s="31" t="s">
        <v>35</v>
      </c>
      <c r="Z18" s="31" t="s">
        <v>35</v>
      </c>
      <c r="AA18" s="31" t="s">
        <v>35</v>
      </c>
      <c r="AB18" s="39">
        <v>6.0</v>
      </c>
      <c r="AC18" s="39">
        <v>3.0</v>
      </c>
      <c r="AD18" s="39">
        <v>3.0</v>
      </c>
      <c r="AE18" s="39">
        <v>2.0</v>
      </c>
      <c r="AF18" s="39">
        <v>2.0</v>
      </c>
      <c r="AG18" s="39">
        <v>1.0</v>
      </c>
      <c r="AH18" s="31">
        <v>3.0</v>
      </c>
      <c r="AI18" s="39">
        <v>1.0</v>
      </c>
      <c r="AJ18" s="39">
        <v>2.0</v>
      </c>
      <c r="AK18" s="39">
        <v>2.0</v>
      </c>
      <c r="AL18" s="39">
        <v>2.0</v>
      </c>
      <c r="AM18" s="39">
        <v>5.0</v>
      </c>
      <c r="AN18" s="39">
        <v>1.0</v>
      </c>
      <c r="AO18" s="39">
        <v>4.0</v>
      </c>
      <c r="AP18" s="39">
        <v>4.0</v>
      </c>
      <c r="AQ18" s="39"/>
      <c r="AR18" s="39">
        <v>3.0</v>
      </c>
      <c r="AS18" s="39">
        <v>3.0</v>
      </c>
      <c r="AT18" s="39">
        <v>4.0</v>
      </c>
      <c r="AU18" s="39">
        <v>3.0</v>
      </c>
      <c r="AV18" s="39">
        <v>3.0</v>
      </c>
      <c r="AW18" s="39">
        <v>2.0</v>
      </c>
      <c r="AX18" s="39">
        <v>4.0</v>
      </c>
      <c r="AY18" s="39">
        <v>4.0</v>
      </c>
      <c r="AZ18" s="39">
        <v>2.0</v>
      </c>
      <c r="BA18" s="39">
        <v>4.0</v>
      </c>
      <c r="BB18" s="39">
        <v>4.0</v>
      </c>
      <c r="BC18" s="39">
        <v>4.0</v>
      </c>
      <c r="BD18" s="39">
        <v>4.0</v>
      </c>
      <c r="BE18" s="39">
        <v>6.0</v>
      </c>
      <c r="BF18" s="39">
        <v>4.0</v>
      </c>
      <c r="BG18" s="39">
        <v>4.0</v>
      </c>
      <c r="BH18" s="41">
        <v>5.0</v>
      </c>
      <c r="BI18" s="41">
        <v>5.0</v>
      </c>
      <c r="BJ18" s="41">
        <v>5.0</v>
      </c>
      <c r="BK18" s="41">
        <v>5.0</v>
      </c>
      <c r="BL18" s="41">
        <v>4.0</v>
      </c>
      <c r="BM18" s="41">
        <v>3.0</v>
      </c>
      <c r="BN18" s="39">
        <v>3.0</v>
      </c>
      <c r="BO18" s="39">
        <v>9.0</v>
      </c>
      <c r="BP18" s="39">
        <v>16.0</v>
      </c>
      <c r="BQ18" s="39">
        <v>12.0</v>
      </c>
      <c r="BR18" s="39"/>
      <c r="BS18" s="39"/>
      <c r="BT18" s="39"/>
      <c r="BU18" s="39"/>
      <c r="BV18" s="39"/>
      <c r="BW18" s="39"/>
      <c r="BX18" s="39"/>
    </row>
    <row r="19">
      <c r="A19" s="44" t="s">
        <v>14</v>
      </c>
      <c r="B19" s="36" t="s">
        <v>33</v>
      </c>
      <c r="C19" s="37" t="s">
        <v>47</v>
      </c>
      <c r="D19" s="29"/>
      <c r="E19" s="29"/>
      <c r="F19" s="29"/>
      <c r="G19" s="29"/>
      <c r="H19" s="29"/>
      <c r="W19" s="31" t="s">
        <v>35</v>
      </c>
      <c r="X19" s="31" t="s">
        <v>35</v>
      </c>
      <c r="Y19" s="31" t="s">
        <v>35</v>
      </c>
      <c r="Z19" s="31" t="s">
        <v>35</v>
      </c>
      <c r="AA19" s="31" t="s">
        <v>35</v>
      </c>
      <c r="AB19" s="39">
        <v>6.0</v>
      </c>
      <c r="AC19" s="39">
        <v>6.0</v>
      </c>
      <c r="AD19" s="39">
        <v>6.0</v>
      </c>
      <c r="AE19" s="39">
        <v>5.0</v>
      </c>
      <c r="AF19" s="39">
        <v>4.0</v>
      </c>
      <c r="AG19" s="39">
        <v>4.0</v>
      </c>
      <c r="AH19" s="31">
        <v>7.0</v>
      </c>
      <c r="AI19" s="39">
        <v>7.0</v>
      </c>
      <c r="AJ19" s="39">
        <v>7.0</v>
      </c>
      <c r="AK19" s="39">
        <v>7.0</v>
      </c>
      <c r="AL19" s="39">
        <v>7.0</v>
      </c>
      <c r="AM19" s="39">
        <v>9.0</v>
      </c>
      <c r="AN19" s="39">
        <v>5.0</v>
      </c>
      <c r="AO19" s="39">
        <v>8.0</v>
      </c>
      <c r="AP19" s="39"/>
      <c r="AQ19" s="39"/>
      <c r="AR19" s="39">
        <v>5.0</v>
      </c>
      <c r="AS19" s="39">
        <v>2.0</v>
      </c>
      <c r="AT19" s="39">
        <v>2.0</v>
      </c>
      <c r="AU19" s="39">
        <v>2.0</v>
      </c>
      <c r="AV19" s="39">
        <v>2.0</v>
      </c>
      <c r="AW19" s="39">
        <v>0.0</v>
      </c>
      <c r="AX19" s="39">
        <v>6.0</v>
      </c>
      <c r="AY19" s="39">
        <v>5.0</v>
      </c>
      <c r="AZ19" s="39">
        <v>4.0</v>
      </c>
      <c r="BA19" s="39">
        <v>6.0</v>
      </c>
      <c r="BB19" s="39">
        <v>6.0</v>
      </c>
      <c r="BC19" s="39">
        <v>3.0</v>
      </c>
      <c r="BD19" s="39">
        <v>3.0</v>
      </c>
      <c r="BE19" s="39">
        <v>2.0</v>
      </c>
      <c r="BF19" s="39">
        <v>1.0</v>
      </c>
      <c r="BG19" s="40">
        <v>0.0</v>
      </c>
      <c r="BH19" s="41">
        <v>5.0</v>
      </c>
      <c r="BI19" s="41">
        <v>5.0</v>
      </c>
      <c r="BJ19" s="41">
        <v>4.0</v>
      </c>
      <c r="BK19" s="41">
        <v>2.0</v>
      </c>
      <c r="BL19" s="41">
        <v>0.0</v>
      </c>
      <c r="BM19" s="40">
        <v>0.0</v>
      </c>
      <c r="BN19" s="39">
        <v>5.0</v>
      </c>
      <c r="BO19" s="39">
        <v>4.0</v>
      </c>
      <c r="BP19" s="39">
        <v>3.0</v>
      </c>
      <c r="BQ19" s="39">
        <v>2.0</v>
      </c>
      <c r="BR19" s="39"/>
      <c r="BS19" s="39"/>
      <c r="BT19" s="39"/>
      <c r="BU19" s="39"/>
      <c r="BV19" s="39"/>
      <c r="BW19" s="39"/>
      <c r="BX19" s="39"/>
    </row>
    <row r="20">
      <c r="A20" s="44" t="s">
        <v>14</v>
      </c>
      <c r="B20" s="36" t="s">
        <v>33</v>
      </c>
      <c r="C20" s="37" t="s">
        <v>48</v>
      </c>
      <c r="D20" s="29"/>
      <c r="E20" s="29"/>
      <c r="F20" s="29"/>
      <c r="G20" s="29"/>
      <c r="H20" s="29"/>
      <c r="Y20" s="29"/>
      <c r="AB20" s="29"/>
      <c r="AI20" s="29"/>
      <c r="BA20" s="31" t="s">
        <v>49</v>
      </c>
      <c r="BC20" s="31"/>
      <c r="BD20" s="31"/>
      <c r="BE20" s="31"/>
      <c r="BF20" s="31"/>
      <c r="BG20" s="31"/>
      <c r="BH20" s="32"/>
      <c r="BI20" s="32"/>
      <c r="BJ20" s="32"/>
      <c r="BK20" s="32"/>
      <c r="BL20" s="32"/>
      <c r="BM20" s="32"/>
      <c r="BN20" s="31"/>
      <c r="BO20" s="31"/>
      <c r="BP20" s="31"/>
      <c r="BQ20" s="31"/>
      <c r="BR20" s="31"/>
      <c r="BS20" s="31"/>
      <c r="BT20" s="31"/>
      <c r="BU20" s="31"/>
      <c r="BV20" s="31"/>
      <c r="BW20" s="31"/>
      <c r="BX20" s="31"/>
    </row>
    <row r="21">
      <c r="A21" s="44" t="s">
        <v>14</v>
      </c>
      <c r="B21" s="36" t="s">
        <v>33</v>
      </c>
      <c r="C21" s="37" t="s">
        <v>50</v>
      </c>
      <c r="D21" s="29"/>
      <c r="E21" s="29"/>
      <c r="F21" s="29"/>
      <c r="G21" s="29"/>
      <c r="H21" s="29"/>
      <c r="Y21" s="29"/>
      <c r="AB21" s="29"/>
      <c r="AI21" s="29"/>
    </row>
    <row r="22">
      <c r="A22" s="44" t="s">
        <v>14</v>
      </c>
      <c r="B22" s="36" t="s">
        <v>33</v>
      </c>
      <c r="C22" s="37" t="s">
        <v>51</v>
      </c>
      <c r="D22" s="29"/>
      <c r="E22" s="29"/>
      <c r="F22" s="29"/>
      <c r="G22" s="29"/>
      <c r="H22" s="29"/>
      <c r="Y22" s="29"/>
      <c r="AB22" s="29"/>
      <c r="AI22" s="29"/>
    </row>
    <row r="23">
      <c r="D23" s="29"/>
      <c r="E23" s="29"/>
      <c r="F23" s="29"/>
      <c r="G23" s="29"/>
      <c r="H23" s="29"/>
      <c r="Y23" s="29"/>
      <c r="AB23" s="29"/>
      <c r="AI23" s="29"/>
    </row>
    <row r="24">
      <c r="D24" s="29"/>
      <c r="E24" s="29"/>
      <c r="F24" s="29"/>
      <c r="G24" s="29"/>
      <c r="H24" s="29"/>
      <c r="Y24" s="29"/>
      <c r="AB24" s="29"/>
      <c r="AI24" s="29"/>
    </row>
    <row r="25">
      <c r="D25" s="29"/>
      <c r="E25" s="29"/>
      <c r="F25" s="29"/>
      <c r="G25" s="29"/>
      <c r="H25" s="29"/>
      <c r="Y25" s="29"/>
      <c r="AB25" s="29"/>
      <c r="AI25" s="29"/>
    </row>
    <row r="26">
      <c r="D26" s="29"/>
      <c r="E26" s="29"/>
      <c r="F26" s="29"/>
      <c r="G26" s="29"/>
      <c r="H26" s="29"/>
      <c r="Y26" s="29"/>
      <c r="AB26" s="29"/>
      <c r="AI26" s="29"/>
    </row>
    <row r="27">
      <c r="D27" s="29"/>
      <c r="E27" s="29"/>
      <c r="F27" s="29"/>
      <c r="G27" s="29"/>
      <c r="H27" s="29"/>
      <c r="Y27" s="29"/>
      <c r="AB27" s="29"/>
      <c r="AI27" s="29"/>
    </row>
    <row r="28">
      <c r="D28" s="29"/>
      <c r="E28" s="29"/>
      <c r="F28" s="29"/>
      <c r="G28" s="29"/>
      <c r="H28" s="29"/>
      <c r="Y28" s="29"/>
      <c r="AB28" s="29"/>
      <c r="AI28" s="29"/>
    </row>
    <row r="29">
      <c r="D29" s="29"/>
      <c r="E29" s="29"/>
      <c r="F29" s="29"/>
      <c r="G29" s="29"/>
      <c r="H29" s="29"/>
      <c r="Y29" s="29"/>
      <c r="AB29" s="29"/>
      <c r="AI29" s="29"/>
    </row>
    <row r="30">
      <c r="D30" s="29"/>
      <c r="E30" s="29"/>
      <c r="F30" s="29"/>
      <c r="G30" s="29"/>
      <c r="H30" s="29"/>
      <c r="Y30" s="29"/>
      <c r="AB30" s="29"/>
      <c r="AI30" s="29"/>
    </row>
    <row r="31">
      <c r="D31" s="29"/>
      <c r="E31" s="29"/>
      <c r="F31" s="29"/>
      <c r="G31" s="29"/>
      <c r="H31" s="29"/>
      <c r="Y31" s="29"/>
      <c r="AB31" s="29"/>
      <c r="AI31" s="29"/>
    </row>
    <row r="32">
      <c r="D32" s="29"/>
      <c r="E32" s="29"/>
      <c r="F32" s="29"/>
      <c r="G32" s="29"/>
      <c r="H32" s="29"/>
      <c r="Y32" s="29"/>
      <c r="AB32" s="29"/>
      <c r="AI32" s="29"/>
    </row>
    <row r="33">
      <c r="D33" s="29"/>
      <c r="E33" s="29"/>
      <c r="F33" s="29"/>
      <c r="G33" s="29"/>
      <c r="H33" s="29"/>
      <c r="Y33" s="29"/>
      <c r="AB33" s="29"/>
      <c r="AI33" s="29"/>
    </row>
    <row r="34">
      <c r="D34" s="29"/>
      <c r="E34" s="29"/>
      <c r="F34" s="29"/>
      <c r="G34" s="29"/>
      <c r="H34" s="29"/>
      <c r="Y34" s="29"/>
      <c r="AB34" s="29"/>
      <c r="AI34" s="29"/>
    </row>
    <row r="35">
      <c r="D35" s="29"/>
      <c r="E35" s="29"/>
      <c r="F35" s="29"/>
      <c r="G35" s="29"/>
      <c r="H35" s="29"/>
      <c r="Y35" s="29"/>
      <c r="AB35" s="29"/>
      <c r="AI35" s="29"/>
    </row>
    <row r="36">
      <c r="D36" s="29"/>
      <c r="E36" s="29"/>
      <c r="F36" s="29"/>
      <c r="G36" s="29"/>
      <c r="H36" s="29"/>
      <c r="Y36" s="29"/>
      <c r="AB36" s="29"/>
      <c r="AI36" s="29"/>
    </row>
    <row r="37">
      <c r="D37" s="29"/>
      <c r="E37" s="29"/>
      <c r="F37" s="29"/>
      <c r="G37" s="29"/>
      <c r="H37" s="29"/>
      <c r="Y37" s="29"/>
      <c r="AB37" s="29"/>
      <c r="AI37" s="29"/>
    </row>
    <row r="38">
      <c r="D38" s="29"/>
      <c r="E38" s="29"/>
      <c r="F38" s="29"/>
      <c r="G38" s="29"/>
      <c r="H38" s="29"/>
      <c r="Y38" s="29"/>
      <c r="AB38" s="29"/>
      <c r="AI38" s="29"/>
    </row>
    <row r="39">
      <c r="D39" s="29"/>
      <c r="E39" s="29"/>
      <c r="F39" s="29"/>
      <c r="G39" s="29"/>
      <c r="H39" s="29"/>
      <c r="Y39" s="29"/>
      <c r="AB39" s="29"/>
      <c r="AI39" s="29"/>
    </row>
    <row r="40">
      <c r="D40" s="29"/>
      <c r="E40" s="29"/>
      <c r="F40" s="29"/>
      <c r="G40" s="29"/>
      <c r="H40" s="29"/>
      <c r="Y40" s="29"/>
      <c r="AB40" s="29"/>
      <c r="AI40" s="29"/>
    </row>
    <row r="41">
      <c r="D41" s="29"/>
      <c r="E41" s="29"/>
      <c r="F41" s="29"/>
      <c r="G41" s="29"/>
      <c r="H41" s="29"/>
      <c r="Y41" s="29"/>
      <c r="AB41" s="29"/>
      <c r="AI41" s="29"/>
    </row>
    <row r="42">
      <c r="D42" s="29"/>
      <c r="E42" s="29"/>
      <c r="F42" s="29"/>
      <c r="G42" s="29"/>
      <c r="H42" s="29"/>
      <c r="Y42" s="29"/>
      <c r="AB42" s="29"/>
      <c r="AI42" s="29"/>
    </row>
    <row r="43">
      <c r="D43" s="29"/>
      <c r="E43" s="29"/>
      <c r="F43" s="29"/>
      <c r="G43" s="29"/>
      <c r="H43" s="29"/>
      <c r="Y43" s="29"/>
      <c r="AB43" s="29"/>
      <c r="AI43" s="29"/>
    </row>
    <row r="44">
      <c r="D44" s="29"/>
      <c r="E44" s="29"/>
      <c r="F44" s="29"/>
      <c r="G44" s="29"/>
      <c r="H44" s="29"/>
      <c r="Y44" s="29"/>
      <c r="AB44" s="29"/>
      <c r="AI44" s="29"/>
    </row>
    <row r="45">
      <c r="D45" s="29"/>
      <c r="E45" s="29"/>
      <c r="F45" s="29"/>
      <c r="G45" s="29"/>
      <c r="H45" s="29"/>
      <c r="Y45" s="29"/>
      <c r="AB45" s="29"/>
      <c r="AI45" s="29"/>
    </row>
    <row r="46">
      <c r="D46" s="29"/>
      <c r="E46" s="29"/>
      <c r="F46" s="29"/>
      <c r="G46" s="29"/>
      <c r="H46" s="29"/>
      <c r="Y46" s="29"/>
      <c r="AB46" s="29"/>
      <c r="AI46" s="29"/>
    </row>
    <row r="47">
      <c r="D47" s="29"/>
      <c r="E47" s="29"/>
      <c r="F47" s="29"/>
      <c r="G47" s="29"/>
      <c r="H47" s="29"/>
      <c r="Y47" s="29"/>
      <c r="AB47" s="29"/>
      <c r="AI47" s="29"/>
    </row>
    <row r="48">
      <c r="D48" s="29"/>
      <c r="E48" s="29"/>
      <c r="F48" s="29"/>
      <c r="G48" s="29"/>
      <c r="H48" s="29"/>
      <c r="Y48" s="29"/>
      <c r="AB48" s="29"/>
      <c r="AI48" s="29"/>
    </row>
    <row r="49">
      <c r="D49" s="29"/>
      <c r="E49" s="29"/>
      <c r="F49" s="29"/>
      <c r="G49" s="29"/>
      <c r="H49" s="29"/>
      <c r="Y49" s="29"/>
      <c r="AB49" s="29"/>
      <c r="AI49" s="29"/>
    </row>
    <row r="50">
      <c r="D50" s="29"/>
      <c r="E50" s="29"/>
      <c r="F50" s="29"/>
      <c r="G50" s="29"/>
      <c r="H50" s="29"/>
      <c r="Y50" s="29"/>
      <c r="AB50" s="29"/>
      <c r="AI50" s="29"/>
    </row>
    <row r="51">
      <c r="D51" s="29"/>
      <c r="E51" s="29"/>
      <c r="F51" s="29"/>
      <c r="G51" s="29"/>
      <c r="H51" s="29"/>
      <c r="Y51" s="29"/>
      <c r="AB51" s="29"/>
      <c r="AI51" s="29"/>
    </row>
    <row r="52">
      <c r="D52" s="29"/>
      <c r="E52" s="29"/>
      <c r="F52" s="29"/>
      <c r="G52" s="29"/>
      <c r="H52" s="29"/>
      <c r="Y52" s="29"/>
      <c r="AB52" s="29"/>
      <c r="AI52" s="29"/>
    </row>
    <row r="53">
      <c r="D53" s="29"/>
      <c r="E53" s="29"/>
      <c r="F53" s="29"/>
      <c r="G53" s="29"/>
      <c r="H53" s="29"/>
      <c r="Y53" s="29"/>
      <c r="AB53" s="29"/>
      <c r="AI53" s="29"/>
    </row>
    <row r="54">
      <c r="D54" s="29"/>
      <c r="E54" s="29"/>
      <c r="F54" s="29"/>
      <c r="G54" s="29"/>
      <c r="H54" s="29"/>
      <c r="Y54" s="29"/>
      <c r="AB54" s="29"/>
      <c r="AI54" s="29"/>
    </row>
    <row r="55">
      <c r="D55" s="29"/>
      <c r="E55" s="29"/>
      <c r="F55" s="29"/>
      <c r="G55" s="29"/>
      <c r="H55" s="29"/>
      <c r="Y55" s="29"/>
      <c r="AB55" s="29"/>
      <c r="AI55" s="29"/>
    </row>
    <row r="56">
      <c r="D56" s="29"/>
      <c r="E56" s="29"/>
      <c r="F56" s="29"/>
      <c r="G56" s="29"/>
      <c r="H56" s="29"/>
      <c r="Y56" s="29"/>
      <c r="AB56" s="29"/>
      <c r="AI56" s="29"/>
    </row>
    <row r="57">
      <c r="D57" s="29"/>
      <c r="E57" s="29"/>
      <c r="F57" s="29"/>
      <c r="G57" s="29"/>
      <c r="H57" s="29"/>
      <c r="Y57" s="29"/>
      <c r="AB57" s="29"/>
      <c r="AI57" s="29"/>
    </row>
    <row r="58">
      <c r="D58" s="29"/>
      <c r="E58" s="29"/>
      <c r="F58" s="29"/>
      <c r="G58" s="29"/>
      <c r="H58" s="29"/>
      <c r="Y58" s="29"/>
      <c r="AB58" s="29"/>
      <c r="AI58" s="29"/>
    </row>
    <row r="59">
      <c r="D59" s="29"/>
      <c r="E59" s="29"/>
      <c r="F59" s="29"/>
      <c r="G59" s="29"/>
      <c r="H59" s="29"/>
      <c r="Y59" s="29"/>
      <c r="AB59" s="29"/>
      <c r="AI59" s="29"/>
    </row>
    <row r="60">
      <c r="D60" s="29"/>
      <c r="E60" s="29"/>
      <c r="F60" s="29"/>
      <c r="G60" s="29"/>
      <c r="H60" s="29"/>
      <c r="Y60" s="29"/>
      <c r="AB60" s="29"/>
      <c r="AI60" s="29"/>
    </row>
    <row r="61">
      <c r="D61" s="29"/>
      <c r="E61" s="29"/>
      <c r="F61" s="29"/>
      <c r="G61" s="29"/>
      <c r="H61" s="29"/>
      <c r="Y61" s="29"/>
      <c r="AB61" s="29"/>
      <c r="AI61" s="29"/>
    </row>
    <row r="62">
      <c r="D62" s="29"/>
      <c r="E62" s="29"/>
      <c r="F62" s="29"/>
      <c r="G62" s="29"/>
      <c r="H62" s="29"/>
      <c r="Y62" s="29"/>
      <c r="AB62" s="29"/>
      <c r="AI62" s="29"/>
    </row>
    <row r="63">
      <c r="D63" s="29"/>
      <c r="E63" s="29"/>
      <c r="F63" s="29"/>
      <c r="G63" s="29"/>
      <c r="H63" s="29"/>
      <c r="Y63" s="29"/>
      <c r="AB63" s="29"/>
      <c r="AI63" s="29"/>
    </row>
    <row r="64">
      <c r="D64" s="29"/>
      <c r="E64" s="29"/>
      <c r="F64" s="29"/>
      <c r="G64" s="29"/>
      <c r="H64" s="29"/>
      <c r="Y64" s="29"/>
      <c r="AB64" s="29"/>
      <c r="AI64" s="29"/>
    </row>
    <row r="65">
      <c r="D65" s="29"/>
      <c r="E65" s="29"/>
      <c r="F65" s="29"/>
      <c r="G65" s="29"/>
      <c r="H65" s="29"/>
      <c r="Y65" s="29"/>
      <c r="AB65" s="29"/>
      <c r="AI65" s="29"/>
    </row>
    <row r="66">
      <c r="D66" s="29"/>
      <c r="E66" s="29"/>
      <c r="F66" s="29"/>
      <c r="G66" s="29"/>
      <c r="H66" s="29"/>
      <c r="Y66" s="29"/>
      <c r="AB66" s="29"/>
      <c r="AI66" s="29"/>
    </row>
    <row r="67">
      <c r="D67" s="29"/>
      <c r="E67" s="29"/>
      <c r="F67" s="29"/>
      <c r="G67" s="29"/>
      <c r="H67" s="29"/>
      <c r="Y67" s="29"/>
      <c r="AB67" s="29"/>
      <c r="AI67" s="29"/>
    </row>
    <row r="68">
      <c r="D68" s="29"/>
      <c r="E68" s="29"/>
      <c r="F68" s="29"/>
      <c r="G68" s="29"/>
      <c r="H68" s="29"/>
      <c r="Y68" s="29"/>
      <c r="AB68" s="29"/>
      <c r="AI68" s="29"/>
    </row>
    <row r="69">
      <c r="D69" s="29"/>
      <c r="E69" s="29"/>
      <c r="F69" s="29"/>
      <c r="G69" s="29"/>
      <c r="H69" s="29"/>
      <c r="Y69" s="29"/>
      <c r="AB69" s="29"/>
      <c r="AI69" s="29"/>
    </row>
    <row r="70">
      <c r="D70" s="29"/>
      <c r="E70" s="29"/>
      <c r="F70" s="29"/>
      <c r="G70" s="29"/>
      <c r="H70" s="29"/>
      <c r="Y70" s="29"/>
      <c r="AB70" s="29"/>
      <c r="AI70" s="29"/>
    </row>
    <row r="71">
      <c r="D71" s="29"/>
      <c r="E71" s="29"/>
      <c r="F71" s="29"/>
      <c r="G71" s="29"/>
      <c r="H71" s="29"/>
      <c r="Y71" s="29"/>
      <c r="AB71" s="29"/>
      <c r="AI71" s="29"/>
    </row>
    <row r="72">
      <c r="D72" s="29"/>
      <c r="E72" s="29"/>
      <c r="F72" s="29"/>
      <c r="G72" s="29"/>
      <c r="H72" s="29"/>
      <c r="Y72" s="29"/>
      <c r="AB72" s="29"/>
      <c r="AI72" s="29"/>
    </row>
    <row r="73">
      <c r="D73" s="29"/>
      <c r="E73" s="29"/>
      <c r="F73" s="29"/>
      <c r="G73" s="29"/>
      <c r="H73" s="29"/>
      <c r="Y73" s="29"/>
      <c r="AB73" s="29"/>
      <c r="AI73" s="29"/>
    </row>
    <row r="74">
      <c r="D74" s="29"/>
      <c r="E74" s="29"/>
      <c r="F74" s="29"/>
      <c r="G74" s="29"/>
      <c r="H74" s="29"/>
      <c r="Y74" s="29"/>
      <c r="AB74" s="29"/>
      <c r="AI74" s="29"/>
    </row>
    <row r="75">
      <c r="D75" s="29"/>
      <c r="E75" s="29"/>
      <c r="F75" s="29"/>
      <c r="G75" s="29"/>
      <c r="H75" s="29"/>
      <c r="Y75" s="29"/>
      <c r="AB75" s="29"/>
      <c r="AI75" s="29"/>
    </row>
    <row r="76">
      <c r="D76" s="29"/>
      <c r="E76" s="29"/>
      <c r="F76" s="29"/>
      <c r="G76" s="29"/>
      <c r="H76" s="29"/>
      <c r="Y76" s="29"/>
      <c r="AB76" s="29"/>
      <c r="AI76" s="29"/>
    </row>
    <row r="77">
      <c r="D77" s="29"/>
      <c r="E77" s="29"/>
      <c r="F77" s="29"/>
      <c r="G77" s="29"/>
      <c r="H77" s="29"/>
      <c r="Y77" s="29"/>
      <c r="AB77" s="29"/>
      <c r="AI77" s="29"/>
    </row>
    <row r="78">
      <c r="D78" s="29"/>
      <c r="E78" s="29"/>
      <c r="F78" s="29"/>
      <c r="G78" s="29"/>
      <c r="H78" s="29"/>
      <c r="Y78" s="29"/>
      <c r="AB78" s="29"/>
      <c r="AI78" s="29"/>
    </row>
    <row r="79">
      <c r="D79" s="29"/>
      <c r="E79" s="29"/>
      <c r="F79" s="29"/>
      <c r="G79" s="29"/>
      <c r="H79" s="29"/>
      <c r="Y79" s="29"/>
      <c r="AB79" s="29"/>
      <c r="AI79" s="29"/>
    </row>
    <row r="80">
      <c r="D80" s="29"/>
      <c r="E80" s="29"/>
      <c r="F80" s="29"/>
      <c r="G80" s="29"/>
      <c r="H80" s="29"/>
      <c r="Y80" s="29"/>
      <c r="AB80" s="29"/>
      <c r="AI80" s="29"/>
    </row>
    <row r="81">
      <c r="D81" s="29"/>
      <c r="E81" s="29"/>
      <c r="F81" s="29"/>
      <c r="G81" s="29"/>
      <c r="H81" s="29"/>
      <c r="Y81" s="29"/>
      <c r="AB81" s="29"/>
      <c r="AI81" s="29"/>
    </row>
    <row r="82">
      <c r="D82" s="29"/>
      <c r="E82" s="29"/>
      <c r="F82" s="29"/>
      <c r="G82" s="29"/>
      <c r="H82" s="29"/>
      <c r="Y82" s="29"/>
      <c r="AB82" s="29"/>
      <c r="AI82" s="29"/>
    </row>
    <row r="83">
      <c r="D83" s="29"/>
      <c r="E83" s="29"/>
      <c r="F83" s="29"/>
      <c r="G83" s="29"/>
      <c r="H83" s="29"/>
      <c r="Y83" s="29"/>
      <c r="AB83" s="29"/>
      <c r="AI83" s="29"/>
    </row>
    <row r="84">
      <c r="D84" s="29"/>
      <c r="E84" s="29"/>
      <c r="F84" s="29"/>
      <c r="G84" s="29"/>
      <c r="H84" s="29"/>
      <c r="Y84" s="29"/>
      <c r="AB84" s="29"/>
      <c r="AI84" s="29"/>
    </row>
    <row r="85">
      <c r="D85" s="29"/>
      <c r="E85" s="29"/>
      <c r="F85" s="29"/>
      <c r="G85" s="29"/>
      <c r="H85" s="29"/>
      <c r="Y85" s="29"/>
      <c r="AB85" s="29"/>
      <c r="AI85" s="29"/>
    </row>
    <row r="86">
      <c r="D86" s="29"/>
      <c r="E86" s="29"/>
      <c r="F86" s="29"/>
      <c r="G86" s="29"/>
      <c r="H86" s="29"/>
      <c r="Y86" s="29"/>
      <c r="AB86" s="29"/>
      <c r="AI86" s="29"/>
    </row>
    <row r="87">
      <c r="D87" s="29"/>
      <c r="E87" s="29"/>
      <c r="F87" s="29"/>
      <c r="G87" s="29"/>
      <c r="H87" s="29"/>
      <c r="Y87" s="29"/>
      <c r="AB87" s="29"/>
      <c r="AI87" s="29"/>
    </row>
    <row r="88">
      <c r="D88" s="29"/>
      <c r="E88" s="29"/>
      <c r="F88" s="29"/>
      <c r="G88" s="29"/>
      <c r="H88" s="29"/>
      <c r="Y88" s="29"/>
      <c r="AB88" s="29"/>
      <c r="AI88" s="29"/>
    </row>
    <row r="89">
      <c r="D89" s="29"/>
      <c r="E89" s="29"/>
      <c r="F89" s="29"/>
      <c r="G89" s="29"/>
      <c r="H89" s="29"/>
      <c r="Y89" s="29"/>
      <c r="AB89" s="29"/>
      <c r="AI89" s="29"/>
    </row>
    <row r="90">
      <c r="D90" s="29"/>
      <c r="E90" s="29"/>
      <c r="F90" s="29"/>
      <c r="G90" s="29"/>
      <c r="H90" s="29"/>
      <c r="Y90" s="29"/>
      <c r="AB90" s="29"/>
      <c r="AI90" s="29"/>
    </row>
    <row r="91">
      <c r="D91" s="29"/>
      <c r="E91" s="29"/>
      <c r="F91" s="29"/>
      <c r="G91" s="29"/>
      <c r="H91" s="29"/>
      <c r="Y91" s="29"/>
      <c r="AB91" s="29"/>
      <c r="AI91" s="29"/>
    </row>
    <row r="92">
      <c r="D92" s="29"/>
      <c r="E92" s="29"/>
      <c r="F92" s="29"/>
      <c r="G92" s="29"/>
      <c r="H92" s="29"/>
      <c r="Y92" s="29"/>
      <c r="AB92" s="29"/>
      <c r="AI92" s="29"/>
    </row>
    <row r="93">
      <c r="D93" s="29"/>
      <c r="E93" s="29"/>
      <c r="F93" s="29"/>
      <c r="G93" s="29"/>
      <c r="H93" s="29"/>
      <c r="Y93" s="29"/>
      <c r="AB93" s="29"/>
      <c r="AI93" s="29"/>
    </row>
    <row r="94">
      <c r="D94" s="29"/>
      <c r="E94" s="29"/>
      <c r="F94" s="29"/>
      <c r="G94" s="29"/>
      <c r="H94" s="29"/>
      <c r="Y94" s="29"/>
      <c r="AB94" s="29"/>
      <c r="AI94" s="29"/>
    </row>
    <row r="95">
      <c r="D95" s="29"/>
      <c r="E95" s="29"/>
      <c r="F95" s="29"/>
      <c r="G95" s="29"/>
      <c r="H95" s="29"/>
      <c r="Y95" s="29"/>
      <c r="AB95" s="29"/>
      <c r="AI95" s="29"/>
    </row>
    <row r="96">
      <c r="D96" s="29"/>
      <c r="E96" s="29"/>
      <c r="F96" s="29"/>
      <c r="G96" s="29"/>
      <c r="H96" s="29"/>
      <c r="Y96" s="29"/>
      <c r="AB96" s="29"/>
      <c r="AI96" s="29"/>
    </row>
    <row r="97">
      <c r="D97" s="29"/>
      <c r="E97" s="29"/>
      <c r="F97" s="29"/>
      <c r="G97" s="29"/>
      <c r="H97" s="29"/>
      <c r="Y97" s="29"/>
      <c r="AB97" s="29"/>
      <c r="AI97" s="29"/>
    </row>
    <row r="98">
      <c r="D98" s="29"/>
      <c r="E98" s="29"/>
      <c r="F98" s="29"/>
      <c r="G98" s="29"/>
      <c r="H98" s="29"/>
      <c r="Y98" s="29"/>
      <c r="AB98" s="29"/>
      <c r="AI98" s="29"/>
    </row>
    <row r="99">
      <c r="D99" s="29"/>
      <c r="E99" s="29"/>
      <c r="F99" s="29"/>
      <c r="G99" s="29"/>
      <c r="H99" s="29"/>
      <c r="Y99" s="29"/>
      <c r="AB99" s="29"/>
      <c r="AI99" s="29"/>
    </row>
    <row r="100">
      <c r="D100" s="29"/>
      <c r="E100" s="29"/>
      <c r="F100" s="29"/>
      <c r="G100" s="29"/>
      <c r="H100" s="29"/>
      <c r="Y100" s="29"/>
      <c r="AB100" s="29"/>
      <c r="AI100" s="29"/>
    </row>
    <row r="101">
      <c r="D101" s="29"/>
      <c r="E101" s="29"/>
      <c r="F101" s="29"/>
      <c r="G101" s="29"/>
      <c r="H101" s="29"/>
      <c r="Y101" s="29"/>
      <c r="AB101" s="29"/>
      <c r="AI101" s="29"/>
    </row>
    <row r="102">
      <c r="D102" s="29"/>
      <c r="E102" s="29"/>
      <c r="F102" s="29"/>
      <c r="G102" s="29"/>
      <c r="H102" s="29"/>
      <c r="Y102" s="29"/>
      <c r="AB102" s="29"/>
      <c r="AI102" s="29"/>
    </row>
    <row r="103">
      <c r="D103" s="29"/>
      <c r="E103" s="29"/>
      <c r="F103" s="29"/>
      <c r="G103" s="29"/>
      <c r="H103" s="29"/>
      <c r="Y103" s="29"/>
      <c r="AB103" s="29"/>
      <c r="AI103" s="29"/>
    </row>
    <row r="104">
      <c r="D104" s="29"/>
      <c r="E104" s="29"/>
      <c r="F104" s="29"/>
      <c r="G104" s="29"/>
      <c r="H104" s="29"/>
      <c r="Y104" s="29"/>
      <c r="AB104" s="29"/>
      <c r="AI104" s="29"/>
    </row>
    <row r="105">
      <c r="D105" s="29"/>
      <c r="E105" s="29"/>
      <c r="F105" s="29"/>
      <c r="G105" s="29"/>
      <c r="H105" s="29"/>
      <c r="Y105" s="29"/>
      <c r="AB105" s="29"/>
      <c r="AI105" s="29"/>
    </row>
    <row r="106">
      <c r="D106" s="29"/>
      <c r="E106" s="29"/>
      <c r="F106" s="29"/>
      <c r="G106" s="29"/>
      <c r="H106" s="29"/>
      <c r="Y106" s="29"/>
      <c r="AB106" s="29"/>
      <c r="AI106" s="29"/>
    </row>
    <row r="107">
      <c r="D107" s="29"/>
      <c r="E107" s="29"/>
      <c r="F107" s="29"/>
      <c r="G107" s="29"/>
      <c r="H107" s="29"/>
      <c r="Y107" s="29"/>
      <c r="AB107" s="29"/>
      <c r="AI107" s="29"/>
    </row>
    <row r="108">
      <c r="D108" s="29"/>
      <c r="E108" s="29"/>
      <c r="F108" s="29"/>
      <c r="G108" s="29"/>
      <c r="H108" s="29"/>
      <c r="Y108" s="29"/>
      <c r="AB108" s="29"/>
      <c r="AI108" s="29"/>
    </row>
    <row r="109">
      <c r="D109" s="29"/>
      <c r="E109" s="29"/>
      <c r="F109" s="29"/>
      <c r="G109" s="29"/>
      <c r="H109" s="29"/>
      <c r="Y109" s="29"/>
      <c r="AB109" s="29"/>
      <c r="AI109" s="29"/>
    </row>
    <row r="110">
      <c r="D110" s="29"/>
      <c r="E110" s="29"/>
      <c r="F110" s="29"/>
      <c r="G110" s="29"/>
      <c r="H110" s="29"/>
      <c r="Y110" s="29"/>
      <c r="AB110" s="29"/>
      <c r="AI110" s="29"/>
    </row>
    <row r="111">
      <c r="D111" s="29"/>
      <c r="E111" s="29"/>
      <c r="F111" s="29"/>
      <c r="G111" s="29"/>
      <c r="H111" s="29"/>
      <c r="Y111" s="29"/>
      <c r="AB111" s="29"/>
      <c r="AI111" s="29"/>
    </row>
    <row r="112">
      <c r="D112" s="29"/>
      <c r="E112" s="29"/>
      <c r="F112" s="29"/>
      <c r="G112" s="29"/>
      <c r="H112" s="29"/>
      <c r="Y112" s="29"/>
      <c r="AB112" s="29"/>
      <c r="AI112" s="29"/>
    </row>
    <row r="113">
      <c r="D113" s="29"/>
      <c r="E113" s="29"/>
      <c r="F113" s="29"/>
      <c r="G113" s="29"/>
      <c r="H113" s="29"/>
      <c r="Y113" s="29"/>
      <c r="AB113" s="29"/>
      <c r="AI113" s="29"/>
    </row>
    <row r="114">
      <c r="D114" s="29"/>
      <c r="E114" s="29"/>
      <c r="F114" s="29"/>
      <c r="G114" s="29"/>
      <c r="H114" s="29"/>
      <c r="Y114" s="29"/>
      <c r="AB114" s="29"/>
      <c r="AI114" s="29"/>
    </row>
    <row r="115">
      <c r="D115" s="29"/>
      <c r="E115" s="29"/>
      <c r="F115" s="29"/>
      <c r="G115" s="29"/>
      <c r="H115" s="29"/>
      <c r="Y115" s="29"/>
      <c r="AB115" s="29"/>
      <c r="AI115" s="29"/>
    </row>
    <row r="116">
      <c r="D116" s="29"/>
      <c r="E116" s="29"/>
      <c r="F116" s="29"/>
      <c r="G116" s="29"/>
      <c r="H116" s="29"/>
      <c r="Y116" s="29"/>
      <c r="AB116" s="29"/>
      <c r="AI116" s="29"/>
    </row>
    <row r="117">
      <c r="D117" s="29"/>
      <c r="E117" s="29"/>
      <c r="F117" s="29"/>
      <c r="G117" s="29"/>
      <c r="H117" s="29"/>
      <c r="Y117" s="29"/>
      <c r="AB117" s="29"/>
      <c r="AI117" s="29"/>
    </row>
    <row r="118">
      <c r="D118" s="29"/>
      <c r="E118" s="29"/>
      <c r="F118" s="29"/>
      <c r="G118" s="29"/>
      <c r="H118" s="29"/>
      <c r="Y118" s="29"/>
      <c r="AB118" s="29"/>
      <c r="AI118" s="29"/>
    </row>
    <row r="119">
      <c r="D119" s="29"/>
      <c r="E119" s="29"/>
      <c r="F119" s="29"/>
      <c r="G119" s="29"/>
      <c r="H119" s="29"/>
      <c r="Y119" s="29"/>
      <c r="AB119" s="29"/>
      <c r="AI119" s="29"/>
    </row>
    <row r="120">
      <c r="D120" s="29"/>
      <c r="E120" s="29"/>
      <c r="F120" s="29"/>
      <c r="G120" s="29"/>
      <c r="H120" s="29"/>
      <c r="Y120" s="29"/>
      <c r="AB120" s="29"/>
      <c r="AI120" s="29"/>
    </row>
    <row r="121">
      <c r="D121" s="29"/>
      <c r="E121" s="29"/>
      <c r="F121" s="29"/>
      <c r="G121" s="29"/>
      <c r="H121" s="29"/>
      <c r="Y121" s="29"/>
      <c r="AB121" s="29"/>
      <c r="AI121" s="29"/>
    </row>
    <row r="122">
      <c r="D122" s="29"/>
      <c r="E122" s="29"/>
      <c r="F122" s="29"/>
      <c r="G122" s="29"/>
      <c r="H122" s="29"/>
      <c r="Y122" s="29"/>
      <c r="AB122" s="29"/>
      <c r="AI122" s="29"/>
    </row>
    <row r="123">
      <c r="D123" s="29"/>
      <c r="E123" s="29"/>
      <c r="F123" s="29"/>
      <c r="G123" s="29"/>
      <c r="H123" s="29"/>
      <c r="Y123" s="29"/>
      <c r="AB123" s="29"/>
      <c r="AI123" s="29"/>
    </row>
    <row r="124">
      <c r="D124" s="29"/>
      <c r="E124" s="29"/>
      <c r="F124" s="29"/>
      <c r="G124" s="29"/>
      <c r="H124" s="29"/>
      <c r="Y124" s="29"/>
      <c r="AB124" s="29"/>
      <c r="AI124" s="29"/>
    </row>
    <row r="125">
      <c r="D125" s="29"/>
      <c r="E125" s="29"/>
      <c r="F125" s="29"/>
      <c r="G125" s="29"/>
      <c r="H125" s="29"/>
      <c r="Y125" s="29"/>
      <c r="AB125" s="29"/>
      <c r="AI125" s="29"/>
    </row>
    <row r="126">
      <c r="D126" s="29"/>
      <c r="E126" s="29"/>
      <c r="F126" s="29"/>
      <c r="G126" s="29"/>
      <c r="H126" s="29"/>
      <c r="Y126" s="29"/>
      <c r="AB126" s="29"/>
      <c r="AI126" s="29"/>
    </row>
    <row r="127">
      <c r="D127" s="29"/>
      <c r="E127" s="29"/>
      <c r="F127" s="29"/>
      <c r="G127" s="29"/>
      <c r="H127" s="29"/>
      <c r="Y127" s="29"/>
      <c r="AB127" s="29"/>
      <c r="AI127" s="29"/>
    </row>
    <row r="128">
      <c r="D128" s="29"/>
      <c r="E128" s="29"/>
      <c r="F128" s="29"/>
      <c r="G128" s="29"/>
      <c r="H128" s="29"/>
      <c r="Y128" s="29"/>
      <c r="AB128" s="29"/>
      <c r="AI128" s="29"/>
    </row>
    <row r="129">
      <c r="D129" s="29"/>
      <c r="E129" s="29"/>
      <c r="F129" s="29"/>
      <c r="G129" s="29"/>
      <c r="H129" s="29"/>
      <c r="Y129" s="29"/>
      <c r="AB129" s="29"/>
      <c r="AI129" s="29"/>
    </row>
    <row r="130">
      <c r="D130" s="29"/>
      <c r="E130" s="29"/>
      <c r="F130" s="29"/>
      <c r="G130" s="29"/>
      <c r="H130" s="29"/>
      <c r="Y130" s="29"/>
      <c r="AB130" s="29"/>
      <c r="AI130" s="29"/>
    </row>
    <row r="131">
      <c r="D131" s="29"/>
      <c r="E131" s="29"/>
      <c r="F131" s="29"/>
      <c r="G131" s="29"/>
      <c r="H131" s="29"/>
      <c r="Y131" s="29"/>
      <c r="AB131" s="29"/>
      <c r="AI131" s="29"/>
    </row>
    <row r="132">
      <c r="D132" s="29"/>
      <c r="E132" s="29"/>
      <c r="F132" s="29"/>
      <c r="G132" s="29"/>
      <c r="H132" s="29"/>
      <c r="Y132" s="29"/>
      <c r="AB132" s="29"/>
      <c r="AI132" s="29"/>
    </row>
    <row r="133">
      <c r="D133" s="29"/>
      <c r="E133" s="29"/>
      <c r="F133" s="29"/>
      <c r="G133" s="29"/>
      <c r="H133" s="29"/>
      <c r="Y133" s="29"/>
      <c r="AB133" s="29"/>
      <c r="AI133" s="29"/>
    </row>
    <row r="134">
      <c r="D134" s="29"/>
      <c r="E134" s="29"/>
      <c r="F134" s="29"/>
      <c r="G134" s="29"/>
      <c r="H134" s="29"/>
      <c r="Y134" s="29"/>
      <c r="AB134" s="29"/>
      <c r="AI134" s="29"/>
    </row>
    <row r="135">
      <c r="D135" s="29"/>
      <c r="E135" s="29"/>
      <c r="F135" s="29"/>
      <c r="G135" s="29"/>
      <c r="H135" s="29"/>
      <c r="Y135" s="29"/>
      <c r="AB135" s="29"/>
      <c r="AI135" s="29"/>
    </row>
    <row r="136">
      <c r="D136" s="29"/>
      <c r="E136" s="29"/>
      <c r="F136" s="29"/>
      <c r="G136" s="29"/>
      <c r="H136" s="29"/>
      <c r="Y136" s="29"/>
      <c r="AB136" s="29"/>
      <c r="AI136" s="29"/>
    </row>
    <row r="137">
      <c r="D137" s="29"/>
      <c r="E137" s="29"/>
      <c r="F137" s="29"/>
      <c r="G137" s="29"/>
      <c r="H137" s="29"/>
      <c r="Y137" s="29"/>
      <c r="AB137" s="29"/>
      <c r="AI137" s="29"/>
    </row>
    <row r="138">
      <c r="D138" s="29"/>
      <c r="E138" s="29"/>
      <c r="F138" s="29"/>
      <c r="G138" s="29"/>
      <c r="H138" s="29"/>
      <c r="Y138" s="29"/>
      <c r="AB138" s="29"/>
      <c r="AI138" s="29"/>
    </row>
    <row r="139">
      <c r="D139" s="29"/>
      <c r="E139" s="29"/>
      <c r="F139" s="29"/>
      <c r="G139" s="29"/>
      <c r="H139" s="29"/>
      <c r="Y139" s="29"/>
      <c r="AB139" s="29"/>
      <c r="AI139" s="29"/>
    </row>
    <row r="140">
      <c r="D140" s="29"/>
      <c r="E140" s="29"/>
      <c r="F140" s="29"/>
      <c r="G140" s="29"/>
      <c r="H140" s="29"/>
      <c r="Y140" s="29"/>
      <c r="AB140" s="29"/>
      <c r="AI140" s="29"/>
    </row>
    <row r="141">
      <c r="D141" s="29"/>
      <c r="E141" s="29"/>
      <c r="F141" s="29"/>
      <c r="G141" s="29"/>
      <c r="H141" s="29"/>
      <c r="Y141" s="29"/>
      <c r="AB141" s="29"/>
      <c r="AI141" s="29"/>
    </row>
    <row r="142">
      <c r="D142" s="29"/>
      <c r="E142" s="29"/>
      <c r="F142" s="29"/>
      <c r="G142" s="29"/>
      <c r="H142" s="29"/>
      <c r="Y142" s="29"/>
      <c r="AB142" s="29"/>
      <c r="AI142" s="29"/>
    </row>
    <row r="143">
      <c r="D143" s="29"/>
      <c r="E143" s="29"/>
      <c r="F143" s="29"/>
      <c r="G143" s="29"/>
      <c r="H143" s="29"/>
      <c r="Y143" s="29"/>
      <c r="AB143" s="29"/>
      <c r="AI143" s="29"/>
    </row>
    <row r="144">
      <c r="D144" s="29"/>
      <c r="E144" s="29"/>
      <c r="F144" s="29"/>
      <c r="G144" s="29"/>
      <c r="H144" s="29"/>
      <c r="Y144" s="29"/>
      <c r="AB144" s="29"/>
      <c r="AI144" s="29"/>
    </row>
    <row r="145">
      <c r="D145" s="29"/>
      <c r="E145" s="29"/>
      <c r="F145" s="29"/>
      <c r="G145" s="29"/>
      <c r="H145" s="29"/>
      <c r="Y145" s="29"/>
      <c r="AB145" s="29"/>
      <c r="AI145" s="29"/>
    </row>
    <row r="146">
      <c r="D146" s="29"/>
      <c r="E146" s="29"/>
      <c r="F146" s="29"/>
      <c r="G146" s="29"/>
      <c r="H146" s="29"/>
      <c r="Y146" s="29"/>
      <c r="AB146" s="29"/>
      <c r="AI146" s="29"/>
    </row>
    <row r="147">
      <c r="D147" s="29"/>
      <c r="E147" s="29"/>
      <c r="F147" s="29"/>
      <c r="G147" s="29"/>
      <c r="H147" s="29"/>
      <c r="Y147" s="29"/>
      <c r="AB147" s="29"/>
      <c r="AI147" s="29"/>
    </row>
    <row r="148">
      <c r="D148" s="29"/>
      <c r="E148" s="29"/>
      <c r="F148" s="29"/>
      <c r="G148" s="29"/>
      <c r="H148" s="29"/>
      <c r="Y148" s="29"/>
      <c r="AB148" s="29"/>
      <c r="AI148" s="29"/>
    </row>
    <row r="149">
      <c r="D149" s="29"/>
      <c r="E149" s="29"/>
      <c r="F149" s="29"/>
      <c r="G149" s="29"/>
      <c r="H149" s="29"/>
      <c r="Y149" s="29"/>
      <c r="AB149" s="29"/>
      <c r="AI149" s="29"/>
    </row>
    <row r="150">
      <c r="D150" s="29"/>
      <c r="E150" s="29"/>
      <c r="F150" s="29"/>
      <c r="G150" s="29"/>
      <c r="H150" s="29"/>
      <c r="Y150" s="29"/>
      <c r="AB150" s="29"/>
      <c r="AI150" s="29"/>
    </row>
    <row r="151">
      <c r="D151" s="29"/>
      <c r="E151" s="29"/>
      <c r="F151" s="29"/>
      <c r="G151" s="29"/>
      <c r="H151" s="29"/>
      <c r="Y151" s="29"/>
      <c r="AB151" s="29"/>
      <c r="AI151" s="29"/>
    </row>
    <row r="152">
      <c r="D152" s="29"/>
      <c r="E152" s="29"/>
      <c r="F152" s="29"/>
      <c r="G152" s="29"/>
      <c r="H152" s="29"/>
      <c r="Y152" s="29"/>
      <c r="AB152" s="29"/>
      <c r="AI152" s="29"/>
    </row>
    <row r="153">
      <c r="D153" s="29"/>
      <c r="E153" s="29"/>
      <c r="F153" s="29"/>
      <c r="G153" s="29"/>
      <c r="H153" s="29"/>
      <c r="Y153" s="29"/>
      <c r="AB153" s="29"/>
      <c r="AI153" s="29"/>
    </row>
    <row r="154">
      <c r="D154" s="29"/>
      <c r="E154" s="29"/>
      <c r="F154" s="29"/>
      <c r="G154" s="29"/>
      <c r="H154" s="29"/>
      <c r="Y154" s="29"/>
      <c r="AB154" s="29"/>
      <c r="AI154" s="29"/>
    </row>
    <row r="155">
      <c r="D155" s="29"/>
      <c r="E155" s="29"/>
      <c r="F155" s="29"/>
      <c r="G155" s="29"/>
      <c r="H155" s="29"/>
      <c r="Y155" s="29"/>
      <c r="AB155" s="29"/>
      <c r="AI155" s="29"/>
    </row>
    <row r="156">
      <c r="D156" s="29"/>
      <c r="E156" s="29"/>
      <c r="F156" s="29"/>
      <c r="G156" s="29"/>
      <c r="H156" s="29"/>
      <c r="Y156" s="29"/>
      <c r="AB156" s="29"/>
      <c r="AI156" s="29"/>
    </row>
    <row r="157">
      <c r="D157" s="29"/>
      <c r="E157" s="29"/>
      <c r="F157" s="29"/>
      <c r="G157" s="29"/>
      <c r="H157" s="29"/>
      <c r="Y157" s="29"/>
      <c r="AB157" s="29"/>
      <c r="AI157" s="29"/>
    </row>
    <row r="158">
      <c r="D158" s="29"/>
      <c r="E158" s="29"/>
      <c r="F158" s="29"/>
      <c r="G158" s="29"/>
      <c r="H158" s="29"/>
      <c r="Y158" s="29"/>
      <c r="AB158" s="29"/>
      <c r="AI158" s="29"/>
    </row>
    <row r="159">
      <c r="D159" s="29"/>
      <c r="E159" s="29"/>
      <c r="F159" s="29"/>
      <c r="G159" s="29"/>
      <c r="H159" s="29"/>
      <c r="Y159" s="29"/>
      <c r="AB159" s="29"/>
      <c r="AI159" s="29"/>
    </row>
    <row r="160">
      <c r="D160" s="29"/>
      <c r="E160" s="29"/>
      <c r="F160" s="29"/>
      <c r="G160" s="29"/>
      <c r="H160" s="29"/>
      <c r="Y160" s="29"/>
      <c r="AB160" s="29"/>
      <c r="AI160" s="29"/>
    </row>
    <row r="161">
      <c r="D161" s="29"/>
      <c r="E161" s="29"/>
      <c r="F161" s="29"/>
      <c r="G161" s="29"/>
      <c r="H161" s="29"/>
      <c r="Y161" s="29"/>
      <c r="AB161" s="29"/>
      <c r="AI161" s="29"/>
    </row>
    <row r="162">
      <c r="D162" s="29"/>
      <c r="E162" s="29"/>
      <c r="F162" s="29"/>
      <c r="G162" s="29"/>
      <c r="H162" s="29"/>
      <c r="Y162" s="29"/>
      <c r="AB162" s="29"/>
      <c r="AI162" s="29"/>
    </row>
    <row r="163">
      <c r="D163" s="29"/>
      <c r="E163" s="29"/>
      <c r="F163" s="29"/>
      <c r="G163" s="29"/>
      <c r="H163" s="29"/>
      <c r="Y163" s="29"/>
      <c r="AB163" s="29"/>
      <c r="AI163" s="29"/>
    </row>
    <row r="164">
      <c r="D164" s="29"/>
      <c r="E164" s="29"/>
      <c r="F164" s="29"/>
      <c r="G164" s="29"/>
      <c r="H164" s="29"/>
      <c r="Y164" s="29"/>
      <c r="AB164" s="29"/>
      <c r="AI164" s="29"/>
    </row>
    <row r="165">
      <c r="D165" s="29"/>
      <c r="E165" s="29"/>
      <c r="F165" s="29"/>
      <c r="G165" s="29"/>
      <c r="H165" s="29"/>
      <c r="Y165" s="29"/>
      <c r="AB165" s="29"/>
      <c r="AI165" s="29"/>
    </row>
    <row r="166">
      <c r="D166" s="29"/>
      <c r="E166" s="29"/>
      <c r="F166" s="29"/>
      <c r="G166" s="29"/>
      <c r="H166" s="29"/>
      <c r="Y166" s="29"/>
      <c r="AB166" s="29"/>
      <c r="AI166" s="29"/>
    </row>
    <row r="167">
      <c r="D167" s="29"/>
      <c r="E167" s="29"/>
      <c r="F167" s="29"/>
      <c r="G167" s="29"/>
      <c r="H167" s="29"/>
      <c r="Y167" s="29"/>
      <c r="AB167" s="29"/>
      <c r="AI167" s="29"/>
    </row>
    <row r="168">
      <c r="D168" s="29"/>
      <c r="E168" s="29"/>
      <c r="F168" s="29"/>
      <c r="G168" s="29"/>
      <c r="H168" s="29"/>
      <c r="Y168" s="29"/>
      <c r="AB168" s="29"/>
      <c r="AI168" s="29"/>
    </row>
    <row r="169">
      <c r="D169" s="29"/>
      <c r="E169" s="29"/>
      <c r="F169" s="29"/>
      <c r="G169" s="29"/>
      <c r="H169" s="29"/>
      <c r="Y169" s="29"/>
      <c r="AB169" s="29"/>
      <c r="AI169" s="29"/>
    </row>
    <row r="170">
      <c r="D170" s="29"/>
      <c r="E170" s="29"/>
      <c r="F170" s="29"/>
      <c r="G170" s="29"/>
      <c r="H170" s="29"/>
      <c r="Y170" s="29"/>
      <c r="AB170" s="29"/>
      <c r="AI170" s="29"/>
    </row>
    <row r="171">
      <c r="D171" s="29"/>
      <c r="E171" s="29"/>
      <c r="F171" s="29"/>
      <c r="G171" s="29"/>
      <c r="H171" s="29"/>
      <c r="Y171" s="29"/>
      <c r="AB171" s="29"/>
      <c r="AI171" s="29"/>
    </row>
    <row r="172">
      <c r="D172" s="29"/>
      <c r="E172" s="29"/>
      <c r="F172" s="29"/>
      <c r="G172" s="29"/>
      <c r="H172" s="29"/>
      <c r="Y172" s="29"/>
      <c r="AB172" s="29"/>
      <c r="AI172" s="29"/>
    </row>
    <row r="173">
      <c r="D173" s="29"/>
      <c r="E173" s="29"/>
      <c r="F173" s="29"/>
      <c r="G173" s="29"/>
      <c r="H173" s="29"/>
      <c r="Y173" s="29"/>
      <c r="AB173" s="29"/>
      <c r="AI173" s="29"/>
    </row>
    <row r="174">
      <c r="D174" s="29"/>
      <c r="E174" s="29"/>
      <c r="F174" s="29"/>
      <c r="G174" s="29"/>
      <c r="H174" s="29"/>
      <c r="Y174" s="29"/>
      <c r="AB174" s="29"/>
      <c r="AI174" s="29"/>
    </row>
    <row r="175">
      <c r="D175" s="29"/>
      <c r="E175" s="29"/>
      <c r="F175" s="29"/>
      <c r="G175" s="29"/>
      <c r="H175" s="29"/>
      <c r="Y175" s="29"/>
      <c r="AB175" s="29"/>
      <c r="AI175" s="29"/>
    </row>
    <row r="176">
      <c r="D176" s="29"/>
      <c r="E176" s="29"/>
      <c r="F176" s="29"/>
      <c r="G176" s="29"/>
      <c r="H176" s="29"/>
      <c r="Y176" s="29"/>
      <c r="AB176" s="29"/>
      <c r="AI176" s="29"/>
    </row>
    <row r="177">
      <c r="D177" s="29"/>
      <c r="E177" s="29"/>
      <c r="F177" s="29"/>
      <c r="G177" s="29"/>
      <c r="H177" s="29"/>
      <c r="Y177" s="29"/>
      <c r="AB177" s="29"/>
      <c r="AI177" s="29"/>
    </row>
    <row r="178">
      <c r="D178" s="29"/>
      <c r="E178" s="29"/>
      <c r="F178" s="29"/>
      <c r="G178" s="29"/>
      <c r="H178" s="29"/>
      <c r="Y178" s="29"/>
      <c r="AB178" s="29"/>
      <c r="AI178" s="29"/>
    </row>
    <row r="179">
      <c r="D179" s="29"/>
      <c r="E179" s="29"/>
      <c r="F179" s="29"/>
      <c r="G179" s="29"/>
      <c r="H179" s="29"/>
      <c r="Y179" s="29"/>
      <c r="AB179" s="29"/>
      <c r="AI179" s="29"/>
    </row>
    <row r="180">
      <c r="D180" s="29"/>
      <c r="E180" s="29"/>
      <c r="F180" s="29"/>
      <c r="G180" s="29"/>
      <c r="H180" s="29"/>
      <c r="Y180" s="29"/>
      <c r="AB180" s="29"/>
      <c r="AI180" s="29"/>
    </row>
    <row r="181">
      <c r="D181" s="29"/>
      <c r="E181" s="29"/>
      <c r="F181" s="29"/>
      <c r="G181" s="29"/>
      <c r="H181" s="29"/>
      <c r="Y181" s="29"/>
      <c r="AB181" s="29"/>
      <c r="AI181" s="29"/>
    </row>
    <row r="182">
      <c r="D182" s="29"/>
      <c r="E182" s="29"/>
      <c r="F182" s="29"/>
      <c r="G182" s="29"/>
      <c r="H182" s="29"/>
      <c r="Y182" s="29"/>
      <c r="AB182" s="29"/>
      <c r="AI182" s="29"/>
    </row>
    <row r="183">
      <c r="D183" s="29"/>
      <c r="E183" s="29"/>
      <c r="F183" s="29"/>
      <c r="G183" s="29"/>
      <c r="H183" s="29"/>
      <c r="Y183" s="29"/>
      <c r="AB183" s="29"/>
      <c r="AI183" s="29"/>
    </row>
    <row r="184">
      <c r="D184" s="29"/>
      <c r="E184" s="29"/>
      <c r="F184" s="29"/>
      <c r="G184" s="29"/>
      <c r="H184" s="29"/>
      <c r="Y184" s="29"/>
      <c r="AB184" s="29"/>
      <c r="AI184" s="29"/>
    </row>
    <row r="185">
      <c r="D185" s="29"/>
      <c r="E185" s="29"/>
      <c r="F185" s="29"/>
      <c r="G185" s="29"/>
      <c r="H185" s="29"/>
      <c r="Y185" s="29"/>
      <c r="AB185" s="29"/>
      <c r="AI185" s="29"/>
    </row>
    <row r="186">
      <c r="D186" s="29"/>
      <c r="E186" s="29"/>
      <c r="F186" s="29"/>
      <c r="G186" s="29"/>
      <c r="H186" s="29"/>
      <c r="Y186" s="29"/>
      <c r="AB186" s="29"/>
      <c r="AI186" s="29"/>
    </row>
    <row r="187">
      <c r="D187" s="29"/>
      <c r="E187" s="29"/>
      <c r="F187" s="29"/>
      <c r="G187" s="29"/>
      <c r="H187" s="29"/>
      <c r="Y187" s="29"/>
      <c r="AB187" s="29"/>
      <c r="AI187" s="29"/>
    </row>
    <row r="188">
      <c r="D188" s="29"/>
      <c r="E188" s="29"/>
      <c r="F188" s="29"/>
      <c r="G188" s="29"/>
      <c r="H188" s="29"/>
      <c r="Y188" s="29"/>
      <c r="AB188" s="29"/>
      <c r="AI188" s="29"/>
    </row>
    <row r="189">
      <c r="D189" s="29"/>
      <c r="E189" s="29"/>
      <c r="F189" s="29"/>
      <c r="G189" s="29"/>
      <c r="H189" s="29"/>
      <c r="Y189" s="29"/>
      <c r="AB189" s="29"/>
      <c r="AI189" s="29"/>
    </row>
    <row r="190">
      <c r="D190" s="29"/>
      <c r="E190" s="29"/>
      <c r="F190" s="29"/>
      <c r="G190" s="29"/>
      <c r="H190" s="29"/>
      <c r="Y190" s="29"/>
      <c r="AB190" s="29"/>
      <c r="AI190" s="29"/>
    </row>
    <row r="191">
      <c r="D191" s="29"/>
      <c r="E191" s="29"/>
      <c r="F191" s="29"/>
      <c r="G191" s="29"/>
      <c r="H191" s="29"/>
      <c r="Y191" s="29"/>
      <c r="AB191" s="29"/>
      <c r="AI191" s="29"/>
    </row>
    <row r="192">
      <c r="D192" s="29"/>
      <c r="E192" s="29"/>
      <c r="F192" s="29"/>
      <c r="G192" s="29"/>
      <c r="H192" s="29"/>
      <c r="Y192" s="29"/>
      <c r="AB192" s="29"/>
      <c r="AI192" s="29"/>
    </row>
    <row r="193">
      <c r="D193" s="29"/>
      <c r="E193" s="29"/>
      <c r="F193" s="29"/>
      <c r="G193" s="29"/>
      <c r="H193" s="29"/>
      <c r="Y193" s="29"/>
      <c r="AB193" s="29"/>
      <c r="AI193" s="29"/>
    </row>
    <row r="194">
      <c r="D194" s="29"/>
      <c r="E194" s="29"/>
      <c r="F194" s="29"/>
      <c r="G194" s="29"/>
      <c r="H194" s="29"/>
      <c r="Y194" s="29"/>
      <c r="AB194" s="29"/>
      <c r="AI194" s="29"/>
    </row>
    <row r="195">
      <c r="D195" s="29"/>
      <c r="E195" s="29"/>
      <c r="F195" s="29"/>
      <c r="G195" s="29"/>
      <c r="H195" s="29"/>
      <c r="Y195" s="29"/>
      <c r="AB195" s="29"/>
      <c r="AI195" s="29"/>
    </row>
    <row r="196">
      <c r="D196" s="29"/>
      <c r="E196" s="29"/>
      <c r="F196" s="29"/>
      <c r="G196" s="29"/>
      <c r="H196" s="29"/>
      <c r="Y196" s="29"/>
      <c r="AB196" s="29"/>
      <c r="AI196" s="29"/>
    </row>
    <row r="197">
      <c r="D197" s="29"/>
      <c r="E197" s="29"/>
      <c r="F197" s="29"/>
      <c r="G197" s="29"/>
      <c r="H197" s="29"/>
      <c r="Y197" s="29"/>
      <c r="AB197" s="29"/>
      <c r="AI197" s="29"/>
    </row>
    <row r="198">
      <c r="D198" s="29"/>
      <c r="E198" s="29"/>
      <c r="F198" s="29"/>
      <c r="G198" s="29"/>
      <c r="H198" s="29"/>
      <c r="Y198" s="29"/>
      <c r="AB198" s="29"/>
      <c r="AI198" s="29"/>
    </row>
    <row r="199">
      <c r="D199" s="29"/>
      <c r="E199" s="29"/>
      <c r="F199" s="29"/>
      <c r="G199" s="29"/>
      <c r="H199" s="29"/>
      <c r="Y199" s="29"/>
      <c r="AB199" s="29"/>
      <c r="AI199" s="29"/>
    </row>
    <row r="200">
      <c r="D200" s="29"/>
      <c r="E200" s="29"/>
      <c r="F200" s="29"/>
      <c r="G200" s="29"/>
      <c r="H200" s="29"/>
      <c r="Y200" s="29"/>
      <c r="AB200" s="29"/>
      <c r="AI200" s="29"/>
    </row>
    <row r="201">
      <c r="D201" s="29"/>
      <c r="E201" s="29"/>
      <c r="F201" s="29"/>
      <c r="G201" s="29"/>
      <c r="H201" s="29"/>
      <c r="Y201" s="29"/>
      <c r="AB201" s="29"/>
      <c r="AI201" s="29"/>
    </row>
    <row r="202">
      <c r="D202" s="29"/>
      <c r="E202" s="29"/>
      <c r="F202" s="29"/>
      <c r="G202" s="29"/>
      <c r="H202" s="29"/>
      <c r="Y202" s="29"/>
      <c r="AB202" s="29"/>
      <c r="AI202" s="29"/>
    </row>
    <row r="203">
      <c r="D203" s="29"/>
      <c r="E203" s="29"/>
      <c r="F203" s="29"/>
      <c r="G203" s="29"/>
      <c r="H203" s="29"/>
      <c r="Y203" s="29"/>
      <c r="AB203" s="29"/>
      <c r="AI203" s="29"/>
    </row>
    <row r="204">
      <c r="D204" s="29"/>
      <c r="E204" s="29"/>
      <c r="F204" s="29"/>
      <c r="G204" s="29"/>
      <c r="H204" s="29"/>
      <c r="Y204" s="29"/>
      <c r="AB204" s="29"/>
      <c r="AI204" s="29"/>
    </row>
    <row r="205">
      <c r="D205" s="29"/>
      <c r="E205" s="29"/>
      <c r="F205" s="29"/>
      <c r="G205" s="29"/>
      <c r="H205" s="29"/>
      <c r="Y205" s="29"/>
      <c r="AB205" s="29"/>
      <c r="AI205" s="29"/>
    </row>
    <row r="206">
      <c r="D206" s="29"/>
      <c r="E206" s="29"/>
      <c r="F206" s="29"/>
      <c r="G206" s="29"/>
      <c r="H206" s="29"/>
      <c r="Y206" s="29"/>
      <c r="AB206" s="29"/>
      <c r="AI206" s="29"/>
    </row>
    <row r="207">
      <c r="D207" s="29"/>
      <c r="E207" s="29"/>
      <c r="F207" s="29"/>
      <c r="G207" s="29"/>
      <c r="H207" s="29"/>
      <c r="Y207" s="29"/>
      <c r="AB207" s="29"/>
      <c r="AI207" s="29"/>
    </row>
    <row r="208">
      <c r="D208" s="29"/>
      <c r="E208" s="29"/>
      <c r="F208" s="29"/>
      <c r="G208" s="29"/>
      <c r="H208" s="29"/>
      <c r="Y208" s="29"/>
      <c r="AB208" s="29"/>
      <c r="AI208" s="29"/>
    </row>
    <row r="209">
      <c r="D209" s="29"/>
      <c r="E209" s="29"/>
      <c r="F209" s="29"/>
      <c r="G209" s="29"/>
      <c r="H209" s="29"/>
      <c r="Y209" s="29"/>
      <c r="AB209" s="29"/>
      <c r="AI209" s="29"/>
    </row>
    <row r="210">
      <c r="D210" s="29"/>
      <c r="E210" s="29"/>
      <c r="F210" s="29"/>
      <c r="G210" s="29"/>
      <c r="H210" s="29"/>
      <c r="Y210" s="29"/>
      <c r="AB210" s="29"/>
      <c r="AI210" s="29"/>
    </row>
    <row r="211">
      <c r="D211" s="29"/>
      <c r="E211" s="29"/>
      <c r="F211" s="29"/>
      <c r="G211" s="29"/>
      <c r="H211" s="29"/>
      <c r="Y211" s="29"/>
      <c r="AB211" s="29"/>
      <c r="AI211" s="29"/>
    </row>
    <row r="212">
      <c r="D212" s="29"/>
      <c r="E212" s="29"/>
      <c r="F212" s="29"/>
      <c r="G212" s="29"/>
      <c r="H212" s="29"/>
      <c r="Y212" s="29"/>
      <c r="AB212" s="29"/>
      <c r="AI212" s="29"/>
    </row>
    <row r="213">
      <c r="D213" s="29"/>
      <c r="E213" s="29"/>
      <c r="F213" s="29"/>
      <c r="G213" s="29"/>
      <c r="H213" s="29"/>
      <c r="Y213" s="29"/>
      <c r="AB213" s="29"/>
      <c r="AI213" s="29"/>
    </row>
    <row r="214">
      <c r="D214" s="29"/>
      <c r="E214" s="29"/>
      <c r="F214" s="29"/>
      <c r="G214" s="29"/>
      <c r="H214" s="29"/>
      <c r="Y214" s="29"/>
      <c r="AB214" s="29"/>
      <c r="AI214" s="29"/>
    </row>
    <row r="215">
      <c r="D215" s="29"/>
      <c r="E215" s="29"/>
      <c r="F215" s="29"/>
      <c r="G215" s="29"/>
      <c r="H215" s="29"/>
      <c r="Y215" s="29"/>
      <c r="AB215" s="29"/>
      <c r="AI215" s="29"/>
    </row>
    <row r="216">
      <c r="D216" s="29"/>
      <c r="E216" s="29"/>
      <c r="F216" s="29"/>
      <c r="G216" s="29"/>
      <c r="H216" s="29"/>
      <c r="Y216" s="29"/>
      <c r="AB216" s="29"/>
      <c r="AI216" s="29"/>
    </row>
    <row r="217">
      <c r="D217" s="29"/>
      <c r="E217" s="29"/>
      <c r="F217" s="29"/>
      <c r="G217" s="29"/>
      <c r="H217" s="29"/>
      <c r="Y217" s="29"/>
      <c r="AB217" s="29"/>
      <c r="AI217" s="29"/>
    </row>
    <row r="218">
      <c r="D218" s="29"/>
      <c r="E218" s="29"/>
      <c r="F218" s="29"/>
      <c r="G218" s="29"/>
      <c r="H218" s="29"/>
      <c r="Y218" s="29"/>
      <c r="AB218" s="29"/>
      <c r="AI218" s="29"/>
    </row>
    <row r="219">
      <c r="D219" s="29"/>
      <c r="E219" s="29"/>
      <c r="F219" s="29"/>
      <c r="G219" s="29"/>
      <c r="H219" s="29"/>
      <c r="Y219" s="29"/>
      <c r="AB219" s="29"/>
      <c r="AI219" s="29"/>
    </row>
    <row r="220">
      <c r="D220" s="29"/>
      <c r="E220" s="29"/>
      <c r="F220" s="29"/>
      <c r="G220" s="29"/>
      <c r="H220" s="29"/>
      <c r="Y220" s="29"/>
      <c r="AB220" s="29"/>
      <c r="AI220" s="29"/>
    </row>
    <row r="221">
      <c r="D221" s="29"/>
      <c r="E221" s="29"/>
      <c r="F221" s="29"/>
      <c r="G221" s="29"/>
      <c r="H221" s="29"/>
      <c r="Y221" s="29"/>
      <c r="AB221" s="29"/>
      <c r="AI221" s="29"/>
    </row>
    <row r="222">
      <c r="D222" s="29"/>
      <c r="E222" s="29"/>
      <c r="F222" s="29"/>
      <c r="G222" s="29"/>
      <c r="H222" s="29"/>
      <c r="Y222" s="29"/>
      <c r="AB222" s="29"/>
      <c r="AI222" s="29"/>
    </row>
    <row r="223">
      <c r="D223" s="29"/>
      <c r="E223" s="29"/>
      <c r="F223" s="29"/>
      <c r="G223" s="29"/>
      <c r="H223" s="29"/>
      <c r="Y223" s="29"/>
      <c r="AB223" s="29"/>
      <c r="AI223" s="29"/>
    </row>
    <row r="224">
      <c r="D224" s="29"/>
      <c r="E224" s="29"/>
      <c r="F224" s="29"/>
      <c r="G224" s="29"/>
      <c r="H224" s="29"/>
      <c r="Y224" s="29"/>
      <c r="AB224" s="29"/>
      <c r="AI224" s="29"/>
    </row>
    <row r="225">
      <c r="D225" s="29"/>
      <c r="E225" s="29"/>
      <c r="F225" s="29"/>
      <c r="G225" s="29"/>
      <c r="H225" s="29"/>
      <c r="Y225" s="29"/>
      <c r="AB225" s="29"/>
      <c r="AI225" s="29"/>
    </row>
    <row r="226">
      <c r="D226" s="29"/>
      <c r="E226" s="29"/>
      <c r="F226" s="29"/>
      <c r="G226" s="29"/>
      <c r="H226" s="29"/>
      <c r="Y226" s="29"/>
      <c r="AB226" s="29"/>
      <c r="AI226" s="29"/>
    </row>
    <row r="227">
      <c r="D227" s="29"/>
      <c r="E227" s="29"/>
      <c r="F227" s="29"/>
      <c r="G227" s="29"/>
      <c r="H227" s="29"/>
      <c r="Y227" s="29"/>
      <c r="AB227" s="29"/>
      <c r="AI227" s="29"/>
    </row>
    <row r="228">
      <c r="D228" s="29"/>
      <c r="E228" s="29"/>
      <c r="F228" s="29"/>
      <c r="G228" s="29"/>
      <c r="H228" s="29"/>
      <c r="Y228" s="29"/>
      <c r="AB228" s="29"/>
      <c r="AI228" s="29"/>
    </row>
    <row r="229">
      <c r="D229" s="29"/>
      <c r="E229" s="29"/>
      <c r="F229" s="29"/>
      <c r="G229" s="29"/>
      <c r="H229" s="29"/>
      <c r="Y229" s="29"/>
      <c r="AB229" s="29"/>
      <c r="AI229" s="29"/>
    </row>
    <row r="230">
      <c r="D230" s="29"/>
      <c r="E230" s="29"/>
      <c r="F230" s="29"/>
      <c r="G230" s="29"/>
      <c r="H230" s="29"/>
      <c r="Y230" s="29"/>
      <c r="AB230" s="29"/>
      <c r="AI230" s="29"/>
    </row>
    <row r="231">
      <c r="D231" s="29"/>
      <c r="E231" s="29"/>
      <c r="F231" s="29"/>
      <c r="G231" s="29"/>
      <c r="H231" s="29"/>
      <c r="Y231" s="29"/>
      <c r="AB231" s="29"/>
      <c r="AI231" s="29"/>
    </row>
    <row r="232">
      <c r="D232" s="29"/>
      <c r="E232" s="29"/>
      <c r="F232" s="29"/>
      <c r="G232" s="29"/>
      <c r="H232" s="29"/>
      <c r="Y232" s="29"/>
      <c r="AB232" s="29"/>
      <c r="AI232" s="29"/>
    </row>
    <row r="233">
      <c r="D233" s="29"/>
      <c r="E233" s="29"/>
      <c r="F233" s="29"/>
      <c r="G233" s="29"/>
      <c r="H233" s="29"/>
      <c r="Y233" s="29"/>
      <c r="AB233" s="29"/>
      <c r="AI233" s="29"/>
    </row>
    <row r="234">
      <c r="D234" s="29"/>
      <c r="E234" s="29"/>
      <c r="F234" s="29"/>
      <c r="G234" s="29"/>
      <c r="H234" s="29"/>
      <c r="Y234" s="29"/>
      <c r="AB234" s="29"/>
      <c r="AI234" s="29"/>
    </row>
    <row r="235">
      <c r="D235" s="29"/>
      <c r="E235" s="29"/>
      <c r="F235" s="29"/>
      <c r="G235" s="29"/>
      <c r="H235" s="29"/>
      <c r="Y235" s="29"/>
      <c r="AB235" s="29"/>
      <c r="AI235" s="29"/>
    </row>
    <row r="236">
      <c r="D236" s="29"/>
      <c r="E236" s="29"/>
      <c r="F236" s="29"/>
      <c r="G236" s="29"/>
      <c r="H236" s="29"/>
      <c r="Y236" s="29"/>
      <c r="AB236" s="29"/>
      <c r="AI236" s="29"/>
    </row>
    <row r="237">
      <c r="D237" s="29"/>
      <c r="E237" s="29"/>
      <c r="F237" s="29"/>
      <c r="G237" s="29"/>
      <c r="H237" s="29"/>
      <c r="Y237" s="29"/>
      <c r="AB237" s="29"/>
      <c r="AI237" s="29"/>
    </row>
    <row r="238">
      <c r="D238" s="29"/>
      <c r="E238" s="29"/>
      <c r="F238" s="29"/>
      <c r="G238" s="29"/>
      <c r="H238" s="29"/>
      <c r="Y238" s="29"/>
      <c r="AB238" s="29"/>
      <c r="AI238" s="29"/>
    </row>
    <row r="239">
      <c r="D239" s="29"/>
      <c r="E239" s="29"/>
      <c r="F239" s="29"/>
      <c r="G239" s="29"/>
      <c r="H239" s="29"/>
      <c r="Y239" s="29"/>
      <c r="AB239" s="29"/>
      <c r="AI239" s="29"/>
    </row>
    <row r="240">
      <c r="D240" s="29"/>
      <c r="E240" s="29"/>
      <c r="F240" s="29"/>
      <c r="G240" s="29"/>
      <c r="H240" s="29"/>
      <c r="Y240" s="29"/>
      <c r="AB240" s="29"/>
      <c r="AI240" s="29"/>
    </row>
    <row r="241">
      <c r="D241" s="29"/>
      <c r="E241" s="29"/>
      <c r="F241" s="29"/>
      <c r="G241" s="29"/>
      <c r="H241" s="29"/>
      <c r="Y241" s="29"/>
      <c r="AB241" s="29"/>
      <c r="AI241" s="29"/>
    </row>
    <row r="242">
      <c r="D242" s="29"/>
      <c r="E242" s="29"/>
      <c r="F242" s="29"/>
      <c r="G242" s="29"/>
      <c r="H242" s="29"/>
      <c r="Y242" s="29"/>
      <c r="AB242" s="29"/>
      <c r="AI242" s="29"/>
    </row>
    <row r="243">
      <c r="D243" s="29"/>
      <c r="E243" s="29"/>
      <c r="F243" s="29"/>
      <c r="G243" s="29"/>
      <c r="H243" s="29"/>
      <c r="Y243" s="29"/>
      <c r="AB243" s="29"/>
      <c r="AI243" s="29"/>
    </row>
    <row r="244">
      <c r="D244" s="29"/>
      <c r="E244" s="29"/>
      <c r="F244" s="29"/>
      <c r="G244" s="29"/>
      <c r="H244" s="29"/>
      <c r="Y244" s="29"/>
      <c r="AB244" s="29"/>
      <c r="AI244" s="29"/>
    </row>
    <row r="245">
      <c r="D245" s="29"/>
      <c r="E245" s="29"/>
      <c r="F245" s="29"/>
      <c r="G245" s="29"/>
      <c r="H245" s="29"/>
      <c r="Y245" s="29"/>
      <c r="AB245" s="29"/>
      <c r="AI245" s="29"/>
    </row>
    <row r="246">
      <c r="D246" s="29"/>
      <c r="E246" s="29"/>
      <c r="F246" s="29"/>
      <c r="G246" s="29"/>
      <c r="H246" s="29"/>
      <c r="Y246" s="29"/>
      <c r="AB246" s="29"/>
      <c r="AI246" s="29"/>
    </row>
    <row r="247">
      <c r="D247" s="29"/>
      <c r="E247" s="29"/>
      <c r="F247" s="29"/>
      <c r="G247" s="29"/>
      <c r="H247" s="29"/>
      <c r="Y247" s="29"/>
      <c r="AB247" s="29"/>
      <c r="AI247" s="29"/>
    </row>
    <row r="248">
      <c r="D248" s="29"/>
      <c r="E248" s="29"/>
      <c r="F248" s="29"/>
      <c r="G248" s="29"/>
      <c r="H248" s="29"/>
      <c r="Y248" s="29"/>
      <c r="AB248" s="29"/>
      <c r="AI248" s="29"/>
    </row>
    <row r="249">
      <c r="D249" s="29"/>
      <c r="E249" s="29"/>
      <c r="F249" s="29"/>
      <c r="G249" s="29"/>
      <c r="H249" s="29"/>
      <c r="Y249" s="29"/>
      <c r="AB249" s="29"/>
      <c r="AI249" s="29"/>
    </row>
    <row r="250">
      <c r="D250" s="29"/>
      <c r="E250" s="29"/>
      <c r="F250" s="29"/>
      <c r="G250" s="29"/>
      <c r="H250" s="29"/>
      <c r="Y250" s="29"/>
      <c r="AB250" s="29"/>
      <c r="AI250" s="29"/>
    </row>
    <row r="251">
      <c r="D251" s="29"/>
      <c r="E251" s="29"/>
      <c r="F251" s="29"/>
      <c r="G251" s="29"/>
      <c r="H251" s="29"/>
      <c r="Y251" s="29"/>
      <c r="AB251" s="29"/>
      <c r="AI251" s="29"/>
    </row>
    <row r="252">
      <c r="D252" s="29"/>
      <c r="E252" s="29"/>
      <c r="F252" s="29"/>
      <c r="G252" s="29"/>
      <c r="H252" s="29"/>
      <c r="Y252" s="29"/>
      <c r="AB252" s="29"/>
      <c r="AI252" s="29"/>
    </row>
    <row r="253">
      <c r="D253" s="29"/>
      <c r="E253" s="29"/>
      <c r="F253" s="29"/>
      <c r="G253" s="29"/>
      <c r="H253" s="29"/>
      <c r="Y253" s="29"/>
      <c r="AB253" s="29"/>
      <c r="AI253" s="29"/>
    </row>
    <row r="254">
      <c r="D254" s="29"/>
      <c r="E254" s="29"/>
      <c r="F254" s="29"/>
      <c r="G254" s="29"/>
      <c r="H254" s="29"/>
      <c r="Y254" s="29"/>
      <c r="AB254" s="29"/>
      <c r="AI254" s="29"/>
    </row>
    <row r="255">
      <c r="D255" s="29"/>
      <c r="E255" s="29"/>
      <c r="F255" s="29"/>
      <c r="G255" s="29"/>
      <c r="H255" s="29"/>
      <c r="Y255" s="29"/>
      <c r="AB255" s="29"/>
      <c r="AI255" s="29"/>
    </row>
    <row r="256">
      <c r="D256" s="29"/>
      <c r="E256" s="29"/>
      <c r="F256" s="29"/>
      <c r="G256" s="29"/>
      <c r="H256" s="29"/>
      <c r="Y256" s="29"/>
      <c r="AB256" s="29"/>
      <c r="AI256" s="29"/>
    </row>
    <row r="257">
      <c r="D257" s="29"/>
      <c r="E257" s="29"/>
      <c r="F257" s="29"/>
      <c r="G257" s="29"/>
      <c r="H257" s="29"/>
      <c r="Y257" s="29"/>
      <c r="AB257" s="29"/>
      <c r="AI257" s="29"/>
    </row>
    <row r="258">
      <c r="D258" s="29"/>
      <c r="E258" s="29"/>
      <c r="F258" s="29"/>
      <c r="G258" s="29"/>
      <c r="H258" s="29"/>
      <c r="Y258" s="29"/>
      <c r="AB258" s="29"/>
      <c r="AI258" s="29"/>
    </row>
    <row r="259">
      <c r="D259" s="29"/>
      <c r="E259" s="29"/>
      <c r="F259" s="29"/>
      <c r="G259" s="29"/>
      <c r="H259" s="29"/>
      <c r="Y259" s="29"/>
      <c r="AB259" s="29"/>
      <c r="AI259" s="29"/>
    </row>
    <row r="260">
      <c r="D260" s="29"/>
      <c r="E260" s="29"/>
      <c r="F260" s="29"/>
      <c r="G260" s="29"/>
      <c r="H260" s="29"/>
      <c r="Y260" s="29"/>
      <c r="AB260" s="29"/>
      <c r="AI260" s="29"/>
    </row>
    <row r="261">
      <c r="D261" s="29"/>
      <c r="E261" s="29"/>
      <c r="F261" s="29"/>
      <c r="G261" s="29"/>
      <c r="H261" s="29"/>
      <c r="Y261" s="29"/>
      <c r="AB261" s="29"/>
      <c r="AI261" s="29"/>
    </row>
    <row r="262">
      <c r="D262" s="29"/>
      <c r="E262" s="29"/>
      <c r="F262" s="29"/>
      <c r="G262" s="29"/>
      <c r="H262" s="29"/>
      <c r="Y262" s="29"/>
      <c r="AB262" s="29"/>
      <c r="AI262" s="29"/>
    </row>
    <row r="263">
      <c r="D263" s="29"/>
      <c r="E263" s="29"/>
      <c r="F263" s="29"/>
      <c r="G263" s="29"/>
      <c r="H263" s="29"/>
      <c r="Y263" s="29"/>
      <c r="AB263" s="29"/>
      <c r="AI263" s="29"/>
    </row>
    <row r="264">
      <c r="D264" s="29"/>
      <c r="E264" s="29"/>
      <c r="F264" s="29"/>
      <c r="G264" s="29"/>
      <c r="H264" s="29"/>
      <c r="Y264" s="29"/>
      <c r="AB264" s="29"/>
      <c r="AI264" s="29"/>
    </row>
    <row r="265">
      <c r="D265" s="29"/>
      <c r="E265" s="29"/>
      <c r="F265" s="29"/>
      <c r="G265" s="29"/>
      <c r="H265" s="29"/>
      <c r="Y265" s="29"/>
      <c r="AB265" s="29"/>
      <c r="AI265" s="29"/>
    </row>
    <row r="266">
      <c r="D266" s="29"/>
      <c r="E266" s="29"/>
      <c r="F266" s="29"/>
      <c r="G266" s="29"/>
      <c r="H266" s="29"/>
      <c r="Y266" s="29"/>
      <c r="AB266" s="29"/>
      <c r="AI266" s="29"/>
    </row>
    <row r="267">
      <c r="D267" s="29"/>
      <c r="E267" s="29"/>
      <c r="F267" s="29"/>
      <c r="G267" s="29"/>
      <c r="H267" s="29"/>
      <c r="Y267" s="29"/>
      <c r="AB267" s="29"/>
      <c r="AI267" s="29"/>
    </row>
    <row r="268">
      <c r="D268" s="29"/>
      <c r="E268" s="29"/>
      <c r="F268" s="29"/>
      <c r="G268" s="29"/>
      <c r="H268" s="29"/>
      <c r="Y268" s="29"/>
      <c r="AB268" s="29"/>
      <c r="AI268" s="29"/>
    </row>
    <row r="269">
      <c r="D269" s="29"/>
      <c r="E269" s="29"/>
      <c r="F269" s="29"/>
      <c r="G269" s="29"/>
      <c r="H269" s="29"/>
      <c r="Y269" s="29"/>
      <c r="AB269" s="29"/>
      <c r="AI269" s="29"/>
    </row>
    <row r="270">
      <c r="D270" s="29"/>
      <c r="E270" s="29"/>
      <c r="F270" s="29"/>
      <c r="G270" s="29"/>
      <c r="H270" s="29"/>
      <c r="Y270" s="29"/>
      <c r="AB270" s="29"/>
      <c r="AI270" s="29"/>
    </row>
    <row r="271">
      <c r="D271" s="29"/>
      <c r="E271" s="29"/>
      <c r="F271" s="29"/>
      <c r="G271" s="29"/>
      <c r="H271" s="29"/>
      <c r="Y271" s="29"/>
      <c r="AB271" s="29"/>
      <c r="AI271" s="29"/>
    </row>
    <row r="272">
      <c r="D272" s="29"/>
      <c r="E272" s="29"/>
      <c r="F272" s="29"/>
      <c r="G272" s="29"/>
      <c r="H272" s="29"/>
      <c r="Y272" s="29"/>
      <c r="AB272" s="29"/>
      <c r="AI272" s="29"/>
    </row>
    <row r="273">
      <c r="D273" s="29"/>
      <c r="E273" s="29"/>
      <c r="F273" s="29"/>
      <c r="G273" s="29"/>
      <c r="H273" s="29"/>
      <c r="Y273" s="29"/>
      <c r="AB273" s="29"/>
      <c r="AI273" s="29"/>
    </row>
    <row r="274">
      <c r="D274" s="29"/>
      <c r="E274" s="29"/>
      <c r="F274" s="29"/>
      <c r="G274" s="29"/>
      <c r="H274" s="29"/>
      <c r="Y274" s="29"/>
      <c r="AB274" s="29"/>
      <c r="AI274" s="29"/>
    </row>
    <row r="275">
      <c r="D275" s="29"/>
      <c r="E275" s="29"/>
      <c r="F275" s="29"/>
      <c r="G275" s="29"/>
      <c r="H275" s="29"/>
      <c r="Y275" s="29"/>
      <c r="AB275" s="29"/>
      <c r="AI275" s="29"/>
    </row>
    <row r="276">
      <c r="D276" s="29"/>
      <c r="E276" s="29"/>
      <c r="F276" s="29"/>
      <c r="G276" s="29"/>
      <c r="H276" s="29"/>
      <c r="Y276" s="29"/>
      <c r="AB276" s="29"/>
      <c r="AI276" s="29"/>
    </row>
    <row r="277">
      <c r="D277" s="29"/>
      <c r="E277" s="29"/>
      <c r="F277" s="29"/>
      <c r="G277" s="29"/>
      <c r="H277" s="29"/>
      <c r="Y277" s="29"/>
      <c r="AB277" s="29"/>
      <c r="AI277" s="29"/>
    </row>
    <row r="278">
      <c r="D278" s="29"/>
      <c r="E278" s="29"/>
      <c r="F278" s="29"/>
      <c r="G278" s="29"/>
      <c r="H278" s="29"/>
      <c r="Y278" s="29"/>
      <c r="AB278" s="29"/>
      <c r="AI278" s="29"/>
    </row>
    <row r="279">
      <c r="D279" s="29"/>
      <c r="E279" s="29"/>
      <c r="F279" s="29"/>
      <c r="G279" s="29"/>
      <c r="H279" s="29"/>
      <c r="Y279" s="29"/>
      <c r="AB279" s="29"/>
      <c r="AI279" s="29"/>
    </row>
    <row r="280">
      <c r="D280" s="29"/>
      <c r="E280" s="29"/>
      <c r="F280" s="29"/>
      <c r="G280" s="29"/>
      <c r="H280" s="29"/>
      <c r="Y280" s="29"/>
      <c r="AB280" s="29"/>
      <c r="AI280" s="29"/>
    </row>
    <row r="281">
      <c r="D281" s="29"/>
      <c r="E281" s="29"/>
      <c r="F281" s="29"/>
      <c r="G281" s="29"/>
      <c r="H281" s="29"/>
      <c r="Y281" s="29"/>
      <c r="AB281" s="29"/>
      <c r="AI281" s="29"/>
    </row>
    <row r="282">
      <c r="D282" s="29"/>
      <c r="E282" s="29"/>
      <c r="F282" s="29"/>
      <c r="G282" s="29"/>
      <c r="H282" s="29"/>
      <c r="Y282" s="29"/>
      <c r="AB282" s="29"/>
      <c r="AI282" s="29"/>
    </row>
    <row r="283">
      <c r="D283" s="29"/>
      <c r="E283" s="29"/>
      <c r="F283" s="29"/>
      <c r="G283" s="29"/>
      <c r="H283" s="29"/>
      <c r="Y283" s="29"/>
      <c r="AB283" s="29"/>
      <c r="AI283" s="29"/>
    </row>
    <row r="284">
      <c r="D284" s="29"/>
      <c r="E284" s="29"/>
      <c r="F284" s="29"/>
      <c r="G284" s="29"/>
      <c r="H284" s="29"/>
      <c r="Y284" s="29"/>
      <c r="AB284" s="29"/>
      <c r="AI284" s="29"/>
    </row>
    <row r="285">
      <c r="D285" s="29"/>
      <c r="E285" s="29"/>
      <c r="F285" s="29"/>
      <c r="G285" s="29"/>
      <c r="H285" s="29"/>
      <c r="Y285" s="29"/>
      <c r="AB285" s="29"/>
      <c r="AI285" s="29"/>
    </row>
    <row r="286">
      <c r="D286" s="29"/>
      <c r="E286" s="29"/>
      <c r="F286" s="29"/>
      <c r="G286" s="29"/>
      <c r="H286" s="29"/>
      <c r="Y286" s="29"/>
      <c r="AB286" s="29"/>
      <c r="AI286" s="29"/>
    </row>
    <row r="287">
      <c r="D287" s="29"/>
      <c r="E287" s="29"/>
      <c r="F287" s="29"/>
      <c r="G287" s="29"/>
      <c r="H287" s="29"/>
      <c r="Y287" s="29"/>
      <c r="AB287" s="29"/>
      <c r="AI287" s="29"/>
    </row>
    <row r="288">
      <c r="D288" s="29"/>
      <c r="E288" s="29"/>
      <c r="F288" s="29"/>
      <c r="G288" s="29"/>
      <c r="H288" s="29"/>
      <c r="Y288" s="29"/>
      <c r="AB288" s="29"/>
      <c r="AI288" s="29"/>
    </row>
    <row r="289">
      <c r="D289" s="29"/>
      <c r="E289" s="29"/>
      <c r="F289" s="29"/>
      <c r="G289" s="29"/>
      <c r="H289" s="29"/>
      <c r="Y289" s="29"/>
      <c r="AB289" s="29"/>
      <c r="AI289" s="29"/>
    </row>
    <row r="290">
      <c r="D290" s="29"/>
      <c r="E290" s="29"/>
      <c r="F290" s="29"/>
      <c r="G290" s="29"/>
      <c r="H290" s="29"/>
      <c r="Y290" s="29"/>
      <c r="AB290" s="29"/>
      <c r="AI290" s="29"/>
    </row>
    <row r="291">
      <c r="D291" s="29"/>
      <c r="E291" s="29"/>
      <c r="F291" s="29"/>
      <c r="G291" s="29"/>
      <c r="H291" s="29"/>
      <c r="Y291" s="29"/>
      <c r="AB291" s="29"/>
      <c r="AI291" s="29"/>
    </row>
    <row r="292">
      <c r="D292" s="29"/>
      <c r="E292" s="29"/>
      <c r="F292" s="29"/>
      <c r="G292" s="29"/>
      <c r="H292" s="29"/>
      <c r="Y292" s="29"/>
      <c r="AB292" s="29"/>
      <c r="AI292" s="29"/>
    </row>
    <row r="293">
      <c r="D293" s="29"/>
      <c r="E293" s="29"/>
      <c r="F293" s="29"/>
      <c r="G293" s="29"/>
      <c r="H293" s="29"/>
      <c r="Y293" s="29"/>
      <c r="AB293" s="29"/>
      <c r="AI293" s="29"/>
    </row>
    <row r="294">
      <c r="D294" s="29"/>
      <c r="E294" s="29"/>
      <c r="F294" s="29"/>
      <c r="G294" s="29"/>
      <c r="H294" s="29"/>
      <c r="Y294" s="29"/>
      <c r="AB294" s="29"/>
      <c r="AI294" s="29"/>
    </row>
    <row r="295">
      <c r="D295" s="29"/>
      <c r="E295" s="29"/>
      <c r="F295" s="29"/>
      <c r="G295" s="29"/>
      <c r="H295" s="29"/>
      <c r="Y295" s="29"/>
      <c r="AB295" s="29"/>
      <c r="AI295" s="29"/>
    </row>
    <row r="296">
      <c r="D296" s="29"/>
      <c r="E296" s="29"/>
      <c r="F296" s="29"/>
      <c r="G296" s="29"/>
      <c r="H296" s="29"/>
      <c r="Y296" s="29"/>
      <c r="AB296" s="29"/>
      <c r="AI296" s="29"/>
    </row>
    <row r="297">
      <c r="D297" s="29"/>
      <c r="E297" s="29"/>
      <c r="F297" s="29"/>
      <c r="G297" s="29"/>
      <c r="H297" s="29"/>
      <c r="Y297" s="29"/>
      <c r="AB297" s="29"/>
      <c r="AI297" s="29"/>
    </row>
    <row r="298">
      <c r="D298" s="29"/>
      <c r="E298" s="29"/>
      <c r="F298" s="29"/>
      <c r="G298" s="29"/>
      <c r="H298" s="29"/>
      <c r="Y298" s="29"/>
      <c r="AB298" s="29"/>
      <c r="AI298" s="29"/>
    </row>
    <row r="299">
      <c r="D299" s="29"/>
      <c r="E299" s="29"/>
      <c r="F299" s="29"/>
      <c r="G299" s="29"/>
      <c r="H299" s="29"/>
      <c r="Y299" s="29"/>
      <c r="AB299" s="29"/>
      <c r="AI299" s="29"/>
    </row>
    <row r="300">
      <c r="D300" s="29"/>
      <c r="E300" s="29"/>
      <c r="F300" s="29"/>
      <c r="G300" s="29"/>
      <c r="H300" s="29"/>
      <c r="Y300" s="29"/>
      <c r="AB300" s="29"/>
      <c r="AI300" s="29"/>
    </row>
    <row r="301">
      <c r="D301" s="29"/>
      <c r="E301" s="29"/>
      <c r="F301" s="29"/>
      <c r="G301" s="29"/>
      <c r="H301" s="29"/>
      <c r="Y301" s="29"/>
      <c r="AB301" s="29"/>
      <c r="AI301" s="29"/>
    </row>
    <row r="302">
      <c r="D302" s="29"/>
      <c r="E302" s="29"/>
      <c r="F302" s="29"/>
      <c r="G302" s="29"/>
      <c r="H302" s="29"/>
      <c r="Y302" s="29"/>
      <c r="AB302" s="29"/>
      <c r="AI302" s="29"/>
    </row>
    <row r="303">
      <c r="D303" s="29"/>
      <c r="E303" s="29"/>
      <c r="F303" s="29"/>
      <c r="G303" s="29"/>
      <c r="H303" s="29"/>
      <c r="Y303" s="29"/>
      <c r="AB303" s="29"/>
      <c r="AI303" s="29"/>
    </row>
    <row r="304">
      <c r="D304" s="29"/>
      <c r="E304" s="29"/>
      <c r="F304" s="29"/>
      <c r="G304" s="29"/>
      <c r="H304" s="29"/>
      <c r="Y304" s="29"/>
      <c r="AB304" s="29"/>
      <c r="AI304" s="29"/>
    </row>
    <row r="305">
      <c r="D305" s="29"/>
      <c r="E305" s="29"/>
      <c r="F305" s="29"/>
      <c r="G305" s="29"/>
      <c r="H305" s="29"/>
      <c r="Y305" s="29"/>
      <c r="AB305" s="29"/>
      <c r="AI305" s="29"/>
    </row>
    <row r="306">
      <c r="D306" s="29"/>
      <c r="E306" s="29"/>
      <c r="F306" s="29"/>
      <c r="G306" s="29"/>
      <c r="H306" s="29"/>
      <c r="Y306" s="29"/>
      <c r="AB306" s="29"/>
      <c r="AI306" s="29"/>
    </row>
    <row r="307">
      <c r="D307" s="29"/>
      <c r="E307" s="29"/>
      <c r="F307" s="29"/>
      <c r="G307" s="29"/>
      <c r="H307" s="29"/>
      <c r="Y307" s="29"/>
      <c r="AB307" s="29"/>
      <c r="AI307" s="29"/>
    </row>
    <row r="308">
      <c r="D308" s="29"/>
      <c r="E308" s="29"/>
      <c r="F308" s="29"/>
      <c r="G308" s="29"/>
      <c r="H308" s="29"/>
      <c r="Y308" s="29"/>
      <c r="AB308" s="29"/>
      <c r="AI308" s="29"/>
    </row>
    <row r="309">
      <c r="D309" s="29"/>
      <c r="E309" s="29"/>
      <c r="F309" s="29"/>
      <c r="G309" s="29"/>
      <c r="H309" s="29"/>
      <c r="Y309" s="29"/>
      <c r="AB309" s="29"/>
      <c r="AI309" s="29"/>
    </row>
    <row r="310">
      <c r="D310" s="29"/>
      <c r="E310" s="29"/>
      <c r="F310" s="29"/>
      <c r="G310" s="29"/>
      <c r="H310" s="29"/>
      <c r="Y310" s="29"/>
      <c r="AB310" s="29"/>
      <c r="AI310" s="29"/>
    </row>
    <row r="311">
      <c r="D311" s="29"/>
      <c r="E311" s="29"/>
      <c r="F311" s="29"/>
      <c r="G311" s="29"/>
      <c r="H311" s="29"/>
      <c r="Y311" s="29"/>
      <c r="AB311" s="29"/>
      <c r="AI311" s="29"/>
    </row>
    <row r="312">
      <c r="D312" s="29"/>
      <c r="E312" s="29"/>
      <c r="F312" s="29"/>
      <c r="G312" s="29"/>
      <c r="H312" s="29"/>
      <c r="Y312" s="29"/>
      <c r="AB312" s="29"/>
      <c r="AI312" s="29"/>
    </row>
    <row r="313">
      <c r="D313" s="29"/>
      <c r="E313" s="29"/>
      <c r="F313" s="29"/>
      <c r="G313" s="29"/>
      <c r="H313" s="29"/>
      <c r="Y313" s="29"/>
      <c r="AB313" s="29"/>
      <c r="AI313" s="29"/>
    </row>
    <row r="314">
      <c r="D314" s="29"/>
      <c r="E314" s="29"/>
      <c r="F314" s="29"/>
      <c r="G314" s="29"/>
      <c r="H314" s="29"/>
      <c r="Y314" s="29"/>
      <c r="AB314" s="29"/>
      <c r="AI314" s="29"/>
    </row>
    <row r="315">
      <c r="D315" s="29"/>
      <c r="E315" s="29"/>
      <c r="F315" s="29"/>
      <c r="G315" s="29"/>
      <c r="H315" s="29"/>
      <c r="Y315" s="29"/>
      <c r="AB315" s="29"/>
      <c r="AI315" s="29"/>
    </row>
    <row r="316">
      <c r="D316" s="29"/>
      <c r="E316" s="29"/>
      <c r="F316" s="29"/>
      <c r="G316" s="29"/>
      <c r="H316" s="29"/>
      <c r="Y316" s="29"/>
      <c r="AB316" s="29"/>
      <c r="AI316" s="29"/>
    </row>
    <row r="317">
      <c r="D317" s="29"/>
      <c r="E317" s="29"/>
      <c r="F317" s="29"/>
      <c r="G317" s="29"/>
      <c r="H317" s="29"/>
      <c r="Y317" s="29"/>
      <c r="AB317" s="29"/>
      <c r="AI317" s="29"/>
    </row>
    <row r="318">
      <c r="D318" s="29"/>
      <c r="E318" s="29"/>
      <c r="F318" s="29"/>
      <c r="G318" s="29"/>
      <c r="H318" s="29"/>
      <c r="Y318" s="29"/>
      <c r="AB318" s="29"/>
      <c r="AI318" s="29"/>
    </row>
    <row r="319">
      <c r="D319" s="29"/>
      <c r="E319" s="29"/>
      <c r="F319" s="29"/>
      <c r="G319" s="29"/>
      <c r="H319" s="29"/>
      <c r="Y319" s="29"/>
      <c r="AB319" s="29"/>
      <c r="AI319" s="29"/>
    </row>
    <row r="320">
      <c r="D320" s="29"/>
      <c r="E320" s="29"/>
      <c r="F320" s="29"/>
      <c r="G320" s="29"/>
      <c r="H320" s="29"/>
      <c r="Y320" s="29"/>
      <c r="AB320" s="29"/>
      <c r="AI320" s="29"/>
    </row>
    <row r="321">
      <c r="D321" s="29"/>
      <c r="E321" s="29"/>
      <c r="F321" s="29"/>
      <c r="G321" s="29"/>
      <c r="H321" s="29"/>
      <c r="Y321" s="29"/>
      <c r="AB321" s="29"/>
      <c r="AI321" s="29"/>
    </row>
    <row r="322">
      <c r="D322" s="29"/>
      <c r="E322" s="29"/>
      <c r="F322" s="29"/>
      <c r="G322" s="29"/>
      <c r="H322" s="29"/>
      <c r="Y322" s="29"/>
      <c r="AB322" s="29"/>
      <c r="AI322" s="29"/>
    </row>
    <row r="323">
      <c r="D323" s="29"/>
      <c r="E323" s="29"/>
      <c r="F323" s="29"/>
      <c r="G323" s="29"/>
      <c r="H323" s="29"/>
      <c r="Y323" s="29"/>
      <c r="AB323" s="29"/>
      <c r="AI323" s="29"/>
    </row>
    <row r="324">
      <c r="D324" s="29"/>
      <c r="E324" s="29"/>
      <c r="F324" s="29"/>
      <c r="G324" s="29"/>
      <c r="H324" s="29"/>
      <c r="Y324" s="29"/>
      <c r="AB324" s="29"/>
      <c r="AI324" s="29"/>
    </row>
    <row r="325">
      <c r="D325" s="29"/>
      <c r="E325" s="29"/>
      <c r="F325" s="29"/>
      <c r="G325" s="29"/>
      <c r="H325" s="29"/>
      <c r="Y325" s="29"/>
      <c r="AB325" s="29"/>
      <c r="AI325" s="29"/>
    </row>
    <row r="326">
      <c r="D326" s="29"/>
      <c r="E326" s="29"/>
      <c r="F326" s="29"/>
      <c r="G326" s="29"/>
      <c r="H326" s="29"/>
      <c r="Y326" s="29"/>
      <c r="AB326" s="29"/>
      <c r="AI326" s="29"/>
    </row>
    <row r="327">
      <c r="D327" s="29"/>
      <c r="E327" s="29"/>
      <c r="F327" s="29"/>
      <c r="G327" s="29"/>
      <c r="H327" s="29"/>
      <c r="Y327" s="29"/>
      <c r="AB327" s="29"/>
      <c r="AI327" s="29"/>
    </row>
    <row r="328">
      <c r="D328" s="29"/>
      <c r="E328" s="29"/>
      <c r="F328" s="29"/>
      <c r="G328" s="29"/>
      <c r="H328" s="29"/>
      <c r="Y328" s="29"/>
      <c r="AB328" s="29"/>
      <c r="AI328" s="29"/>
    </row>
    <row r="329">
      <c r="D329" s="29"/>
      <c r="E329" s="29"/>
      <c r="F329" s="29"/>
      <c r="G329" s="29"/>
      <c r="H329" s="29"/>
      <c r="Y329" s="29"/>
      <c r="AB329" s="29"/>
      <c r="AI329" s="29"/>
    </row>
    <row r="330">
      <c r="D330" s="29"/>
      <c r="E330" s="29"/>
      <c r="F330" s="29"/>
      <c r="G330" s="29"/>
      <c r="H330" s="29"/>
      <c r="Y330" s="29"/>
      <c r="AB330" s="29"/>
      <c r="AI330" s="29"/>
    </row>
    <row r="331">
      <c r="D331" s="29"/>
      <c r="E331" s="29"/>
      <c r="F331" s="29"/>
      <c r="G331" s="29"/>
      <c r="H331" s="29"/>
      <c r="Y331" s="29"/>
      <c r="AB331" s="29"/>
      <c r="AI331" s="29"/>
    </row>
    <row r="332">
      <c r="D332" s="29"/>
      <c r="E332" s="29"/>
      <c r="F332" s="29"/>
      <c r="G332" s="29"/>
      <c r="H332" s="29"/>
      <c r="Y332" s="29"/>
      <c r="AB332" s="29"/>
      <c r="AI332" s="29"/>
    </row>
    <row r="333">
      <c r="D333" s="29"/>
      <c r="E333" s="29"/>
      <c r="F333" s="29"/>
      <c r="G333" s="29"/>
      <c r="H333" s="29"/>
      <c r="Y333" s="29"/>
      <c r="AB333" s="29"/>
      <c r="AI333" s="29"/>
    </row>
    <row r="334">
      <c r="D334" s="29"/>
      <c r="E334" s="29"/>
      <c r="F334" s="29"/>
      <c r="G334" s="29"/>
      <c r="H334" s="29"/>
      <c r="Y334" s="29"/>
      <c r="AB334" s="29"/>
      <c r="AI334" s="29"/>
    </row>
    <row r="335">
      <c r="D335" s="29"/>
      <c r="E335" s="29"/>
      <c r="F335" s="29"/>
      <c r="G335" s="29"/>
      <c r="H335" s="29"/>
      <c r="Y335" s="29"/>
      <c r="AB335" s="29"/>
      <c r="AI335" s="29"/>
    </row>
    <row r="336">
      <c r="D336" s="29"/>
      <c r="E336" s="29"/>
      <c r="F336" s="29"/>
      <c r="G336" s="29"/>
      <c r="H336" s="29"/>
      <c r="Y336" s="29"/>
      <c r="AB336" s="29"/>
      <c r="AI336" s="29"/>
    </row>
    <row r="337">
      <c r="D337" s="29"/>
      <c r="E337" s="29"/>
      <c r="F337" s="29"/>
      <c r="G337" s="29"/>
      <c r="H337" s="29"/>
      <c r="Y337" s="29"/>
      <c r="AB337" s="29"/>
      <c r="AI337" s="29"/>
    </row>
    <row r="338">
      <c r="D338" s="29"/>
      <c r="E338" s="29"/>
      <c r="F338" s="29"/>
      <c r="G338" s="29"/>
      <c r="H338" s="29"/>
      <c r="Y338" s="29"/>
      <c r="AB338" s="29"/>
      <c r="AI338" s="29"/>
    </row>
    <row r="339">
      <c r="D339" s="29"/>
      <c r="E339" s="29"/>
      <c r="F339" s="29"/>
      <c r="G339" s="29"/>
      <c r="H339" s="29"/>
      <c r="Y339" s="29"/>
      <c r="AB339" s="29"/>
      <c r="AI339" s="29"/>
    </row>
    <row r="340">
      <c r="D340" s="29"/>
      <c r="E340" s="29"/>
      <c r="F340" s="29"/>
      <c r="G340" s="29"/>
      <c r="H340" s="29"/>
      <c r="Y340" s="29"/>
      <c r="AB340" s="29"/>
      <c r="AI340" s="29"/>
    </row>
    <row r="341">
      <c r="D341" s="29"/>
      <c r="E341" s="29"/>
      <c r="F341" s="29"/>
      <c r="G341" s="29"/>
      <c r="H341" s="29"/>
      <c r="Y341" s="29"/>
      <c r="AB341" s="29"/>
      <c r="AI341" s="29"/>
    </row>
    <row r="342">
      <c r="D342" s="29"/>
      <c r="E342" s="29"/>
      <c r="F342" s="29"/>
      <c r="G342" s="29"/>
      <c r="H342" s="29"/>
      <c r="Y342" s="29"/>
      <c r="AB342" s="29"/>
      <c r="AI342" s="29"/>
    </row>
    <row r="343">
      <c r="D343" s="29"/>
      <c r="E343" s="29"/>
      <c r="F343" s="29"/>
      <c r="G343" s="29"/>
      <c r="H343" s="29"/>
      <c r="Y343" s="29"/>
      <c r="AB343" s="29"/>
      <c r="AI343" s="29"/>
    </row>
    <row r="344">
      <c r="D344" s="29"/>
      <c r="E344" s="29"/>
      <c r="F344" s="29"/>
      <c r="G344" s="29"/>
      <c r="H344" s="29"/>
      <c r="Y344" s="29"/>
      <c r="AB344" s="29"/>
      <c r="AI344" s="29"/>
    </row>
    <row r="345">
      <c r="D345" s="29"/>
      <c r="E345" s="29"/>
      <c r="F345" s="29"/>
      <c r="G345" s="29"/>
      <c r="H345" s="29"/>
      <c r="Y345" s="29"/>
      <c r="AB345" s="29"/>
      <c r="AI345" s="29"/>
    </row>
    <row r="346">
      <c r="D346" s="29"/>
      <c r="E346" s="29"/>
      <c r="F346" s="29"/>
      <c r="G346" s="29"/>
      <c r="H346" s="29"/>
      <c r="Y346" s="29"/>
      <c r="AB346" s="29"/>
      <c r="AI346" s="29"/>
    </row>
    <row r="347">
      <c r="D347" s="29"/>
      <c r="E347" s="29"/>
      <c r="F347" s="29"/>
      <c r="G347" s="29"/>
      <c r="H347" s="29"/>
      <c r="Y347" s="29"/>
      <c r="AB347" s="29"/>
      <c r="AI347" s="29"/>
    </row>
    <row r="348">
      <c r="D348" s="29"/>
      <c r="E348" s="29"/>
      <c r="F348" s="29"/>
      <c r="G348" s="29"/>
      <c r="H348" s="29"/>
      <c r="Y348" s="29"/>
      <c r="AB348" s="29"/>
      <c r="AI348" s="29"/>
    </row>
    <row r="349">
      <c r="D349" s="29"/>
      <c r="E349" s="29"/>
      <c r="F349" s="29"/>
      <c r="G349" s="29"/>
      <c r="H349" s="29"/>
      <c r="Y349" s="29"/>
      <c r="AB349" s="29"/>
      <c r="AI349" s="29"/>
    </row>
    <row r="350">
      <c r="D350" s="29"/>
      <c r="E350" s="29"/>
      <c r="F350" s="29"/>
      <c r="G350" s="29"/>
      <c r="H350" s="29"/>
      <c r="Y350" s="29"/>
      <c r="AB350" s="29"/>
      <c r="AI350" s="29"/>
    </row>
    <row r="351">
      <c r="D351" s="29"/>
      <c r="E351" s="29"/>
      <c r="F351" s="29"/>
      <c r="G351" s="29"/>
      <c r="H351" s="29"/>
      <c r="Y351" s="29"/>
      <c r="AB351" s="29"/>
      <c r="AI351" s="29"/>
    </row>
    <row r="352">
      <c r="D352" s="29"/>
      <c r="E352" s="29"/>
      <c r="F352" s="29"/>
      <c r="G352" s="29"/>
      <c r="H352" s="29"/>
      <c r="Y352" s="29"/>
      <c r="AB352" s="29"/>
      <c r="AI352" s="29"/>
    </row>
    <row r="353">
      <c r="D353" s="29"/>
      <c r="E353" s="29"/>
      <c r="F353" s="29"/>
      <c r="G353" s="29"/>
      <c r="H353" s="29"/>
      <c r="Y353" s="29"/>
      <c r="AB353" s="29"/>
      <c r="AI353" s="29"/>
    </row>
    <row r="354">
      <c r="D354" s="29"/>
      <c r="E354" s="29"/>
      <c r="F354" s="29"/>
      <c r="G354" s="29"/>
      <c r="H354" s="29"/>
      <c r="Y354" s="29"/>
      <c r="AB354" s="29"/>
      <c r="AI354" s="29"/>
    </row>
    <row r="355">
      <c r="D355" s="29"/>
      <c r="E355" s="29"/>
      <c r="F355" s="29"/>
      <c r="G355" s="29"/>
      <c r="H355" s="29"/>
      <c r="Y355" s="29"/>
      <c r="AB355" s="29"/>
      <c r="AI355" s="29"/>
    </row>
    <row r="356">
      <c r="D356" s="29"/>
      <c r="E356" s="29"/>
      <c r="F356" s="29"/>
      <c r="G356" s="29"/>
      <c r="H356" s="29"/>
      <c r="Y356" s="29"/>
      <c r="AB356" s="29"/>
      <c r="AI356" s="29"/>
    </row>
    <row r="357">
      <c r="D357" s="29"/>
      <c r="E357" s="29"/>
      <c r="F357" s="29"/>
      <c r="G357" s="29"/>
      <c r="H357" s="29"/>
      <c r="Y357" s="29"/>
      <c r="AB357" s="29"/>
      <c r="AI357" s="29"/>
    </row>
    <row r="358">
      <c r="D358" s="29"/>
      <c r="E358" s="29"/>
      <c r="F358" s="29"/>
      <c r="G358" s="29"/>
      <c r="H358" s="29"/>
      <c r="Y358" s="29"/>
      <c r="AB358" s="29"/>
      <c r="AI358" s="29"/>
    </row>
    <row r="359">
      <c r="D359" s="29"/>
      <c r="E359" s="29"/>
      <c r="F359" s="29"/>
      <c r="G359" s="29"/>
      <c r="H359" s="29"/>
      <c r="Y359" s="29"/>
      <c r="AB359" s="29"/>
      <c r="AI359" s="29"/>
    </row>
    <row r="360">
      <c r="D360" s="29"/>
      <c r="E360" s="29"/>
      <c r="F360" s="29"/>
      <c r="G360" s="29"/>
      <c r="H360" s="29"/>
      <c r="Y360" s="29"/>
      <c r="AB360" s="29"/>
      <c r="AI360" s="29"/>
    </row>
    <row r="361">
      <c r="D361" s="29"/>
      <c r="E361" s="29"/>
      <c r="F361" s="29"/>
      <c r="G361" s="29"/>
      <c r="H361" s="29"/>
      <c r="Y361" s="29"/>
      <c r="AB361" s="29"/>
      <c r="AI361" s="29"/>
    </row>
    <row r="362">
      <c r="D362" s="29"/>
      <c r="E362" s="29"/>
      <c r="F362" s="29"/>
      <c r="G362" s="29"/>
      <c r="H362" s="29"/>
      <c r="Y362" s="29"/>
      <c r="AB362" s="29"/>
      <c r="AI362" s="29"/>
    </row>
    <row r="363">
      <c r="D363" s="29"/>
      <c r="E363" s="29"/>
      <c r="F363" s="29"/>
      <c r="G363" s="29"/>
      <c r="H363" s="29"/>
      <c r="Y363" s="29"/>
      <c r="AB363" s="29"/>
      <c r="AI363" s="29"/>
    </row>
    <row r="364">
      <c r="D364" s="29"/>
      <c r="E364" s="29"/>
      <c r="F364" s="29"/>
      <c r="G364" s="29"/>
      <c r="H364" s="29"/>
      <c r="Y364" s="29"/>
      <c r="AB364" s="29"/>
      <c r="AI364" s="29"/>
    </row>
    <row r="365">
      <c r="D365" s="29"/>
      <c r="E365" s="29"/>
      <c r="F365" s="29"/>
      <c r="G365" s="29"/>
      <c r="H365" s="29"/>
      <c r="Y365" s="29"/>
      <c r="AB365" s="29"/>
      <c r="AI365" s="29"/>
    </row>
    <row r="366">
      <c r="D366" s="29"/>
      <c r="E366" s="29"/>
      <c r="F366" s="29"/>
      <c r="G366" s="29"/>
      <c r="H366" s="29"/>
      <c r="Y366" s="29"/>
      <c r="AB366" s="29"/>
      <c r="AI366" s="29"/>
    </row>
    <row r="367">
      <c r="D367" s="29"/>
      <c r="E367" s="29"/>
      <c r="F367" s="29"/>
      <c r="G367" s="29"/>
      <c r="H367" s="29"/>
      <c r="Y367" s="29"/>
      <c r="AB367" s="29"/>
      <c r="AI367" s="29"/>
    </row>
    <row r="368">
      <c r="D368" s="29"/>
      <c r="E368" s="29"/>
      <c r="F368" s="29"/>
      <c r="G368" s="29"/>
      <c r="H368" s="29"/>
      <c r="Y368" s="29"/>
      <c r="AB368" s="29"/>
      <c r="AI368" s="29"/>
    </row>
    <row r="369">
      <c r="D369" s="29"/>
      <c r="E369" s="29"/>
      <c r="F369" s="29"/>
      <c r="G369" s="29"/>
      <c r="H369" s="29"/>
      <c r="Y369" s="29"/>
      <c r="AB369" s="29"/>
      <c r="AI369" s="29"/>
    </row>
    <row r="370">
      <c r="D370" s="29"/>
      <c r="E370" s="29"/>
      <c r="F370" s="29"/>
      <c r="G370" s="29"/>
      <c r="H370" s="29"/>
      <c r="Y370" s="29"/>
      <c r="AB370" s="29"/>
      <c r="AI370" s="29"/>
    </row>
    <row r="371">
      <c r="D371" s="29"/>
      <c r="E371" s="29"/>
      <c r="F371" s="29"/>
      <c r="G371" s="29"/>
      <c r="H371" s="29"/>
      <c r="Y371" s="29"/>
      <c r="AB371" s="29"/>
      <c r="AI371" s="29"/>
    </row>
    <row r="372">
      <c r="D372" s="29"/>
      <c r="E372" s="29"/>
      <c r="F372" s="29"/>
      <c r="G372" s="29"/>
      <c r="H372" s="29"/>
      <c r="Y372" s="29"/>
      <c r="AB372" s="29"/>
      <c r="AI372" s="29"/>
    </row>
    <row r="373">
      <c r="D373" s="29"/>
      <c r="E373" s="29"/>
      <c r="F373" s="29"/>
      <c r="G373" s="29"/>
      <c r="H373" s="29"/>
      <c r="Y373" s="29"/>
      <c r="AB373" s="29"/>
      <c r="AI373" s="29"/>
    </row>
    <row r="374">
      <c r="D374" s="29"/>
      <c r="E374" s="29"/>
      <c r="F374" s="29"/>
      <c r="G374" s="29"/>
      <c r="H374" s="29"/>
      <c r="Y374" s="29"/>
      <c r="AB374" s="29"/>
      <c r="AI374" s="29"/>
    </row>
    <row r="375">
      <c r="D375" s="29"/>
      <c r="E375" s="29"/>
      <c r="F375" s="29"/>
      <c r="G375" s="29"/>
      <c r="H375" s="29"/>
      <c r="Y375" s="29"/>
      <c r="AB375" s="29"/>
      <c r="AI375" s="29"/>
    </row>
    <row r="376">
      <c r="D376" s="29"/>
      <c r="E376" s="29"/>
      <c r="F376" s="29"/>
      <c r="G376" s="29"/>
      <c r="H376" s="29"/>
      <c r="Y376" s="29"/>
      <c r="AB376" s="29"/>
      <c r="AI376" s="29"/>
    </row>
    <row r="377">
      <c r="D377" s="29"/>
      <c r="E377" s="29"/>
      <c r="F377" s="29"/>
      <c r="G377" s="29"/>
      <c r="H377" s="29"/>
      <c r="Y377" s="29"/>
      <c r="AB377" s="29"/>
      <c r="AI377" s="29"/>
    </row>
    <row r="378">
      <c r="D378" s="29"/>
      <c r="E378" s="29"/>
      <c r="F378" s="29"/>
      <c r="G378" s="29"/>
      <c r="H378" s="29"/>
      <c r="Y378" s="29"/>
      <c r="AB378" s="29"/>
      <c r="AI378" s="29"/>
    </row>
    <row r="379">
      <c r="D379" s="29"/>
      <c r="E379" s="29"/>
      <c r="F379" s="29"/>
      <c r="G379" s="29"/>
      <c r="H379" s="29"/>
      <c r="Y379" s="29"/>
      <c r="AB379" s="29"/>
      <c r="AI379" s="29"/>
    </row>
    <row r="380">
      <c r="D380" s="29"/>
      <c r="E380" s="29"/>
      <c r="F380" s="29"/>
      <c r="G380" s="29"/>
      <c r="H380" s="29"/>
      <c r="Y380" s="29"/>
      <c r="AB380" s="29"/>
      <c r="AI380" s="29"/>
    </row>
    <row r="381">
      <c r="D381" s="29"/>
      <c r="E381" s="29"/>
      <c r="F381" s="29"/>
      <c r="G381" s="29"/>
      <c r="H381" s="29"/>
      <c r="Y381" s="29"/>
      <c r="AB381" s="29"/>
      <c r="AI381" s="29"/>
    </row>
    <row r="382">
      <c r="D382" s="29"/>
      <c r="E382" s="29"/>
      <c r="F382" s="29"/>
      <c r="G382" s="29"/>
      <c r="H382" s="29"/>
      <c r="Y382" s="29"/>
      <c r="AB382" s="29"/>
      <c r="AI382" s="29"/>
    </row>
    <row r="383">
      <c r="D383" s="29"/>
      <c r="E383" s="29"/>
      <c r="F383" s="29"/>
      <c r="G383" s="29"/>
      <c r="H383" s="29"/>
      <c r="Y383" s="29"/>
      <c r="AB383" s="29"/>
      <c r="AI383" s="29"/>
    </row>
    <row r="384">
      <c r="D384" s="29"/>
      <c r="E384" s="29"/>
      <c r="F384" s="29"/>
      <c r="G384" s="29"/>
      <c r="H384" s="29"/>
      <c r="Y384" s="29"/>
      <c r="AB384" s="29"/>
      <c r="AI384" s="29"/>
    </row>
    <row r="385">
      <c r="D385" s="29"/>
      <c r="E385" s="29"/>
      <c r="F385" s="29"/>
      <c r="G385" s="29"/>
      <c r="H385" s="29"/>
      <c r="Y385" s="29"/>
      <c r="AB385" s="29"/>
      <c r="AI385" s="29"/>
    </row>
    <row r="386">
      <c r="D386" s="29"/>
      <c r="E386" s="29"/>
      <c r="F386" s="29"/>
      <c r="G386" s="29"/>
      <c r="H386" s="29"/>
      <c r="Y386" s="29"/>
      <c r="AB386" s="29"/>
      <c r="AI386" s="29"/>
    </row>
    <row r="387">
      <c r="D387" s="29"/>
      <c r="E387" s="29"/>
      <c r="F387" s="29"/>
      <c r="G387" s="29"/>
      <c r="H387" s="29"/>
      <c r="Y387" s="29"/>
      <c r="AB387" s="29"/>
      <c r="AI387" s="29"/>
    </row>
    <row r="388">
      <c r="D388" s="29"/>
      <c r="E388" s="29"/>
      <c r="F388" s="29"/>
      <c r="G388" s="29"/>
      <c r="H388" s="29"/>
      <c r="Y388" s="29"/>
      <c r="AB388" s="29"/>
      <c r="AI388" s="29"/>
    </row>
    <row r="389">
      <c r="D389" s="29"/>
      <c r="E389" s="29"/>
      <c r="F389" s="29"/>
      <c r="G389" s="29"/>
      <c r="H389" s="29"/>
      <c r="Y389" s="29"/>
      <c r="AB389" s="29"/>
      <c r="AI389" s="29"/>
    </row>
    <row r="390">
      <c r="D390" s="29"/>
      <c r="E390" s="29"/>
      <c r="F390" s="29"/>
      <c r="G390" s="29"/>
      <c r="H390" s="29"/>
      <c r="Y390" s="29"/>
      <c r="AB390" s="29"/>
      <c r="AI390" s="29"/>
    </row>
    <row r="391">
      <c r="D391" s="29"/>
      <c r="E391" s="29"/>
      <c r="F391" s="29"/>
      <c r="G391" s="29"/>
      <c r="H391" s="29"/>
      <c r="Y391" s="29"/>
      <c r="AB391" s="29"/>
      <c r="AI391" s="29"/>
    </row>
    <row r="392">
      <c r="D392" s="29"/>
      <c r="E392" s="29"/>
      <c r="F392" s="29"/>
      <c r="G392" s="29"/>
      <c r="H392" s="29"/>
      <c r="Y392" s="29"/>
      <c r="AB392" s="29"/>
      <c r="AI392" s="29"/>
    </row>
    <row r="393">
      <c r="D393" s="29"/>
      <c r="E393" s="29"/>
      <c r="F393" s="29"/>
      <c r="G393" s="29"/>
      <c r="H393" s="29"/>
      <c r="Y393" s="29"/>
      <c r="AB393" s="29"/>
      <c r="AI393" s="29"/>
    </row>
    <row r="394">
      <c r="D394" s="29"/>
      <c r="E394" s="29"/>
      <c r="F394" s="29"/>
      <c r="G394" s="29"/>
      <c r="H394" s="29"/>
      <c r="Y394" s="29"/>
      <c r="AB394" s="29"/>
      <c r="AI394" s="29"/>
    </row>
    <row r="395">
      <c r="D395" s="29"/>
      <c r="E395" s="29"/>
      <c r="F395" s="29"/>
      <c r="G395" s="29"/>
      <c r="H395" s="29"/>
      <c r="Y395" s="29"/>
      <c r="AB395" s="29"/>
      <c r="AI395" s="29"/>
    </row>
    <row r="396">
      <c r="D396" s="29"/>
      <c r="E396" s="29"/>
      <c r="F396" s="29"/>
      <c r="G396" s="29"/>
      <c r="H396" s="29"/>
      <c r="Y396" s="29"/>
      <c r="AB396" s="29"/>
      <c r="AI396" s="29"/>
    </row>
    <row r="397">
      <c r="D397" s="29"/>
      <c r="E397" s="29"/>
      <c r="F397" s="29"/>
      <c r="G397" s="29"/>
      <c r="H397" s="29"/>
      <c r="Y397" s="29"/>
      <c r="AB397" s="29"/>
      <c r="AI397" s="29"/>
    </row>
    <row r="398">
      <c r="D398" s="29"/>
      <c r="E398" s="29"/>
      <c r="F398" s="29"/>
      <c r="G398" s="29"/>
      <c r="H398" s="29"/>
      <c r="Y398" s="29"/>
      <c r="AB398" s="29"/>
      <c r="AI398" s="29"/>
    </row>
    <row r="399">
      <c r="D399" s="29"/>
      <c r="E399" s="29"/>
      <c r="F399" s="29"/>
      <c r="G399" s="29"/>
      <c r="H399" s="29"/>
      <c r="Y399" s="29"/>
      <c r="AB399" s="29"/>
      <c r="AI399" s="29"/>
    </row>
    <row r="400">
      <c r="D400" s="29"/>
      <c r="E400" s="29"/>
      <c r="F400" s="29"/>
      <c r="G400" s="29"/>
      <c r="H400" s="29"/>
      <c r="Y400" s="29"/>
      <c r="AB400" s="29"/>
      <c r="AI400" s="29"/>
    </row>
    <row r="401">
      <c r="D401" s="29"/>
      <c r="E401" s="29"/>
      <c r="F401" s="29"/>
      <c r="G401" s="29"/>
      <c r="H401" s="29"/>
      <c r="Y401" s="29"/>
      <c r="AB401" s="29"/>
      <c r="AI401" s="29"/>
    </row>
    <row r="402">
      <c r="D402" s="29"/>
      <c r="E402" s="29"/>
      <c r="F402" s="29"/>
      <c r="G402" s="29"/>
      <c r="H402" s="29"/>
      <c r="Y402" s="29"/>
      <c r="AB402" s="29"/>
      <c r="AI402" s="29"/>
    </row>
    <row r="403">
      <c r="D403" s="29"/>
      <c r="E403" s="29"/>
      <c r="F403" s="29"/>
      <c r="G403" s="29"/>
      <c r="H403" s="29"/>
      <c r="Y403" s="29"/>
      <c r="AB403" s="29"/>
      <c r="AI403" s="29"/>
    </row>
    <row r="404">
      <c r="D404" s="29"/>
      <c r="E404" s="29"/>
      <c r="F404" s="29"/>
      <c r="G404" s="29"/>
      <c r="H404" s="29"/>
      <c r="Y404" s="29"/>
      <c r="AB404" s="29"/>
      <c r="AI404" s="29"/>
    </row>
    <row r="405">
      <c r="D405" s="29"/>
      <c r="E405" s="29"/>
      <c r="F405" s="29"/>
      <c r="G405" s="29"/>
      <c r="H405" s="29"/>
      <c r="Y405" s="29"/>
      <c r="AB405" s="29"/>
      <c r="AI405" s="29"/>
    </row>
    <row r="406">
      <c r="D406" s="29"/>
      <c r="E406" s="29"/>
      <c r="F406" s="29"/>
      <c r="G406" s="29"/>
      <c r="H406" s="29"/>
      <c r="Y406" s="29"/>
      <c r="AB406" s="29"/>
      <c r="AI406" s="29"/>
    </row>
    <row r="407">
      <c r="D407" s="29"/>
      <c r="E407" s="29"/>
      <c r="F407" s="29"/>
      <c r="G407" s="29"/>
      <c r="H407" s="29"/>
      <c r="Y407" s="29"/>
      <c r="AB407" s="29"/>
      <c r="AI407" s="29"/>
    </row>
    <row r="408">
      <c r="D408" s="29"/>
      <c r="E408" s="29"/>
      <c r="F408" s="29"/>
      <c r="G408" s="29"/>
      <c r="H408" s="29"/>
      <c r="Y408" s="29"/>
      <c r="AB408" s="29"/>
      <c r="AI408" s="29"/>
    </row>
    <row r="409">
      <c r="D409" s="29"/>
      <c r="E409" s="29"/>
      <c r="F409" s="29"/>
      <c r="G409" s="29"/>
      <c r="H409" s="29"/>
      <c r="Y409" s="29"/>
      <c r="AB409" s="29"/>
      <c r="AI409" s="29"/>
    </row>
    <row r="410">
      <c r="D410" s="29"/>
      <c r="E410" s="29"/>
      <c r="F410" s="29"/>
      <c r="G410" s="29"/>
      <c r="H410" s="29"/>
      <c r="Y410" s="29"/>
      <c r="AB410" s="29"/>
      <c r="AI410" s="29"/>
    </row>
    <row r="411">
      <c r="D411" s="29"/>
      <c r="E411" s="29"/>
      <c r="F411" s="29"/>
      <c r="G411" s="29"/>
      <c r="H411" s="29"/>
      <c r="Y411" s="29"/>
      <c r="AB411" s="29"/>
      <c r="AI411" s="29"/>
    </row>
    <row r="412">
      <c r="D412" s="29"/>
      <c r="E412" s="29"/>
      <c r="F412" s="29"/>
      <c r="G412" s="29"/>
      <c r="H412" s="29"/>
      <c r="Y412" s="29"/>
      <c r="AB412" s="29"/>
      <c r="AI412" s="29"/>
    </row>
    <row r="413">
      <c r="D413" s="29"/>
      <c r="E413" s="29"/>
      <c r="F413" s="29"/>
      <c r="G413" s="29"/>
      <c r="H413" s="29"/>
      <c r="Y413" s="29"/>
      <c r="AB413" s="29"/>
      <c r="AI413" s="29"/>
    </row>
    <row r="414">
      <c r="D414" s="29"/>
      <c r="E414" s="29"/>
      <c r="F414" s="29"/>
      <c r="G414" s="29"/>
      <c r="H414" s="29"/>
      <c r="Y414" s="29"/>
      <c r="AB414" s="29"/>
      <c r="AI414" s="29"/>
    </row>
    <row r="415">
      <c r="D415" s="29"/>
      <c r="E415" s="29"/>
      <c r="F415" s="29"/>
      <c r="G415" s="29"/>
      <c r="H415" s="29"/>
      <c r="Y415" s="29"/>
      <c r="AB415" s="29"/>
      <c r="AI415" s="29"/>
    </row>
    <row r="416">
      <c r="D416" s="29"/>
      <c r="E416" s="29"/>
      <c r="F416" s="29"/>
      <c r="G416" s="29"/>
      <c r="H416" s="29"/>
      <c r="Y416" s="29"/>
      <c r="AB416" s="29"/>
      <c r="AI416" s="29"/>
    </row>
    <row r="417">
      <c r="D417" s="29"/>
      <c r="E417" s="29"/>
      <c r="F417" s="29"/>
      <c r="G417" s="29"/>
      <c r="H417" s="29"/>
      <c r="Y417" s="29"/>
      <c r="AB417" s="29"/>
      <c r="AI417" s="29"/>
    </row>
    <row r="418">
      <c r="D418" s="29"/>
      <c r="E418" s="29"/>
      <c r="F418" s="29"/>
      <c r="G418" s="29"/>
      <c r="H418" s="29"/>
      <c r="Y418" s="29"/>
      <c r="AB418" s="29"/>
      <c r="AI418" s="29"/>
    </row>
    <row r="419">
      <c r="D419" s="29"/>
      <c r="E419" s="29"/>
      <c r="F419" s="29"/>
      <c r="G419" s="29"/>
      <c r="H419" s="29"/>
      <c r="Y419" s="29"/>
      <c r="AB419" s="29"/>
      <c r="AI419" s="29"/>
    </row>
    <row r="420">
      <c r="D420" s="29"/>
      <c r="E420" s="29"/>
      <c r="F420" s="29"/>
      <c r="G420" s="29"/>
      <c r="H420" s="29"/>
      <c r="Y420" s="29"/>
      <c r="AB420" s="29"/>
      <c r="AI420" s="29"/>
    </row>
    <row r="421">
      <c r="D421" s="29"/>
      <c r="E421" s="29"/>
      <c r="F421" s="29"/>
      <c r="G421" s="29"/>
      <c r="H421" s="29"/>
      <c r="Y421" s="29"/>
      <c r="AB421" s="29"/>
      <c r="AI421" s="29"/>
    </row>
    <row r="422">
      <c r="D422" s="29"/>
      <c r="E422" s="29"/>
      <c r="F422" s="29"/>
      <c r="G422" s="29"/>
      <c r="H422" s="29"/>
      <c r="Y422" s="29"/>
      <c r="AB422" s="29"/>
      <c r="AI422" s="29"/>
    </row>
    <row r="423">
      <c r="D423" s="29"/>
      <c r="E423" s="29"/>
      <c r="F423" s="29"/>
      <c r="G423" s="29"/>
      <c r="H423" s="29"/>
      <c r="Y423" s="29"/>
      <c r="AB423" s="29"/>
      <c r="AI423" s="29"/>
    </row>
    <row r="424">
      <c r="D424" s="29"/>
      <c r="E424" s="29"/>
      <c r="F424" s="29"/>
      <c r="G424" s="29"/>
      <c r="H424" s="29"/>
      <c r="Y424" s="29"/>
      <c r="AB424" s="29"/>
      <c r="AI424" s="29"/>
    </row>
    <row r="425">
      <c r="D425" s="29"/>
      <c r="E425" s="29"/>
      <c r="F425" s="29"/>
      <c r="G425" s="29"/>
      <c r="H425" s="29"/>
      <c r="Y425" s="29"/>
      <c r="AB425" s="29"/>
      <c r="AI425" s="29"/>
    </row>
    <row r="426">
      <c r="D426" s="29"/>
      <c r="E426" s="29"/>
      <c r="F426" s="29"/>
      <c r="G426" s="29"/>
      <c r="H426" s="29"/>
      <c r="Y426" s="29"/>
      <c r="AB426" s="29"/>
      <c r="AI426" s="29"/>
    </row>
    <row r="427">
      <c r="D427" s="29"/>
      <c r="E427" s="29"/>
      <c r="F427" s="29"/>
      <c r="G427" s="29"/>
      <c r="H427" s="29"/>
      <c r="Y427" s="29"/>
      <c r="AB427" s="29"/>
      <c r="AI427" s="29"/>
    </row>
    <row r="428">
      <c r="D428" s="29"/>
      <c r="E428" s="29"/>
      <c r="F428" s="29"/>
      <c r="G428" s="29"/>
      <c r="H428" s="29"/>
      <c r="Y428" s="29"/>
      <c r="AB428" s="29"/>
      <c r="AI428" s="29"/>
    </row>
    <row r="429">
      <c r="D429" s="29"/>
      <c r="E429" s="29"/>
      <c r="F429" s="29"/>
      <c r="G429" s="29"/>
      <c r="H429" s="29"/>
      <c r="Y429" s="29"/>
      <c r="AB429" s="29"/>
      <c r="AI429" s="29"/>
    </row>
    <row r="430">
      <c r="D430" s="29"/>
      <c r="E430" s="29"/>
      <c r="F430" s="29"/>
      <c r="G430" s="29"/>
      <c r="H430" s="29"/>
      <c r="Y430" s="29"/>
      <c r="AB430" s="29"/>
      <c r="AI430" s="29"/>
    </row>
    <row r="431">
      <c r="D431" s="29"/>
      <c r="E431" s="29"/>
      <c r="F431" s="29"/>
      <c r="G431" s="29"/>
      <c r="H431" s="29"/>
      <c r="Y431" s="29"/>
      <c r="AB431" s="29"/>
      <c r="AI431" s="29"/>
    </row>
    <row r="432">
      <c r="D432" s="29"/>
      <c r="E432" s="29"/>
      <c r="F432" s="29"/>
      <c r="G432" s="29"/>
      <c r="H432" s="29"/>
      <c r="Y432" s="29"/>
      <c r="AB432" s="29"/>
      <c r="AI432" s="29"/>
    </row>
    <row r="433">
      <c r="D433" s="29"/>
      <c r="E433" s="29"/>
      <c r="F433" s="29"/>
      <c r="G433" s="29"/>
      <c r="H433" s="29"/>
      <c r="Y433" s="29"/>
      <c r="AB433" s="29"/>
      <c r="AI433" s="29"/>
    </row>
    <row r="434">
      <c r="D434" s="29"/>
      <c r="E434" s="29"/>
      <c r="F434" s="29"/>
      <c r="G434" s="29"/>
      <c r="H434" s="29"/>
      <c r="Y434" s="29"/>
      <c r="AB434" s="29"/>
      <c r="AI434" s="29"/>
    </row>
    <row r="435">
      <c r="D435" s="29"/>
      <c r="E435" s="29"/>
      <c r="F435" s="29"/>
      <c r="G435" s="29"/>
      <c r="H435" s="29"/>
      <c r="Y435" s="29"/>
      <c r="AB435" s="29"/>
      <c r="AI435" s="29"/>
    </row>
    <row r="436">
      <c r="D436" s="29"/>
      <c r="E436" s="29"/>
      <c r="F436" s="29"/>
      <c r="G436" s="29"/>
      <c r="H436" s="29"/>
      <c r="Y436" s="29"/>
      <c r="AB436" s="29"/>
      <c r="AI436" s="29"/>
    </row>
    <row r="437">
      <c r="D437" s="29"/>
      <c r="E437" s="29"/>
      <c r="F437" s="29"/>
      <c r="G437" s="29"/>
      <c r="H437" s="29"/>
      <c r="Y437" s="29"/>
      <c r="AB437" s="29"/>
      <c r="AI437" s="29"/>
    </row>
    <row r="438">
      <c r="D438" s="29"/>
      <c r="E438" s="29"/>
      <c r="F438" s="29"/>
      <c r="G438" s="29"/>
      <c r="H438" s="29"/>
      <c r="Y438" s="29"/>
      <c r="AB438" s="29"/>
      <c r="AI438" s="29"/>
    </row>
    <row r="439">
      <c r="D439" s="29"/>
      <c r="E439" s="29"/>
      <c r="F439" s="29"/>
      <c r="G439" s="29"/>
      <c r="H439" s="29"/>
      <c r="Y439" s="29"/>
      <c r="AB439" s="29"/>
      <c r="AI439" s="29"/>
    </row>
    <row r="440">
      <c r="D440" s="29"/>
      <c r="E440" s="29"/>
      <c r="F440" s="29"/>
      <c r="G440" s="29"/>
      <c r="H440" s="29"/>
      <c r="Y440" s="29"/>
      <c r="AB440" s="29"/>
      <c r="AI440" s="29"/>
    </row>
    <row r="441">
      <c r="D441" s="29"/>
      <c r="E441" s="29"/>
      <c r="F441" s="29"/>
      <c r="G441" s="29"/>
      <c r="H441" s="29"/>
      <c r="Y441" s="29"/>
      <c r="AB441" s="29"/>
      <c r="AI441" s="29"/>
    </row>
    <row r="442">
      <c r="D442" s="29"/>
      <c r="E442" s="29"/>
      <c r="F442" s="29"/>
      <c r="G442" s="29"/>
      <c r="H442" s="29"/>
      <c r="Y442" s="29"/>
      <c r="AB442" s="29"/>
      <c r="AI442" s="29"/>
    </row>
    <row r="443">
      <c r="D443" s="29"/>
      <c r="E443" s="29"/>
      <c r="F443" s="29"/>
      <c r="G443" s="29"/>
      <c r="H443" s="29"/>
      <c r="Y443" s="29"/>
      <c r="AB443" s="29"/>
      <c r="AI443" s="29"/>
    </row>
    <row r="444">
      <c r="D444" s="29"/>
      <c r="E444" s="29"/>
      <c r="F444" s="29"/>
      <c r="G444" s="29"/>
      <c r="H444" s="29"/>
      <c r="Y444" s="29"/>
      <c r="AB444" s="29"/>
      <c r="AI444" s="29"/>
    </row>
    <row r="445">
      <c r="D445" s="29"/>
      <c r="E445" s="29"/>
      <c r="F445" s="29"/>
      <c r="G445" s="29"/>
      <c r="H445" s="29"/>
      <c r="Y445" s="29"/>
      <c r="AB445" s="29"/>
      <c r="AI445" s="29"/>
    </row>
    <row r="446">
      <c r="D446" s="29"/>
      <c r="E446" s="29"/>
      <c r="F446" s="29"/>
      <c r="G446" s="29"/>
      <c r="H446" s="29"/>
      <c r="Y446" s="29"/>
      <c r="AB446" s="29"/>
      <c r="AI446" s="29"/>
    </row>
    <row r="447">
      <c r="D447" s="29"/>
      <c r="E447" s="29"/>
      <c r="F447" s="29"/>
      <c r="G447" s="29"/>
      <c r="H447" s="29"/>
      <c r="Y447" s="29"/>
      <c r="AB447" s="29"/>
      <c r="AI447" s="29"/>
    </row>
    <row r="448">
      <c r="D448" s="29"/>
      <c r="E448" s="29"/>
      <c r="F448" s="29"/>
      <c r="G448" s="29"/>
      <c r="H448" s="29"/>
      <c r="Y448" s="29"/>
      <c r="AB448" s="29"/>
      <c r="AI448" s="29"/>
    </row>
    <row r="449">
      <c r="D449" s="29"/>
      <c r="E449" s="29"/>
      <c r="F449" s="29"/>
      <c r="G449" s="29"/>
      <c r="H449" s="29"/>
      <c r="Y449" s="29"/>
      <c r="AB449" s="29"/>
      <c r="AI449" s="29"/>
    </row>
    <row r="450">
      <c r="D450" s="29"/>
      <c r="E450" s="29"/>
      <c r="F450" s="29"/>
      <c r="G450" s="29"/>
      <c r="H450" s="29"/>
      <c r="Y450" s="29"/>
      <c r="AB450" s="29"/>
      <c r="AI450" s="29"/>
    </row>
    <row r="451">
      <c r="D451" s="29"/>
      <c r="E451" s="29"/>
      <c r="F451" s="29"/>
      <c r="G451" s="29"/>
      <c r="H451" s="29"/>
      <c r="Y451" s="29"/>
      <c r="AB451" s="29"/>
      <c r="AI451" s="29"/>
    </row>
    <row r="452">
      <c r="D452" s="29"/>
      <c r="E452" s="29"/>
      <c r="F452" s="29"/>
      <c r="G452" s="29"/>
      <c r="H452" s="29"/>
      <c r="Y452" s="29"/>
      <c r="AB452" s="29"/>
      <c r="AI452" s="29"/>
    </row>
    <row r="453">
      <c r="D453" s="29"/>
      <c r="E453" s="29"/>
      <c r="F453" s="29"/>
      <c r="G453" s="29"/>
      <c r="H453" s="29"/>
      <c r="Y453" s="29"/>
      <c r="AB453" s="29"/>
      <c r="AI453" s="29"/>
    </row>
    <row r="454">
      <c r="D454" s="29"/>
      <c r="E454" s="29"/>
      <c r="F454" s="29"/>
      <c r="G454" s="29"/>
      <c r="H454" s="29"/>
      <c r="Y454" s="29"/>
      <c r="AB454" s="29"/>
      <c r="AI454" s="29"/>
    </row>
    <row r="455">
      <c r="D455" s="29"/>
      <c r="E455" s="29"/>
      <c r="F455" s="29"/>
      <c r="G455" s="29"/>
      <c r="H455" s="29"/>
      <c r="Y455" s="29"/>
      <c r="AB455" s="29"/>
      <c r="AI455" s="29"/>
    </row>
    <row r="456">
      <c r="D456" s="29"/>
      <c r="E456" s="29"/>
      <c r="F456" s="29"/>
      <c r="G456" s="29"/>
      <c r="H456" s="29"/>
      <c r="Y456" s="29"/>
      <c r="AB456" s="29"/>
      <c r="AI456" s="29"/>
    </row>
    <row r="457">
      <c r="D457" s="29"/>
      <c r="E457" s="29"/>
      <c r="F457" s="29"/>
      <c r="G457" s="29"/>
      <c r="H457" s="29"/>
      <c r="Y457" s="29"/>
      <c r="AB457" s="29"/>
      <c r="AI457" s="29"/>
    </row>
    <row r="458">
      <c r="D458" s="29"/>
      <c r="E458" s="29"/>
      <c r="F458" s="29"/>
      <c r="G458" s="29"/>
      <c r="H458" s="29"/>
      <c r="Y458" s="29"/>
      <c r="AB458" s="29"/>
      <c r="AI458" s="29"/>
    </row>
    <row r="459">
      <c r="D459" s="29"/>
      <c r="E459" s="29"/>
      <c r="F459" s="29"/>
      <c r="G459" s="29"/>
      <c r="H459" s="29"/>
      <c r="Y459" s="29"/>
      <c r="AB459" s="29"/>
      <c r="AI459" s="29"/>
    </row>
    <row r="460">
      <c r="D460" s="29"/>
      <c r="E460" s="29"/>
      <c r="F460" s="29"/>
      <c r="G460" s="29"/>
      <c r="H460" s="29"/>
      <c r="Y460" s="29"/>
      <c r="AB460" s="29"/>
      <c r="AI460" s="29"/>
    </row>
    <row r="461">
      <c r="D461" s="29"/>
      <c r="E461" s="29"/>
      <c r="F461" s="29"/>
      <c r="G461" s="29"/>
      <c r="H461" s="29"/>
      <c r="Y461" s="29"/>
      <c r="AB461" s="29"/>
      <c r="AI461" s="29"/>
    </row>
    <row r="462">
      <c r="D462" s="29"/>
      <c r="E462" s="29"/>
      <c r="F462" s="29"/>
      <c r="G462" s="29"/>
      <c r="H462" s="29"/>
      <c r="Y462" s="29"/>
      <c r="AB462" s="29"/>
      <c r="AI462" s="29"/>
    </row>
    <row r="463">
      <c r="D463" s="29"/>
      <c r="E463" s="29"/>
      <c r="F463" s="29"/>
      <c r="G463" s="29"/>
      <c r="H463" s="29"/>
      <c r="Y463" s="29"/>
      <c r="AB463" s="29"/>
      <c r="AI463" s="29"/>
    </row>
    <row r="464">
      <c r="D464" s="29"/>
      <c r="E464" s="29"/>
      <c r="F464" s="29"/>
      <c r="G464" s="29"/>
      <c r="H464" s="29"/>
      <c r="Y464" s="29"/>
      <c r="AB464" s="29"/>
      <c r="AI464" s="29"/>
    </row>
    <row r="465">
      <c r="D465" s="29"/>
      <c r="E465" s="29"/>
      <c r="F465" s="29"/>
      <c r="G465" s="29"/>
      <c r="H465" s="29"/>
      <c r="Y465" s="29"/>
      <c r="AB465" s="29"/>
      <c r="AI465" s="29"/>
    </row>
    <row r="466">
      <c r="D466" s="29"/>
      <c r="E466" s="29"/>
      <c r="F466" s="29"/>
      <c r="G466" s="29"/>
      <c r="H466" s="29"/>
      <c r="Y466" s="29"/>
      <c r="AB466" s="29"/>
      <c r="AI466" s="29"/>
    </row>
    <row r="467">
      <c r="D467" s="29"/>
      <c r="E467" s="29"/>
      <c r="F467" s="29"/>
      <c r="G467" s="29"/>
      <c r="H467" s="29"/>
      <c r="Y467" s="29"/>
      <c r="AB467" s="29"/>
      <c r="AI467" s="29"/>
    </row>
    <row r="468">
      <c r="D468" s="29"/>
      <c r="E468" s="29"/>
      <c r="F468" s="29"/>
      <c r="G468" s="29"/>
      <c r="H468" s="29"/>
      <c r="Y468" s="29"/>
      <c r="AB468" s="29"/>
      <c r="AI468" s="29"/>
    </row>
    <row r="469">
      <c r="D469" s="29"/>
      <c r="E469" s="29"/>
      <c r="F469" s="29"/>
      <c r="G469" s="29"/>
      <c r="H469" s="29"/>
      <c r="Y469" s="29"/>
      <c r="AB469" s="29"/>
      <c r="AI469" s="29"/>
    </row>
    <row r="470">
      <c r="D470" s="29"/>
      <c r="E470" s="29"/>
      <c r="F470" s="29"/>
      <c r="G470" s="29"/>
      <c r="H470" s="29"/>
      <c r="Y470" s="29"/>
      <c r="AB470" s="29"/>
      <c r="AI470" s="29"/>
    </row>
    <row r="471">
      <c r="D471" s="29"/>
      <c r="E471" s="29"/>
      <c r="F471" s="29"/>
      <c r="G471" s="29"/>
      <c r="H471" s="29"/>
      <c r="Y471" s="29"/>
      <c r="AB471" s="29"/>
      <c r="AI471" s="29"/>
    </row>
    <row r="472">
      <c r="D472" s="29"/>
      <c r="E472" s="29"/>
      <c r="F472" s="29"/>
      <c r="G472" s="29"/>
      <c r="H472" s="29"/>
      <c r="Y472" s="29"/>
      <c r="AB472" s="29"/>
      <c r="AI472" s="29"/>
    </row>
    <row r="473">
      <c r="D473" s="29"/>
      <c r="E473" s="29"/>
      <c r="F473" s="29"/>
      <c r="G473" s="29"/>
      <c r="H473" s="29"/>
      <c r="Y473" s="29"/>
      <c r="AB473" s="29"/>
      <c r="AI473" s="29"/>
    </row>
    <row r="474">
      <c r="D474" s="29"/>
      <c r="E474" s="29"/>
      <c r="F474" s="29"/>
      <c r="G474" s="29"/>
      <c r="H474" s="29"/>
      <c r="Y474" s="29"/>
      <c r="AB474" s="29"/>
      <c r="AI474" s="29"/>
    </row>
    <row r="475">
      <c r="D475" s="29"/>
      <c r="E475" s="29"/>
      <c r="F475" s="29"/>
      <c r="G475" s="29"/>
      <c r="H475" s="29"/>
      <c r="Y475" s="29"/>
      <c r="AB475" s="29"/>
      <c r="AI475" s="29"/>
    </row>
    <row r="476">
      <c r="D476" s="29"/>
      <c r="E476" s="29"/>
      <c r="F476" s="29"/>
      <c r="G476" s="29"/>
      <c r="H476" s="29"/>
      <c r="Y476" s="29"/>
      <c r="AB476" s="29"/>
      <c r="AI476" s="29"/>
    </row>
    <row r="477">
      <c r="D477" s="29"/>
      <c r="E477" s="29"/>
      <c r="F477" s="29"/>
      <c r="G477" s="29"/>
      <c r="H477" s="29"/>
      <c r="Y477" s="29"/>
      <c r="AB477" s="29"/>
      <c r="AI477" s="29"/>
    </row>
    <row r="478">
      <c r="D478" s="29"/>
      <c r="E478" s="29"/>
      <c r="F478" s="29"/>
      <c r="G478" s="29"/>
      <c r="H478" s="29"/>
      <c r="Y478" s="29"/>
      <c r="AB478" s="29"/>
      <c r="AI478" s="29"/>
    </row>
    <row r="479">
      <c r="D479" s="29"/>
      <c r="E479" s="29"/>
      <c r="F479" s="29"/>
      <c r="G479" s="29"/>
      <c r="H479" s="29"/>
      <c r="Y479" s="29"/>
      <c r="AB479" s="29"/>
      <c r="AI479" s="29"/>
    </row>
    <row r="480">
      <c r="D480" s="29"/>
      <c r="E480" s="29"/>
      <c r="F480" s="29"/>
      <c r="G480" s="29"/>
      <c r="H480" s="29"/>
      <c r="Y480" s="29"/>
      <c r="AB480" s="29"/>
      <c r="AI480" s="29"/>
    </row>
    <row r="481">
      <c r="D481" s="29"/>
      <c r="E481" s="29"/>
      <c r="F481" s="29"/>
      <c r="G481" s="29"/>
      <c r="H481" s="29"/>
      <c r="Y481" s="29"/>
      <c r="AB481" s="29"/>
      <c r="AI481" s="29"/>
    </row>
    <row r="482">
      <c r="D482" s="29"/>
      <c r="E482" s="29"/>
      <c r="F482" s="29"/>
      <c r="G482" s="29"/>
      <c r="H482" s="29"/>
      <c r="Y482" s="29"/>
      <c r="AB482" s="29"/>
      <c r="AI482" s="29"/>
    </row>
    <row r="483">
      <c r="D483" s="29"/>
      <c r="E483" s="29"/>
      <c r="F483" s="29"/>
      <c r="G483" s="29"/>
      <c r="H483" s="29"/>
      <c r="Y483" s="29"/>
      <c r="AB483" s="29"/>
      <c r="AI483" s="29"/>
    </row>
    <row r="484">
      <c r="D484" s="29"/>
      <c r="E484" s="29"/>
      <c r="F484" s="29"/>
      <c r="G484" s="29"/>
      <c r="H484" s="29"/>
      <c r="Y484" s="29"/>
      <c r="AB484" s="29"/>
      <c r="AI484" s="29"/>
    </row>
    <row r="485">
      <c r="D485" s="29"/>
      <c r="E485" s="29"/>
      <c r="F485" s="29"/>
      <c r="G485" s="29"/>
      <c r="H485" s="29"/>
      <c r="Y485" s="29"/>
      <c r="AB485" s="29"/>
      <c r="AI485" s="29"/>
    </row>
    <row r="486">
      <c r="D486" s="29"/>
      <c r="E486" s="29"/>
      <c r="F486" s="29"/>
      <c r="G486" s="29"/>
      <c r="H486" s="29"/>
      <c r="Y486" s="29"/>
      <c r="AB486" s="29"/>
      <c r="AI486" s="29"/>
    </row>
    <row r="487">
      <c r="D487" s="29"/>
      <c r="E487" s="29"/>
      <c r="F487" s="29"/>
      <c r="G487" s="29"/>
      <c r="H487" s="29"/>
      <c r="Y487" s="29"/>
      <c r="AB487" s="29"/>
      <c r="AI487" s="29"/>
    </row>
    <row r="488">
      <c r="D488" s="29"/>
      <c r="E488" s="29"/>
      <c r="F488" s="29"/>
      <c r="G488" s="29"/>
      <c r="H488" s="29"/>
      <c r="Y488" s="29"/>
      <c r="AB488" s="29"/>
      <c r="AI488" s="29"/>
    </row>
    <row r="489">
      <c r="D489" s="29"/>
      <c r="E489" s="29"/>
      <c r="F489" s="29"/>
      <c r="G489" s="29"/>
      <c r="H489" s="29"/>
      <c r="Y489" s="29"/>
      <c r="AB489" s="29"/>
      <c r="AI489" s="29"/>
    </row>
    <row r="490">
      <c r="D490" s="29"/>
      <c r="E490" s="29"/>
      <c r="F490" s="29"/>
      <c r="G490" s="29"/>
      <c r="H490" s="29"/>
      <c r="Y490" s="29"/>
      <c r="AB490" s="29"/>
      <c r="AI490" s="29"/>
    </row>
    <row r="491">
      <c r="D491" s="29"/>
      <c r="E491" s="29"/>
      <c r="F491" s="29"/>
      <c r="G491" s="29"/>
      <c r="H491" s="29"/>
      <c r="Y491" s="29"/>
      <c r="AB491" s="29"/>
      <c r="AI491" s="29"/>
    </row>
    <row r="492">
      <c r="D492" s="29"/>
      <c r="E492" s="29"/>
      <c r="F492" s="29"/>
      <c r="G492" s="29"/>
      <c r="H492" s="29"/>
      <c r="Y492" s="29"/>
      <c r="AB492" s="29"/>
      <c r="AI492" s="29"/>
    </row>
    <row r="493">
      <c r="D493" s="29"/>
      <c r="E493" s="29"/>
      <c r="F493" s="29"/>
      <c r="G493" s="29"/>
      <c r="H493" s="29"/>
      <c r="Y493" s="29"/>
      <c r="AB493" s="29"/>
      <c r="AI493" s="29"/>
    </row>
    <row r="494">
      <c r="D494" s="29"/>
      <c r="E494" s="29"/>
      <c r="F494" s="29"/>
      <c r="G494" s="29"/>
      <c r="H494" s="29"/>
      <c r="Y494" s="29"/>
      <c r="AB494" s="29"/>
      <c r="AI494" s="29"/>
    </row>
    <row r="495">
      <c r="D495" s="29"/>
      <c r="E495" s="29"/>
      <c r="F495" s="29"/>
      <c r="G495" s="29"/>
      <c r="H495" s="29"/>
      <c r="Y495" s="29"/>
      <c r="AB495" s="29"/>
      <c r="AI495" s="29"/>
    </row>
    <row r="496">
      <c r="D496" s="29"/>
      <c r="E496" s="29"/>
      <c r="F496" s="29"/>
      <c r="G496" s="29"/>
      <c r="H496" s="29"/>
      <c r="Y496" s="29"/>
      <c r="AB496" s="29"/>
      <c r="AI496" s="29"/>
    </row>
    <row r="497">
      <c r="D497" s="29"/>
      <c r="E497" s="29"/>
      <c r="F497" s="29"/>
      <c r="G497" s="29"/>
      <c r="H497" s="29"/>
      <c r="Y497" s="29"/>
      <c r="AB497" s="29"/>
      <c r="AI497" s="29"/>
    </row>
    <row r="498">
      <c r="D498" s="29"/>
      <c r="E498" s="29"/>
      <c r="F498" s="29"/>
      <c r="G498" s="29"/>
      <c r="H498" s="29"/>
      <c r="Y498" s="29"/>
      <c r="AB498" s="29"/>
      <c r="AI498" s="29"/>
    </row>
    <row r="499">
      <c r="D499" s="29"/>
      <c r="E499" s="29"/>
      <c r="F499" s="29"/>
      <c r="G499" s="29"/>
      <c r="H499" s="29"/>
      <c r="Y499" s="29"/>
      <c r="AB499" s="29"/>
      <c r="AI499" s="29"/>
    </row>
    <row r="500">
      <c r="D500" s="29"/>
      <c r="E500" s="29"/>
      <c r="F500" s="29"/>
      <c r="G500" s="29"/>
      <c r="H500" s="29"/>
      <c r="Y500" s="29"/>
      <c r="AB500" s="29"/>
      <c r="AI500" s="29"/>
    </row>
    <row r="501">
      <c r="D501" s="29"/>
      <c r="E501" s="29"/>
      <c r="F501" s="29"/>
      <c r="G501" s="29"/>
      <c r="H501" s="29"/>
      <c r="Y501" s="29"/>
      <c r="AB501" s="29"/>
      <c r="AI501" s="29"/>
    </row>
    <row r="502">
      <c r="D502" s="29"/>
      <c r="E502" s="29"/>
      <c r="F502" s="29"/>
      <c r="G502" s="29"/>
      <c r="H502" s="29"/>
      <c r="Y502" s="29"/>
      <c r="AB502" s="29"/>
      <c r="AI502" s="29"/>
    </row>
    <row r="503">
      <c r="D503" s="29"/>
      <c r="E503" s="29"/>
      <c r="F503" s="29"/>
      <c r="G503" s="29"/>
      <c r="H503" s="29"/>
      <c r="Y503" s="29"/>
      <c r="AB503" s="29"/>
      <c r="AI503" s="29"/>
    </row>
    <row r="504">
      <c r="D504" s="29"/>
      <c r="E504" s="29"/>
      <c r="F504" s="29"/>
      <c r="G504" s="29"/>
      <c r="H504" s="29"/>
      <c r="Y504" s="29"/>
      <c r="AB504" s="29"/>
      <c r="AI504" s="29"/>
    </row>
    <row r="505">
      <c r="D505" s="29"/>
      <c r="E505" s="29"/>
      <c r="F505" s="29"/>
      <c r="G505" s="29"/>
      <c r="H505" s="29"/>
      <c r="Y505" s="29"/>
      <c r="AB505" s="29"/>
      <c r="AI505" s="29"/>
    </row>
    <row r="506">
      <c r="D506" s="29"/>
      <c r="E506" s="29"/>
      <c r="F506" s="29"/>
      <c r="G506" s="29"/>
      <c r="H506" s="29"/>
      <c r="Y506" s="29"/>
      <c r="AB506" s="29"/>
      <c r="AI506" s="29"/>
    </row>
    <row r="507">
      <c r="D507" s="29"/>
      <c r="E507" s="29"/>
      <c r="F507" s="29"/>
      <c r="G507" s="29"/>
      <c r="H507" s="29"/>
      <c r="Y507" s="29"/>
      <c r="AB507" s="29"/>
      <c r="AI507" s="29"/>
    </row>
    <row r="508">
      <c r="D508" s="29"/>
      <c r="E508" s="29"/>
      <c r="F508" s="29"/>
      <c r="G508" s="29"/>
      <c r="H508" s="29"/>
      <c r="Y508" s="29"/>
      <c r="AB508" s="29"/>
      <c r="AI508" s="29"/>
    </row>
    <row r="509">
      <c r="D509" s="29"/>
      <c r="E509" s="29"/>
      <c r="F509" s="29"/>
      <c r="G509" s="29"/>
      <c r="H509" s="29"/>
      <c r="Y509" s="29"/>
      <c r="AB509" s="29"/>
      <c r="AI509" s="29"/>
    </row>
    <row r="510">
      <c r="D510" s="29"/>
      <c r="E510" s="29"/>
      <c r="F510" s="29"/>
      <c r="G510" s="29"/>
      <c r="H510" s="29"/>
      <c r="Y510" s="29"/>
      <c r="AB510" s="29"/>
      <c r="AI510" s="29"/>
    </row>
    <row r="511">
      <c r="D511" s="29"/>
      <c r="E511" s="29"/>
      <c r="F511" s="29"/>
      <c r="G511" s="29"/>
      <c r="H511" s="29"/>
      <c r="Y511" s="29"/>
      <c r="AB511" s="29"/>
      <c r="AI511" s="29"/>
    </row>
    <row r="512">
      <c r="D512" s="29"/>
      <c r="E512" s="29"/>
      <c r="F512" s="29"/>
      <c r="G512" s="29"/>
      <c r="H512" s="29"/>
      <c r="Y512" s="29"/>
      <c r="AB512" s="29"/>
      <c r="AI512" s="29"/>
    </row>
    <row r="513">
      <c r="D513" s="29"/>
      <c r="E513" s="29"/>
      <c r="F513" s="29"/>
      <c r="G513" s="29"/>
      <c r="H513" s="29"/>
      <c r="Y513" s="29"/>
      <c r="AB513" s="29"/>
      <c r="AI513" s="29"/>
    </row>
    <row r="514">
      <c r="D514" s="29"/>
      <c r="E514" s="29"/>
      <c r="F514" s="29"/>
      <c r="G514" s="29"/>
      <c r="H514" s="29"/>
      <c r="Y514" s="29"/>
      <c r="AB514" s="29"/>
      <c r="AI514" s="29"/>
    </row>
    <row r="515">
      <c r="D515" s="29"/>
      <c r="E515" s="29"/>
      <c r="F515" s="29"/>
      <c r="G515" s="29"/>
      <c r="H515" s="29"/>
      <c r="Y515" s="29"/>
      <c r="AB515" s="29"/>
      <c r="AI515" s="29"/>
    </row>
    <row r="516">
      <c r="D516" s="29"/>
      <c r="E516" s="29"/>
      <c r="F516" s="29"/>
      <c r="G516" s="29"/>
      <c r="H516" s="29"/>
      <c r="Y516" s="29"/>
      <c r="AB516" s="29"/>
      <c r="AI516" s="29"/>
    </row>
    <row r="517">
      <c r="D517" s="29"/>
      <c r="E517" s="29"/>
      <c r="F517" s="29"/>
      <c r="G517" s="29"/>
      <c r="H517" s="29"/>
      <c r="Y517" s="29"/>
      <c r="AB517" s="29"/>
      <c r="AI517" s="29"/>
    </row>
    <row r="518">
      <c r="D518" s="29"/>
      <c r="E518" s="29"/>
      <c r="F518" s="29"/>
      <c r="G518" s="29"/>
      <c r="H518" s="29"/>
      <c r="Y518" s="29"/>
      <c r="AB518" s="29"/>
      <c r="AI518" s="29"/>
    </row>
    <row r="519">
      <c r="D519" s="29"/>
      <c r="E519" s="29"/>
      <c r="F519" s="29"/>
      <c r="G519" s="29"/>
      <c r="H519" s="29"/>
      <c r="Y519" s="29"/>
      <c r="AB519" s="29"/>
      <c r="AI519" s="29"/>
    </row>
    <row r="520">
      <c r="D520" s="29"/>
      <c r="E520" s="29"/>
      <c r="F520" s="29"/>
      <c r="G520" s="29"/>
      <c r="H520" s="29"/>
      <c r="Y520" s="29"/>
      <c r="AB520" s="29"/>
      <c r="AI520" s="29"/>
    </row>
    <row r="521">
      <c r="D521" s="29"/>
      <c r="E521" s="29"/>
      <c r="F521" s="29"/>
      <c r="G521" s="29"/>
      <c r="H521" s="29"/>
      <c r="Y521" s="29"/>
      <c r="AB521" s="29"/>
      <c r="AI521" s="29"/>
    </row>
    <row r="522">
      <c r="D522" s="29"/>
      <c r="E522" s="29"/>
      <c r="F522" s="29"/>
      <c r="G522" s="29"/>
      <c r="H522" s="29"/>
      <c r="Y522" s="29"/>
      <c r="AB522" s="29"/>
      <c r="AI522" s="29"/>
    </row>
    <row r="523">
      <c r="D523" s="29"/>
      <c r="E523" s="29"/>
      <c r="F523" s="29"/>
      <c r="G523" s="29"/>
      <c r="H523" s="29"/>
      <c r="Y523" s="29"/>
      <c r="AB523" s="29"/>
      <c r="AI523" s="29"/>
    </row>
    <row r="524">
      <c r="D524" s="29"/>
      <c r="E524" s="29"/>
      <c r="F524" s="29"/>
      <c r="G524" s="29"/>
      <c r="H524" s="29"/>
      <c r="Y524" s="29"/>
      <c r="AB524" s="29"/>
      <c r="AI524" s="29"/>
    </row>
    <row r="525">
      <c r="D525" s="29"/>
      <c r="E525" s="29"/>
      <c r="F525" s="29"/>
      <c r="G525" s="29"/>
      <c r="H525" s="29"/>
      <c r="Y525" s="29"/>
      <c r="AB525" s="29"/>
      <c r="AI525" s="29"/>
    </row>
    <row r="526">
      <c r="D526" s="29"/>
      <c r="E526" s="29"/>
      <c r="F526" s="29"/>
      <c r="G526" s="29"/>
      <c r="H526" s="29"/>
      <c r="Y526" s="29"/>
      <c r="AB526" s="29"/>
      <c r="AI526" s="29"/>
    </row>
    <row r="527">
      <c r="D527" s="29"/>
      <c r="E527" s="29"/>
      <c r="F527" s="29"/>
      <c r="G527" s="29"/>
      <c r="H527" s="29"/>
      <c r="Y527" s="29"/>
      <c r="AB527" s="29"/>
      <c r="AI527" s="29"/>
    </row>
    <row r="528">
      <c r="D528" s="29"/>
      <c r="E528" s="29"/>
      <c r="F528" s="29"/>
      <c r="G528" s="29"/>
      <c r="H528" s="29"/>
      <c r="Y528" s="29"/>
      <c r="AB528" s="29"/>
      <c r="AI528" s="29"/>
    </row>
    <row r="529">
      <c r="D529" s="29"/>
      <c r="E529" s="29"/>
      <c r="F529" s="29"/>
      <c r="G529" s="29"/>
      <c r="H529" s="29"/>
      <c r="Y529" s="29"/>
      <c r="AB529" s="29"/>
      <c r="AI529" s="29"/>
    </row>
    <row r="530">
      <c r="D530" s="29"/>
      <c r="E530" s="29"/>
      <c r="F530" s="29"/>
      <c r="G530" s="29"/>
      <c r="H530" s="29"/>
      <c r="Y530" s="29"/>
      <c r="AB530" s="29"/>
      <c r="AI530" s="29"/>
    </row>
    <row r="531">
      <c r="D531" s="29"/>
      <c r="E531" s="29"/>
      <c r="F531" s="29"/>
      <c r="G531" s="29"/>
      <c r="H531" s="29"/>
      <c r="Y531" s="29"/>
      <c r="AB531" s="29"/>
      <c r="AI531" s="29"/>
    </row>
    <row r="532">
      <c r="D532" s="29"/>
      <c r="E532" s="29"/>
      <c r="F532" s="29"/>
      <c r="G532" s="29"/>
      <c r="H532" s="29"/>
      <c r="Y532" s="29"/>
      <c r="AB532" s="29"/>
      <c r="AI532" s="29"/>
    </row>
    <row r="533">
      <c r="D533" s="29"/>
      <c r="E533" s="29"/>
      <c r="F533" s="29"/>
      <c r="G533" s="29"/>
      <c r="H533" s="29"/>
      <c r="Y533" s="29"/>
      <c r="AB533" s="29"/>
      <c r="AI533" s="29"/>
    </row>
    <row r="534">
      <c r="D534" s="29"/>
      <c r="E534" s="29"/>
      <c r="F534" s="29"/>
      <c r="G534" s="29"/>
      <c r="H534" s="29"/>
      <c r="Y534" s="29"/>
      <c r="AB534" s="29"/>
      <c r="AI534" s="29"/>
    </row>
    <row r="535">
      <c r="D535" s="29"/>
      <c r="E535" s="29"/>
      <c r="F535" s="29"/>
      <c r="G535" s="29"/>
      <c r="H535" s="29"/>
      <c r="Y535" s="29"/>
      <c r="AB535" s="29"/>
      <c r="AI535" s="29"/>
    </row>
    <row r="536">
      <c r="D536" s="29"/>
      <c r="E536" s="29"/>
      <c r="F536" s="29"/>
      <c r="G536" s="29"/>
      <c r="H536" s="29"/>
      <c r="Y536" s="29"/>
      <c r="AB536" s="29"/>
      <c r="AI536" s="29"/>
    </row>
    <row r="537">
      <c r="D537" s="29"/>
      <c r="E537" s="29"/>
      <c r="F537" s="29"/>
      <c r="G537" s="29"/>
      <c r="H537" s="29"/>
      <c r="Y537" s="29"/>
      <c r="AB537" s="29"/>
      <c r="AI537" s="29"/>
    </row>
    <row r="538">
      <c r="D538" s="29"/>
      <c r="E538" s="29"/>
      <c r="F538" s="29"/>
      <c r="G538" s="29"/>
      <c r="H538" s="29"/>
      <c r="Y538" s="29"/>
      <c r="AB538" s="29"/>
      <c r="AI538" s="29"/>
    </row>
    <row r="539">
      <c r="D539" s="29"/>
      <c r="E539" s="29"/>
      <c r="F539" s="29"/>
      <c r="G539" s="29"/>
      <c r="H539" s="29"/>
      <c r="Y539" s="29"/>
      <c r="AB539" s="29"/>
      <c r="AI539" s="29"/>
    </row>
    <row r="540">
      <c r="D540" s="29"/>
      <c r="E540" s="29"/>
      <c r="F540" s="29"/>
      <c r="G540" s="29"/>
      <c r="H540" s="29"/>
      <c r="Y540" s="29"/>
      <c r="AB540" s="29"/>
      <c r="AI540" s="29"/>
    </row>
    <row r="541">
      <c r="D541" s="29"/>
      <c r="E541" s="29"/>
      <c r="F541" s="29"/>
      <c r="G541" s="29"/>
      <c r="H541" s="29"/>
      <c r="Y541" s="29"/>
      <c r="AB541" s="29"/>
      <c r="AI541" s="29"/>
    </row>
    <row r="542">
      <c r="D542" s="29"/>
      <c r="E542" s="29"/>
      <c r="F542" s="29"/>
      <c r="G542" s="29"/>
      <c r="H542" s="29"/>
      <c r="Y542" s="29"/>
      <c r="AB542" s="29"/>
      <c r="AI542" s="29"/>
    </row>
    <row r="543">
      <c r="D543" s="29"/>
      <c r="E543" s="29"/>
      <c r="F543" s="29"/>
      <c r="G543" s="29"/>
      <c r="H543" s="29"/>
      <c r="Y543" s="29"/>
      <c r="AB543" s="29"/>
      <c r="AI543" s="29"/>
    </row>
    <row r="544">
      <c r="D544" s="29"/>
      <c r="E544" s="29"/>
      <c r="F544" s="29"/>
      <c r="G544" s="29"/>
      <c r="H544" s="29"/>
      <c r="Y544" s="29"/>
      <c r="AB544" s="29"/>
      <c r="AI544" s="29"/>
    </row>
    <row r="545">
      <c r="D545" s="29"/>
      <c r="E545" s="29"/>
      <c r="F545" s="29"/>
      <c r="G545" s="29"/>
      <c r="H545" s="29"/>
      <c r="Y545" s="29"/>
      <c r="AB545" s="29"/>
      <c r="AI545" s="29"/>
    </row>
    <row r="546">
      <c r="D546" s="29"/>
      <c r="E546" s="29"/>
      <c r="F546" s="29"/>
      <c r="G546" s="29"/>
      <c r="H546" s="29"/>
      <c r="Y546" s="29"/>
      <c r="AB546" s="29"/>
      <c r="AI546" s="29"/>
    </row>
    <row r="547">
      <c r="D547" s="29"/>
      <c r="E547" s="29"/>
      <c r="F547" s="29"/>
      <c r="G547" s="29"/>
      <c r="H547" s="29"/>
      <c r="Y547" s="29"/>
      <c r="AB547" s="29"/>
      <c r="AI547" s="29"/>
    </row>
    <row r="548">
      <c r="D548" s="29"/>
      <c r="E548" s="29"/>
      <c r="F548" s="29"/>
      <c r="G548" s="29"/>
      <c r="H548" s="29"/>
      <c r="Y548" s="29"/>
      <c r="AB548" s="29"/>
      <c r="AI548" s="29"/>
    </row>
    <row r="549">
      <c r="D549" s="29"/>
      <c r="E549" s="29"/>
      <c r="F549" s="29"/>
      <c r="G549" s="29"/>
      <c r="H549" s="29"/>
      <c r="Y549" s="29"/>
      <c r="AB549" s="29"/>
      <c r="AI549" s="29"/>
    </row>
    <row r="550">
      <c r="D550" s="29"/>
      <c r="E550" s="29"/>
      <c r="F550" s="29"/>
      <c r="G550" s="29"/>
      <c r="H550" s="29"/>
      <c r="Y550" s="29"/>
      <c r="AB550" s="29"/>
      <c r="AI550" s="29"/>
    </row>
    <row r="551">
      <c r="D551" s="29"/>
      <c r="E551" s="29"/>
      <c r="F551" s="29"/>
      <c r="G551" s="29"/>
      <c r="H551" s="29"/>
      <c r="Y551" s="29"/>
      <c r="AB551" s="29"/>
      <c r="AI551" s="29"/>
    </row>
    <row r="552">
      <c r="D552" s="29"/>
      <c r="E552" s="29"/>
      <c r="F552" s="29"/>
      <c r="G552" s="29"/>
      <c r="H552" s="29"/>
      <c r="Y552" s="29"/>
      <c r="AB552" s="29"/>
      <c r="AI552" s="29"/>
    </row>
    <row r="553">
      <c r="D553" s="29"/>
      <c r="E553" s="29"/>
      <c r="F553" s="29"/>
      <c r="G553" s="29"/>
      <c r="H553" s="29"/>
      <c r="Y553" s="29"/>
      <c r="AB553" s="29"/>
      <c r="AI553" s="29"/>
    </row>
    <row r="554">
      <c r="D554" s="29"/>
      <c r="E554" s="29"/>
      <c r="F554" s="29"/>
      <c r="G554" s="29"/>
      <c r="H554" s="29"/>
      <c r="Y554" s="29"/>
      <c r="AB554" s="29"/>
      <c r="AI554" s="29"/>
    </row>
    <row r="555">
      <c r="D555" s="29"/>
      <c r="E555" s="29"/>
      <c r="F555" s="29"/>
      <c r="G555" s="29"/>
      <c r="H555" s="29"/>
      <c r="Y555" s="29"/>
      <c r="AB555" s="29"/>
      <c r="AI555" s="29"/>
    </row>
    <row r="556">
      <c r="D556" s="29"/>
      <c r="E556" s="29"/>
      <c r="F556" s="29"/>
      <c r="G556" s="29"/>
      <c r="H556" s="29"/>
      <c r="Y556" s="29"/>
      <c r="AB556" s="29"/>
      <c r="AI556" s="29"/>
    </row>
    <row r="557">
      <c r="D557" s="29"/>
      <c r="E557" s="29"/>
      <c r="F557" s="29"/>
      <c r="G557" s="29"/>
      <c r="H557" s="29"/>
      <c r="Y557" s="29"/>
      <c r="AB557" s="29"/>
      <c r="AI557" s="29"/>
    </row>
    <row r="558">
      <c r="D558" s="29"/>
      <c r="E558" s="29"/>
      <c r="F558" s="29"/>
      <c r="G558" s="29"/>
      <c r="H558" s="29"/>
      <c r="Y558" s="29"/>
      <c r="AB558" s="29"/>
      <c r="AI558" s="29"/>
    </row>
    <row r="559">
      <c r="D559" s="29"/>
      <c r="E559" s="29"/>
      <c r="F559" s="29"/>
      <c r="G559" s="29"/>
      <c r="H559" s="29"/>
      <c r="Y559" s="29"/>
      <c r="AB559" s="29"/>
      <c r="AI559" s="29"/>
    </row>
    <row r="560">
      <c r="D560" s="29"/>
      <c r="E560" s="29"/>
      <c r="F560" s="29"/>
      <c r="G560" s="29"/>
      <c r="H560" s="29"/>
      <c r="Y560" s="29"/>
      <c r="AB560" s="29"/>
      <c r="AI560" s="29"/>
    </row>
    <row r="561">
      <c r="D561" s="29"/>
      <c r="E561" s="29"/>
      <c r="F561" s="29"/>
      <c r="G561" s="29"/>
      <c r="H561" s="29"/>
      <c r="Y561" s="29"/>
      <c r="AB561" s="29"/>
      <c r="AI561" s="29"/>
    </row>
    <row r="562">
      <c r="D562" s="29"/>
      <c r="E562" s="29"/>
      <c r="F562" s="29"/>
      <c r="G562" s="29"/>
      <c r="H562" s="29"/>
      <c r="Y562" s="29"/>
      <c r="AB562" s="29"/>
      <c r="AI562" s="29"/>
    </row>
    <row r="563">
      <c r="D563" s="29"/>
      <c r="E563" s="29"/>
      <c r="F563" s="29"/>
      <c r="G563" s="29"/>
      <c r="H563" s="29"/>
      <c r="Y563" s="29"/>
      <c r="AB563" s="29"/>
      <c r="AI563" s="29"/>
    </row>
    <row r="564">
      <c r="D564" s="29"/>
      <c r="E564" s="29"/>
      <c r="F564" s="29"/>
      <c r="G564" s="29"/>
      <c r="H564" s="29"/>
      <c r="Y564" s="29"/>
      <c r="AB564" s="29"/>
      <c r="AI564" s="29"/>
    </row>
    <row r="565">
      <c r="D565" s="29"/>
      <c r="E565" s="29"/>
      <c r="F565" s="29"/>
      <c r="G565" s="29"/>
      <c r="H565" s="29"/>
      <c r="Y565" s="29"/>
      <c r="AB565" s="29"/>
      <c r="AI565" s="29"/>
    </row>
    <row r="566">
      <c r="D566" s="29"/>
      <c r="E566" s="29"/>
      <c r="F566" s="29"/>
      <c r="G566" s="29"/>
      <c r="H566" s="29"/>
      <c r="Y566" s="29"/>
      <c r="AB566" s="29"/>
      <c r="AI566" s="29"/>
    </row>
    <row r="567">
      <c r="D567" s="29"/>
      <c r="E567" s="29"/>
      <c r="F567" s="29"/>
      <c r="G567" s="29"/>
      <c r="H567" s="29"/>
      <c r="Y567" s="29"/>
      <c r="AB567" s="29"/>
      <c r="AI567" s="29"/>
    </row>
    <row r="568">
      <c r="D568" s="29"/>
      <c r="E568" s="29"/>
      <c r="F568" s="29"/>
      <c r="G568" s="29"/>
      <c r="H568" s="29"/>
      <c r="Y568" s="29"/>
      <c r="AB568" s="29"/>
      <c r="AI568" s="29"/>
    </row>
    <row r="569">
      <c r="D569" s="29"/>
      <c r="E569" s="29"/>
      <c r="F569" s="29"/>
      <c r="G569" s="29"/>
      <c r="H569" s="29"/>
      <c r="Y569" s="29"/>
      <c r="AB569" s="29"/>
      <c r="AI569" s="29"/>
    </row>
    <row r="570">
      <c r="D570" s="29"/>
      <c r="E570" s="29"/>
      <c r="F570" s="29"/>
      <c r="G570" s="29"/>
      <c r="H570" s="29"/>
      <c r="Y570" s="29"/>
      <c r="AB570" s="29"/>
      <c r="AI570" s="29"/>
    </row>
    <row r="571">
      <c r="D571" s="29"/>
      <c r="E571" s="29"/>
      <c r="F571" s="29"/>
      <c r="G571" s="29"/>
      <c r="H571" s="29"/>
      <c r="Y571" s="29"/>
      <c r="AB571" s="29"/>
      <c r="AI571" s="29"/>
    </row>
    <row r="572">
      <c r="D572" s="29"/>
      <c r="E572" s="29"/>
      <c r="F572" s="29"/>
      <c r="G572" s="29"/>
      <c r="H572" s="29"/>
      <c r="Y572" s="29"/>
      <c r="AB572" s="29"/>
      <c r="AI572" s="29"/>
    </row>
    <row r="573">
      <c r="D573" s="29"/>
      <c r="E573" s="29"/>
      <c r="F573" s="29"/>
      <c r="G573" s="29"/>
      <c r="H573" s="29"/>
      <c r="Y573" s="29"/>
      <c r="AB573" s="29"/>
      <c r="AI573" s="29"/>
    </row>
    <row r="574">
      <c r="D574" s="29"/>
      <c r="E574" s="29"/>
      <c r="F574" s="29"/>
      <c r="G574" s="29"/>
      <c r="H574" s="29"/>
      <c r="Y574" s="29"/>
      <c r="AB574" s="29"/>
      <c r="AI574" s="29"/>
    </row>
    <row r="575">
      <c r="D575" s="29"/>
      <c r="E575" s="29"/>
      <c r="F575" s="29"/>
      <c r="G575" s="29"/>
      <c r="H575" s="29"/>
      <c r="Y575" s="29"/>
      <c r="AB575" s="29"/>
      <c r="AI575" s="29"/>
    </row>
    <row r="576">
      <c r="D576" s="29"/>
      <c r="E576" s="29"/>
      <c r="F576" s="29"/>
      <c r="G576" s="29"/>
      <c r="H576" s="29"/>
      <c r="Y576" s="29"/>
      <c r="AB576" s="29"/>
      <c r="AI576" s="29"/>
    </row>
    <row r="577">
      <c r="D577" s="29"/>
      <c r="E577" s="29"/>
      <c r="F577" s="29"/>
      <c r="G577" s="29"/>
      <c r="H577" s="29"/>
      <c r="Y577" s="29"/>
      <c r="AB577" s="29"/>
      <c r="AI577" s="29"/>
    </row>
    <row r="578">
      <c r="D578" s="29"/>
      <c r="E578" s="29"/>
      <c r="F578" s="29"/>
      <c r="G578" s="29"/>
      <c r="H578" s="29"/>
      <c r="Y578" s="29"/>
      <c r="AB578" s="29"/>
      <c r="AI578" s="29"/>
    </row>
    <row r="579">
      <c r="D579" s="29"/>
      <c r="E579" s="29"/>
      <c r="F579" s="29"/>
      <c r="G579" s="29"/>
      <c r="H579" s="29"/>
      <c r="Y579" s="29"/>
      <c r="AB579" s="29"/>
      <c r="AI579" s="29"/>
    </row>
    <row r="580">
      <c r="D580" s="29"/>
      <c r="E580" s="29"/>
      <c r="F580" s="29"/>
      <c r="G580" s="29"/>
      <c r="H580" s="29"/>
      <c r="Y580" s="29"/>
      <c r="AB580" s="29"/>
      <c r="AI580" s="29"/>
    </row>
    <row r="581">
      <c r="D581" s="29"/>
      <c r="E581" s="29"/>
      <c r="F581" s="29"/>
      <c r="G581" s="29"/>
      <c r="H581" s="29"/>
      <c r="Y581" s="29"/>
      <c r="AB581" s="29"/>
      <c r="AI581" s="29"/>
    </row>
    <row r="582">
      <c r="D582" s="29"/>
      <c r="E582" s="29"/>
      <c r="F582" s="29"/>
      <c r="G582" s="29"/>
      <c r="H582" s="29"/>
      <c r="Y582" s="29"/>
      <c r="AB582" s="29"/>
      <c r="AI582" s="29"/>
    </row>
    <row r="583">
      <c r="D583" s="29"/>
      <c r="E583" s="29"/>
      <c r="F583" s="29"/>
      <c r="G583" s="29"/>
      <c r="H583" s="29"/>
      <c r="Y583" s="29"/>
      <c r="AB583" s="29"/>
      <c r="AI583" s="29"/>
    </row>
    <row r="584">
      <c r="D584" s="29"/>
      <c r="E584" s="29"/>
      <c r="F584" s="29"/>
      <c r="G584" s="29"/>
      <c r="H584" s="29"/>
      <c r="Y584" s="29"/>
      <c r="AB584" s="29"/>
      <c r="AI584" s="29"/>
    </row>
    <row r="585">
      <c r="D585" s="29"/>
      <c r="E585" s="29"/>
      <c r="F585" s="29"/>
      <c r="G585" s="29"/>
      <c r="H585" s="29"/>
      <c r="Y585" s="29"/>
      <c r="AB585" s="29"/>
      <c r="AI585" s="29"/>
    </row>
    <row r="586">
      <c r="D586" s="29"/>
      <c r="E586" s="29"/>
      <c r="F586" s="29"/>
      <c r="G586" s="29"/>
      <c r="H586" s="29"/>
      <c r="Y586" s="29"/>
      <c r="AB586" s="29"/>
      <c r="AI586" s="29"/>
    </row>
    <row r="587">
      <c r="D587" s="29"/>
      <c r="E587" s="29"/>
      <c r="F587" s="29"/>
      <c r="G587" s="29"/>
      <c r="H587" s="29"/>
      <c r="Y587" s="29"/>
      <c r="AB587" s="29"/>
      <c r="AI587" s="29"/>
    </row>
    <row r="588">
      <c r="D588" s="29"/>
      <c r="E588" s="29"/>
      <c r="F588" s="29"/>
      <c r="G588" s="29"/>
      <c r="H588" s="29"/>
      <c r="Y588" s="29"/>
      <c r="AB588" s="29"/>
      <c r="AI588" s="29"/>
    </row>
    <row r="589">
      <c r="D589" s="29"/>
      <c r="E589" s="29"/>
      <c r="F589" s="29"/>
      <c r="G589" s="29"/>
      <c r="H589" s="29"/>
      <c r="Y589" s="29"/>
      <c r="AB589" s="29"/>
      <c r="AI589" s="29"/>
    </row>
    <row r="590">
      <c r="D590" s="29"/>
      <c r="E590" s="29"/>
      <c r="F590" s="29"/>
      <c r="G590" s="29"/>
      <c r="H590" s="29"/>
      <c r="Y590" s="29"/>
      <c r="AB590" s="29"/>
      <c r="AI590" s="29"/>
    </row>
    <row r="591">
      <c r="D591" s="29"/>
      <c r="E591" s="29"/>
      <c r="F591" s="29"/>
      <c r="G591" s="29"/>
      <c r="H591" s="29"/>
      <c r="Y591" s="29"/>
      <c r="AB591" s="29"/>
      <c r="AI591" s="29"/>
    </row>
    <row r="592">
      <c r="D592" s="29"/>
      <c r="E592" s="29"/>
      <c r="F592" s="29"/>
      <c r="G592" s="29"/>
      <c r="H592" s="29"/>
      <c r="Y592" s="29"/>
      <c r="AB592" s="29"/>
      <c r="AI592" s="29"/>
    </row>
    <row r="593">
      <c r="D593" s="29"/>
      <c r="E593" s="29"/>
      <c r="F593" s="29"/>
      <c r="G593" s="29"/>
      <c r="H593" s="29"/>
      <c r="Y593" s="29"/>
      <c r="AB593" s="29"/>
      <c r="AI593" s="29"/>
    </row>
    <row r="594">
      <c r="D594" s="29"/>
      <c r="E594" s="29"/>
      <c r="F594" s="29"/>
      <c r="G594" s="29"/>
      <c r="H594" s="29"/>
      <c r="Y594" s="29"/>
      <c r="AB594" s="29"/>
      <c r="AI594" s="29"/>
    </row>
    <row r="595">
      <c r="D595" s="29"/>
      <c r="E595" s="29"/>
      <c r="F595" s="29"/>
      <c r="G595" s="29"/>
      <c r="H595" s="29"/>
      <c r="Y595" s="29"/>
      <c r="AB595" s="29"/>
      <c r="AI595" s="29"/>
    </row>
    <row r="596">
      <c r="D596" s="29"/>
      <c r="E596" s="29"/>
      <c r="F596" s="29"/>
      <c r="G596" s="29"/>
      <c r="H596" s="29"/>
      <c r="Y596" s="29"/>
      <c r="AB596" s="29"/>
      <c r="AI596" s="29"/>
    </row>
    <row r="597">
      <c r="D597" s="29"/>
      <c r="E597" s="29"/>
      <c r="F597" s="29"/>
      <c r="G597" s="29"/>
      <c r="H597" s="29"/>
      <c r="Y597" s="29"/>
      <c r="AB597" s="29"/>
      <c r="AI597" s="29"/>
    </row>
    <row r="598">
      <c r="D598" s="29"/>
      <c r="E598" s="29"/>
      <c r="F598" s="29"/>
      <c r="G598" s="29"/>
      <c r="H598" s="29"/>
      <c r="Y598" s="29"/>
      <c r="AB598" s="29"/>
      <c r="AI598" s="29"/>
    </row>
    <row r="599">
      <c r="D599" s="29"/>
      <c r="E599" s="29"/>
      <c r="F599" s="29"/>
      <c r="G599" s="29"/>
      <c r="H599" s="29"/>
      <c r="Y599" s="29"/>
      <c r="AB599" s="29"/>
      <c r="AI599" s="29"/>
    </row>
    <row r="600">
      <c r="D600" s="29"/>
      <c r="E600" s="29"/>
      <c r="F600" s="29"/>
      <c r="G600" s="29"/>
      <c r="H600" s="29"/>
      <c r="Y600" s="29"/>
      <c r="AB600" s="29"/>
      <c r="AI600" s="29"/>
    </row>
    <row r="601">
      <c r="D601" s="29"/>
      <c r="E601" s="29"/>
      <c r="F601" s="29"/>
      <c r="G601" s="29"/>
      <c r="H601" s="29"/>
      <c r="Y601" s="29"/>
      <c r="AB601" s="29"/>
      <c r="AI601" s="29"/>
    </row>
    <row r="602">
      <c r="D602" s="29"/>
      <c r="E602" s="29"/>
      <c r="F602" s="29"/>
      <c r="G602" s="29"/>
      <c r="H602" s="29"/>
      <c r="Y602" s="29"/>
      <c r="AB602" s="29"/>
      <c r="AI602" s="29"/>
    </row>
    <row r="603">
      <c r="D603" s="29"/>
      <c r="E603" s="29"/>
      <c r="F603" s="29"/>
      <c r="G603" s="29"/>
      <c r="H603" s="29"/>
      <c r="Y603" s="29"/>
      <c r="AB603" s="29"/>
      <c r="AI603" s="29"/>
    </row>
    <row r="604">
      <c r="D604" s="29"/>
      <c r="E604" s="29"/>
      <c r="F604" s="29"/>
      <c r="G604" s="29"/>
      <c r="H604" s="29"/>
      <c r="Y604" s="29"/>
      <c r="AB604" s="29"/>
      <c r="AI604" s="29"/>
    </row>
    <row r="605">
      <c r="D605" s="29"/>
      <c r="E605" s="29"/>
      <c r="F605" s="29"/>
      <c r="G605" s="29"/>
      <c r="H605" s="29"/>
      <c r="Y605" s="29"/>
      <c r="AB605" s="29"/>
      <c r="AI605" s="29"/>
    </row>
    <row r="606">
      <c r="D606" s="29"/>
      <c r="E606" s="29"/>
      <c r="F606" s="29"/>
      <c r="G606" s="29"/>
      <c r="H606" s="29"/>
      <c r="Y606" s="29"/>
      <c r="AB606" s="29"/>
      <c r="AI606" s="29"/>
    </row>
    <row r="607">
      <c r="D607" s="29"/>
      <c r="E607" s="29"/>
      <c r="F607" s="29"/>
      <c r="G607" s="29"/>
      <c r="H607" s="29"/>
      <c r="Y607" s="29"/>
      <c r="AB607" s="29"/>
      <c r="AI607" s="29"/>
    </row>
    <row r="608">
      <c r="D608" s="29"/>
      <c r="E608" s="29"/>
      <c r="F608" s="29"/>
      <c r="G608" s="29"/>
      <c r="H608" s="29"/>
      <c r="Y608" s="29"/>
      <c r="AB608" s="29"/>
      <c r="AI608" s="29"/>
    </row>
    <row r="609">
      <c r="D609" s="29"/>
      <c r="E609" s="29"/>
      <c r="F609" s="29"/>
      <c r="G609" s="29"/>
      <c r="H609" s="29"/>
      <c r="Y609" s="29"/>
      <c r="AB609" s="29"/>
      <c r="AI609" s="29"/>
    </row>
    <row r="610">
      <c r="D610" s="29"/>
      <c r="E610" s="29"/>
      <c r="F610" s="29"/>
      <c r="G610" s="29"/>
      <c r="H610" s="29"/>
      <c r="Y610" s="29"/>
      <c r="AB610" s="29"/>
      <c r="AI610" s="29"/>
    </row>
    <row r="611">
      <c r="D611" s="29"/>
      <c r="E611" s="29"/>
      <c r="F611" s="29"/>
      <c r="G611" s="29"/>
      <c r="H611" s="29"/>
      <c r="Y611" s="29"/>
      <c r="AB611" s="29"/>
      <c r="AI611" s="29"/>
    </row>
    <row r="612">
      <c r="D612" s="29"/>
      <c r="E612" s="29"/>
      <c r="F612" s="29"/>
      <c r="G612" s="29"/>
      <c r="H612" s="29"/>
      <c r="Y612" s="29"/>
      <c r="AB612" s="29"/>
      <c r="AI612" s="29"/>
    </row>
    <row r="613">
      <c r="D613" s="29"/>
      <c r="E613" s="29"/>
      <c r="F613" s="29"/>
      <c r="G613" s="29"/>
      <c r="H613" s="29"/>
      <c r="Y613" s="29"/>
      <c r="AB613" s="29"/>
      <c r="AI613" s="29"/>
    </row>
    <row r="614">
      <c r="D614" s="29"/>
      <c r="E614" s="29"/>
      <c r="F614" s="29"/>
      <c r="G614" s="29"/>
      <c r="H614" s="29"/>
      <c r="Y614" s="29"/>
      <c r="AB614" s="29"/>
      <c r="AI614" s="29"/>
    </row>
    <row r="615">
      <c r="D615" s="29"/>
      <c r="E615" s="29"/>
      <c r="F615" s="29"/>
      <c r="G615" s="29"/>
      <c r="H615" s="29"/>
      <c r="Y615" s="29"/>
      <c r="AB615" s="29"/>
      <c r="AI615" s="29"/>
    </row>
    <row r="616">
      <c r="D616" s="29"/>
      <c r="E616" s="29"/>
      <c r="F616" s="29"/>
      <c r="G616" s="29"/>
      <c r="H616" s="29"/>
      <c r="Y616" s="29"/>
      <c r="AB616" s="29"/>
      <c r="AI616" s="29"/>
    </row>
    <row r="617">
      <c r="D617" s="29"/>
      <c r="E617" s="29"/>
      <c r="F617" s="29"/>
      <c r="G617" s="29"/>
      <c r="H617" s="29"/>
      <c r="Y617" s="29"/>
      <c r="AB617" s="29"/>
      <c r="AI617" s="29"/>
    </row>
    <row r="618">
      <c r="D618" s="29"/>
      <c r="E618" s="29"/>
      <c r="F618" s="29"/>
      <c r="G618" s="29"/>
      <c r="H618" s="29"/>
      <c r="Y618" s="29"/>
      <c r="AB618" s="29"/>
      <c r="AI618" s="29"/>
    </row>
    <row r="619">
      <c r="D619" s="29"/>
      <c r="E619" s="29"/>
      <c r="F619" s="29"/>
      <c r="G619" s="29"/>
      <c r="H619" s="29"/>
      <c r="Y619" s="29"/>
      <c r="AB619" s="29"/>
      <c r="AI619" s="29"/>
    </row>
    <row r="620">
      <c r="D620" s="29"/>
      <c r="E620" s="29"/>
      <c r="F620" s="29"/>
      <c r="G620" s="29"/>
      <c r="H620" s="29"/>
      <c r="Y620" s="29"/>
      <c r="AB620" s="29"/>
      <c r="AI620" s="29"/>
    </row>
    <row r="621">
      <c r="D621" s="29"/>
      <c r="E621" s="29"/>
      <c r="F621" s="29"/>
      <c r="G621" s="29"/>
      <c r="H621" s="29"/>
      <c r="Y621" s="29"/>
      <c r="AB621" s="29"/>
      <c r="AI621" s="29"/>
    </row>
    <row r="622">
      <c r="D622" s="29"/>
      <c r="E622" s="29"/>
      <c r="F622" s="29"/>
      <c r="G622" s="29"/>
      <c r="H622" s="29"/>
      <c r="Y622" s="29"/>
      <c r="AB622" s="29"/>
      <c r="AI622" s="29"/>
    </row>
    <row r="623">
      <c r="D623" s="29"/>
      <c r="E623" s="29"/>
      <c r="F623" s="29"/>
      <c r="G623" s="29"/>
      <c r="H623" s="29"/>
      <c r="Y623" s="29"/>
      <c r="AB623" s="29"/>
      <c r="AI623" s="29"/>
    </row>
    <row r="624">
      <c r="D624" s="29"/>
      <c r="E624" s="29"/>
      <c r="F624" s="29"/>
      <c r="G624" s="29"/>
      <c r="H624" s="29"/>
      <c r="Y624" s="29"/>
      <c r="AB624" s="29"/>
      <c r="AI624" s="29"/>
    </row>
    <row r="625">
      <c r="D625" s="29"/>
      <c r="E625" s="29"/>
      <c r="F625" s="29"/>
      <c r="G625" s="29"/>
      <c r="H625" s="29"/>
      <c r="Y625" s="29"/>
      <c r="AB625" s="29"/>
      <c r="AI625" s="29"/>
    </row>
    <row r="626">
      <c r="D626" s="29"/>
      <c r="E626" s="29"/>
      <c r="F626" s="29"/>
      <c r="G626" s="29"/>
      <c r="H626" s="29"/>
      <c r="Y626" s="29"/>
      <c r="AB626" s="29"/>
      <c r="AI626" s="29"/>
    </row>
    <row r="627">
      <c r="D627" s="29"/>
      <c r="E627" s="29"/>
      <c r="F627" s="29"/>
      <c r="G627" s="29"/>
      <c r="H627" s="29"/>
      <c r="Y627" s="29"/>
      <c r="AB627" s="29"/>
      <c r="AI627" s="29"/>
    </row>
    <row r="628">
      <c r="D628" s="29"/>
      <c r="E628" s="29"/>
      <c r="F628" s="29"/>
      <c r="G628" s="29"/>
      <c r="H628" s="29"/>
      <c r="Y628" s="29"/>
      <c r="AB628" s="29"/>
      <c r="AI628" s="29"/>
    </row>
    <row r="629">
      <c r="D629" s="29"/>
      <c r="E629" s="29"/>
      <c r="F629" s="29"/>
      <c r="G629" s="29"/>
      <c r="H629" s="29"/>
      <c r="Y629" s="29"/>
      <c r="AB629" s="29"/>
      <c r="AI629" s="29"/>
    </row>
    <row r="630">
      <c r="D630" s="29"/>
      <c r="E630" s="29"/>
      <c r="F630" s="29"/>
      <c r="G630" s="29"/>
      <c r="H630" s="29"/>
      <c r="Y630" s="29"/>
      <c r="AB630" s="29"/>
      <c r="AI630" s="29"/>
    </row>
    <row r="631">
      <c r="D631" s="29"/>
      <c r="E631" s="29"/>
      <c r="F631" s="29"/>
      <c r="G631" s="29"/>
      <c r="H631" s="29"/>
      <c r="Y631" s="29"/>
      <c r="AB631" s="29"/>
      <c r="AI631" s="29"/>
    </row>
    <row r="632">
      <c r="D632" s="29"/>
      <c r="E632" s="29"/>
      <c r="F632" s="29"/>
      <c r="G632" s="29"/>
      <c r="H632" s="29"/>
      <c r="Y632" s="29"/>
      <c r="AB632" s="29"/>
      <c r="AI632" s="29"/>
    </row>
    <row r="633">
      <c r="D633" s="29"/>
      <c r="E633" s="29"/>
      <c r="F633" s="29"/>
      <c r="G633" s="29"/>
      <c r="H633" s="29"/>
      <c r="Y633" s="29"/>
      <c r="AB633" s="29"/>
      <c r="AI633" s="29"/>
    </row>
    <row r="634">
      <c r="D634" s="29"/>
      <c r="E634" s="29"/>
      <c r="F634" s="29"/>
      <c r="G634" s="29"/>
      <c r="H634" s="29"/>
      <c r="Y634" s="29"/>
      <c r="AB634" s="29"/>
      <c r="AI634" s="29"/>
    </row>
    <row r="635">
      <c r="D635" s="29"/>
      <c r="E635" s="29"/>
      <c r="F635" s="29"/>
      <c r="G635" s="29"/>
      <c r="H635" s="29"/>
      <c r="Y635" s="29"/>
      <c r="AB635" s="29"/>
      <c r="AI635" s="29"/>
    </row>
    <row r="636">
      <c r="D636" s="29"/>
      <c r="E636" s="29"/>
      <c r="F636" s="29"/>
      <c r="G636" s="29"/>
      <c r="H636" s="29"/>
      <c r="Y636" s="29"/>
      <c r="AB636" s="29"/>
      <c r="AI636" s="29"/>
    </row>
    <row r="637">
      <c r="D637" s="29"/>
      <c r="E637" s="29"/>
      <c r="F637" s="29"/>
      <c r="G637" s="29"/>
      <c r="H637" s="29"/>
      <c r="Y637" s="29"/>
      <c r="AB637" s="29"/>
      <c r="AI637" s="29"/>
    </row>
    <row r="638">
      <c r="D638" s="29"/>
      <c r="E638" s="29"/>
      <c r="F638" s="29"/>
      <c r="G638" s="29"/>
      <c r="H638" s="29"/>
      <c r="Y638" s="29"/>
      <c r="AB638" s="29"/>
      <c r="AI638" s="29"/>
    </row>
    <row r="639">
      <c r="D639" s="29"/>
      <c r="E639" s="29"/>
      <c r="F639" s="29"/>
      <c r="G639" s="29"/>
      <c r="H639" s="29"/>
      <c r="Y639" s="29"/>
      <c r="AB639" s="29"/>
      <c r="AI639" s="29"/>
    </row>
    <row r="640">
      <c r="D640" s="29"/>
      <c r="E640" s="29"/>
      <c r="F640" s="29"/>
      <c r="G640" s="29"/>
      <c r="H640" s="29"/>
      <c r="Y640" s="29"/>
      <c r="AB640" s="29"/>
      <c r="AI640" s="29"/>
    </row>
    <row r="641">
      <c r="D641" s="29"/>
      <c r="E641" s="29"/>
      <c r="F641" s="29"/>
      <c r="G641" s="29"/>
      <c r="H641" s="29"/>
      <c r="Y641" s="29"/>
      <c r="AB641" s="29"/>
      <c r="AI641" s="29"/>
    </row>
    <row r="642">
      <c r="D642" s="29"/>
      <c r="E642" s="29"/>
      <c r="F642" s="29"/>
      <c r="G642" s="29"/>
      <c r="H642" s="29"/>
      <c r="Y642" s="29"/>
      <c r="AB642" s="29"/>
      <c r="AI642" s="29"/>
    </row>
    <row r="643">
      <c r="D643" s="29"/>
      <c r="E643" s="29"/>
      <c r="F643" s="29"/>
      <c r="G643" s="29"/>
      <c r="H643" s="29"/>
      <c r="Y643" s="29"/>
      <c r="AB643" s="29"/>
      <c r="AI643" s="29"/>
    </row>
    <row r="644">
      <c r="D644" s="29"/>
      <c r="E644" s="29"/>
      <c r="F644" s="29"/>
      <c r="G644" s="29"/>
      <c r="H644" s="29"/>
      <c r="Y644" s="29"/>
      <c r="AB644" s="29"/>
      <c r="AI644" s="29"/>
    </row>
    <row r="645">
      <c r="D645" s="29"/>
      <c r="E645" s="29"/>
      <c r="F645" s="29"/>
      <c r="G645" s="29"/>
      <c r="H645" s="29"/>
      <c r="Y645" s="29"/>
      <c r="AB645" s="29"/>
      <c r="AI645" s="29"/>
    </row>
    <row r="646">
      <c r="D646" s="29"/>
      <c r="E646" s="29"/>
      <c r="F646" s="29"/>
      <c r="G646" s="29"/>
      <c r="H646" s="29"/>
      <c r="Y646" s="29"/>
      <c r="AB646" s="29"/>
      <c r="AI646" s="29"/>
    </row>
    <row r="647">
      <c r="D647" s="29"/>
      <c r="E647" s="29"/>
      <c r="F647" s="29"/>
      <c r="G647" s="29"/>
      <c r="H647" s="29"/>
      <c r="Y647" s="29"/>
      <c r="AB647" s="29"/>
      <c r="AI647" s="29"/>
    </row>
    <row r="648">
      <c r="D648" s="29"/>
      <c r="E648" s="29"/>
      <c r="F648" s="29"/>
      <c r="G648" s="29"/>
      <c r="H648" s="29"/>
      <c r="Y648" s="29"/>
      <c r="AB648" s="29"/>
      <c r="AI648" s="29"/>
    </row>
    <row r="649">
      <c r="D649" s="29"/>
      <c r="E649" s="29"/>
      <c r="F649" s="29"/>
      <c r="G649" s="29"/>
      <c r="H649" s="29"/>
      <c r="Y649" s="29"/>
      <c r="AB649" s="29"/>
      <c r="AI649" s="29"/>
    </row>
    <row r="650">
      <c r="D650" s="29"/>
      <c r="E650" s="29"/>
      <c r="F650" s="29"/>
      <c r="G650" s="29"/>
      <c r="H650" s="29"/>
      <c r="Y650" s="29"/>
      <c r="AB650" s="29"/>
      <c r="AI650" s="29"/>
    </row>
    <row r="651">
      <c r="D651" s="29"/>
      <c r="E651" s="29"/>
      <c r="F651" s="29"/>
      <c r="G651" s="29"/>
      <c r="H651" s="29"/>
      <c r="Y651" s="29"/>
      <c r="AB651" s="29"/>
      <c r="AI651" s="29"/>
    </row>
    <row r="652">
      <c r="D652" s="29"/>
      <c r="E652" s="29"/>
      <c r="F652" s="29"/>
      <c r="G652" s="29"/>
      <c r="H652" s="29"/>
      <c r="Y652" s="29"/>
      <c r="AB652" s="29"/>
      <c r="AI652" s="29"/>
    </row>
    <row r="653">
      <c r="D653" s="29"/>
      <c r="E653" s="29"/>
      <c r="F653" s="29"/>
      <c r="G653" s="29"/>
      <c r="H653" s="29"/>
      <c r="Y653" s="29"/>
      <c r="AB653" s="29"/>
      <c r="AI653" s="29"/>
    </row>
    <row r="654">
      <c r="D654" s="29"/>
      <c r="E654" s="29"/>
      <c r="F654" s="29"/>
      <c r="G654" s="29"/>
      <c r="H654" s="29"/>
      <c r="Y654" s="29"/>
      <c r="AB654" s="29"/>
      <c r="AI654" s="29"/>
    </row>
    <row r="655">
      <c r="D655" s="29"/>
      <c r="E655" s="29"/>
      <c r="F655" s="29"/>
      <c r="G655" s="29"/>
      <c r="H655" s="29"/>
      <c r="Y655" s="29"/>
      <c r="AB655" s="29"/>
      <c r="AI655" s="29"/>
    </row>
    <row r="656">
      <c r="D656" s="29"/>
      <c r="E656" s="29"/>
      <c r="F656" s="29"/>
      <c r="G656" s="29"/>
      <c r="H656" s="29"/>
      <c r="Y656" s="29"/>
      <c r="AB656" s="29"/>
      <c r="AI656" s="29"/>
    </row>
    <row r="657">
      <c r="D657" s="29"/>
      <c r="E657" s="29"/>
      <c r="F657" s="29"/>
      <c r="G657" s="29"/>
      <c r="H657" s="29"/>
      <c r="Y657" s="29"/>
      <c r="AB657" s="29"/>
      <c r="AI657" s="29"/>
    </row>
    <row r="658">
      <c r="D658" s="29"/>
      <c r="E658" s="29"/>
      <c r="F658" s="29"/>
      <c r="G658" s="29"/>
      <c r="H658" s="29"/>
      <c r="Y658" s="29"/>
      <c r="AB658" s="29"/>
      <c r="AI658" s="29"/>
    </row>
    <row r="659">
      <c r="D659" s="29"/>
      <c r="E659" s="29"/>
      <c r="F659" s="29"/>
      <c r="G659" s="29"/>
      <c r="H659" s="29"/>
      <c r="Y659" s="29"/>
      <c r="AB659" s="29"/>
      <c r="AI659" s="29"/>
    </row>
    <row r="660">
      <c r="D660" s="29"/>
      <c r="E660" s="29"/>
      <c r="F660" s="29"/>
      <c r="G660" s="29"/>
      <c r="H660" s="29"/>
      <c r="Y660" s="29"/>
      <c r="AB660" s="29"/>
      <c r="AI660" s="29"/>
    </row>
    <row r="661">
      <c r="D661" s="29"/>
      <c r="E661" s="29"/>
      <c r="F661" s="29"/>
      <c r="G661" s="29"/>
      <c r="H661" s="29"/>
      <c r="Y661" s="29"/>
      <c r="AB661" s="29"/>
      <c r="AI661" s="29"/>
    </row>
    <row r="662">
      <c r="D662" s="29"/>
      <c r="E662" s="29"/>
      <c r="F662" s="29"/>
      <c r="G662" s="29"/>
      <c r="H662" s="29"/>
      <c r="Y662" s="29"/>
      <c r="AB662" s="29"/>
      <c r="AI662" s="29"/>
    </row>
    <row r="663">
      <c r="D663" s="29"/>
      <c r="E663" s="29"/>
      <c r="F663" s="29"/>
      <c r="G663" s="29"/>
      <c r="H663" s="29"/>
      <c r="Y663" s="29"/>
      <c r="AB663" s="29"/>
      <c r="AI663" s="29"/>
    </row>
    <row r="664">
      <c r="D664" s="29"/>
      <c r="E664" s="29"/>
      <c r="F664" s="29"/>
      <c r="G664" s="29"/>
      <c r="H664" s="29"/>
      <c r="Y664" s="29"/>
      <c r="AB664" s="29"/>
      <c r="AI664" s="29"/>
    </row>
    <row r="665">
      <c r="D665" s="29"/>
      <c r="E665" s="29"/>
      <c r="F665" s="29"/>
      <c r="G665" s="29"/>
      <c r="H665" s="29"/>
      <c r="Y665" s="29"/>
      <c r="AB665" s="29"/>
      <c r="AI665" s="29"/>
    </row>
    <row r="666">
      <c r="D666" s="29"/>
      <c r="E666" s="29"/>
      <c r="F666" s="29"/>
      <c r="G666" s="29"/>
      <c r="H666" s="29"/>
      <c r="Y666" s="29"/>
      <c r="AB666" s="29"/>
      <c r="AI666" s="29"/>
    </row>
    <row r="667">
      <c r="D667" s="29"/>
      <c r="E667" s="29"/>
      <c r="F667" s="29"/>
      <c r="G667" s="29"/>
      <c r="H667" s="29"/>
      <c r="Y667" s="29"/>
      <c r="AB667" s="29"/>
      <c r="AI667" s="29"/>
    </row>
    <row r="668">
      <c r="D668" s="29"/>
      <c r="E668" s="29"/>
      <c r="F668" s="29"/>
      <c r="G668" s="29"/>
      <c r="H668" s="29"/>
      <c r="Y668" s="29"/>
      <c r="AB668" s="29"/>
      <c r="AI668" s="29"/>
    </row>
    <row r="669">
      <c r="D669" s="29"/>
      <c r="E669" s="29"/>
      <c r="F669" s="29"/>
      <c r="G669" s="29"/>
      <c r="H669" s="29"/>
      <c r="Y669" s="29"/>
      <c r="AB669" s="29"/>
      <c r="AI669" s="29"/>
    </row>
    <row r="670">
      <c r="D670" s="29"/>
      <c r="E670" s="29"/>
      <c r="F670" s="29"/>
      <c r="G670" s="29"/>
      <c r="H670" s="29"/>
      <c r="Y670" s="29"/>
      <c r="AB670" s="29"/>
      <c r="AI670" s="29"/>
    </row>
    <row r="671">
      <c r="D671" s="29"/>
      <c r="E671" s="29"/>
      <c r="F671" s="29"/>
      <c r="G671" s="29"/>
      <c r="H671" s="29"/>
      <c r="Y671" s="29"/>
      <c r="AB671" s="29"/>
      <c r="AI671" s="29"/>
    </row>
    <row r="672">
      <c r="D672" s="29"/>
      <c r="E672" s="29"/>
      <c r="F672" s="29"/>
      <c r="G672" s="29"/>
      <c r="H672" s="29"/>
      <c r="Y672" s="29"/>
      <c r="AB672" s="29"/>
      <c r="AI672" s="29"/>
    </row>
    <row r="673">
      <c r="D673" s="29"/>
      <c r="E673" s="29"/>
      <c r="F673" s="29"/>
      <c r="G673" s="29"/>
      <c r="H673" s="29"/>
      <c r="Y673" s="29"/>
      <c r="AB673" s="29"/>
      <c r="AI673" s="29"/>
    </row>
    <row r="674">
      <c r="D674" s="29"/>
      <c r="E674" s="29"/>
      <c r="F674" s="29"/>
      <c r="G674" s="29"/>
      <c r="H674" s="29"/>
      <c r="Y674" s="29"/>
      <c r="AB674" s="29"/>
      <c r="AI674" s="29"/>
    </row>
    <row r="675">
      <c r="D675" s="29"/>
      <c r="E675" s="29"/>
      <c r="F675" s="29"/>
      <c r="G675" s="29"/>
      <c r="H675" s="29"/>
      <c r="Y675" s="29"/>
      <c r="AB675" s="29"/>
      <c r="AI675" s="29"/>
    </row>
    <row r="676">
      <c r="D676" s="29"/>
      <c r="E676" s="29"/>
      <c r="F676" s="29"/>
      <c r="G676" s="29"/>
      <c r="H676" s="29"/>
      <c r="Y676" s="29"/>
      <c r="AB676" s="29"/>
      <c r="AI676" s="29"/>
    </row>
    <row r="677">
      <c r="D677" s="29"/>
      <c r="E677" s="29"/>
      <c r="F677" s="29"/>
      <c r="G677" s="29"/>
      <c r="H677" s="29"/>
      <c r="Y677" s="29"/>
      <c r="AB677" s="29"/>
      <c r="AI677" s="29"/>
    </row>
    <row r="678">
      <c r="D678" s="29"/>
      <c r="E678" s="29"/>
      <c r="F678" s="29"/>
      <c r="G678" s="29"/>
      <c r="H678" s="29"/>
      <c r="Y678" s="29"/>
      <c r="AB678" s="29"/>
      <c r="AI678" s="29"/>
    </row>
    <row r="679">
      <c r="D679" s="29"/>
      <c r="E679" s="29"/>
      <c r="F679" s="29"/>
      <c r="G679" s="29"/>
      <c r="H679" s="29"/>
      <c r="Y679" s="29"/>
      <c r="AB679" s="29"/>
      <c r="AI679" s="29"/>
    </row>
    <row r="680">
      <c r="D680" s="29"/>
      <c r="E680" s="29"/>
      <c r="F680" s="29"/>
      <c r="G680" s="29"/>
      <c r="H680" s="29"/>
      <c r="Y680" s="29"/>
      <c r="AB680" s="29"/>
      <c r="AI680" s="29"/>
    </row>
    <row r="681">
      <c r="D681" s="29"/>
      <c r="E681" s="29"/>
      <c r="F681" s="29"/>
      <c r="G681" s="29"/>
      <c r="H681" s="29"/>
      <c r="Y681" s="29"/>
      <c r="AB681" s="29"/>
      <c r="AI681" s="29"/>
    </row>
    <row r="682">
      <c r="D682" s="29"/>
      <c r="E682" s="29"/>
      <c r="F682" s="29"/>
      <c r="G682" s="29"/>
      <c r="H682" s="29"/>
      <c r="Y682" s="29"/>
      <c r="AB682" s="29"/>
      <c r="AI682" s="29"/>
    </row>
    <row r="683">
      <c r="D683" s="29"/>
      <c r="E683" s="29"/>
      <c r="F683" s="29"/>
      <c r="G683" s="29"/>
      <c r="H683" s="29"/>
      <c r="Y683" s="29"/>
      <c r="AB683" s="29"/>
      <c r="AI683" s="29"/>
    </row>
    <row r="684">
      <c r="D684" s="29"/>
      <c r="E684" s="29"/>
      <c r="F684" s="29"/>
      <c r="G684" s="29"/>
      <c r="H684" s="29"/>
      <c r="Y684" s="29"/>
      <c r="AB684" s="29"/>
      <c r="AI684" s="29"/>
    </row>
    <row r="685">
      <c r="D685" s="29"/>
      <c r="E685" s="29"/>
      <c r="F685" s="29"/>
      <c r="G685" s="29"/>
      <c r="H685" s="29"/>
      <c r="Y685" s="29"/>
      <c r="AB685" s="29"/>
      <c r="AI685" s="29"/>
    </row>
    <row r="686">
      <c r="D686" s="29"/>
      <c r="E686" s="29"/>
      <c r="F686" s="29"/>
      <c r="G686" s="29"/>
      <c r="H686" s="29"/>
      <c r="Y686" s="29"/>
      <c r="AB686" s="29"/>
      <c r="AI686" s="29"/>
    </row>
    <row r="687">
      <c r="D687" s="29"/>
      <c r="E687" s="29"/>
      <c r="F687" s="29"/>
      <c r="G687" s="29"/>
      <c r="H687" s="29"/>
      <c r="Y687" s="29"/>
      <c r="AB687" s="29"/>
      <c r="AI687" s="29"/>
    </row>
    <row r="688">
      <c r="D688" s="29"/>
      <c r="E688" s="29"/>
      <c r="F688" s="29"/>
      <c r="G688" s="29"/>
      <c r="H688" s="29"/>
      <c r="Y688" s="29"/>
      <c r="AB688" s="29"/>
      <c r="AI688" s="29"/>
    </row>
    <row r="689">
      <c r="D689" s="29"/>
      <c r="E689" s="29"/>
      <c r="F689" s="29"/>
      <c r="G689" s="29"/>
      <c r="H689" s="29"/>
      <c r="Y689" s="29"/>
      <c r="AB689" s="29"/>
      <c r="AI689" s="29"/>
    </row>
    <row r="690">
      <c r="D690" s="29"/>
      <c r="E690" s="29"/>
      <c r="F690" s="29"/>
      <c r="G690" s="29"/>
      <c r="H690" s="29"/>
      <c r="Y690" s="29"/>
      <c r="AB690" s="29"/>
      <c r="AI690" s="29"/>
    </row>
    <row r="691">
      <c r="D691" s="29"/>
      <c r="E691" s="29"/>
      <c r="F691" s="29"/>
      <c r="G691" s="29"/>
      <c r="H691" s="29"/>
      <c r="Y691" s="29"/>
      <c r="AB691" s="29"/>
      <c r="AI691" s="29"/>
    </row>
    <row r="692">
      <c r="D692" s="29"/>
      <c r="E692" s="29"/>
      <c r="F692" s="29"/>
      <c r="G692" s="29"/>
      <c r="H692" s="29"/>
      <c r="Y692" s="29"/>
      <c r="AB692" s="29"/>
      <c r="AI692" s="29"/>
    </row>
    <row r="693">
      <c r="D693" s="29"/>
      <c r="E693" s="29"/>
      <c r="F693" s="29"/>
      <c r="G693" s="29"/>
      <c r="H693" s="29"/>
      <c r="Y693" s="29"/>
      <c r="AB693" s="29"/>
      <c r="AI693" s="29"/>
    </row>
    <row r="694">
      <c r="D694" s="29"/>
      <c r="E694" s="29"/>
      <c r="F694" s="29"/>
      <c r="G694" s="29"/>
      <c r="H694" s="29"/>
      <c r="Y694" s="29"/>
      <c r="AB694" s="29"/>
      <c r="AI694" s="29"/>
    </row>
    <row r="695">
      <c r="D695" s="29"/>
      <c r="E695" s="29"/>
      <c r="F695" s="29"/>
      <c r="G695" s="29"/>
      <c r="H695" s="29"/>
      <c r="Y695" s="29"/>
      <c r="AB695" s="29"/>
      <c r="AI695" s="29"/>
    </row>
    <row r="696">
      <c r="D696" s="29"/>
      <c r="E696" s="29"/>
      <c r="F696" s="29"/>
      <c r="G696" s="29"/>
      <c r="H696" s="29"/>
      <c r="Y696" s="29"/>
      <c r="AB696" s="29"/>
      <c r="AI696" s="29"/>
    </row>
    <row r="697">
      <c r="D697" s="29"/>
      <c r="E697" s="29"/>
      <c r="F697" s="29"/>
      <c r="G697" s="29"/>
      <c r="H697" s="29"/>
      <c r="Y697" s="29"/>
      <c r="AB697" s="29"/>
      <c r="AI697" s="29"/>
    </row>
    <row r="698">
      <c r="D698" s="29"/>
      <c r="E698" s="29"/>
      <c r="F698" s="29"/>
      <c r="G698" s="29"/>
      <c r="H698" s="29"/>
      <c r="Y698" s="29"/>
      <c r="AB698" s="29"/>
      <c r="AI698" s="29"/>
    </row>
    <row r="699">
      <c r="D699" s="29"/>
      <c r="E699" s="29"/>
      <c r="F699" s="29"/>
      <c r="G699" s="29"/>
      <c r="H699" s="29"/>
      <c r="Y699" s="29"/>
      <c r="AB699" s="29"/>
      <c r="AI699" s="29"/>
    </row>
    <row r="700">
      <c r="D700" s="29"/>
      <c r="E700" s="29"/>
      <c r="F700" s="29"/>
      <c r="G700" s="29"/>
      <c r="H700" s="29"/>
      <c r="Y700" s="29"/>
      <c r="AB700" s="29"/>
      <c r="AI700" s="29"/>
    </row>
    <row r="701">
      <c r="D701" s="29"/>
      <c r="E701" s="29"/>
      <c r="F701" s="29"/>
      <c r="G701" s="29"/>
      <c r="H701" s="29"/>
      <c r="Y701" s="29"/>
      <c r="AB701" s="29"/>
      <c r="AI701" s="29"/>
    </row>
    <row r="702">
      <c r="D702" s="29"/>
      <c r="E702" s="29"/>
      <c r="F702" s="29"/>
      <c r="G702" s="29"/>
      <c r="H702" s="29"/>
      <c r="Y702" s="29"/>
      <c r="AB702" s="29"/>
      <c r="AI702" s="29"/>
    </row>
    <row r="703">
      <c r="D703" s="29"/>
      <c r="E703" s="29"/>
      <c r="F703" s="29"/>
      <c r="G703" s="29"/>
      <c r="H703" s="29"/>
      <c r="Y703" s="29"/>
      <c r="AB703" s="29"/>
      <c r="AI703" s="29"/>
    </row>
    <row r="704">
      <c r="D704" s="29"/>
      <c r="E704" s="29"/>
      <c r="F704" s="29"/>
      <c r="G704" s="29"/>
      <c r="H704" s="29"/>
      <c r="Y704" s="29"/>
      <c r="AB704" s="29"/>
      <c r="AI704" s="29"/>
    </row>
    <row r="705">
      <c r="D705" s="29"/>
      <c r="E705" s="29"/>
      <c r="F705" s="29"/>
      <c r="G705" s="29"/>
      <c r="H705" s="29"/>
      <c r="Y705" s="29"/>
      <c r="AB705" s="29"/>
      <c r="AI705" s="29"/>
    </row>
    <row r="706">
      <c r="D706" s="29"/>
      <c r="E706" s="29"/>
      <c r="F706" s="29"/>
      <c r="G706" s="29"/>
      <c r="H706" s="29"/>
      <c r="Y706" s="29"/>
      <c r="AB706" s="29"/>
      <c r="AI706" s="29"/>
    </row>
    <row r="707">
      <c r="D707" s="29"/>
      <c r="E707" s="29"/>
      <c r="F707" s="29"/>
      <c r="G707" s="29"/>
      <c r="H707" s="29"/>
      <c r="Y707" s="29"/>
      <c r="AB707" s="29"/>
      <c r="AI707" s="29"/>
    </row>
    <row r="708">
      <c r="D708" s="29"/>
      <c r="E708" s="29"/>
      <c r="F708" s="29"/>
      <c r="G708" s="29"/>
      <c r="H708" s="29"/>
      <c r="Y708" s="29"/>
      <c r="AB708" s="29"/>
      <c r="AI708" s="29"/>
    </row>
    <row r="709">
      <c r="D709" s="29"/>
      <c r="E709" s="29"/>
      <c r="F709" s="29"/>
      <c r="G709" s="29"/>
      <c r="H709" s="29"/>
      <c r="Y709" s="29"/>
      <c r="AB709" s="29"/>
      <c r="AI709" s="29"/>
    </row>
    <row r="710">
      <c r="D710" s="29"/>
      <c r="E710" s="29"/>
      <c r="F710" s="29"/>
      <c r="G710" s="29"/>
      <c r="H710" s="29"/>
      <c r="Y710" s="29"/>
      <c r="AB710" s="29"/>
      <c r="AI710" s="29"/>
    </row>
    <row r="711">
      <c r="D711" s="29"/>
      <c r="E711" s="29"/>
      <c r="F711" s="29"/>
      <c r="G711" s="29"/>
      <c r="H711" s="29"/>
      <c r="Y711" s="29"/>
      <c r="AB711" s="29"/>
      <c r="AI711" s="29"/>
    </row>
    <row r="712">
      <c r="D712" s="29"/>
      <c r="E712" s="29"/>
      <c r="F712" s="29"/>
      <c r="G712" s="29"/>
      <c r="H712" s="29"/>
      <c r="Y712" s="29"/>
      <c r="AB712" s="29"/>
      <c r="AI712" s="29"/>
    </row>
    <row r="713">
      <c r="D713" s="29"/>
      <c r="E713" s="29"/>
      <c r="F713" s="29"/>
      <c r="G713" s="29"/>
      <c r="H713" s="29"/>
      <c r="Y713" s="29"/>
      <c r="AB713" s="29"/>
      <c r="AI713" s="29"/>
    </row>
    <row r="714">
      <c r="D714" s="29"/>
      <c r="E714" s="29"/>
      <c r="F714" s="29"/>
      <c r="G714" s="29"/>
      <c r="H714" s="29"/>
      <c r="Y714" s="29"/>
      <c r="AB714" s="29"/>
      <c r="AI714" s="29"/>
    </row>
    <row r="715">
      <c r="D715" s="29"/>
      <c r="E715" s="29"/>
      <c r="F715" s="29"/>
      <c r="G715" s="29"/>
      <c r="H715" s="29"/>
      <c r="Y715" s="29"/>
      <c r="AB715" s="29"/>
      <c r="AI715" s="29"/>
    </row>
    <row r="716">
      <c r="D716" s="29"/>
      <c r="E716" s="29"/>
      <c r="F716" s="29"/>
      <c r="G716" s="29"/>
      <c r="H716" s="29"/>
      <c r="Y716" s="29"/>
      <c r="AB716" s="29"/>
      <c r="AI716" s="29"/>
    </row>
    <row r="717">
      <c r="D717" s="29"/>
      <c r="E717" s="29"/>
      <c r="F717" s="29"/>
      <c r="G717" s="29"/>
      <c r="H717" s="29"/>
      <c r="Y717" s="29"/>
      <c r="AB717" s="29"/>
      <c r="AI717" s="29"/>
    </row>
    <row r="718">
      <c r="D718" s="29"/>
      <c r="E718" s="29"/>
      <c r="F718" s="29"/>
      <c r="G718" s="29"/>
      <c r="H718" s="29"/>
      <c r="Y718" s="29"/>
      <c r="AB718" s="29"/>
      <c r="AI718" s="29"/>
    </row>
    <row r="719">
      <c r="D719" s="29"/>
      <c r="E719" s="29"/>
      <c r="F719" s="29"/>
      <c r="G719" s="29"/>
      <c r="H719" s="29"/>
      <c r="Y719" s="29"/>
      <c r="AB719" s="29"/>
      <c r="AI719" s="29"/>
    </row>
    <row r="720">
      <c r="D720" s="29"/>
      <c r="E720" s="29"/>
      <c r="F720" s="29"/>
      <c r="G720" s="29"/>
      <c r="H720" s="29"/>
      <c r="Y720" s="29"/>
      <c r="AB720" s="29"/>
      <c r="AI720" s="29"/>
    </row>
    <row r="721">
      <c r="D721" s="29"/>
      <c r="E721" s="29"/>
      <c r="F721" s="29"/>
      <c r="G721" s="29"/>
      <c r="H721" s="29"/>
      <c r="Y721" s="29"/>
      <c r="AB721" s="29"/>
      <c r="AI721" s="29"/>
    </row>
    <row r="722">
      <c r="D722" s="29"/>
      <c r="E722" s="29"/>
      <c r="F722" s="29"/>
      <c r="G722" s="29"/>
      <c r="H722" s="29"/>
      <c r="Y722" s="29"/>
      <c r="AB722" s="29"/>
      <c r="AI722" s="29"/>
    </row>
    <row r="723">
      <c r="D723" s="29"/>
      <c r="E723" s="29"/>
      <c r="F723" s="29"/>
      <c r="G723" s="29"/>
      <c r="H723" s="29"/>
      <c r="Y723" s="29"/>
      <c r="AB723" s="29"/>
      <c r="AI723" s="29"/>
    </row>
    <row r="724">
      <c r="D724" s="29"/>
      <c r="E724" s="29"/>
      <c r="F724" s="29"/>
      <c r="G724" s="29"/>
      <c r="H724" s="29"/>
      <c r="Y724" s="29"/>
      <c r="AB724" s="29"/>
      <c r="AI724" s="29"/>
    </row>
    <row r="725">
      <c r="D725" s="29"/>
      <c r="E725" s="29"/>
      <c r="F725" s="29"/>
      <c r="G725" s="29"/>
      <c r="H725" s="29"/>
      <c r="Y725" s="29"/>
      <c r="AB725" s="29"/>
      <c r="AI725" s="29"/>
    </row>
    <row r="726">
      <c r="D726" s="29"/>
      <c r="E726" s="29"/>
      <c r="F726" s="29"/>
      <c r="G726" s="29"/>
      <c r="H726" s="29"/>
      <c r="Y726" s="29"/>
      <c r="AB726" s="29"/>
      <c r="AI726" s="29"/>
    </row>
    <row r="727">
      <c r="D727" s="29"/>
      <c r="E727" s="29"/>
      <c r="F727" s="29"/>
      <c r="G727" s="29"/>
      <c r="H727" s="29"/>
      <c r="Y727" s="29"/>
      <c r="AB727" s="29"/>
      <c r="AI727" s="29"/>
    </row>
    <row r="728">
      <c r="D728" s="29"/>
      <c r="E728" s="29"/>
      <c r="F728" s="29"/>
      <c r="G728" s="29"/>
      <c r="H728" s="29"/>
      <c r="Y728" s="29"/>
      <c r="AB728" s="29"/>
      <c r="AI728" s="29"/>
    </row>
    <row r="729">
      <c r="D729" s="29"/>
      <c r="E729" s="29"/>
      <c r="F729" s="29"/>
      <c r="G729" s="29"/>
      <c r="H729" s="29"/>
      <c r="Y729" s="29"/>
      <c r="AB729" s="29"/>
      <c r="AI729" s="29"/>
    </row>
    <row r="730">
      <c r="D730" s="29"/>
      <c r="E730" s="29"/>
      <c r="F730" s="29"/>
      <c r="G730" s="29"/>
      <c r="H730" s="29"/>
      <c r="Y730" s="29"/>
      <c r="AB730" s="29"/>
      <c r="AI730" s="29"/>
    </row>
    <row r="731">
      <c r="D731" s="29"/>
      <c r="E731" s="29"/>
      <c r="F731" s="29"/>
      <c r="G731" s="29"/>
      <c r="H731" s="29"/>
      <c r="Y731" s="29"/>
      <c r="AB731" s="29"/>
      <c r="AI731" s="29"/>
    </row>
    <row r="732">
      <c r="D732" s="29"/>
      <c r="E732" s="29"/>
      <c r="F732" s="29"/>
      <c r="G732" s="29"/>
      <c r="H732" s="29"/>
      <c r="Y732" s="29"/>
      <c r="AB732" s="29"/>
      <c r="AI732" s="29"/>
    </row>
    <row r="733">
      <c r="D733" s="29"/>
      <c r="E733" s="29"/>
      <c r="F733" s="29"/>
      <c r="G733" s="29"/>
      <c r="H733" s="29"/>
      <c r="Y733" s="29"/>
      <c r="AB733" s="29"/>
      <c r="AI733" s="29"/>
    </row>
    <row r="734">
      <c r="D734" s="29"/>
      <c r="E734" s="29"/>
      <c r="F734" s="29"/>
      <c r="G734" s="29"/>
      <c r="H734" s="29"/>
      <c r="Y734" s="29"/>
      <c r="AB734" s="29"/>
      <c r="AI734" s="29"/>
    </row>
    <row r="735">
      <c r="D735" s="29"/>
      <c r="E735" s="29"/>
      <c r="F735" s="29"/>
      <c r="G735" s="29"/>
      <c r="H735" s="29"/>
      <c r="Y735" s="29"/>
      <c r="AB735" s="29"/>
      <c r="AI735" s="29"/>
    </row>
    <row r="736">
      <c r="D736" s="29"/>
      <c r="E736" s="29"/>
      <c r="F736" s="29"/>
      <c r="G736" s="29"/>
      <c r="H736" s="29"/>
      <c r="Y736" s="29"/>
      <c r="AB736" s="29"/>
      <c r="AI736" s="29"/>
    </row>
    <row r="737">
      <c r="D737" s="29"/>
      <c r="E737" s="29"/>
      <c r="F737" s="29"/>
      <c r="G737" s="29"/>
      <c r="H737" s="29"/>
      <c r="Y737" s="29"/>
      <c r="AB737" s="29"/>
      <c r="AI737" s="29"/>
    </row>
    <row r="738">
      <c r="D738" s="29"/>
      <c r="E738" s="29"/>
      <c r="F738" s="29"/>
      <c r="G738" s="29"/>
      <c r="H738" s="29"/>
      <c r="Y738" s="29"/>
      <c r="AB738" s="29"/>
      <c r="AI738" s="29"/>
    </row>
    <row r="739">
      <c r="D739" s="29"/>
      <c r="E739" s="29"/>
      <c r="F739" s="29"/>
      <c r="G739" s="29"/>
      <c r="H739" s="29"/>
      <c r="Y739" s="29"/>
      <c r="AB739" s="29"/>
      <c r="AI739" s="29"/>
    </row>
    <row r="740">
      <c r="D740" s="29"/>
      <c r="E740" s="29"/>
      <c r="F740" s="29"/>
      <c r="G740" s="29"/>
      <c r="H740" s="29"/>
      <c r="Y740" s="29"/>
      <c r="AB740" s="29"/>
      <c r="AI740" s="29"/>
    </row>
    <row r="741">
      <c r="D741" s="29"/>
      <c r="E741" s="29"/>
      <c r="F741" s="29"/>
      <c r="G741" s="29"/>
      <c r="H741" s="29"/>
      <c r="Y741" s="29"/>
      <c r="AB741" s="29"/>
      <c r="AI741" s="29"/>
    </row>
    <row r="742">
      <c r="D742" s="29"/>
      <c r="E742" s="29"/>
      <c r="F742" s="29"/>
      <c r="G742" s="29"/>
      <c r="H742" s="29"/>
      <c r="Y742" s="29"/>
      <c r="AB742" s="29"/>
      <c r="AI742" s="29"/>
    </row>
    <row r="743">
      <c r="D743" s="29"/>
      <c r="E743" s="29"/>
      <c r="F743" s="29"/>
      <c r="G743" s="29"/>
      <c r="H743" s="29"/>
      <c r="Y743" s="29"/>
      <c r="AB743" s="29"/>
      <c r="AI743" s="29"/>
    </row>
    <row r="744">
      <c r="D744" s="29"/>
      <c r="E744" s="29"/>
      <c r="F744" s="29"/>
      <c r="G744" s="29"/>
      <c r="H744" s="29"/>
      <c r="Y744" s="29"/>
      <c r="AB744" s="29"/>
      <c r="AI744" s="29"/>
    </row>
    <row r="745">
      <c r="D745" s="29"/>
      <c r="E745" s="29"/>
      <c r="F745" s="29"/>
      <c r="G745" s="29"/>
      <c r="H745" s="29"/>
      <c r="Y745" s="29"/>
      <c r="AB745" s="29"/>
      <c r="AI745" s="29"/>
    </row>
    <row r="746">
      <c r="D746" s="29"/>
      <c r="E746" s="29"/>
      <c r="F746" s="29"/>
      <c r="G746" s="29"/>
      <c r="H746" s="29"/>
      <c r="Y746" s="29"/>
      <c r="AB746" s="29"/>
      <c r="AI746" s="29"/>
    </row>
    <row r="747">
      <c r="D747" s="29"/>
      <c r="E747" s="29"/>
      <c r="F747" s="29"/>
      <c r="G747" s="29"/>
      <c r="H747" s="29"/>
      <c r="Y747" s="29"/>
      <c r="AB747" s="29"/>
      <c r="AI747" s="29"/>
    </row>
    <row r="748">
      <c r="D748" s="29"/>
      <c r="E748" s="29"/>
      <c r="F748" s="29"/>
      <c r="G748" s="29"/>
      <c r="H748" s="29"/>
      <c r="Y748" s="29"/>
      <c r="AB748" s="29"/>
      <c r="AI748" s="29"/>
    </row>
    <row r="749">
      <c r="D749" s="29"/>
      <c r="E749" s="29"/>
      <c r="F749" s="29"/>
      <c r="G749" s="29"/>
      <c r="H749" s="29"/>
      <c r="Y749" s="29"/>
      <c r="AB749" s="29"/>
      <c r="AI749" s="29"/>
    </row>
    <row r="750">
      <c r="D750" s="29"/>
      <c r="E750" s="29"/>
      <c r="F750" s="29"/>
      <c r="G750" s="29"/>
      <c r="H750" s="29"/>
      <c r="Y750" s="29"/>
      <c r="AB750" s="29"/>
      <c r="AI750" s="29"/>
    </row>
    <row r="751">
      <c r="D751" s="29"/>
      <c r="E751" s="29"/>
      <c r="F751" s="29"/>
      <c r="G751" s="29"/>
      <c r="H751" s="29"/>
      <c r="Y751" s="29"/>
      <c r="AB751" s="29"/>
      <c r="AI751" s="29"/>
    </row>
    <row r="752">
      <c r="D752" s="29"/>
      <c r="E752" s="29"/>
      <c r="F752" s="29"/>
      <c r="G752" s="29"/>
      <c r="H752" s="29"/>
      <c r="Y752" s="29"/>
      <c r="AB752" s="29"/>
      <c r="AI752" s="29"/>
    </row>
    <row r="753">
      <c r="D753" s="29"/>
      <c r="E753" s="29"/>
      <c r="F753" s="29"/>
      <c r="G753" s="29"/>
      <c r="H753" s="29"/>
      <c r="Y753" s="29"/>
      <c r="AB753" s="29"/>
      <c r="AI753" s="29"/>
    </row>
    <row r="754">
      <c r="D754" s="29"/>
      <c r="E754" s="29"/>
      <c r="F754" s="29"/>
      <c r="G754" s="29"/>
      <c r="H754" s="29"/>
      <c r="Y754" s="29"/>
      <c r="AB754" s="29"/>
      <c r="AI754" s="29"/>
    </row>
    <row r="755">
      <c r="D755" s="29"/>
      <c r="E755" s="29"/>
      <c r="F755" s="29"/>
      <c r="G755" s="29"/>
      <c r="H755" s="29"/>
      <c r="Y755" s="29"/>
      <c r="AB755" s="29"/>
      <c r="AI755" s="29"/>
    </row>
    <row r="756">
      <c r="D756" s="29"/>
      <c r="E756" s="29"/>
      <c r="F756" s="29"/>
      <c r="G756" s="29"/>
      <c r="H756" s="29"/>
      <c r="Y756" s="29"/>
      <c r="AB756" s="29"/>
      <c r="AI756" s="29"/>
    </row>
    <row r="757">
      <c r="D757" s="29"/>
      <c r="E757" s="29"/>
      <c r="F757" s="29"/>
      <c r="G757" s="29"/>
      <c r="H757" s="29"/>
      <c r="Y757" s="29"/>
      <c r="AB757" s="29"/>
      <c r="AI757" s="29"/>
    </row>
    <row r="758">
      <c r="D758" s="29"/>
      <c r="E758" s="29"/>
      <c r="F758" s="29"/>
      <c r="G758" s="29"/>
      <c r="H758" s="29"/>
      <c r="Y758" s="29"/>
      <c r="AB758" s="29"/>
      <c r="AI758" s="29"/>
    </row>
    <row r="759">
      <c r="D759" s="29"/>
      <c r="E759" s="29"/>
      <c r="F759" s="29"/>
      <c r="G759" s="29"/>
      <c r="H759" s="29"/>
      <c r="Y759" s="29"/>
      <c r="AB759" s="29"/>
      <c r="AI759" s="29"/>
    </row>
    <row r="760">
      <c r="D760" s="29"/>
      <c r="E760" s="29"/>
      <c r="F760" s="29"/>
      <c r="G760" s="29"/>
      <c r="H760" s="29"/>
      <c r="Y760" s="29"/>
      <c r="AB760" s="29"/>
      <c r="AI760" s="29"/>
    </row>
    <row r="761">
      <c r="D761" s="29"/>
      <c r="E761" s="29"/>
      <c r="F761" s="29"/>
      <c r="G761" s="29"/>
      <c r="H761" s="29"/>
      <c r="Y761" s="29"/>
      <c r="AB761" s="29"/>
      <c r="AI761" s="29"/>
    </row>
    <row r="762">
      <c r="D762" s="29"/>
      <c r="E762" s="29"/>
      <c r="F762" s="29"/>
      <c r="G762" s="29"/>
      <c r="H762" s="29"/>
      <c r="Y762" s="29"/>
      <c r="AB762" s="29"/>
      <c r="AI762" s="29"/>
    </row>
    <row r="763">
      <c r="D763" s="29"/>
      <c r="E763" s="29"/>
      <c r="F763" s="29"/>
      <c r="G763" s="29"/>
      <c r="H763" s="29"/>
      <c r="Y763" s="29"/>
      <c r="AB763" s="29"/>
      <c r="AI763" s="29"/>
    </row>
    <row r="764">
      <c r="D764" s="29"/>
      <c r="E764" s="29"/>
      <c r="F764" s="29"/>
      <c r="G764" s="29"/>
      <c r="H764" s="29"/>
      <c r="Y764" s="29"/>
      <c r="AB764" s="29"/>
      <c r="AI764" s="29"/>
    </row>
    <row r="765">
      <c r="D765" s="29"/>
      <c r="E765" s="29"/>
      <c r="F765" s="29"/>
      <c r="G765" s="29"/>
      <c r="H765" s="29"/>
      <c r="Y765" s="29"/>
      <c r="AB765" s="29"/>
      <c r="AI765" s="29"/>
    </row>
    <row r="766">
      <c r="D766" s="29"/>
      <c r="E766" s="29"/>
      <c r="F766" s="29"/>
      <c r="G766" s="29"/>
      <c r="H766" s="29"/>
      <c r="Y766" s="29"/>
      <c r="AB766" s="29"/>
      <c r="AI766" s="29"/>
    </row>
    <row r="767">
      <c r="D767" s="29"/>
      <c r="E767" s="29"/>
      <c r="F767" s="29"/>
      <c r="G767" s="29"/>
      <c r="H767" s="29"/>
      <c r="Y767" s="29"/>
      <c r="AB767" s="29"/>
      <c r="AI767" s="29"/>
    </row>
    <row r="768">
      <c r="D768" s="29"/>
      <c r="E768" s="29"/>
      <c r="F768" s="29"/>
      <c r="G768" s="29"/>
      <c r="H768" s="29"/>
      <c r="Y768" s="29"/>
      <c r="AB768" s="29"/>
      <c r="AI768" s="29"/>
    </row>
    <row r="769">
      <c r="D769" s="29"/>
      <c r="E769" s="29"/>
      <c r="F769" s="29"/>
      <c r="G769" s="29"/>
      <c r="H769" s="29"/>
      <c r="Y769" s="29"/>
      <c r="AB769" s="29"/>
      <c r="AI769" s="29"/>
    </row>
    <row r="770">
      <c r="D770" s="29"/>
      <c r="E770" s="29"/>
      <c r="F770" s="29"/>
      <c r="G770" s="29"/>
      <c r="H770" s="29"/>
      <c r="Y770" s="29"/>
      <c r="AB770" s="29"/>
      <c r="AI770" s="29"/>
    </row>
    <row r="771">
      <c r="D771" s="29"/>
      <c r="E771" s="29"/>
      <c r="F771" s="29"/>
      <c r="G771" s="29"/>
      <c r="H771" s="29"/>
      <c r="Y771" s="29"/>
      <c r="AB771" s="29"/>
      <c r="AI771" s="29"/>
    </row>
    <row r="772">
      <c r="D772" s="29"/>
      <c r="E772" s="29"/>
      <c r="F772" s="29"/>
      <c r="G772" s="29"/>
      <c r="H772" s="29"/>
      <c r="Y772" s="29"/>
      <c r="AB772" s="29"/>
      <c r="AI772" s="29"/>
    </row>
    <row r="773">
      <c r="D773" s="29"/>
      <c r="E773" s="29"/>
      <c r="F773" s="29"/>
      <c r="G773" s="29"/>
      <c r="H773" s="29"/>
      <c r="Y773" s="29"/>
      <c r="AB773" s="29"/>
      <c r="AI773" s="29"/>
    </row>
    <row r="774">
      <c r="D774" s="29"/>
      <c r="E774" s="29"/>
      <c r="F774" s="29"/>
      <c r="G774" s="29"/>
      <c r="H774" s="29"/>
      <c r="Y774" s="29"/>
      <c r="AB774" s="29"/>
      <c r="AI774" s="29"/>
    </row>
    <row r="775">
      <c r="D775" s="29"/>
      <c r="E775" s="29"/>
      <c r="F775" s="29"/>
      <c r="G775" s="29"/>
      <c r="H775" s="29"/>
      <c r="Y775" s="29"/>
      <c r="AB775" s="29"/>
      <c r="AI775" s="29"/>
    </row>
    <row r="776">
      <c r="D776" s="29"/>
      <c r="E776" s="29"/>
      <c r="F776" s="29"/>
      <c r="G776" s="29"/>
      <c r="H776" s="29"/>
      <c r="Y776" s="29"/>
      <c r="AB776" s="29"/>
      <c r="AI776" s="29"/>
    </row>
    <row r="777">
      <c r="D777" s="29"/>
      <c r="E777" s="29"/>
      <c r="F777" s="29"/>
      <c r="G777" s="29"/>
      <c r="H777" s="29"/>
      <c r="Y777" s="29"/>
      <c r="AB777" s="29"/>
      <c r="AI777" s="29"/>
    </row>
    <row r="778">
      <c r="D778" s="29"/>
      <c r="E778" s="29"/>
      <c r="F778" s="29"/>
      <c r="G778" s="29"/>
      <c r="H778" s="29"/>
      <c r="Y778" s="29"/>
      <c r="AB778" s="29"/>
      <c r="AI778" s="29"/>
    </row>
    <row r="779">
      <c r="D779" s="29"/>
      <c r="E779" s="29"/>
      <c r="F779" s="29"/>
      <c r="G779" s="29"/>
      <c r="H779" s="29"/>
      <c r="Y779" s="29"/>
      <c r="AB779" s="29"/>
      <c r="AI779" s="29"/>
    </row>
    <row r="780">
      <c r="D780" s="29"/>
      <c r="E780" s="29"/>
      <c r="F780" s="29"/>
      <c r="G780" s="29"/>
      <c r="H780" s="29"/>
      <c r="Y780" s="29"/>
      <c r="AB780" s="29"/>
      <c r="AI780" s="29"/>
    </row>
    <row r="781">
      <c r="D781" s="29"/>
      <c r="E781" s="29"/>
      <c r="F781" s="29"/>
      <c r="G781" s="29"/>
      <c r="H781" s="29"/>
      <c r="Y781" s="29"/>
      <c r="AB781" s="29"/>
      <c r="AI781" s="29"/>
    </row>
    <row r="782">
      <c r="D782" s="29"/>
      <c r="E782" s="29"/>
      <c r="F782" s="29"/>
      <c r="G782" s="29"/>
      <c r="H782" s="29"/>
      <c r="Y782" s="29"/>
      <c r="AB782" s="29"/>
      <c r="AI782" s="29"/>
    </row>
    <row r="783">
      <c r="D783" s="29"/>
      <c r="E783" s="29"/>
      <c r="F783" s="29"/>
      <c r="G783" s="29"/>
      <c r="H783" s="29"/>
      <c r="Y783" s="29"/>
      <c r="AB783" s="29"/>
      <c r="AI783" s="29"/>
    </row>
    <row r="784">
      <c r="D784" s="29"/>
      <c r="E784" s="29"/>
      <c r="F784" s="29"/>
      <c r="G784" s="29"/>
      <c r="H784" s="29"/>
      <c r="Y784" s="29"/>
      <c r="AB784" s="29"/>
      <c r="AI784" s="29"/>
    </row>
    <row r="785">
      <c r="D785" s="29"/>
      <c r="E785" s="29"/>
      <c r="F785" s="29"/>
      <c r="G785" s="29"/>
      <c r="H785" s="29"/>
      <c r="Y785" s="29"/>
      <c r="AB785" s="29"/>
      <c r="AI785" s="29"/>
    </row>
    <row r="786">
      <c r="D786" s="29"/>
      <c r="E786" s="29"/>
      <c r="F786" s="29"/>
      <c r="G786" s="29"/>
      <c r="H786" s="29"/>
      <c r="Y786" s="29"/>
      <c r="AB786" s="29"/>
      <c r="AI786" s="29"/>
    </row>
    <row r="787">
      <c r="D787" s="29"/>
      <c r="E787" s="29"/>
      <c r="F787" s="29"/>
      <c r="G787" s="29"/>
      <c r="H787" s="29"/>
      <c r="Y787" s="29"/>
      <c r="AB787" s="29"/>
      <c r="AI787" s="29"/>
    </row>
    <row r="788">
      <c r="D788" s="29"/>
      <c r="E788" s="29"/>
      <c r="F788" s="29"/>
      <c r="G788" s="29"/>
      <c r="H788" s="29"/>
      <c r="Y788" s="29"/>
      <c r="AB788" s="29"/>
      <c r="AI788" s="29"/>
    </row>
    <row r="789">
      <c r="D789" s="29"/>
      <c r="E789" s="29"/>
      <c r="F789" s="29"/>
      <c r="G789" s="29"/>
      <c r="H789" s="29"/>
      <c r="Y789" s="29"/>
      <c r="AB789" s="29"/>
      <c r="AI789" s="29"/>
    </row>
    <row r="790">
      <c r="D790" s="29"/>
      <c r="E790" s="29"/>
      <c r="F790" s="29"/>
      <c r="G790" s="29"/>
      <c r="H790" s="29"/>
      <c r="Y790" s="29"/>
      <c r="AB790" s="29"/>
      <c r="AI790" s="29"/>
    </row>
    <row r="791">
      <c r="D791" s="29"/>
      <c r="E791" s="29"/>
      <c r="F791" s="29"/>
      <c r="G791" s="29"/>
      <c r="H791" s="29"/>
      <c r="Y791" s="29"/>
      <c r="AB791" s="29"/>
      <c r="AI791" s="29"/>
    </row>
    <row r="792">
      <c r="D792" s="29"/>
      <c r="E792" s="29"/>
      <c r="F792" s="29"/>
      <c r="G792" s="29"/>
      <c r="H792" s="29"/>
      <c r="Y792" s="29"/>
      <c r="AB792" s="29"/>
      <c r="AI792" s="29"/>
    </row>
    <row r="793">
      <c r="D793" s="29"/>
      <c r="E793" s="29"/>
      <c r="F793" s="29"/>
      <c r="G793" s="29"/>
      <c r="H793" s="29"/>
      <c r="Y793" s="29"/>
      <c r="AB793" s="29"/>
      <c r="AI793" s="29"/>
    </row>
    <row r="794">
      <c r="D794" s="29"/>
      <c r="E794" s="29"/>
      <c r="F794" s="29"/>
      <c r="G794" s="29"/>
      <c r="H794" s="29"/>
      <c r="Y794" s="29"/>
      <c r="AB794" s="29"/>
      <c r="AI794" s="29"/>
    </row>
    <row r="795">
      <c r="D795" s="29"/>
      <c r="E795" s="29"/>
      <c r="F795" s="29"/>
      <c r="G795" s="29"/>
      <c r="H795" s="29"/>
      <c r="Y795" s="29"/>
      <c r="AB795" s="29"/>
      <c r="AI795" s="29"/>
    </row>
    <row r="796">
      <c r="D796" s="29"/>
      <c r="E796" s="29"/>
      <c r="F796" s="29"/>
      <c r="G796" s="29"/>
      <c r="H796" s="29"/>
      <c r="Y796" s="29"/>
      <c r="AB796" s="29"/>
      <c r="AI796" s="29"/>
    </row>
    <row r="797">
      <c r="D797" s="29"/>
      <c r="E797" s="29"/>
      <c r="F797" s="29"/>
      <c r="G797" s="29"/>
      <c r="H797" s="29"/>
      <c r="Y797" s="29"/>
      <c r="AB797" s="29"/>
      <c r="AI797" s="29"/>
    </row>
    <row r="798">
      <c r="D798" s="29"/>
      <c r="E798" s="29"/>
      <c r="F798" s="29"/>
      <c r="G798" s="29"/>
      <c r="H798" s="29"/>
      <c r="Y798" s="29"/>
      <c r="AB798" s="29"/>
      <c r="AI798" s="29"/>
    </row>
    <row r="799">
      <c r="D799" s="29"/>
      <c r="E799" s="29"/>
      <c r="F799" s="29"/>
      <c r="G799" s="29"/>
      <c r="H799" s="29"/>
      <c r="Y799" s="29"/>
      <c r="AB799" s="29"/>
      <c r="AI799" s="29"/>
    </row>
    <row r="800">
      <c r="D800" s="29"/>
      <c r="E800" s="29"/>
      <c r="F800" s="29"/>
      <c r="G800" s="29"/>
      <c r="H800" s="29"/>
      <c r="Y800" s="29"/>
      <c r="AB800" s="29"/>
      <c r="AI800" s="29"/>
    </row>
    <row r="801">
      <c r="D801" s="29"/>
      <c r="E801" s="29"/>
      <c r="F801" s="29"/>
      <c r="G801" s="29"/>
      <c r="H801" s="29"/>
      <c r="Y801" s="29"/>
      <c r="AB801" s="29"/>
      <c r="AI801" s="29"/>
    </row>
    <row r="802">
      <c r="D802" s="29"/>
      <c r="E802" s="29"/>
      <c r="F802" s="29"/>
      <c r="G802" s="29"/>
      <c r="H802" s="29"/>
      <c r="Y802" s="29"/>
      <c r="AB802" s="29"/>
      <c r="AI802" s="29"/>
    </row>
    <row r="803">
      <c r="D803" s="29"/>
      <c r="E803" s="29"/>
      <c r="F803" s="29"/>
      <c r="G803" s="29"/>
      <c r="H803" s="29"/>
      <c r="Y803" s="29"/>
      <c r="AB803" s="29"/>
      <c r="AI803" s="29"/>
    </row>
    <row r="804">
      <c r="D804" s="29"/>
      <c r="E804" s="29"/>
      <c r="F804" s="29"/>
      <c r="G804" s="29"/>
      <c r="H804" s="29"/>
      <c r="Y804" s="29"/>
      <c r="AB804" s="29"/>
      <c r="AI804" s="29"/>
    </row>
    <row r="805">
      <c r="D805" s="29"/>
      <c r="E805" s="29"/>
      <c r="F805" s="29"/>
      <c r="G805" s="29"/>
      <c r="H805" s="29"/>
      <c r="Y805" s="29"/>
      <c r="AB805" s="29"/>
      <c r="AI805" s="29"/>
    </row>
    <row r="806">
      <c r="D806" s="29"/>
      <c r="E806" s="29"/>
      <c r="F806" s="29"/>
      <c r="G806" s="29"/>
      <c r="H806" s="29"/>
      <c r="Y806" s="29"/>
      <c r="AB806" s="29"/>
      <c r="AI806" s="29"/>
    </row>
    <row r="807">
      <c r="D807" s="29"/>
      <c r="E807" s="29"/>
      <c r="F807" s="29"/>
      <c r="G807" s="29"/>
      <c r="H807" s="29"/>
      <c r="Y807" s="29"/>
      <c r="AB807" s="29"/>
      <c r="AI807" s="29"/>
    </row>
    <row r="808">
      <c r="D808" s="29"/>
      <c r="E808" s="29"/>
      <c r="F808" s="29"/>
      <c r="G808" s="29"/>
      <c r="H808" s="29"/>
      <c r="Y808" s="29"/>
      <c r="AB808" s="29"/>
      <c r="AI808" s="29"/>
    </row>
    <row r="809">
      <c r="D809" s="29"/>
      <c r="E809" s="29"/>
      <c r="F809" s="29"/>
      <c r="G809" s="29"/>
      <c r="H809" s="29"/>
      <c r="Y809" s="29"/>
      <c r="AB809" s="29"/>
      <c r="AI809" s="29"/>
    </row>
    <row r="810">
      <c r="D810" s="29"/>
      <c r="E810" s="29"/>
      <c r="F810" s="29"/>
      <c r="G810" s="29"/>
      <c r="H810" s="29"/>
      <c r="Y810" s="29"/>
      <c r="AB810" s="29"/>
      <c r="AI810" s="29"/>
    </row>
    <row r="811">
      <c r="D811" s="29"/>
      <c r="E811" s="29"/>
      <c r="F811" s="29"/>
      <c r="G811" s="29"/>
      <c r="H811" s="29"/>
      <c r="Y811" s="29"/>
      <c r="AB811" s="29"/>
      <c r="AI811" s="29"/>
    </row>
    <row r="812">
      <c r="D812" s="29"/>
      <c r="E812" s="29"/>
      <c r="F812" s="29"/>
      <c r="G812" s="29"/>
      <c r="H812" s="29"/>
      <c r="Y812" s="29"/>
      <c r="AB812" s="29"/>
      <c r="AI812" s="29"/>
    </row>
    <row r="813">
      <c r="D813" s="29"/>
      <c r="E813" s="29"/>
      <c r="F813" s="29"/>
      <c r="G813" s="29"/>
      <c r="H813" s="29"/>
      <c r="Y813" s="29"/>
      <c r="AB813" s="29"/>
      <c r="AI813" s="29"/>
    </row>
    <row r="814">
      <c r="D814" s="29"/>
      <c r="E814" s="29"/>
      <c r="F814" s="29"/>
      <c r="G814" s="29"/>
      <c r="H814" s="29"/>
      <c r="Y814" s="29"/>
      <c r="AB814" s="29"/>
      <c r="AI814" s="29"/>
    </row>
    <row r="815">
      <c r="D815" s="29"/>
      <c r="E815" s="29"/>
      <c r="F815" s="29"/>
      <c r="G815" s="29"/>
      <c r="H815" s="29"/>
      <c r="Y815" s="29"/>
      <c r="AB815" s="29"/>
      <c r="AI815" s="29"/>
    </row>
    <row r="816">
      <c r="D816" s="29"/>
      <c r="E816" s="29"/>
      <c r="F816" s="29"/>
      <c r="G816" s="29"/>
      <c r="H816" s="29"/>
      <c r="Y816" s="29"/>
      <c r="AB816" s="29"/>
      <c r="AI816" s="29"/>
    </row>
    <row r="817">
      <c r="D817" s="29"/>
      <c r="E817" s="29"/>
      <c r="F817" s="29"/>
      <c r="G817" s="29"/>
      <c r="H817" s="29"/>
      <c r="Y817" s="29"/>
      <c r="AB817" s="29"/>
      <c r="AI817" s="29"/>
    </row>
    <row r="818">
      <c r="D818" s="29"/>
      <c r="E818" s="29"/>
      <c r="F818" s="29"/>
      <c r="G818" s="29"/>
      <c r="H818" s="29"/>
      <c r="Y818" s="29"/>
      <c r="AB818" s="29"/>
      <c r="AI818" s="29"/>
    </row>
    <row r="819">
      <c r="D819" s="29"/>
      <c r="E819" s="29"/>
      <c r="F819" s="29"/>
      <c r="G819" s="29"/>
      <c r="H819" s="29"/>
      <c r="Y819" s="29"/>
      <c r="AB819" s="29"/>
      <c r="AI819" s="29"/>
    </row>
    <row r="820">
      <c r="D820" s="29"/>
      <c r="E820" s="29"/>
      <c r="F820" s="29"/>
      <c r="G820" s="29"/>
      <c r="H820" s="29"/>
      <c r="Y820" s="29"/>
      <c r="AB820" s="29"/>
      <c r="AI820" s="29"/>
    </row>
    <row r="821">
      <c r="D821" s="29"/>
      <c r="E821" s="29"/>
      <c r="F821" s="29"/>
      <c r="G821" s="29"/>
      <c r="H821" s="29"/>
      <c r="Y821" s="29"/>
      <c r="AB821" s="29"/>
      <c r="AI821" s="29"/>
    </row>
    <row r="822">
      <c r="D822" s="29"/>
      <c r="E822" s="29"/>
      <c r="F822" s="29"/>
      <c r="G822" s="29"/>
      <c r="H822" s="29"/>
      <c r="Y822" s="29"/>
      <c r="AB822" s="29"/>
      <c r="AI822" s="29"/>
    </row>
    <row r="823">
      <c r="D823" s="29"/>
      <c r="E823" s="29"/>
      <c r="F823" s="29"/>
      <c r="G823" s="29"/>
      <c r="H823" s="29"/>
      <c r="Y823" s="29"/>
      <c r="AB823" s="29"/>
      <c r="AI823" s="29"/>
    </row>
    <row r="824">
      <c r="D824" s="29"/>
      <c r="E824" s="29"/>
      <c r="F824" s="29"/>
      <c r="G824" s="29"/>
      <c r="H824" s="29"/>
      <c r="Y824" s="29"/>
      <c r="AB824" s="29"/>
      <c r="AI824" s="29"/>
    </row>
    <row r="825">
      <c r="D825" s="29"/>
      <c r="E825" s="29"/>
      <c r="F825" s="29"/>
      <c r="G825" s="29"/>
      <c r="H825" s="29"/>
      <c r="Y825" s="29"/>
      <c r="AB825" s="29"/>
      <c r="AI825" s="29"/>
    </row>
    <row r="826">
      <c r="D826" s="29"/>
      <c r="E826" s="29"/>
      <c r="F826" s="29"/>
      <c r="G826" s="29"/>
      <c r="H826" s="29"/>
      <c r="Y826" s="29"/>
      <c r="AB826" s="29"/>
      <c r="AI826" s="29"/>
    </row>
    <row r="827">
      <c r="D827" s="29"/>
      <c r="E827" s="29"/>
      <c r="F827" s="29"/>
      <c r="G827" s="29"/>
      <c r="H827" s="29"/>
      <c r="Y827" s="29"/>
      <c r="AB827" s="29"/>
      <c r="AI827" s="29"/>
    </row>
    <row r="828">
      <c r="D828" s="29"/>
      <c r="E828" s="29"/>
      <c r="F828" s="29"/>
      <c r="G828" s="29"/>
      <c r="H828" s="29"/>
      <c r="Y828" s="29"/>
      <c r="AB828" s="29"/>
      <c r="AI828" s="29"/>
    </row>
    <row r="829">
      <c r="D829" s="29"/>
      <c r="E829" s="29"/>
      <c r="F829" s="29"/>
      <c r="G829" s="29"/>
      <c r="H829" s="29"/>
      <c r="Y829" s="29"/>
      <c r="AB829" s="29"/>
      <c r="AI829" s="29"/>
    </row>
    <row r="830">
      <c r="D830" s="29"/>
      <c r="E830" s="29"/>
      <c r="F830" s="29"/>
      <c r="G830" s="29"/>
      <c r="H830" s="29"/>
      <c r="Y830" s="29"/>
      <c r="AB830" s="29"/>
      <c r="AI830" s="29"/>
    </row>
    <row r="831">
      <c r="D831" s="29"/>
      <c r="E831" s="29"/>
      <c r="F831" s="29"/>
      <c r="G831" s="29"/>
      <c r="H831" s="29"/>
      <c r="Y831" s="29"/>
      <c r="AB831" s="29"/>
      <c r="AI831" s="29"/>
    </row>
    <row r="832">
      <c r="D832" s="29"/>
      <c r="E832" s="29"/>
      <c r="F832" s="29"/>
      <c r="G832" s="29"/>
      <c r="H832" s="29"/>
      <c r="Y832" s="29"/>
      <c r="AB832" s="29"/>
      <c r="AI832" s="29"/>
    </row>
    <row r="833">
      <c r="D833" s="29"/>
      <c r="E833" s="29"/>
      <c r="F833" s="29"/>
      <c r="G833" s="29"/>
      <c r="H833" s="29"/>
      <c r="Y833" s="29"/>
      <c r="AB833" s="29"/>
      <c r="AI833" s="29"/>
    </row>
    <row r="834">
      <c r="D834" s="29"/>
      <c r="E834" s="29"/>
      <c r="F834" s="29"/>
      <c r="G834" s="29"/>
      <c r="H834" s="29"/>
      <c r="Y834" s="29"/>
      <c r="AB834" s="29"/>
      <c r="AI834" s="29"/>
    </row>
    <row r="835">
      <c r="D835" s="29"/>
      <c r="E835" s="29"/>
      <c r="F835" s="29"/>
      <c r="G835" s="29"/>
      <c r="H835" s="29"/>
      <c r="Y835" s="29"/>
      <c r="AB835" s="29"/>
      <c r="AI835" s="29"/>
    </row>
    <row r="836">
      <c r="D836" s="29"/>
      <c r="E836" s="29"/>
      <c r="F836" s="29"/>
      <c r="G836" s="29"/>
      <c r="H836" s="29"/>
      <c r="Y836" s="29"/>
      <c r="AB836" s="29"/>
      <c r="AI836" s="29"/>
    </row>
    <row r="837">
      <c r="D837" s="29"/>
      <c r="E837" s="29"/>
      <c r="F837" s="29"/>
      <c r="G837" s="29"/>
      <c r="H837" s="29"/>
      <c r="Y837" s="29"/>
      <c r="AB837" s="29"/>
      <c r="AI837" s="29"/>
    </row>
    <row r="838">
      <c r="D838" s="29"/>
      <c r="E838" s="29"/>
      <c r="F838" s="29"/>
      <c r="G838" s="29"/>
      <c r="H838" s="29"/>
      <c r="Y838" s="29"/>
      <c r="AB838" s="29"/>
      <c r="AI838" s="29"/>
    </row>
    <row r="839">
      <c r="D839" s="29"/>
      <c r="E839" s="29"/>
      <c r="F839" s="29"/>
      <c r="G839" s="29"/>
      <c r="H839" s="29"/>
      <c r="Y839" s="29"/>
      <c r="AB839" s="29"/>
      <c r="AI839" s="29"/>
    </row>
    <row r="840">
      <c r="D840" s="29"/>
      <c r="E840" s="29"/>
      <c r="F840" s="29"/>
      <c r="G840" s="29"/>
      <c r="H840" s="29"/>
      <c r="Y840" s="29"/>
      <c r="AB840" s="29"/>
      <c r="AI840" s="29"/>
    </row>
    <row r="841">
      <c r="D841" s="29"/>
      <c r="E841" s="29"/>
      <c r="F841" s="29"/>
      <c r="G841" s="29"/>
      <c r="H841" s="29"/>
      <c r="Y841" s="29"/>
      <c r="AB841" s="29"/>
      <c r="AI841" s="29"/>
    </row>
    <row r="842">
      <c r="D842" s="29"/>
      <c r="E842" s="29"/>
      <c r="F842" s="29"/>
      <c r="G842" s="29"/>
      <c r="H842" s="29"/>
      <c r="Y842" s="29"/>
      <c r="AB842" s="29"/>
      <c r="AI842" s="29"/>
    </row>
    <row r="843">
      <c r="D843" s="29"/>
      <c r="E843" s="29"/>
      <c r="F843" s="29"/>
      <c r="G843" s="29"/>
      <c r="H843" s="29"/>
      <c r="Y843" s="29"/>
      <c r="AB843" s="29"/>
      <c r="AI843" s="29"/>
    </row>
    <row r="844">
      <c r="D844" s="29"/>
      <c r="E844" s="29"/>
      <c r="F844" s="29"/>
      <c r="G844" s="29"/>
      <c r="H844" s="29"/>
      <c r="Y844" s="29"/>
      <c r="AB844" s="29"/>
      <c r="AI844" s="29"/>
    </row>
    <row r="845">
      <c r="D845" s="29"/>
      <c r="E845" s="29"/>
      <c r="F845" s="29"/>
      <c r="G845" s="29"/>
      <c r="H845" s="29"/>
      <c r="Y845" s="29"/>
      <c r="AB845" s="29"/>
      <c r="AI845" s="29"/>
    </row>
    <row r="846">
      <c r="D846" s="29"/>
      <c r="E846" s="29"/>
      <c r="F846" s="29"/>
      <c r="G846" s="29"/>
      <c r="H846" s="29"/>
      <c r="Y846" s="29"/>
      <c r="AB846" s="29"/>
      <c r="AI846" s="29"/>
    </row>
    <row r="847">
      <c r="D847" s="29"/>
      <c r="E847" s="29"/>
      <c r="F847" s="29"/>
      <c r="G847" s="29"/>
      <c r="H847" s="29"/>
      <c r="Y847" s="29"/>
      <c r="AB847" s="29"/>
      <c r="AI847" s="29"/>
    </row>
    <row r="848">
      <c r="D848" s="29"/>
      <c r="E848" s="29"/>
      <c r="F848" s="29"/>
      <c r="G848" s="29"/>
      <c r="H848" s="29"/>
      <c r="Y848" s="29"/>
      <c r="AB848" s="29"/>
      <c r="AI848" s="29"/>
    </row>
    <row r="849">
      <c r="D849" s="29"/>
      <c r="E849" s="29"/>
      <c r="F849" s="29"/>
      <c r="G849" s="29"/>
      <c r="H849" s="29"/>
      <c r="Y849" s="29"/>
      <c r="AB849" s="29"/>
      <c r="AI849" s="29"/>
    </row>
    <row r="850">
      <c r="D850" s="29"/>
      <c r="E850" s="29"/>
      <c r="F850" s="29"/>
      <c r="G850" s="29"/>
      <c r="H850" s="29"/>
      <c r="Y850" s="29"/>
      <c r="AB850" s="29"/>
      <c r="AI850" s="29"/>
    </row>
    <row r="851">
      <c r="D851" s="29"/>
      <c r="E851" s="29"/>
      <c r="F851" s="29"/>
      <c r="G851" s="29"/>
      <c r="H851" s="29"/>
      <c r="Y851" s="29"/>
      <c r="AB851" s="29"/>
      <c r="AI851" s="29"/>
    </row>
    <row r="852">
      <c r="D852" s="29"/>
      <c r="E852" s="29"/>
      <c r="F852" s="29"/>
      <c r="G852" s="29"/>
      <c r="H852" s="29"/>
      <c r="Y852" s="29"/>
      <c r="AB852" s="29"/>
      <c r="AI852" s="29"/>
    </row>
    <row r="853">
      <c r="D853" s="29"/>
      <c r="E853" s="29"/>
      <c r="F853" s="29"/>
      <c r="G853" s="29"/>
      <c r="H853" s="29"/>
      <c r="Y853" s="29"/>
      <c r="AB853" s="29"/>
      <c r="AI853" s="29"/>
    </row>
    <row r="854">
      <c r="D854" s="29"/>
      <c r="E854" s="29"/>
      <c r="F854" s="29"/>
      <c r="G854" s="29"/>
      <c r="H854" s="29"/>
      <c r="Y854" s="29"/>
      <c r="AB854" s="29"/>
      <c r="AI854" s="29"/>
    </row>
    <row r="855">
      <c r="D855" s="29"/>
      <c r="E855" s="29"/>
      <c r="F855" s="29"/>
      <c r="G855" s="29"/>
      <c r="H855" s="29"/>
      <c r="Y855" s="29"/>
      <c r="AB855" s="29"/>
      <c r="AI855" s="29"/>
    </row>
    <row r="856">
      <c r="D856" s="29"/>
      <c r="E856" s="29"/>
      <c r="F856" s="29"/>
      <c r="G856" s="29"/>
      <c r="H856" s="29"/>
      <c r="Y856" s="29"/>
      <c r="AB856" s="29"/>
      <c r="AI856" s="29"/>
    </row>
    <row r="857">
      <c r="D857" s="29"/>
      <c r="E857" s="29"/>
      <c r="F857" s="29"/>
      <c r="G857" s="29"/>
      <c r="H857" s="29"/>
      <c r="Y857" s="29"/>
      <c r="AB857" s="29"/>
      <c r="AI857" s="29"/>
    </row>
    <row r="858">
      <c r="D858" s="29"/>
      <c r="E858" s="29"/>
      <c r="F858" s="29"/>
      <c r="G858" s="29"/>
      <c r="H858" s="29"/>
      <c r="Y858" s="29"/>
      <c r="AB858" s="29"/>
      <c r="AI858" s="29"/>
    </row>
    <row r="859">
      <c r="D859" s="29"/>
      <c r="E859" s="29"/>
      <c r="F859" s="29"/>
      <c r="G859" s="29"/>
      <c r="H859" s="29"/>
      <c r="Y859" s="29"/>
      <c r="AB859" s="29"/>
      <c r="AI859" s="29"/>
    </row>
    <row r="860">
      <c r="D860" s="29"/>
      <c r="E860" s="29"/>
      <c r="F860" s="29"/>
      <c r="G860" s="29"/>
      <c r="H860" s="29"/>
      <c r="Y860" s="29"/>
      <c r="AB860" s="29"/>
      <c r="AI860" s="29"/>
    </row>
    <row r="861">
      <c r="D861" s="29"/>
      <c r="E861" s="29"/>
      <c r="F861" s="29"/>
      <c r="G861" s="29"/>
      <c r="H861" s="29"/>
      <c r="Y861" s="29"/>
      <c r="AB861" s="29"/>
      <c r="AI861" s="29"/>
    </row>
    <row r="862">
      <c r="D862" s="29"/>
      <c r="E862" s="29"/>
      <c r="F862" s="29"/>
      <c r="G862" s="29"/>
      <c r="H862" s="29"/>
      <c r="Y862" s="29"/>
      <c r="AB862" s="29"/>
      <c r="AI862" s="29"/>
    </row>
    <row r="863">
      <c r="D863" s="29"/>
      <c r="E863" s="29"/>
      <c r="F863" s="29"/>
      <c r="G863" s="29"/>
      <c r="H863" s="29"/>
      <c r="Y863" s="29"/>
      <c r="AB863" s="29"/>
      <c r="AI863" s="29"/>
    </row>
    <row r="864">
      <c r="D864" s="29"/>
      <c r="E864" s="29"/>
      <c r="F864" s="29"/>
      <c r="G864" s="29"/>
      <c r="H864" s="29"/>
      <c r="Y864" s="29"/>
      <c r="AB864" s="29"/>
      <c r="AI864" s="29"/>
    </row>
    <row r="865">
      <c r="D865" s="29"/>
      <c r="E865" s="29"/>
      <c r="F865" s="29"/>
      <c r="G865" s="29"/>
      <c r="H865" s="29"/>
      <c r="Y865" s="29"/>
      <c r="AB865" s="29"/>
      <c r="AI865" s="29"/>
    </row>
    <row r="866">
      <c r="D866" s="29"/>
      <c r="E866" s="29"/>
      <c r="F866" s="29"/>
      <c r="G866" s="29"/>
      <c r="H866" s="29"/>
      <c r="Y866" s="29"/>
      <c r="AB866" s="29"/>
      <c r="AI866" s="29"/>
    </row>
    <row r="867">
      <c r="D867" s="29"/>
      <c r="E867" s="29"/>
      <c r="F867" s="29"/>
      <c r="G867" s="29"/>
      <c r="H867" s="29"/>
      <c r="Y867" s="29"/>
      <c r="AB867" s="29"/>
      <c r="AI867" s="29"/>
    </row>
    <row r="868">
      <c r="D868" s="29"/>
      <c r="E868" s="29"/>
      <c r="F868" s="29"/>
      <c r="G868" s="29"/>
      <c r="H868" s="29"/>
      <c r="Y868" s="29"/>
      <c r="AB868" s="29"/>
      <c r="AI868" s="29"/>
    </row>
    <row r="869">
      <c r="D869" s="29"/>
      <c r="E869" s="29"/>
      <c r="F869" s="29"/>
      <c r="G869" s="29"/>
      <c r="H869" s="29"/>
      <c r="Y869" s="29"/>
      <c r="AB869" s="29"/>
      <c r="AI869" s="29"/>
    </row>
    <row r="870">
      <c r="D870" s="29"/>
      <c r="E870" s="29"/>
      <c r="F870" s="29"/>
      <c r="G870" s="29"/>
      <c r="H870" s="29"/>
      <c r="Y870" s="29"/>
      <c r="AB870" s="29"/>
      <c r="AI870" s="29"/>
    </row>
    <row r="871">
      <c r="D871" s="29"/>
      <c r="E871" s="29"/>
      <c r="F871" s="29"/>
      <c r="G871" s="29"/>
      <c r="H871" s="29"/>
      <c r="Y871" s="29"/>
      <c r="AB871" s="29"/>
      <c r="AI871" s="29"/>
    </row>
    <row r="872">
      <c r="D872" s="29"/>
      <c r="E872" s="29"/>
      <c r="F872" s="29"/>
      <c r="G872" s="29"/>
      <c r="H872" s="29"/>
      <c r="Y872" s="29"/>
      <c r="AB872" s="29"/>
      <c r="AI872" s="29"/>
    </row>
    <row r="873">
      <c r="D873" s="29"/>
      <c r="E873" s="29"/>
      <c r="F873" s="29"/>
      <c r="G873" s="29"/>
      <c r="H873" s="29"/>
      <c r="Y873" s="29"/>
      <c r="AB873" s="29"/>
      <c r="AI873" s="29"/>
    </row>
    <row r="874">
      <c r="D874" s="29"/>
      <c r="E874" s="29"/>
      <c r="F874" s="29"/>
      <c r="G874" s="29"/>
      <c r="H874" s="29"/>
      <c r="Y874" s="29"/>
      <c r="AB874" s="29"/>
      <c r="AI874" s="29"/>
    </row>
    <row r="875">
      <c r="D875" s="29"/>
      <c r="E875" s="29"/>
      <c r="F875" s="29"/>
      <c r="G875" s="29"/>
      <c r="H875" s="29"/>
      <c r="Y875" s="29"/>
      <c r="AB875" s="29"/>
      <c r="AI875" s="29"/>
    </row>
    <row r="876">
      <c r="D876" s="29"/>
      <c r="E876" s="29"/>
      <c r="F876" s="29"/>
      <c r="G876" s="29"/>
      <c r="H876" s="29"/>
      <c r="Y876" s="29"/>
      <c r="AB876" s="29"/>
      <c r="AI876" s="29"/>
    </row>
    <row r="877">
      <c r="D877" s="29"/>
      <c r="E877" s="29"/>
      <c r="F877" s="29"/>
      <c r="G877" s="29"/>
      <c r="H877" s="29"/>
      <c r="Y877" s="29"/>
      <c r="AB877" s="29"/>
      <c r="AI877" s="29"/>
    </row>
    <row r="878">
      <c r="D878" s="29"/>
      <c r="E878" s="29"/>
      <c r="F878" s="29"/>
      <c r="G878" s="29"/>
      <c r="H878" s="29"/>
      <c r="Y878" s="29"/>
      <c r="AB878" s="29"/>
      <c r="AI878" s="29"/>
    </row>
    <row r="879">
      <c r="D879" s="29"/>
      <c r="E879" s="29"/>
      <c r="F879" s="29"/>
      <c r="G879" s="29"/>
      <c r="H879" s="29"/>
      <c r="Y879" s="29"/>
      <c r="AB879" s="29"/>
      <c r="AI879" s="29"/>
    </row>
    <row r="880">
      <c r="D880" s="29"/>
      <c r="E880" s="29"/>
      <c r="F880" s="29"/>
      <c r="G880" s="29"/>
      <c r="H880" s="29"/>
      <c r="Y880" s="29"/>
      <c r="AB880" s="29"/>
      <c r="AI880" s="29"/>
    </row>
    <row r="881">
      <c r="D881" s="29"/>
      <c r="E881" s="29"/>
      <c r="F881" s="29"/>
      <c r="G881" s="29"/>
      <c r="H881" s="29"/>
      <c r="Y881" s="29"/>
      <c r="AB881" s="29"/>
      <c r="AI881" s="29"/>
    </row>
    <row r="882">
      <c r="D882" s="29"/>
      <c r="E882" s="29"/>
      <c r="F882" s="29"/>
      <c r="G882" s="29"/>
      <c r="H882" s="29"/>
      <c r="Y882" s="29"/>
      <c r="AB882" s="29"/>
      <c r="AI882" s="29"/>
    </row>
    <row r="883">
      <c r="D883" s="29"/>
      <c r="E883" s="29"/>
      <c r="F883" s="29"/>
      <c r="G883" s="29"/>
      <c r="H883" s="29"/>
      <c r="Y883" s="29"/>
      <c r="AB883" s="29"/>
      <c r="AI883" s="29"/>
    </row>
    <row r="884">
      <c r="D884" s="29"/>
      <c r="E884" s="29"/>
      <c r="F884" s="29"/>
      <c r="G884" s="29"/>
      <c r="H884" s="29"/>
      <c r="Y884" s="29"/>
      <c r="AB884" s="29"/>
      <c r="AI884" s="29"/>
    </row>
    <row r="885">
      <c r="D885" s="29"/>
      <c r="E885" s="29"/>
      <c r="F885" s="29"/>
      <c r="G885" s="29"/>
      <c r="H885" s="29"/>
      <c r="Y885" s="29"/>
      <c r="AB885" s="29"/>
      <c r="AI885" s="29"/>
    </row>
    <row r="886">
      <c r="D886" s="29"/>
      <c r="E886" s="29"/>
      <c r="F886" s="29"/>
      <c r="G886" s="29"/>
      <c r="H886" s="29"/>
      <c r="Y886" s="29"/>
      <c r="AB886" s="29"/>
      <c r="AI886" s="29"/>
    </row>
    <row r="887">
      <c r="D887" s="29"/>
      <c r="E887" s="29"/>
      <c r="F887" s="29"/>
      <c r="G887" s="29"/>
      <c r="H887" s="29"/>
      <c r="Y887" s="29"/>
      <c r="AB887" s="29"/>
      <c r="AI887" s="29"/>
    </row>
    <row r="888">
      <c r="D888" s="29"/>
      <c r="E888" s="29"/>
      <c r="F888" s="29"/>
      <c r="G888" s="29"/>
      <c r="H888" s="29"/>
      <c r="Y888" s="29"/>
      <c r="AB888" s="29"/>
      <c r="AI888" s="29"/>
    </row>
    <row r="889">
      <c r="D889" s="29"/>
      <c r="E889" s="29"/>
      <c r="F889" s="29"/>
      <c r="G889" s="29"/>
      <c r="H889" s="29"/>
      <c r="Y889" s="29"/>
      <c r="AB889" s="29"/>
      <c r="AI889" s="29"/>
    </row>
    <row r="890">
      <c r="D890" s="29"/>
      <c r="E890" s="29"/>
      <c r="F890" s="29"/>
      <c r="G890" s="29"/>
      <c r="H890" s="29"/>
      <c r="Y890" s="29"/>
      <c r="AB890" s="29"/>
      <c r="AI890" s="29"/>
    </row>
    <row r="891">
      <c r="D891" s="29"/>
      <c r="E891" s="29"/>
      <c r="F891" s="29"/>
      <c r="G891" s="29"/>
      <c r="H891" s="29"/>
      <c r="Y891" s="29"/>
      <c r="AB891" s="29"/>
      <c r="AI891" s="29"/>
    </row>
    <row r="892">
      <c r="D892" s="29"/>
      <c r="E892" s="29"/>
      <c r="F892" s="29"/>
      <c r="G892" s="29"/>
      <c r="H892" s="29"/>
      <c r="Y892" s="29"/>
      <c r="AB892" s="29"/>
      <c r="AI892" s="29"/>
    </row>
    <row r="893">
      <c r="D893" s="29"/>
      <c r="E893" s="29"/>
      <c r="F893" s="29"/>
      <c r="G893" s="29"/>
      <c r="H893" s="29"/>
      <c r="Y893" s="29"/>
      <c r="AB893" s="29"/>
      <c r="AI893" s="29"/>
    </row>
    <row r="894">
      <c r="D894" s="29"/>
      <c r="E894" s="29"/>
      <c r="F894" s="29"/>
      <c r="G894" s="29"/>
      <c r="H894" s="29"/>
      <c r="Y894" s="29"/>
      <c r="AB894" s="29"/>
      <c r="AI894" s="29"/>
    </row>
    <row r="895">
      <c r="D895" s="29"/>
      <c r="E895" s="29"/>
      <c r="F895" s="29"/>
      <c r="G895" s="29"/>
      <c r="H895" s="29"/>
      <c r="Y895" s="29"/>
      <c r="AB895" s="29"/>
      <c r="AI895" s="29"/>
    </row>
    <row r="896">
      <c r="D896" s="29"/>
      <c r="E896" s="29"/>
      <c r="F896" s="29"/>
      <c r="G896" s="29"/>
      <c r="H896" s="29"/>
      <c r="Y896" s="29"/>
      <c r="AB896" s="29"/>
      <c r="AI896" s="29"/>
    </row>
    <row r="897">
      <c r="D897" s="29"/>
      <c r="E897" s="29"/>
      <c r="F897" s="29"/>
      <c r="G897" s="29"/>
      <c r="H897" s="29"/>
      <c r="Y897" s="29"/>
      <c r="AB897" s="29"/>
      <c r="AI897" s="29"/>
    </row>
    <row r="898">
      <c r="D898" s="29"/>
      <c r="E898" s="29"/>
      <c r="F898" s="29"/>
      <c r="G898" s="29"/>
      <c r="H898" s="29"/>
      <c r="Y898" s="29"/>
      <c r="AB898" s="29"/>
      <c r="AI898" s="29"/>
    </row>
    <row r="899">
      <c r="D899" s="29"/>
      <c r="E899" s="29"/>
      <c r="F899" s="29"/>
      <c r="G899" s="29"/>
      <c r="H899" s="29"/>
      <c r="Y899" s="29"/>
      <c r="AB899" s="29"/>
      <c r="AI899" s="29"/>
    </row>
    <row r="900">
      <c r="D900" s="29"/>
      <c r="E900" s="29"/>
      <c r="F900" s="29"/>
      <c r="G900" s="29"/>
      <c r="H900" s="29"/>
      <c r="Y900" s="29"/>
      <c r="AB900" s="29"/>
      <c r="AI900" s="29"/>
    </row>
    <row r="901">
      <c r="D901" s="29"/>
      <c r="E901" s="29"/>
      <c r="F901" s="29"/>
      <c r="G901" s="29"/>
      <c r="H901" s="29"/>
      <c r="Y901" s="29"/>
      <c r="AB901" s="29"/>
      <c r="AI901" s="29"/>
    </row>
    <row r="902">
      <c r="D902" s="29"/>
      <c r="E902" s="29"/>
      <c r="F902" s="29"/>
      <c r="G902" s="29"/>
      <c r="H902" s="29"/>
      <c r="Y902" s="29"/>
      <c r="AB902" s="29"/>
      <c r="AI902" s="29"/>
    </row>
    <row r="903">
      <c r="D903" s="29"/>
      <c r="E903" s="29"/>
      <c r="F903" s="29"/>
      <c r="G903" s="29"/>
      <c r="H903" s="29"/>
      <c r="Y903" s="29"/>
      <c r="AB903" s="29"/>
      <c r="AI903" s="29"/>
    </row>
    <row r="904">
      <c r="D904" s="29"/>
      <c r="E904" s="29"/>
      <c r="F904" s="29"/>
      <c r="G904" s="29"/>
      <c r="H904" s="29"/>
      <c r="Y904" s="29"/>
      <c r="AB904" s="29"/>
      <c r="AI904" s="29"/>
    </row>
    <row r="905">
      <c r="D905" s="29"/>
      <c r="E905" s="29"/>
      <c r="F905" s="29"/>
      <c r="G905" s="29"/>
      <c r="H905" s="29"/>
      <c r="Y905" s="29"/>
      <c r="AB905" s="29"/>
      <c r="AI905" s="29"/>
    </row>
    <row r="906">
      <c r="D906" s="29"/>
      <c r="E906" s="29"/>
      <c r="F906" s="29"/>
      <c r="G906" s="29"/>
      <c r="H906" s="29"/>
      <c r="Y906" s="29"/>
      <c r="AB906" s="29"/>
      <c r="AI906" s="29"/>
    </row>
    <row r="907">
      <c r="D907" s="29"/>
      <c r="E907" s="29"/>
      <c r="F907" s="29"/>
      <c r="G907" s="29"/>
      <c r="H907" s="29"/>
      <c r="Y907" s="29"/>
      <c r="AB907" s="29"/>
      <c r="AI907" s="29"/>
    </row>
    <row r="908">
      <c r="D908" s="29"/>
      <c r="E908" s="29"/>
      <c r="F908" s="29"/>
      <c r="G908" s="29"/>
      <c r="H908" s="29"/>
      <c r="Y908" s="29"/>
      <c r="AB908" s="29"/>
      <c r="AI908" s="29"/>
    </row>
    <row r="909">
      <c r="D909" s="29"/>
      <c r="E909" s="29"/>
      <c r="F909" s="29"/>
      <c r="G909" s="29"/>
      <c r="H909" s="29"/>
      <c r="Y909" s="29"/>
      <c r="AB909" s="29"/>
      <c r="AI909" s="29"/>
    </row>
    <row r="910">
      <c r="D910" s="29"/>
      <c r="E910" s="29"/>
      <c r="F910" s="29"/>
      <c r="G910" s="29"/>
      <c r="H910" s="29"/>
      <c r="Y910" s="29"/>
      <c r="AB910" s="29"/>
      <c r="AI910" s="29"/>
    </row>
    <row r="911">
      <c r="D911" s="29"/>
      <c r="E911" s="29"/>
      <c r="F911" s="29"/>
      <c r="G911" s="29"/>
      <c r="H911" s="29"/>
      <c r="Y911" s="29"/>
      <c r="AB911" s="29"/>
      <c r="AI911" s="29"/>
    </row>
    <row r="912">
      <c r="D912" s="29"/>
      <c r="E912" s="29"/>
      <c r="F912" s="29"/>
      <c r="G912" s="29"/>
      <c r="H912" s="29"/>
      <c r="Y912" s="29"/>
      <c r="AB912" s="29"/>
      <c r="AI912" s="29"/>
    </row>
    <row r="913">
      <c r="D913" s="29"/>
      <c r="E913" s="29"/>
      <c r="F913" s="29"/>
      <c r="G913" s="29"/>
      <c r="H913" s="29"/>
      <c r="Y913" s="29"/>
      <c r="AB913" s="29"/>
      <c r="AI913" s="29"/>
    </row>
    <row r="914">
      <c r="D914" s="29"/>
      <c r="E914" s="29"/>
      <c r="F914" s="29"/>
      <c r="G914" s="29"/>
      <c r="H914" s="29"/>
      <c r="Y914" s="29"/>
      <c r="AB914" s="29"/>
      <c r="AI914" s="29"/>
    </row>
    <row r="915">
      <c r="D915" s="29"/>
      <c r="E915" s="29"/>
      <c r="F915" s="29"/>
      <c r="G915" s="29"/>
      <c r="H915" s="29"/>
      <c r="Y915" s="29"/>
      <c r="AB915" s="29"/>
      <c r="AI915" s="29"/>
    </row>
    <row r="916">
      <c r="D916" s="29"/>
      <c r="E916" s="29"/>
      <c r="F916" s="29"/>
      <c r="G916" s="29"/>
      <c r="H916" s="29"/>
      <c r="Y916" s="29"/>
      <c r="AB916" s="29"/>
      <c r="AI916" s="29"/>
    </row>
    <row r="917">
      <c r="D917" s="29"/>
      <c r="E917" s="29"/>
      <c r="F917" s="29"/>
      <c r="G917" s="29"/>
      <c r="H917" s="29"/>
      <c r="Y917" s="29"/>
      <c r="AB917" s="29"/>
      <c r="AI917" s="29"/>
    </row>
    <row r="918">
      <c r="D918" s="29"/>
      <c r="E918" s="29"/>
      <c r="F918" s="29"/>
      <c r="G918" s="29"/>
      <c r="H918" s="29"/>
      <c r="Y918" s="29"/>
      <c r="AB918" s="29"/>
      <c r="AI918" s="29"/>
    </row>
    <row r="919">
      <c r="D919" s="29"/>
      <c r="E919" s="29"/>
      <c r="F919" s="29"/>
      <c r="G919" s="29"/>
      <c r="H919" s="29"/>
      <c r="Y919" s="29"/>
      <c r="AB919" s="29"/>
      <c r="AI919" s="29"/>
    </row>
    <row r="920">
      <c r="D920" s="29"/>
      <c r="E920" s="29"/>
      <c r="F920" s="29"/>
      <c r="G920" s="29"/>
      <c r="H920" s="29"/>
      <c r="Y920" s="29"/>
      <c r="AB920" s="29"/>
      <c r="AI920" s="29"/>
    </row>
    <row r="921">
      <c r="D921" s="29"/>
      <c r="E921" s="29"/>
      <c r="F921" s="29"/>
      <c r="G921" s="29"/>
      <c r="H921" s="29"/>
      <c r="Y921" s="29"/>
      <c r="AB921" s="29"/>
      <c r="AI921" s="29"/>
    </row>
    <row r="922">
      <c r="D922" s="29"/>
      <c r="E922" s="29"/>
      <c r="F922" s="29"/>
      <c r="G922" s="29"/>
      <c r="H922" s="29"/>
      <c r="Y922" s="29"/>
      <c r="AB922" s="29"/>
      <c r="AI922" s="29"/>
    </row>
    <row r="923">
      <c r="D923" s="29"/>
      <c r="E923" s="29"/>
      <c r="F923" s="29"/>
      <c r="G923" s="29"/>
      <c r="H923" s="29"/>
      <c r="Y923" s="29"/>
      <c r="AB923" s="29"/>
      <c r="AI923" s="29"/>
    </row>
    <row r="924">
      <c r="D924" s="29"/>
      <c r="E924" s="29"/>
      <c r="F924" s="29"/>
      <c r="G924" s="29"/>
      <c r="H924" s="29"/>
      <c r="Y924" s="29"/>
      <c r="AB924" s="29"/>
      <c r="AI924" s="29"/>
    </row>
    <row r="925">
      <c r="D925" s="29"/>
      <c r="E925" s="29"/>
      <c r="F925" s="29"/>
      <c r="G925" s="29"/>
      <c r="H925" s="29"/>
      <c r="Y925" s="29"/>
      <c r="AB925" s="29"/>
      <c r="AI925" s="29"/>
    </row>
    <row r="926">
      <c r="D926" s="29"/>
      <c r="E926" s="29"/>
      <c r="F926" s="29"/>
      <c r="G926" s="29"/>
      <c r="H926" s="29"/>
      <c r="Y926" s="29"/>
      <c r="AB926" s="29"/>
      <c r="AI926" s="29"/>
    </row>
    <row r="927">
      <c r="D927" s="29"/>
      <c r="E927" s="29"/>
      <c r="F927" s="29"/>
      <c r="G927" s="29"/>
      <c r="H927" s="29"/>
      <c r="Y927" s="29"/>
      <c r="AB927" s="29"/>
      <c r="AI927" s="29"/>
    </row>
    <row r="928">
      <c r="D928" s="29"/>
      <c r="E928" s="29"/>
      <c r="F928" s="29"/>
      <c r="G928" s="29"/>
      <c r="H928" s="29"/>
      <c r="Y928" s="29"/>
      <c r="AB928" s="29"/>
      <c r="AI928" s="29"/>
    </row>
    <row r="929">
      <c r="D929" s="29"/>
      <c r="E929" s="29"/>
      <c r="F929" s="29"/>
      <c r="G929" s="29"/>
      <c r="H929" s="29"/>
      <c r="Y929" s="29"/>
      <c r="AB929" s="29"/>
      <c r="AI929" s="29"/>
    </row>
    <row r="930">
      <c r="D930" s="29"/>
      <c r="E930" s="29"/>
      <c r="F930" s="29"/>
      <c r="G930" s="29"/>
      <c r="H930" s="29"/>
      <c r="Y930" s="29"/>
      <c r="AB930" s="29"/>
      <c r="AI930" s="29"/>
    </row>
    <row r="931">
      <c r="D931" s="29"/>
      <c r="E931" s="29"/>
      <c r="F931" s="29"/>
      <c r="G931" s="29"/>
      <c r="H931" s="29"/>
      <c r="Y931" s="29"/>
      <c r="AB931" s="29"/>
      <c r="AI931" s="29"/>
    </row>
    <row r="932">
      <c r="D932" s="29"/>
      <c r="E932" s="29"/>
      <c r="F932" s="29"/>
      <c r="G932" s="29"/>
      <c r="H932" s="29"/>
      <c r="Y932" s="29"/>
      <c r="AB932" s="29"/>
      <c r="AI932" s="29"/>
    </row>
    <row r="933">
      <c r="D933" s="29"/>
      <c r="E933" s="29"/>
      <c r="F933" s="29"/>
      <c r="G933" s="29"/>
      <c r="H933" s="29"/>
      <c r="Y933" s="29"/>
      <c r="AB933" s="29"/>
      <c r="AI933" s="29"/>
    </row>
    <row r="934">
      <c r="D934" s="29"/>
      <c r="E934" s="29"/>
      <c r="F934" s="29"/>
      <c r="G934" s="29"/>
      <c r="H934" s="29"/>
      <c r="Y934" s="29"/>
      <c r="AB934" s="29"/>
      <c r="AI934" s="29"/>
    </row>
    <row r="935">
      <c r="D935" s="29"/>
      <c r="E935" s="29"/>
      <c r="F935" s="29"/>
      <c r="G935" s="29"/>
      <c r="H935" s="29"/>
      <c r="Y935" s="29"/>
      <c r="AB935" s="29"/>
      <c r="AI935" s="29"/>
    </row>
    <row r="936">
      <c r="D936" s="29"/>
      <c r="E936" s="29"/>
      <c r="F936" s="29"/>
      <c r="G936" s="29"/>
      <c r="H936" s="29"/>
      <c r="Y936" s="29"/>
      <c r="AB936" s="29"/>
      <c r="AI936" s="29"/>
    </row>
    <row r="937">
      <c r="D937" s="29"/>
      <c r="E937" s="29"/>
      <c r="F937" s="29"/>
      <c r="G937" s="29"/>
      <c r="H937" s="29"/>
      <c r="Y937" s="29"/>
      <c r="AB937" s="29"/>
      <c r="AI937" s="29"/>
    </row>
    <row r="938">
      <c r="D938" s="29"/>
      <c r="E938" s="29"/>
      <c r="F938" s="29"/>
      <c r="G938" s="29"/>
      <c r="H938" s="29"/>
      <c r="Y938" s="29"/>
      <c r="AB938" s="29"/>
      <c r="AI938" s="29"/>
    </row>
    <row r="939">
      <c r="D939" s="29"/>
      <c r="E939" s="29"/>
      <c r="F939" s="29"/>
      <c r="G939" s="29"/>
      <c r="H939" s="29"/>
      <c r="Y939" s="29"/>
      <c r="AB939" s="29"/>
      <c r="AI939" s="29"/>
    </row>
    <row r="940">
      <c r="D940" s="29"/>
      <c r="E940" s="29"/>
      <c r="F940" s="29"/>
      <c r="G940" s="29"/>
      <c r="H940" s="29"/>
      <c r="Y940" s="29"/>
      <c r="AB940" s="29"/>
      <c r="AI940" s="29"/>
    </row>
    <row r="941">
      <c r="D941" s="29"/>
      <c r="E941" s="29"/>
      <c r="F941" s="29"/>
      <c r="G941" s="29"/>
      <c r="H941" s="29"/>
      <c r="Y941" s="29"/>
      <c r="AB941" s="29"/>
      <c r="AI941" s="29"/>
    </row>
    <row r="942">
      <c r="D942" s="29"/>
      <c r="E942" s="29"/>
      <c r="F942" s="29"/>
      <c r="G942" s="29"/>
      <c r="H942" s="29"/>
      <c r="Y942" s="29"/>
      <c r="AB942" s="29"/>
      <c r="AI942" s="29"/>
    </row>
    <row r="943">
      <c r="D943" s="29"/>
      <c r="E943" s="29"/>
      <c r="F943" s="29"/>
      <c r="G943" s="29"/>
      <c r="H943" s="29"/>
      <c r="Y943" s="29"/>
      <c r="AB943" s="29"/>
      <c r="AI943" s="29"/>
    </row>
    <row r="944">
      <c r="D944" s="29"/>
      <c r="E944" s="29"/>
      <c r="F944" s="29"/>
      <c r="G944" s="29"/>
      <c r="H944" s="29"/>
      <c r="Y944" s="29"/>
      <c r="AB944" s="29"/>
      <c r="AI944" s="29"/>
    </row>
    <row r="945">
      <c r="D945" s="29"/>
      <c r="E945" s="29"/>
      <c r="F945" s="29"/>
      <c r="G945" s="29"/>
      <c r="H945" s="29"/>
      <c r="Y945" s="29"/>
      <c r="AB945" s="29"/>
      <c r="AI945" s="29"/>
    </row>
    <row r="946">
      <c r="D946" s="29"/>
      <c r="E946" s="29"/>
      <c r="F946" s="29"/>
      <c r="G946" s="29"/>
      <c r="H946" s="29"/>
      <c r="Y946" s="29"/>
      <c r="AB946" s="29"/>
      <c r="AI946" s="29"/>
    </row>
    <row r="947">
      <c r="D947" s="29"/>
      <c r="E947" s="29"/>
      <c r="F947" s="29"/>
      <c r="G947" s="29"/>
      <c r="H947" s="29"/>
      <c r="Y947" s="29"/>
      <c r="AB947" s="29"/>
      <c r="AI947" s="29"/>
    </row>
    <row r="948">
      <c r="D948" s="29"/>
      <c r="E948" s="29"/>
      <c r="F948" s="29"/>
      <c r="G948" s="29"/>
      <c r="H948" s="29"/>
      <c r="Y948" s="29"/>
      <c r="AB948" s="29"/>
      <c r="AI948" s="29"/>
    </row>
    <row r="949">
      <c r="D949" s="29"/>
      <c r="E949" s="29"/>
      <c r="F949" s="29"/>
      <c r="G949" s="29"/>
      <c r="H949" s="29"/>
      <c r="Y949" s="29"/>
      <c r="AB949" s="29"/>
      <c r="AI949" s="29"/>
    </row>
    <row r="950">
      <c r="D950" s="29"/>
      <c r="E950" s="29"/>
      <c r="F950" s="29"/>
      <c r="G950" s="29"/>
      <c r="H950" s="29"/>
      <c r="Y950" s="29"/>
      <c r="AB950" s="29"/>
      <c r="AI950" s="29"/>
    </row>
    <row r="951">
      <c r="D951" s="29"/>
      <c r="E951" s="29"/>
      <c r="F951" s="29"/>
      <c r="G951" s="29"/>
      <c r="H951" s="29"/>
      <c r="Y951" s="29"/>
      <c r="AB951" s="29"/>
      <c r="AI951" s="29"/>
    </row>
    <row r="952">
      <c r="D952" s="29"/>
      <c r="E952" s="29"/>
      <c r="F952" s="29"/>
      <c r="G952" s="29"/>
      <c r="H952" s="29"/>
      <c r="Y952" s="29"/>
      <c r="AB952" s="29"/>
      <c r="AI952" s="29"/>
    </row>
    <row r="953">
      <c r="D953" s="29"/>
      <c r="E953" s="29"/>
      <c r="F953" s="29"/>
      <c r="G953" s="29"/>
      <c r="H953" s="29"/>
      <c r="Y953" s="29"/>
      <c r="AB953" s="29"/>
      <c r="AI953" s="29"/>
    </row>
    <row r="954">
      <c r="D954" s="29"/>
      <c r="E954" s="29"/>
      <c r="F954" s="29"/>
      <c r="G954" s="29"/>
      <c r="H954" s="29"/>
      <c r="Y954" s="29"/>
      <c r="AB954" s="29"/>
      <c r="AI954" s="29"/>
    </row>
    <row r="955">
      <c r="D955" s="29"/>
      <c r="E955" s="29"/>
      <c r="F955" s="29"/>
      <c r="G955" s="29"/>
      <c r="H955" s="29"/>
      <c r="Y955" s="29"/>
      <c r="AB955" s="29"/>
      <c r="AI955" s="29"/>
    </row>
    <row r="956">
      <c r="D956" s="29"/>
      <c r="E956" s="29"/>
      <c r="F956" s="29"/>
      <c r="G956" s="29"/>
      <c r="H956" s="29"/>
      <c r="Y956" s="29"/>
      <c r="AB956" s="29"/>
      <c r="AI956" s="29"/>
    </row>
    <row r="957">
      <c r="D957" s="29"/>
      <c r="E957" s="29"/>
      <c r="F957" s="29"/>
      <c r="G957" s="29"/>
      <c r="H957" s="29"/>
      <c r="Y957" s="29"/>
      <c r="AB957" s="29"/>
      <c r="AI957" s="29"/>
    </row>
    <row r="958">
      <c r="D958" s="29"/>
      <c r="E958" s="29"/>
      <c r="F958" s="29"/>
      <c r="G958" s="29"/>
      <c r="H958" s="29"/>
      <c r="Y958" s="29"/>
      <c r="AB958" s="29"/>
      <c r="AI958" s="29"/>
    </row>
    <row r="959">
      <c r="D959" s="29"/>
      <c r="E959" s="29"/>
      <c r="F959" s="29"/>
      <c r="G959" s="29"/>
      <c r="H959" s="29"/>
      <c r="Y959" s="29"/>
      <c r="AB959" s="29"/>
      <c r="AI959" s="29"/>
    </row>
    <row r="960">
      <c r="D960" s="29"/>
      <c r="E960" s="29"/>
      <c r="F960" s="29"/>
      <c r="G960" s="29"/>
      <c r="H960" s="29"/>
      <c r="Y960" s="29"/>
      <c r="AB960" s="29"/>
      <c r="AI960" s="29"/>
    </row>
    <row r="961">
      <c r="D961" s="29"/>
      <c r="E961" s="29"/>
      <c r="F961" s="29"/>
      <c r="G961" s="29"/>
      <c r="H961" s="29"/>
      <c r="Y961" s="29"/>
      <c r="AB961" s="29"/>
      <c r="AI961" s="29"/>
    </row>
    <row r="962">
      <c r="D962" s="29"/>
      <c r="E962" s="29"/>
      <c r="F962" s="29"/>
      <c r="G962" s="29"/>
      <c r="H962" s="29"/>
      <c r="Y962" s="29"/>
      <c r="AB962" s="29"/>
      <c r="AI962" s="29"/>
    </row>
    <row r="963">
      <c r="D963" s="29"/>
      <c r="E963" s="29"/>
      <c r="F963" s="29"/>
      <c r="G963" s="29"/>
      <c r="H963" s="29"/>
      <c r="Y963" s="29"/>
      <c r="AB963" s="29"/>
      <c r="AI963" s="29"/>
    </row>
    <row r="964">
      <c r="D964" s="29"/>
      <c r="E964" s="29"/>
      <c r="F964" s="29"/>
      <c r="G964" s="29"/>
      <c r="H964" s="29"/>
      <c r="Y964" s="29"/>
      <c r="AB964" s="29"/>
      <c r="AI964" s="29"/>
    </row>
    <row r="965">
      <c r="D965" s="29"/>
      <c r="E965" s="29"/>
      <c r="F965" s="29"/>
      <c r="G965" s="29"/>
      <c r="H965" s="29"/>
      <c r="Y965" s="29"/>
      <c r="AB965" s="29"/>
      <c r="AI965" s="29"/>
    </row>
    <row r="966">
      <c r="D966" s="29"/>
      <c r="E966" s="29"/>
      <c r="F966" s="29"/>
      <c r="G966" s="29"/>
      <c r="H966" s="29"/>
      <c r="Y966" s="29"/>
      <c r="AB966" s="29"/>
      <c r="AI966" s="29"/>
    </row>
    <row r="967">
      <c r="D967" s="29"/>
      <c r="E967" s="29"/>
      <c r="F967" s="29"/>
      <c r="G967" s="29"/>
      <c r="H967" s="29"/>
      <c r="Y967" s="29"/>
      <c r="AB967" s="29"/>
      <c r="AI967" s="29"/>
    </row>
    <row r="968">
      <c r="D968" s="29"/>
      <c r="E968" s="29"/>
      <c r="F968" s="29"/>
      <c r="G968" s="29"/>
      <c r="H968" s="29"/>
      <c r="Y968" s="29"/>
      <c r="AB968" s="29"/>
      <c r="AI968" s="29"/>
    </row>
    <row r="969">
      <c r="D969" s="29"/>
      <c r="E969" s="29"/>
      <c r="F969" s="29"/>
      <c r="G969" s="29"/>
      <c r="H969" s="29"/>
      <c r="Y969" s="29"/>
      <c r="AB969" s="29"/>
      <c r="AI969" s="29"/>
    </row>
    <row r="970">
      <c r="D970" s="29"/>
      <c r="E970" s="29"/>
      <c r="F970" s="29"/>
      <c r="G970" s="29"/>
      <c r="H970" s="29"/>
      <c r="Y970" s="29"/>
      <c r="AB970" s="29"/>
      <c r="AI970" s="29"/>
    </row>
    <row r="971">
      <c r="D971" s="29"/>
      <c r="E971" s="29"/>
      <c r="F971" s="29"/>
      <c r="G971" s="29"/>
      <c r="H971" s="29"/>
      <c r="Y971" s="29"/>
      <c r="AB971" s="29"/>
      <c r="AI971" s="29"/>
    </row>
    <row r="972">
      <c r="D972" s="29"/>
      <c r="E972" s="29"/>
      <c r="F972" s="29"/>
      <c r="G972" s="29"/>
      <c r="H972" s="29"/>
      <c r="Y972" s="29"/>
      <c r="AB972" s="29"/>
      <c r="AI972" s="29"/>
    </row>
    <row r="973">
      <c r="D973" s="29"/>
      <c r="E973" s="29"/>
      <c r="F973" s="29"/>
      <c r="G973" s="29"/>
      <c r="H973" s="29"/>
      <c r="Y973" s="29"/>
      <c r="AB973" s="29"/>
      <c r="AI973" s="29"/>
    </row>
    <row r="974">
      <c r="D974" s="29"/>
      <c r="E974" s="29"/>
      <c r="F974" s="29"/>
      <c r="G974" s="29"/>
      <c r="H974" s="29"/>
      <c r="Y974" s="29"/>
      <c r="AB974" s="29"/>
      <c r="AI974" s="29"/>
    </row>
    <row r="975">
      <c r="D975" s="29"/>
      <c r="E975" s="29"/>
      <c r="F975" s="29"/>
      <c r="G975" s="29"/>
      <c r="H975" s="29"/>
      <c r="Y975" s="29"/>
      <c r="AB975" s="29"/>
      <c r="AI975" s="29"/>
    </row>
    <row r="976">
      <c r="D976" s="29"/>
      <c r="E976" s="29"/>
      <c r="F976" s="29"/>
      <c r="G976" s="29"/>
      <c r="H976" s="29"/>
      <c r="Y976" s="29"/>
      <c r="AB976" s="29"/>
      <c r="AI976" s="29"/>
    </row>
    <row r="977">
      <c r="D977" s="29"/>
      <c r="E977" s="29"/>
      <c r="F977" s="29"/>
      <c r="G977" s="29"/>
      <c r="H977" s="29"/>
      <c r="Y977" s="29"/>
      <c r="AB977" s="29"/>
      <c r="AI977" s="29"/>
    </row>
    <row r="978">
      <c r="D978" s="29"/>
      <c r="E978" s="29"/>
      <c r="F978" s="29"/>
      <c r="G978" s="29"/>
      <c r="H978" s="29"/>
      <c r="Y978" s="29"/>
      <c r="AB978" s="29"/>
      <c r="AI978" s="29"/>
    </row>
    <row r="979">
      <c r="D979" s="29"/>
      <c r="E979" s="29"/>
      <c r="F979" s="29"/>
      <c r="G979" s="29"/>
      <c r="H979" s="29"/>
      <c r="Y979" s="29"/>
      <c r="AB979" s="29"/>
      <c r="AI979" s="29"/>
    </row>
    <row r="980">
      <c r="D980" s="29"/>
      <c r="E980" s="29"/>
      <c r="F980" s="29"/>
      <c r="G980" s="29"/>
      <c r="H980" s="29"/>
      <c r="Y980" s="29"/>
      <c r="AB980" s="29"/>
      <c r="AI980" s="29"/>
    </row>
    <row r="981">
      <c r="D981" s="29"/>
      <c r="E981" s="29"/>
      <c r="F981" s="29"/>
      <c r="G981" s="29"/>
      <c r="H981" s="29"/>
      <c r="Y981" s="29"/>
      <c r="AB981" s="29"/>
      <c r="AI981" s="29"/>
    </row>
    <row r="982">
      <c r="D982" s="29"/>
      <c r="E982" s="29"/>
      <c r="F982" s="29"/>
      <c r="G982" s="29"/>
      <c r="H982" s="29"/>
      <c r="Y982" s="29"/>
      <c r="AB982" s="29"/>
      <c r="AI982" s="29"/>
    </row>
    <row r="983">
      <c r="D983" s="29"/>
      <c r="E983" s="29"/>
      <c r="F983" s="29"/>
      <c r="G983" s="29"/>
      <c r="H983" s="29"/>
      <c r="Y983" s="29"/>
      <c r="AB983" s="29"/>
      <c r="AI983" s="29"/>
    </row>
    <row r="984">
      <c r="D984" s="29"/>
      <c r="E984" s="29"/>
      <c r="F984" s="29"/>
      <c r="G984" s="29"/>
      <c r="H984" s="29"/>
      <c r="Y984" s="29"/>
      <c r="AB984" s="29"/>
      <c r="AI984" s="29"/>
    </row>
    <row r="985">
      <c r="D985" s="29"/>
      <c r="E985" s="29"/>
      <c r="F985" s="29"/>
      <c r="G985" s="29"/>
      <c r="H985" s="29"/>
      <c r="Y985" s="29"/>
      <c r="AB985" s="29"/>
      <c r="AI985" s="29"/>
    </row>
    <row r="986">
      <c r="D986" s="29"/>
      <c r="E986" s="29"/>
      <c r="F986" s="29"/>
      <c r="G986" s="29"/>
      <c r="H986" s="29"/>
      <c r="Y986" s="29"/>
      <c r="AB986" s="29"/>
      <c r="AI986" s="29"/>
    </row>
    <row r="987">
      <c r="D987" s="29"/>
      <c r="E987" s="29"/>
      <c r="F987" s="29"/>
      <c r="G987" s="29"/>
      <c r="H987" s="29"/>
      <c r="Y987" s="29"/>
      <c r="AB987" s="29"/>
      <c r="AI987" s="29"/>
    </row>
  </sheetData>
  <dataValidations>
    <dataValidation type="list" allowBlank="1" showErrorMessage="1" sqref="B4:B22">
      <formula1>"Cafeteria,Aseo"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1" max="1" width="15.75"/>
    <col customWidth="1" min="2" max="2" width="20.63"/>
    <col customWidth="1" min="3" max="3" width="23.25"/>
    <col customWidth="1" hidden="1" min="4" max="4" width="13.0"/>
    <col hidden="1" min="5" max="5" width="12.63"/>
    <col customWidth="1" hidden="1" min="6" max="6" width="19.75"/>
    <col customWidth="1" hidden="1" min="7" max="7" width="16.63"/>
    <col customWidth="1" hidden="1" min="8" max="8" width="16.88"/>
    <col customWidth="1" hidden="1" min="9" max="9" width="17.63"/>
    <col customWidth="1" hidden="1" min="10" max="10" width="18.5"/>
    <col customWidth="1" hidden="1" min="11" max="11" width="19.38"/>
    <col customWidth="1" hidden="1" min="12" max="13" width="17.13"/>
    <col customWidth="1" hidden="1" min="14" max="14" width="19.88"/>
    <col customWidth="1" hidden="1" min="15" max="15" width="20.13"/>
    <col customWidth="1" hidden="1" min="16" max="16" width="17.63"/>
    <col customWidth="1" hidden="1" min="17" max="17" width="17.88"/>
    <col customWidth="1" hidden="1" min="18" max="18" width="18.63"/>
    <col customWidth="1" hidden="1" min="19" max="19" width="16.88"/>
    <col customWidth="1" hidden="1" min="20" max="20" width="17.0"/>
    <col customWidth="1" hidden="1" min="21" max="21" width="17.88"/>
    <col customWidth="1" min="22" max="22" width="18.0"/>
    <col customWidth="1" min="23" max="23" width="17.88"/>
    <col customWidth="1" min="24" max="24" width="17.75"/>
    <col customWidth="1" min="25" max="25" width="15.75"/>
    <col customWidth="1" min="26" max="26" width="16.88"/>
    <col customWidth="1" min="27" max="27" width="18.13"/>
    <col customWidth="1" min="28" max="30" width="14.0"/>
  </cols>
  <sheetData>
    <row r="1">
      <c r="A1" s="26"/>
      <c r="B1" s="26"/>
      <c r="C1" s="27"/>
      <c r="D1" s="30" t="s">
        <v>52</v>
      </c>
      <c r="E1" s="29"/>
      <c r="F1" s="51"/>
      <c r="I1" s="51"/>
      <c r="J1" s="29"/>
      <c r="Q1" s="31" t="s">
        <v>53</v>
      </c>
    </row>
    <row r="2">
      <c r="A2" s="26"/>
      <c r="B2" s="26"/>
      <c r="C2" s="27"/>
      <c r="D2" s="33">
        <v>45992.0</v>
      </c>
      <c r="E2" s="33">
        <v>46020.0</v>
      </c>
      <c r="F2" s="34">
        <v>46027.0</v>
      </c>
      <c r="G2" s="33">
        <v>46031.0</v>
      </c>
      <c r="H2" s="33">
        <v>46034.0</v>
      </c>
      <c r="I2" s="33">
        <v>46037.0</v>
      </c>
      <c r="J2" s="33">
        <v>46041.0</v>
      </c>
      <c r="K2" s="33">
        <v>46045.0</v>
      </c>
      <c r="L2" s="33">
        <v>46049.0</v>
      </c>
      <c r="M2" s="33">
        <v>46051.0</v>
      </c>
      <c r="N2" s="33">
        <v>46055.0</v>
      </c>
      <c r="O2" s="33">
        <v>46058.0</v>
      </c>
      <c r="P2" s="33">
        <v>46062.0</v>
      </c>
      <c r="Q2" s="33">
        <v>46065.0</v>
      </c>
      <c r="R2" s="33">
        <v>46069.0</v>
      </c>
      <c r="S2" s="33">
        <v>46072.0</v>
      </c>
      <c r="T2" s="33">
        <v>46076.0</v>
      </c>
      <c r="U2" s="33">
        <v>46077.0</v>
      </c>
      <c r="V2" s="33">
        <v>46083.0</v>
      </c>
      <c r="W2" s="33">
        <v>46086.0</v>
      </c>
      <c r="X2" s="33">
        <v>46090.0</v>
      </c>
      <c r="Y2" s="33">
        <v>46094.0</v>
      </c>
      <c r="Z2" s="33">
        <v>46100.0</v>
      </c>
      <c r="AA2" s="33">
        <v>46104.0</v>
      </c>
      <c r="AB2" s="28"/>
      <c r="AC2" s="28"/>
      <c r="AD2" s="28"/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28" t="s">
        <v>11</v>
      </c>
      <c r="L3" s="28" t="s">
        <v>11</v>
      </c>
      <c r="M3" s="28" t="s">
        <v>54</v>
      </c>
      <c r="N3" s="28" t="s">
        <v>11</v>
      </c>
      <c r="O3" s="28" t="s">
        <v>11</v>
      </c>
      <c r="P3" s="28" t="s">
        <v>54</v>
      </c>
      <c r="Q3" s="28" t="s">
        <v>54</v>
      </c>
      <c r="R3" s="28" t="s">
        <v>54</v>
      </c>
      <c r="S3" s="28" t="s">
        <v>54</v>
      </c>
      <c r="T3" s="28" t="s">
        <v>11</v>
      </c>
      <c r="U3" s="28" t="s">
        <v>54</v>
      </c>
      <c r="V3" s="28" t="s">
        <v>54</v>
      </c>
      <c r="W3" s="28" t="s">
        <v>11</v>
      </c>
      <c r="X3" s="28" t="s">
        <v>11</v>
      </c>
      <c r="Y3" s="28" t="s">
        <v>11</v>
      </c>
      <c r="Z3" s="28" t="s">
        <v>11</v>
      </c>
      <c r="AA3" s="28" t="s">
        <v>11</v>
      </c>
      <c r="AB3" s="28"/>
      <c r="AC3" s="28"/>
      <c r="AD3" s="28"/>
    </row>
    <row r="4">
      <c r="A4" s="36" t="s">
        <v>55</v>
      </c>
      <c r="B4" s="36" t="s">
        <v>15</v>
      </c>
      <c r="C4" s="37" t="s">
        <v>16</v>
      </c>
      <c r="D4" s="39" t="s">
        <v>56</v>
      </c>
      <c r="E4" s="39" t="s">
        <v>57</v>
      </c>
      <c r="F4" s="39" t="s">
        <v>58</v>
      </c>
      <c r="G4" s="39" t="s">
        <v>58</v>
      </c>
      <c r="H4" s="39" t="s">
        <v>58</v>
      </c>
      <c r="I4" s="38" t="s">
        <v>59</v>
      </c>
      <c r="J4" s="38" t="s">
        <v>60</v>
      </c>
      <c r="K4" s="38" t="s">
        <v>61</v>
      </c>
      <c r="L4" s="38" t="s">
        <v>60</v>
      </c>
      <c r="M4" s="38" t="s">
        <v>61</v>
      </c>
      <c r="N4" s="38" t="s">
        <v>58</v>
      </c>
      <c r="O4" s="38" t="s">
        <v>59</v>
      </c>
      <c r="P4" s="38" t="s">
        <v>62</v>
      </c>
      <c r="Q4" s="38" t="s">
        <v>63</v>
      </c>
      <c r="R4" s="38" t="s">
        <v>64</v>
      </c>
      <c r="S4" s="38" t="s">
        <v>65</v>
      </c>
      <c r="T4" s="31" t="s">
        <v>65</v>
      </c>
      <c r="U4" s="31" t="s">
        <v>66</v>
      </c>
      <c r="V4" s="31" t="s">
        <v>66</v>
      </c>
      <c r="W4" s="31" t="s">
        <v>67</v>
      </c>
      <c r="X4" s="31" t="s">
        <v>59</v>
      </c>
      <c r="Y4" s="31" t="s">
        <v>53</v>
      </c>
      <c r="Z4" s="38" t="s">
        <v>68</v>
      </c>
      <c r="AA4" s="39" t="s">
        <v>69</v>
      </c>
      <c r="AB4" s="38"/>
      <c r="AC4" s="38"/>
      <c r="AD4" s="38"/>
    </row>
    <row r="5">
      <c r="A5" s="36" t="s">
        <v>55</v>
      </c>
      <c r="B5" s="36" t="s">
        <v>15</v>
      </c>
      <c r="C5" s="37" t="s">
        <v>70</v>
      </c>
      <c r="D5" s="39" t="s">
        <v>71</v>
      </c>
      <c r="E5" s="39" t="s">
        <v>72</v>
      </c>
      <c r="F5" s="39" t="s">
        <v>73</v>
      </c>
      <c r="G5" s="39" t="s">
        <v>74</v>
      </c>
      <c r="H5" s="39" t="s">
        <v>74</v>
      </c>
      <c r="I5" s="38" t="s">
        <v>75</v>
      </c>
      <c r="J5" s="38" t="s">
        <v>64</v>
      </c>
      <c r="K5" s="38" t="s">
        <v>76</v>
      </c>
      <c r="L5" s="38" t="s">
        <v>77</v>
      </c>
      <c r="M5" s="38" t="s">
        <v>75</v>
      </c>
      <c r="N5" s="38" t="s">
        <v>78</v>
      </c>
      <c r="O5" s="38" t="s">
        <v>79</v>
      </c>
      <c r="P5" s="38" t="s">
        <v>74</v>
      </c>
      <c r="Q5" s="38" t="s">
        <v>80</v>
      </c>
      <c r="R5" s="38" t="s">
        <v>81</v>
      </c>
      <c r="S5" s="38" t="s">
        <v>82</v>
      </c>
      <c r="T5" s="31" t="s">
        <v>83</v>
      </c>
      <c r="U5" s="31" t="s">
        <v>84</v>
      </c>
      <c r="V5" s="31" t="s">
        <v>85</v>
      </c>
      <c r="W5" s="31" t="s">
        <v>86</v>
      </c>
      <c r="X5" s="31" t="s">
        <v>87</v>
      </c>
      <c r="Y5" s="39" t="s">
        <v>53</v>
      </c>
      <c r="Z5" s="39" t="s">
        <v>88</v>
      </c>
      <c r="AA5" s="39" t="s">
        <v>89</v>
      </c>
      <c r="AB5" s="39"/>
      <c r="AC5" s="39"/>
      <c r="AD5" s="39"/>
    </row>
    <row r="6">
      <c r="A6" s="36" t="s">
        <v>55</v>
      </c>
      <c r="B6" s="36" t="s">
        <v>15</v>
      </c>
      <c r="C6" s="37" t="s">
        <v>90</v>
      </c>
      <c r="D6" s="39" t="s">
        <v>56</v>
      </c>
      <c r="E6" s="39" t="s">
        <v>91</v>
      </c>
      <c r="F6" s="39" t="s">
        <v>92</v>
      </c>
      <c r="G6" s="39" t="s">
        <v>76</v>
      </c>
      <c r="H6" s="39" t="s">
        <v>76</v>
      </c>
      <c r="I6" s="52" t="s">
        <v>76</v>
      </c>
      <c r="J6" s="38" t="s">
        <v>93</v>
      </c>
      <c r="K6" s="38" t="s">
        <v>59</v>
      </c>
      <c r="L6" s="38" t="s">
        <v>93</v>
      </c>
      <c r="M6" s="39" t="s">
        <v>94</v>
      </c>
      <c r="N6" s="38" t="s">
        <v>95</v>
      </c>
      <c r="O6" s="38" t="s">
        <v>95</v>
      </c>
      <c r="P6" s="38" t="s">
        <v>66</v>
      </c>
      <c r="Q6" s="38" t="s">
        <v>74</v>
      </c>
      <c r="R6" s="38" t="s">
        <v>74</v>
      </c>
      <c r="S6" s="38" t="s">
        <v>75</v>
      </c>
      <c r="T6" s="31" t="s">
        <v>75</v>
      </c>
      <c r="U6" s="31" t="s">
        <v>75</v>
      </c>
      <c r="V6" s="31" t="s">
        <v>63</v>
      </c>
      <c r="W6" s="31" t="s">
        <v>63</v>
      </c>
      <c r="X6" s="31" t="s">
        <v>64</v>
      </c>
      <c r="Y6" s="39" t="s">
        <v>53</v>
      </c>
      <c r="Z6" s="39" t="s">
        <v>96</v>
      </c>
      <c r="AA6" s="39" t="s">
        <v>97</v>
      </c>
      <c r="AB6" s="39"/>
      <c r="AC6" s="39"/>
      <c r="AD6" s="39"/>
    </row>
    <row r="7">
      <c r="A7" s="36" t="s">
        <v>55</v>
      </c>
      <c r="B7" s="36" t="s">
        <v>15</v>
      </c>
      <c r="C7" s="37" t="s">
        <v>98</v>
      </c>
      <c r="D7" s="39" t="s">
        <v>99</v>
      </c>
      <c r="E7" s="39" t="s">
        <v>100</v>
      </c>
      <c r="F7" s="39" t="s">
        <v>100</v>
      </c>
      <c r="G7" s="39" t="s">
        <v>101</v>
      </c>
      <c r="H7" s="39" t="s">
        <v>101</v>
      </c>
      <c r="I7" s="52" t="s">
        <v>101</v>
      </c>
      <c r="J7" s="39" t="s">
        <v>102</v>
      </c>
      <c r="K7" s="39" t="s">
        <v>101</v>
      </c>
      <c r="L7" s="39" t="s">
        <v>103</v>
      </c>
      <c r="M7" s="39" t="s">
        <v>103</v>
      </c>
      <c r="N7" s="39" t="s">
        <v>103</v>
      </c>
      <c r="O7" s="39" t="s">
        <v>103</v>
      </c>
      <c r="P7" s="39" t="s">
        <v>104</v>
      </c>
      <c r="Q7" s="39" t="s">
        <v>104</v>
      </c>
      <c r="R7" s="39" t="s">
        <v>104</v>
      </c>
      <c r="S7" s="39" t="s">
        <v>104</v>
      </c>
      <c r="T7" s="39" t="s">
        <v>104</v>
      </c>
      <c r="U7" s="39" t="s">
        <v>105</v>
      </c>
      <c r="V7" s="39" t="s">
        <v>105</v>
      </c>
      <c r="W7" s="39" t="s">
        <v>106</v>
      </c>
      <c r="X7" s="39" t="s">
        <v>107</v>
      </c>
      <c r="Y7" s="39"/>
      <c r="Z7" s="39">
        <v>2.0</v>
      </c>
      <c r="AA7" s="39">
        <v>3.0</v>
      </c>
      <c r="AB7" s="39"/>
      <c r="AC7" s="39"/>
      <c r="AD7" s="39"/>
    </row>
    <row r="8">
      <c r="A8" s="36" t="s">
        <v>55</v>
      </c>
      <c r="B8" s="36" t="s">
        <v>33</v>
      </c>
      <c r="C8" s="37" t="s">
        <v>21</v>
      </c>
      <c r="D8" s="39"/>
      <c r="E8" s="39" t="s">
        <v>108</v>
      </c>
      <c r="F8" s="39" t="s">
        <v>109</v>
      </c>
      <c r="G8" s="39" t="s">
        <v>110</v>
      </c>
      <c r="H8" s="39">
        <v>0.0</v>
      </c>
      <c r="I8" s="39">
        <v>0.0</v>
      </c>
      <c r="J8" s="39">
        <v>10.0</v>
      </c>
      <c r="K8" s="39">
        <v>8.0</v>
      </c>
      <c r="L8" s="39">
        <v>4.0</v>
      </c>
      <c r="M8" s="39">
        <v>2.0</v>
      </c>
      <c r="N8" s="39">
        <v>0.0</v>
      </c>
      <c r="O8" s="39">
        <v>14.0</v>
      </c>
      <c r="P8" s="39">
        <v>14.0</v>
      </c>
      <c r="Q8" s="39">
        <v>18.0</v>
      </c>
      <c r="R8" s="39">
        <v>14.0</v>
      </c>
      <c r="S8" s="39">
        <v>12.0</v>
      </c>
      <c r="T8" s="39">
        <v>12.0</v>
      </c>
      <c r="U8" s="39">
        <v>4.0</v>
      </c>
      <c r="V8" s="39">
        <v>2.0</v>
      </c>
      <c r="W8" s="39">
        <v>4.0</v>
      </c>
      <c r="X8" s="39">
        <v>4.0</v>
      </c>
      <c r="Y8" s="39"/>
      <c r="Z8" s="39">
        <v>26.0</v>
      </c>
      <c r="AA8" s="39">
        <v>20.0</v>
      </c>
      <c r="AB8" s="39"/>
      <c r="AC8" s="39"/>
      <c r="AD8" s="39"/>
    </row>
    <row r="9">
      <c r="A9" s="36" t="s">
        <v>111</v>
      </c>
      <c r="B9" s="36" t="s">
        <v>33</v>
      </c>
      <c r="C9" s="37" t="s">
        <v>22</v>
      </c>
      <c r="D9" s="39"/>
      <c r="E9" s="39">
        <v>7.0</v>
      </c>
      <c r="F9" s="39" t="s">
        <v>112</v>
      </c>
      <c r="G9" s="39" t="s">
        <v>113</v>
      </c>
      <c r="H9" s="39">
        <v>8.0</v>
      </c>
      <c r="I9" s="39">
        <v>8.0</v>
      </c>
      <c r="J9" s="39">
        <v>24.0</v>
      </c>
      <c r="K9" s="39">
        <v>52.0</v>
      </c>
      <c r="L9" s="39">
        <v>40.0</v>
      </c>
      <c r="M9" s="39">
        <v>36.0</v>
      </c>
      <c r="N9" s="39">
        <v>32.0</v>
      </c>
      <c r="O9" s="39">
        <v>32.0</v>
      </c>
      <c r="P9" s="39">
        <v>32.0</v>
      </c>
      <c r="Q9" s="39">
        <v>40.0</v>
      </c>
      <c r="R9" s="39">
        <v>36.0</v>
      </c>
      <c r="S9" s="39">
        <v>36.0</v>
      </c>
      <c r="T9" s="39">
        <v>36.0</v>
      </c>
      <c r="U9" s="39">
        <v>36.0</v>
      </c>
      <c r="V9" s="39">
        <v>32.0</v>
      </c>
      <c r="W9" s="39">
        <v>28.0</v>
      </c>
      <c r="X9" s="39">
        <v>28.0</v>
      </c>
      <c r="Y9" s="39"/>
      <c r="Z9" s="39">
        <v>40.0</v>
      </c>
      <c r="AA9" s="39">
        <v>36.0</v>
      </c>
      <c r="AB9" s="39"/>
      <c r="AC9" s="39"/>
      <c r="AD9" s="39"/>
    </row>
    <row r="10">
      <c r="A10" s="36" t="s">
        <v>55</v>
      </c>
      <c r="B10" s="36" t="s">
        <v>15</v>
      </c>
      <c r="C10" s="37" t="s">
        <v>23</v>
      </c>
      <c r="D10" s="39"/>
      <c r="E10" s="39">
        <v>5.0</v>
      </c>
      <c r="F10" s="39">
        <v>5.0</v>
      </c>
      <c r="G10" s="39">
        <v>5.0</v>
      </c>
      <c r="H10" s="39">
        <v>5.0</v>
      </c>
      <c r="I10" s="39">
        <v>5.0</v>
      </c>
      <c r="J10" s="39">
        <v>5.0</v>
      </c>
      <c r="K10" s="39">
        <v>6.0</v>
      </c>
      <c r="L10" s="39">
        <v>5.0</v>
      </c>
      <c r="M10" s="39">
        <v>5.0</v>
      </c>
      <c r="N10" s="39">
        <v>5.0</v>
      </c>
      <c r="O10" s="39">
        <v>5.0</v>
      </c>
      <c r="P10" s="39">
        <v>5.0</v>
      </c>
      <c r="Q10" s="39">
        <v>4.0</v>
      </c>
      <c r="R10" s="39">
        <v>4.0</v>
      </c>
      <c r="S10" s="39">
        <v>5.0</v>
      </c>
      <c r="T10" s="39">
        <v>5.0</v>
      </c>
      <c r="U10" s="39">
        <v>5.0</v>
      </c>
      <c r="V10" s="39">
        <v>5.0</v>
      </c>
      <c r="W10" s="39">
        <v>5.0</v>
      </c>
      <c r="X10" s="39">
        <v>5.0</v>
      </c>
      <c r="Y10" s="39"/>
      <c r="Z10" s="39">
        <v>5.0</v>
      </c>
      <c r="AA10" s="39">
        <v>6.0</v>
      </c>
      <c r="AB10" s="39"/>
      <c r="AC10" s="39"/>
      <c r="AD10" s="39"/>
    </row>
    <row r="11">
      <c r="A11" s="36" t="s">
        <v>55</v>
      </c>
      <c r="B11" s="36" t="s">
        <v>15</v>
      </c>
      <c r="C11" s="37" t="s">
        <v>24</v>
      </c>
      <c r="D11" s="39"/>
      <c r="E11" s="39">
        <v>9.0</v>
      </c>
      <c r="F11" s="39">
        <v>8.0</v>
      </c>
      <c r="G11" s="39">
        <v>8.0</v>
      </c>
      <c r="H11" s="39">
        <v>7.0</v>
      </c>
      <c r="I11" s="39">
        <v>7.0</v>
      </c>
      <c r="J11" s="39">
        <v>5.0</v>
      </c>
      <c r="K11" s="39">
        <v>10.0</v>
      </c>
      <c r="L11" s="39">
        <v>9.0</v>
      </c>
      <c r="M11" s="39">
        <v>8.0</v>
      </c>
      <c r="N11" s="39">
        <v>7.0</v>
      </c>
      <c r="O11" s="39">
        <v>6.0</v>
      </c>
      <c r="P11" s="39">
        <v>6.0</v>
      </c>
      <c r="Q11" s="39">
        <v>44.0</v>
      </c>
      <c r="R11" s="39">
        <v>44.0</v>
      </c>
      <c r="S11" s="39">
        <v>40.0</v>
      </c>
      <c r="T11" s="39">
        <v>39.0</v>
      </c>
      <c r="U11" s="39">
        <v>33.0</v>
      </c>
      <c r="V11" s="39">
        <v>30.0</v>
      </c>
      <c r="W11" s="39">
        <v>25.0</v>
      </c>
      <c r="X11" s="39">
        <v>25.0</v>
      </c>
      <c r="Y11" s="39"/>
      <c r="Z11" s="39">
        <v>29.0</v>
      </c>
      <c r="AA11" s="39">
        <v>29.0</v>
      </c>
      <c r="AB11" s="39"/>
      <c r="AC11" s="39"/>
      <c r="AD11" s="39"/>
    </row>
    <row r="12">
      <c r="A12" s="36" t="s">
        <v>55</v>
      </c>
      <c r="B12" s="36" t="s">
        <v>15</v>
      </c>
      <c r="C12" s="37" t="s">
        <v>114</v>
      </c>
      <c r="D12" s="39"/>
      <c r="E12" s="39" t="s">
        <v>115</v>
      </c>
      <c r="F12" s="39" t="s">
        <v>116</v>
      </c>
      <c r="G12" s="39" t="s">
        <v>117</v>
      </c>
      <c r="H12" s="39" t="s">
        <v>64</v>
      </c>
      <c r="I12" s="39" t="s">
        <v>93</v>
      </c>
      <c r="J12" s="38" t="s">
        <v>62</v>
      </c>
      <c r="K12" s="38" t="s">
        <v>61</v>
      </c>
      <c r="L12" s="38" t="s">
        <v>58</v>
      </c>
      <c r="M12" s="38" t="s">
        <v>118</v>
      </c>
      <c r="N12" s="38" t="s">
        <v>119</v>
      </c>
      <c r="O12" s="38" t="s">
        <v>59</v>
      </c>
      <c r="P12" s="38" t="s">
        <v>58</v>
      </c>
      <c r="Q12" s="38" t="s">
        <v>120</v>
      </c>
      <c r="R12" s="38" t="s">
        <v>74</v>
      </c>
      <c r="S12" s="38" t="s">
        <v>63</v>
      </c>
      <c r="T12" s="31" t="s">
        <v>121</v>
      </c>
      <c r="U12" s="31" t="s">
        <v>77</v>
      </c>
      <c r="V12" s="31" t="s">
        <v>77</v>
      </c>
      <c r="W12" s="31" t="s">
        <v>75</v>
      </c>
      <c r="X12" s="31" t="s">
        <v>58</v>
      </c>
      <c r="Y12" s="31" t="s">
        <v>53</v>
      </c>
      <c r="Z12" s="31" t="s">
        <v>122</v>
      </c>
      <c r="AA12" s="31" t="s">
        <v>89</v>
      </c>
    </row>
    <row r="13">
      <c r="A13" s="36" t="s">
        <v>55</v>
      </c>
      <c r="B13" s="36" t="s">
        <v>15</v>
      </c>
      <c r="C13" s="37" t="s">
        <v>26</v>
      </c>
      <c r="D13" s="39"/>
      <c r="E13" s="39"/>
      <c r="F13" s="39"/>
      <c r="G13" s="39"/>
      <c r="H13" s="39"/>
      <c r="I13" s="31"/>
      <c r="J13" s="39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Z13" s="31">
        <v>2.0</v>
      </c>
      <c r="AA13" s="31">
        <v>1.0</v>
      </c>
    </row>
    <row r="14">
      <c r="A14" s="36" t="s">
        <v>55</v>
      </c>
      <c r="B14" s="36" t="s">
        <v>15</v>
      </c>
      <c r="C14" s="37" t="s">
        <v>27</v>
      </c>
      <c r="D14" s="50"/>
      <c r="E14" s="50">
        <v>0.0</v>
      </c>
      <c r="F14" s="50">
        <v>0.0</v>
      </c>
      <c r="G14" s="50">
        <v>0.0</v>
      </c>
      <c r="H14" s="50">
        <v>0.0</v>
      </c>
      <c r="I14" s="49">
        <v>0.0</v>
      </c>
      <c r="J14" s="50">
        <v>0.0</v>
      </c>
      <c r="K14" s="31">
        <v>0.0</v>
      </c>
      <c r="L14" s="31">
        <v>0.0</v>
      </c>
      <c r="M14" s="31">
        <v>0.0</v>
      </c>
      <c r="N14" s="31">
        <v>0.0</v>
      </c>
      <c r="O14" s="31">
        <v>0.0</v>
      </c>
      <c r="P14" s="31">
        <v>1.0</v>
      </c>
      <c r="Q14" s="31">
        <v>1.0</v>
      </c>
      <c r="R14" s="31">
        <v>1.0</v>
      </c>
      <c r="S14" s="31">
        <v>1.0</v>
      </c>
      <c r="T14" s="31">
        <v>1.0</v>
      </c>
      <c r="U14" s="31">
        <v>1.0</v>
      </c>
      <c r="V14" s="31">
        <v>1.0</v>
      </c>
      <c r="W14" s="31">
        <v>1.0</v>
      </c>
      <c r="X14" s="31">
        <v>1.0</v>
      </c>
      <c r="Z14" s="31">
        <v>4.0</v>
      </c>
      <c r="AA14" s="31">
        <v>5.0</v>
      </c>
    </row>
    <row r="15">
      <c r="A15" s="36" t="s">
        <v>55</v>
      </c>
      <c r="B15" s="36" t="s">
        <v>33</v>
      </c>
      <c r="C15" s="37" t="s">
        <v>34</v>
      </c>
      <c r="E15" s="39">
        <v>0.0</v>
      </c>
      <c r="F15" s="39">
        <v>0.0</v>
      </c>
      <c r="G15" s="39">
        <v>0.0</v>
      </c>
      <c r="H15" s="39">
        <v>0.0</v>
      </c>
      <c r="I15" s="31">
        <v>0.0</v>
      </c>
      <c r="J15" s="39">
        <v>1.0</v>
      </c>
      <c r="K15" s="31">
        <v>1.0</v>
      </c>
      <c r="L15" s="31">
        <v>1.0</v>
      </c>
      <c r="M15" s="31">
        <v>1.0</v>
      </c>
      <c r="N15" s="31">
        <v>1.0</v>
      </c>
      <c r="O15" s="31">
        <v>1.0</v>
      </c>
      <c r="P15" s="31">
        <v>1.0</v>
      </c>
      <c r="Q15" s="31">
        <v>3.0</v>
      </c>
      <c r="R15" s="31">
        <v>3.0</v>
      </c>
      <c r="S15" s="31">
        <v>2.0</v>
      </c>
      <c r="T15" s="31">
        <v>2.0</v>
      </c>
      <c r="U15" s="31">
        <v>1.0</v>
      </c>
      <c r="V15" s="31">
        <v>1.0</v>
      </c>
      <c r="W15" s="31">
        <v>1.0</v>
      </c>
      <c r="X15" s="31">
        <v>0.0</v>
      </c>
      <c r="Z15" s="31">
        <v>1.0</v>
      </c>
      <c r="AA15" s="31">
        <v>1.0</v>
      </c>
    </row>
    <row r="16">
      <c r="A16" s="36" t="s">
        <v>55</v>
      </c>
      <c r="B16" s="36" t="s">
        <v>33</v>
      </c>
      <c r="C16" s="37" t="s">
        <v>36</v>
      </c>
      <c r="E16" s="39">
        <v>2.0</v>
      </c>
      <c r="F16" s="39">
        <v>2.0</v>
      </c>
      <c r="G16" s="39">
        <v>1.0</v>
      </c>
      <c r="H16" s="39">
        <v>1.0</v>
      </c>
      <c r="I16" s="31">
        <v>1.0</v>
      </c>
      <c r="J16" s="39">
        <v>1.0</v>
      </c>
      <c r="K16" s="31">
        <v>2.0</v>
      </c>
      <c r="L16" s="31">
        <v>2.0</v>
      </c>
      <c r="M16" s="31">
        <v>2.0</v>
      </c>
      <c r="N16" s="31">
        <v>2.0</v>
      </c>
      <c r="O16" s="31">
        <v>2.0</v>
      </c>
      <c r="P16" s="31">
        <v>2.0</v>
      </c>
      <c r="Q16" s="31">
        <v>5.0</v>
      </c>
      <c r="R16" s="31">
        <v>4.0</v>
      </c>
      <c r="S16" s="31">
        <v>3.0</v>
      </c>
      <c r="T16" s="31">
        <v>3.0</v>
      </c>
      <c r="U16" s="31">
        <v>3.0</v>
      </c>
      <c r="V16" s="31">
        <v>3.0</v>
      </c>
      <c r="W16" s="31">
        <v>1.0</v>
      </c>
      <c r="X16" s="31">
        <v>1.0</v>
      </c>
      <c r="Z16" s="31">
        <v>1.0</v>
      </c>
      <c r="AA16" s="31">
        <v>3.0</v>
      </c>
    </row>
    <row r="17">
      <c r="A17" s="36" t="s">
        <v>55</v>
      </c>
      <c r="B17" s="36" t="s">
        <v>33</v>
      </c>
      <c r="C17" s="37" t="s">
        <v>43</v>
      </c>
      <c r="D17" s="31" t="s">
        <v>123</v>
      </c>
      <c r="E17" s="39">
        <v>5.0</v>
      </c>
      <c r="F17" s="39">
        <v>5.0</v>
      </c>
      <c r="G17" s="39">
        <v>2.0</v>
      </c>
      <c r="H17" s="39">
        <v>1.0</v>
      </c>
      <c r="I17" s="31">
        <v>1.0</v>
      </c>
      <c r="J17" s="39">
        <v>8.0</v>
      </c>
      <c r="K17" s="31">
        <v>11.0</v>
      </c>
      <c r="L17" s="31">
        <v>11.0</v>
      </c>
      <c r="M17" s="31">
        <v>10.0</v>
      </c>
      <c r="N17" s="31">
        <v>8.0</v>
      </c>
      <c r="O17" s="31">
        <v>8.0</v>
      </c>
      <c r="P17" s="31">
        <v>8.0</v>
      </c>
      <c r="Q17" s="31">
        <v>25.0</v>
      </c>
      <c r="R17" s="31">
        <v>24.0</v>
      </c>
      <c r="S17" s="31">
        <v>24.0</v>
      </c>
      <c r="T17" s="31">
        <v>24.0</v>
      </c>
      <c r="U17" s="31">
        <v>20.0</v>
      </c>
      <c r="V17" s="31">
        <v>15.0</v>
      </c>
      <c r="W17" s="31">
        <v>15.0</v>
      </c>
      <c r="X17" s="31">
        <v>15.0</v>
      </c>
      <c r="Z17" s="31">
        <v>28.0</v>
      </c>
      <c r="AA17" s="31">
        <v>26.0</v>
      </c>
    </row>
    <row r="18">
      <c r="A18" s="36" t="s">
        <v>55</v>
      </c>
      <c r="B18" s="36" t="s">
        <v>33</v>
      </c>
      <c r="C18" s="37" t="s">
        <v>40</v>
      </c>
      <c r="D18" s="31" t="s">
        <v>124</v>
      </c>
      <c r="E18" s="39">
        <v>6.0</v>
      </c>
      <c r="F18" s="39">
        <v>5.0</v>
      </c>
      <c r="G18" s="39">
        <v>5.0</v>
      </c>
      <c r="H18" s="39">
        <v>2.0</v>
      </c>
      <c r="I18" s="31">
        <v>2.0</v>
      </c>
      <c r="J18" s="39">
        <v>8.0</v>
      </c>
      <c r="K18" s="31">
        <v>16.0</v>
      </c>
      <c r="L18" s="31">
        <v>13.0</v>
      </c>
      <c r="M18" s="31">
        <v>13.0</v>
      </c>
      <c r="N18" s="31">
        <v>10.0</v>
      </c>
      <c r="O18" s="31">
        <v>8.0</v>
      </c>
      <c r="P18" s="31">
        <v>8.0</v>
      </c>
      <c r="Q18" s="31">
        <v>20.0</v>
      </c>
      <c r="R18" s="31">
        <v>17.0</v>
      </c>
      <c r="S18" s="31">
        <v>16.0</v>
      </c>
      <c r="T18" s="31">
        <v>16.0</v>
      </c>
      <c r="U18" s="31">
        <v>13.0</v>
      </c>
      <c r="V18" s="31">
        <v>10.0</v>
      </c>
      <c r="W18" s="31">
        <v>3.0</v>
      </c>
      <c r="X18" s="31">
        <v>3.0</v>
      </c>
      <c r="Z18" s="31">
        <v>21.0</v>
      </c>
      <c r="AA18" s="31">
        <v>13.0</v>
      </c>
    </row>
    <row r="19">
      <c r="A19" s="36" t="s">
        <v>55</v>
      </c>
      <c r="B19" s="36" t="s">
        <v>33</v>
      </c>
      <c r="C19" s="37" t="s">
        <v>37</v>
      </c>
      <c r="D19" s="31" t="s">
        <v>125</v>
      </c>
      <c r="E19" s="39">
        <v>9.0</v>
      </c>
      <c r="F19" s="39">
        <v>6.0</v>
      </c>
      <c r="G19" s="39">
        <v>4.0</v>
      </c>
      <c r="H19" s="39">
        <v>1.0</v>
      </c>
      <c r="I19" s="31">
        <v>1.0</v>
      </c>
      <c r="J19" s="39">
        <v>5.0</v>
      </c>
      <c r="K19" s="31">
        <v>12.0</v>
      </c>
      <c r="L19" s="31">
        <v>9.0</v>
      </c>
      <c r="M19" s="31">
        <v>7.0</v>
      </c>
      <c r="N19" s="31">
        <v>4.0</v>
      </c>
      <c r="O19" s="31">
        <v>1.0</v>
      </c>
      <c r="P19" s="31">
        <v>1.0</v>
      </c>
      <c r="Q19" s="31">
        <v>20.0</v>
      </c>
      <c r="R19" s="31">
        <v>17.0</v>
      </c>
      <c r="S19" s="31">
        <v>9.0</v>
      </c>
      <c r="T19" s="31">
        <v>7.0</v>
      </c>
      <c r="U19" s="31">
        <v>2.0</v>
      </c>
      <c r="V19" s="31">
        <v>0.0</v>
      </c>
      <c r="W19" s="31">
        <v>0.0</v>
      </c>
      <c r="X19" s="31">
        <v>0.0</v>
      </c>
      <c r="Z19" s="31">
        <v>4.0</v>
      </c>
      <c r="AA19" s="31">
        <v>13.0</v>
      </c>
    </row>
    <row r="20">
      <c r="A20" s="36" t="s">
        <v>55</v>
      </c>
      <c r="B20" s="36" t="s">
        <v>33</v>
      </c>
      <c r="C20" s="37" t="s">
        <v>46</v>
      </c>
      <c r="E20" s="39">
        <v>0.0</v>
      </c>
      <c r="F20" s="39">
        <v>0.0</v>
      </c>
      <c r="G20" s="39">
        <v>0.0</v>
      </c>
      <c r="H20" s="39">
        <v>0.0</v>
      </c>
      <c r="I20" s="31">
        <v>0.0</v>
      </c>
      <c r="J20" s="39">
        <v>0.0</v>
      </c>
      <c r="K20" s="31">
        <v>16.0</v>
      </c>
      <c r="L20" s="31">
        <v>12.0</v>
      </c>
      <c r="M20" s="31">
        <v>8.0</v>
      </c>
      <c r="N20" s="31">
        <v>6.0</v>
      </c>
      <c r="O20" s="31">
        <v>4.0</v>
      </c>
      <c r="P20" s="31">
        <v>2.0</v>
      </c>
      <c r="Q20" s="31">
        <v>12.0</v>
      </c>
      <c r="R20" s="31">
        <v>9.0</v>
      </c>
      <c r="S20" s="31">
        <v>9.0</v>
      </c>
      <c r="T20" s="31">
        <v>4.0</v>
      </c>
      <c r="U20" s="31">
        <v>4.0</v>
      </c>
      <c r="V20" s="31">
        <v>4.0</v>
      </c>
      <c r="W20" s="31">
        <v>0.0</v>
      </c>
      <c r="X20" s="31">
        <v>0.0</v>
      </c>
      <c r="Z20" s="31">
        <v>4.0</v>
      </c>
      <c r="AA20" s="31">
        <v>4.0</v>
      </c>
    </row>
    <row r="21">
      <c r="A21" s="36" t="s">
        <v>55</v>
      </c>
      <c r="B21" s="36" t="s">
        <v>33</v>
      </c>
      <c r="C21" s="37" t="s">
        <v>47</v>
      </c>
      <c r="E21" s="39">
        <v>2.0</v>
      </c>
      <c r="F21" s="39">
        <v>2.0</v>
      </c>
      <c r="G21" s="39">
        <v>2.0</v>
      </c>
      <c r="H21" s="39">
        <v>2.0</v>
      </c>
      <c r="I21" s="31">
        <v>2.0</v>
      </c>
      <c r="J21" s="39">
        <v>4.0</v>
      </c>
      <c r="K21" s="31">
        <v>8.0</v>
      </c>
      <c r="L21" s="31">
        <v>7.0</v>
      </c>
      <c r="M21" s="31">
        <v>7.0</v>
      </c>
      <c r="N21" s="31">
        <v>7.0</v>
      </c>
      <c r="O21" s="31">
        <v>7.0</v>
      </c>
      <c r="P21" s="31">
        <v>7.0</v>
      </c>
      <c r="Q21" s="31">
        <v>11.0</v>
      </c>
      <c r="R21" s="31">
        <v>11.0</v>
      </c>
      <c r="S21" s="31">
        <v>3.0</v>
      </c>
      <c r="T21" s="31">
        <v>2.0</v>
      </c>
      <c r="U21" s="31">
        <v>1.0</v>
      </c>
      <c r="V21" s="31">
        <v>0.0</v>
      </c>
      <c r="W21" s="31">
        <v>0.0</v>
      </c>
      <c r="X21" s="31">
        <v>0.0</v>
      </c>
      <c r="Z21" s="31">
        <v>5.0</v>
      </c>
      <c r="AA21" s="31">
        <v>4.0</v>
      </c>
    </row>
    <row r="22">
      <c r="E22" s="29"/>
      <c r="J22" s="29"/>
    </row>
    <row r="23">
      <c r="E23" s="29"/>
      <c r="J23" s="29"/>
    </row>
    <row r="24">
      <c r="E24" s="29"/>
      <c r="J24" s="29"/>
    </row>
    <row r="25">
      <c r="E25" s="29"/>
      <c r="J25" s="29"/>
    </row>
    <row r="26">
      <c r="E26" s="29"/>
      <c r="J26" s="29"/>
    </row>
    <row r="27">
      <c r="E27" s="29"/>
      <c r="J27" s="29"/>
    </row>
    <row r="28">
      <c r="E28" s="29"/>
      <c r="J28" s="29"/>
    </row>
    <row r="29">
      <c r="E29" s="29"/>
      <c r="J29" s="29"/>
    </row>
    <row r="30">
      <c r="E30" s="29"/>
      <c r="J30" s="29"/>
    </row>
    <row r="31">
      <c r="E31" s="29"/>
      <c r="J31" s="29"/>
    </row>
    <row r="32">
      <c r="E32" s="29"/>
      <c r="J32" s="29"/>
    </row>
    <row r="33">
      <c r="E33" s="29"/>
      <c r="J33" s="29"/>
    </row>
    <row r="34">
      <c r="E34" s="29"/>
      <c r="J34" s="29"/>
    </row>
    <row r="35">
      <c r="E35" s="29"/>
      <c r="J35" s="29"/>
    </row>
    <row r="36">
      <c r="E36" s="29"/>
      <c r="J36" s="29"/>
    </row>
    <row r="37">
      <c r="E37" s="29"/>
      <c r="J37" s="29"/>
    </row>
    <row r="38">
      <c r="E38" s="29"/>
      <c r="J38" s="29"/>
    </row>
    <row r="39">
      <c r="E39" s="29"/>
      <c r="J39" s="29"/>
    </row>
    <row r="40">
      <c r="E40" s="29"/>
      <c r="J40" s="29"/>
    </row>
    <row r="41">
      <c r="E41" s="29"/>
      <c r="J41" s="29"/>
    </row>
    <row r="42">
      <c r="E42" s="29"/>
      <c r="J42" s="29"/>
    </row>
    <row r="43">
      <c r="E43" s="29"/>
      <c r="J43" s="29"/>
    </row>
    <row r="44">
      <c r="E44" s="29"/>
      <c r="J44" s="29"/>
    </row>
    <row r="45">
      <c r="E45" s="29"/>
      <c r="J45" s="29"/>
    </row>
    <row r="46">
      <c r="E46" s="29"/>
      <c r="J46" s="29"/>
    </row>
    <row r="47">
      <c r="E47" s="29"/>
      <c r="J47" s="29"/>
    </row>
    <row r="48">
      <c r="E48" s="29"/>
      <c r="J48" s="29"/>
    </row>
    <row r="49">
      <c r="E49" s="29"/>
      <c r="J49" s="29"/>
    </row>
    <row r="50">
      <c r="E50" s="29"/>
      <c r="J50" s="29"/>
    </row>
    <row r="51">
      <c r="E51" s="29"/>
      <c r="J51" s="29"/>
    </row>
    <row r="52">
      <c r="E52" s="29"/>
      <c r="J52" s="29"/>
    </row>
    <row r="53">
      <c r="E53" s="29"/>
      <c r="J53" s="29"/>
    </row>
    <row r="54">
      <c r="E54" s="29"/>
      <c r="J54" s="29"/>
    </row>
    <row r="55">
      <c r="E55" s="29"/>
      <c r="J55" s="29"/>
    </row>
    <row r="56">
      <c r="E56" s="29"/>
      <c r="J56" s="29"/>
    </row>
    <row r="57">
      <c r="E57" s="29"/>
      <c r="J57" s="29"/>
    </row>
    <row r="58">
      <c r="E58" s="29"/>
      <c r="J58" s="29"/>
    </row>
    <row r="59">
      <c r="E59" s="29"/>
      <c r="J59" s="29"/>
    </row>
    <row r="60">
      <c r="E60" s="29"/>
      <c r="J60" s="29"/>
    </row>
    <row r="61">
      <c r="E61" s="29"/>
      <c r="J61" s="29"/>
    </row>
    <row r="62">
      <c r="E62" s="29"/>
      <c r="J62" s="29"/>
    </row>
    <row r="63">
      <c r="E63" s="29"/>
      <c r="J63" s="29"/>
    </row>
    <row r="64">
      <c r="E64" s="29"/>
      <c r="J64" s="29"/>
    </row>
    <row r="65">
      <c r="E65" s="29"/>
      <c r="J65" s="29"/>
    </row>
    <row r="66">
      <c r="E66" s="29"/>
      <c r="J66" s="29"/>
    </row>
    <row r="67">
      <c r="E67" s="29"/>
      <c r="J67" s="29"/>
    </row>
    <row r="68">
      <c r="E68" s="29"/>
      <c r="J68" s="29"/>
    </row>
    <row r="69">
      <c r="E69" s="29"/>
      <c r="J69" s="29"/>
    </row>
    <row r="70">
      <c r="E70" s="29"/>
      <c r="J70" s="29"/>
    </row>
    <row r="71">
      <c r="E71" s="29"/>
      <c r="J71" s="29"/>
    </row>
    <row r="72">
      <c r="E72" s="29"/>
      <c r="J72" s="29"/>
    </row>
    <row r="73">
      <c r="E73" s="29"/>
      <c r="J73" s="29"/>
    </row>
    <row r="74">
      <c r="E74" s="29"/>
      <c r="J74" s="29"/>
    </row>
    <row r="75">
      <c r="E75" s="29"/>
      <c r="J75" s="29"/>
    </row>
    <row r="76">
      <c r="E76" s="29"/>
      <c r="J76" s="29"/>
    </row>
    <row r="77">
      <c r="E77" s="29"/>
      <c r="J77" s="29"/>
    </row>
    <row r="78">
      <c r="E78" s="29"/>
      <c r="J78" s="29"/>
    </row>
    <row r="79">
      <c r="E79" s="29"/>
      <c r="J79" s="29"/>
    </row>
    <row r="80">
      <c r="E80" s="29"/>
      <c r="J80" s="29"/>
    </row>
    <row r="81">
      <c r="E81" s="29"/>
      <c r="J81" s="29"/>
    </row>
    <row r="82">
      <c r="E82" s="29"/>
      <c r="J82" s="29"/>
    </row>
    <row r="83">
      <c r="E83" s="29"/>
      <c r="J83" s="29"/>
    </row>
    <row r="84">
      <c r="E84" s="29"/>
      <c r="J84" s="29"/>
    </row>
    <row r="85">
      <c r="E85" s="29"/>
      <c r="J85" s="29"/>
    </row>
    <row r="86">
      <c r="E86" s="29"/>
      <c r="J86" s="29"/>
    </row>
    <row r="87">
      <c r="E87" s="29"/>
      <c r="J87" s="29"/>
    </row>
    <row r="88">
      <c r="E88" s="29"/>
      <c r="J88" s="29"/>
    </row>
    <row r="89">
      <c r="E89" s="29"/>
      <c r="J89" s="29"/>
    </row>
    <row r="90">
      <c r="E90" s="29"/>
      <c r="J90" s="29"/>
    </row>
    <row r="91">
      <c r="E91" s="29"/>
      <c r="J91" s="29"/>
    </row>
    <row r="92">
      <c r="E92" s="29"/>
      <c r="J92" s="29"/>
    </row>
    <row r="93">
      <c r="E93" s="29"/>
      <c r="J93" s="29"/>
    </row>
    <row r="94">
      <c r="E94" s="29"/>
      <c r="J94" s="29"/>
    </row>
    <row r="95">
      <c r="E95" s="29"/>
      <c r="J95" s="29"/>
    </row>
    <row r="96">
      <c r="E96" s="29"/>
      <c r="J96" s="29"/>
    </row>
    <row r="97">
      <c r="E97" s="29"/>
      <c r="J97" s="29"/>
    </row>
    <row r="98">
      <c r="E98" s="29"/>
      <c r="J98" s="29"/>
    </row>
    <row r="99">
      <c r="E99" s="29"/>
      <c r="J99" s="29"/>
    </row>
    <row r="100">
      <c r="E100" s="29"/>
      <c r="J100" s="29"/>
    </row>
    <row r="101">
      <c r="E101" s="29"/>
      <c r="J101" s="29"/>
    </row>
    <row r="102">
      <c r="E102" s="29"/>
      <c r="J102" s="29"/>
    </row>
    <row r="103">
      <c r="E103" s="29"/>
      <c r="J103" s="29"/>
    </row>
    <row r="104">
      <c r="E104" s="29"/>
      <c r="J104" s="29"/>
    </row>
    <row r="105">
      <c r="E105" s="29"/>
      <c r="J105" s="29"/>
    </row>
    <row r="106">
      <c r="E106" s="29"/>
      <c r="J106" s="29"/>
    </row>
    <row r="107">
      <c r="E107" s="29"/>
      <c r="J107" s="29"/>
    </row>
    <row r="108">
      <c r="E108" s="29"/>
      <c r="J108" s="29"/>
    </row>
    <row r="109">
      <c r="E109" s="29"/>
      <c r="J109" s="29"/>
    </row>
    <row r="110">
      <c r="E110" s="29"/>
      <c r="J110" s="29"/>
    </row>
    <row r="111">
      <c r="E111" s="29"/>
      <c r="J111" s="29"/>
    </row>
    <row r="112">
      <c r="E112" s="29"/>
      <c r="J112" s="29"/>
    </row>
    <row r="113">
      <c r="E113" s="29"/>
      <c r="J113" s="29"/>
    </row>
    <row r="114">
      <c r="E114" s="29"/>
      <c r="J114" s="29"/>
    </row>
    <row r="115">
      <c r="E115" s="29"/>
      <c r="J115" s="29"/>
    </row>
    <row r="116">
      <c r="E116" s="29"/>
      <c r="J116" s="29"/>
    </row>
    <row r="117">
      <c r="E117" s="29"/>
      <c r="J117" s="29"/>
    </row>
    <row r="118">
      <c r="E118" s="29"/>
      <c r="J118" s="29"/>
    </row>
    <row r="119">
      <c r="E119" s="29"/>
      <c r="J119" s="29"/>
    </row>
    <row r="120">
      <c r="E120" s="29"/>
      <c r="J120" s="29"/>
    </row>
    <row r="121">
      <c r="E121" s="29"/>
      <c r="J121" s="29"/>
    </row>
    <row r="122">
      <c r="E122" s="29"/>
      <c r="J122" s="29"/>
    </row>
    <row r="123">
      <c r="E123" s="29"/>
      <c r="J123" s="29"/>
    </row>
    <row r="124">
      <c r="E124" s="29"/>
      <c r="J124" s="29"/>
    </row>
    <row r="125">
      <c r="E125" s="29"/>
      <c r="J125" s="29"/>
    </row>
    <row r="126">
      <c r="E126" s="29"/>
      <c r="J126" s="29"/>
    </row>
    <row r="127">
      <c r="E127" s="29"/>
      <c r="J127" s="29"/>
    </row>
    <row r="128">
      <c r="E128" s="29"/>
      <c r="J128" s="29"/>
    </row>
    <row r="129">
      <c r="E129" s="29"/>
      <c r="J129" s="29"/>
    </row>
    <row r="130">
      <c r="E130" s="29"/>
      <c r="J130" s="29"/>
    </row>
    <row r="131">
      <c r="E131" s="29"/>
      <c r="J131" s="29"/>
    </row>
    <row r="132">
      <c r="E132" s="29"/>
      <c r="J132" s="29"/>
    </row>
    <row r="133">
      <c r="E133" s="29"/>
      <c r="J133" s="29"/>
    </row>
    <row r="134">
      <c r="E134" s="29"/>
      <c r="J134" s="29"/>
    </row>
    <row r="135">
      <c r="E135" s="29"/>
      <c r="J135" s="29"/>
    </row>
    <row r="136">
      <c r="E136" s="29"/>
      <c r="J136" s="29"/>
    </row>
    <row r="137">
      <c r="E137" s="29"/>
      <c r="J137" s="29"/>
    </row>
    <row r="138">
      <c r="E138" s="29"/>
      <c r="J138" s="29"/>
    </row>
    <row r="139">
      <c r="E139" s="29"/>
      <c r="J139" s="29"/>
    </row>
    <row r="140">
      <c r="E140" s="29"/>
      <c r="J140" s="29"/>
    </row>
    <row r="141">
      <c r="E141" s="29"/>
      <c r="J141" s="29"/>
    </row>
    <row r="142">
      <c r="E142" s="29"/>
      <c r="J142" s="29"/>
    </row>
    <row r="143">
      <c r="E143" s="29"/>
      <c r="J143" s="29"/>
    </row>
    <row r="144">
      <c r="E144" s="29"/>
      <c r="J144" s="29"/>
    </row>
    <row r="145">
      <c r="E145" s="29"/>
      <c r="J145" s="29"/>
    </row>
    <row r="146">
      <c r="E146" s="29"/>
      <c r="J146" s="29"/>
    </row>
    <row r="147">
      <c r="E147" s="29"/>
      <c r="J147" s="29"/>
    </row>
    <row r="148">
      <c r="E148" s="29"/>
      <c r="J148" s="29"/>
    </row>
    <row r="149">
      <c r="E149" s="29"/>
      <c r="J149" s="29"/>
    </row>
    <row r="150">
      <c r="E150" s="29"/>
      <c r="J150" s="29"/>
    </row>
    <row r="151">
      <c r="E151" s="29"/>
      <c r="J151" s="29"/>
    </row>
    <row r="152">
      <c r="E152" s="29"/>
      <c r="J152" s="29"/>
    </row>
    <row r="153">
      <c r="E153" s="29"/>
      <c r="J153" s="29"/>
    </row>
    <row r="154">
      <c r="E154" s="29"/>
      <c r="J154" s="29"/>
    </row>
    <row r="155">
      <c r="E155" s="29"/>
      <c r="J155" s="29"/>
    </row>
    <row r="156">
      <c r="E156" s="29"/>
      <c r="J156" s="29"/>
    </row>
    <row r="157">
      <c r="E157" s="29"/>
      <c r="J157" s="29"/>
    </row>
    <row r="158">
      <c r="E158" s="29"/>
      <c r="J158" s="29"/>
    </row>
    <row r="159">
      <c r="E159" s="29"/>
      <c r="J159" s="29"/>
    </row>
    <row r="160">
      <c r="E160" s="29"/>
      <c r="J160" s="29"/>
    </row>
    <row r="161">
      <c r="E161" s="29"/>
      <c r="J161" s="29"/>
    </row>
    <row r="162">
      <c r="E162" s="29"/>
      <c r="J162" s="29"/>
    </row>
    <row r="163">
      <c r="E163" s="29"/>
      <c r="J163" s="29"/>
    </row>
    <row r="164">
      <c r="E164" s="29"/>
      <c r="J164" s="29"/>
    </row>
    <row r="165">
      <c r="E165" s="29"/>
      <c r="J165" s="29"/>
    </row>
    <row r="166">
      <c r="E166" s="29"/>
      <c r="J166" s="29"/>
    </row>
    <row r="167">
      <c r="E167" s="29"/>
      <c r="J167" s="29"/>
    </row>
    <row r="168">
      <c r="E168" s="29"/>
      <c r="J168" s="29"/>
    </row>
    <row r="169">
      <c r="E169" s="29"/>
      <c r="J169" s="29"/>
    </row>
    <row r="170">
      <c r="E170" s="29"/>
      <c r="J170" s="29"/>
    </row>
    <row r="171">
      <c r="E171" s="29"/>
      <c r="J171" s="29"/>
    </row>
    <row r="172">
      <c r="E172" s="29"/>
      <c r="J172" s="29"/>
    </row>
    <row r="173">
      <c r="E173" s="29"/>
      <c r="J173" s="29"/>
    </row>
    <row r="174">
      <c r="E174" s="29"/>
      <c r="J174" s="29"/>
    </row>
    <row r="175">
      <c r="E175" s="29"/>
      <c r="J175" s="29"/>
    </row>
    <row r="176">
      <c r="E176" s="29"/>
      <c r="J176" s="29"/>
    </row>
    <row r="177">
      <c r="E177" s="29"/>
      <c r="J177" s="29"/>
    </row>
    <row r="178">
      <c r="E178" s="29"/>
      <c r="J178" s="29"/>
    </row>
    <row r="179">
      <c r="E179" s="29"/>
      <c r="J179" s="29"/>
    </row>
    <row r="180">
      <c r="E180" s="29"/>
      <c r="J180" s="29"/>
    </row>
    <row r="181">
      <c r="E181" s="29"/>
      <c r="J181" s="29"/>
    </row>
    <row r="182">
      <c r="E182" s="29"/>
      <c r="J182" s="29"/>
    </row>
    <row r="183">
      <c r="E183" s="29"/>
      <c r="J183" s="29"/>
    </row>
    <row r="184">
      <c r="E184" s="29"/>
      <c r="J184" s="29"/>
    </row>
    <row r="185">
      <c r="E185" s="29"/>
      <c r="J185" s="29"/>
    </row>
    <row r="186">
      <c r="E186" s="29"/>
      <c r="J186" s="29"/>
    </row>
    <row r="187">
      <c r="E187" s="29"/>
      <c r="J187" s="29"/>
    </row>
    <row r="188">
      <c r="E188" s="29"/>
      <c r="J188" s="29"/>
    </row>
    <row r="189">
      <c r="E189" s="29"/>
      <c r="J189" s="29"/>
    </row>
    <row r="190">
      <c r="E190" s="29"/>
      <c r="J190" s="29"/>
    </row>
    <row r="191">
      <c r="E191" s="29"/>
      <c r="J191" s="29"/>
    </row>
    <row r="192">
      <c r="E192" s="29"/>
      <c r="J192" s="29"/>
    </row>
    <row r="193">
      <c r="E193" s="29"/>
      <c r="J193" s="29"/>
    </row>
    <row r="194">
      <c r="E194" s="29"/>
      <c r="J194" s="29"/>
    </row>
    <row r="195">
      <c r="E195" s="29"/>
      <c r="J195" s="29"/>
    </row>
    <row r="196">
      <c r="E196" s="29"/>
      <c r="J196" s="29"/>
    </row>
    <row r="197">
      <c r="E197" s="29"/>
      <c r="J197" s="29"/>
    </row>
    <row r="198">
      <c r="E198" s="29"/>
      <c r="J198" s="29"/>
    </row>
    <row r="199">
      <c r="E199" s="29"/>
      <c r="J199" s="29"/>
    </row>
    <row r="200">
      <c r="E200" s="29"/>
      <c r="J200" s="29"/>
    </row>
    <row r="201">
      <c r="E201" s="29"/>
      <c r="J201" s="29"/>
    </row>
    <row r="202">
      <c r="E202" s="29"/>
      <c r="J202" s="29"/>
    </row>
    <row r="203">
      <c r="E203" s="29"/>
      <c r="J203" s="29"/>
    </row>
    <row r="204">
      <c r="E204" s="29"/>
      <c r="J204" s="29"/>
    </row>
    <row r="205">
      <c r="E205" s="29"/>
      <c r="J205" s="29"/>
    </row>
    <row r="206">
      <c r="E206" s="29"/>
      <c r="J206" s="29"/>
    </row>
    <row r="207">
      <c r="E207" s="29"/>
      <c r="J207" s="29"/>
    </row>
    <row r="208">
      <c r="E208" s="29"/>
      <c r="J208" s="29"/>
    </row>
    <row r="209">
      <c r="E209" s="29"/>
      <c r="J209" s="29"/>
    </row>
    <row r="210">
      <c r="E210" s="29"/>
      <c r="J210" s="29"/>
    </row>
    <row r="211">
      <c r="E211" s="29"/>
      <c r="J211" s="29"/>
    </row>
    <row r="212">
      <c r="E212" s="29"/>
      <c r="J212" s="29"/>
    </row>
    <row r="213">
      <c r="E213" s="29"/>
      <c r="J213" s="29"/>
    </row>
    <row r="214">
      <c r="E214" s="29"/>
      <c r="J214" s="29"/>
    </row>
    <row r="215">
      <c r="E215" s="29"/>
      <c r="J215" s="29"/>
    </row>
    <row r="216">
      <c r="E216" s="29"/>
      <c r="J216" s="29"/>
    </row>
    <row r="217">
      <c r="E217" s="29"/>
      <c r="J217" s="29"/>
    </row>
    <row r="218">
      <c r="E218" s="29"/>
      <c r="J218" s="29"/>
    </row>
    <row r="219">
      <c r="E219" s="29"/>
      <c r="J219" s="29"/>
    </row>
    <row r="220">
      <c r="E220" s="29"/>
      <c r="J220" s="29"/>
    </row>
    <row r="221">
      <c r="E221" s="29"/>
      <c r="J221" s="29"/>
    </row>
    <row r="222">
      <c r="E222" s="29"/>
      <c r="J222" s="29"/>
    </row>
    <row r="223">
      <c r="E223" s="29"/>
      <c r="J223" s="29"/>
    </row>
    <row r="224">
      <c r="E224" s="29"/>
      <c r="J224" s="29"/>
    </row>
    <row r="225">
      <c r="E225" s="29"/>
      <c r="J225" s="29"/>
    </row>
    <row r="226">
      <c r="E226" s="29"/>
      <c r="J226" s="29"/>
    </row>
    <row r="227">
      <c r="E227" s="29"/>
      <c r="J227" s="29"/>
    </row>
    <row r="228">
      <c r="E228" s="29"/>
      <c r="J228" s="29"/>
    </row>
    <row r="229">
      <c r="E229" s="29"/>
      <c r="J229" s="29"/>
    </row>
    <row r="230">
      <c r="E230" s="29"/>
      <c r="J230" s="29"/>
    </row>
    <row r="231">
      <c r="E231" s="29"/>
      <c r="J231" s="29"/>
    </row>
    <row r="232">
      <c r="E232" s="29"/>
      <c r="J232" s="29"/>
    </row>
    <row r="233">
      <c r="E233" s="29"/>
      <c r="J233" s="29"/>
    </row>
    <row r="234">
      <c r="E234" s="29"/>
      <c r="J234" s="29"/>
    </row>
    <row r="235">
      <c r="E235" s="29"/>
      <c r="J235" s="29"/>
    </row>
    <row r="236">
      <c r="E236" s="29"/>
      <c r="J236" s="29"/>
    </row>
    <row r="237">
      <c r="E237" s="29"/>
      <c r="J237" s="29"/>
    </row>
    <row r="238">
      <c r="E238" s="29"/>
      <c r="J238" s="29"/>
    </row>
    <row r="239">
      <c r="E239" s="29"/>
      <c r="J239" s="29"/>
    </row>
    <row r="240">
      <c r="E240" s="29"/>
      <c r="J240" s="29"/>
    </row>
    <row r="241">
      <c r="E241" s="29"/>
      <c r="J241" s="29"/>
    </row>
    <row r="242">
      <c r="E242" s="29"/>
      <c r="J242" s="29"/>
    </row>
    <row r="243">
      <c r="E243" s="29"/>
      <c r="J243" s="29"/>
    </row>
    <row r="244">
      <c r="E244" s="29"/>
      <c r="J244" s="29"/>
    </row>
    <row r="245">
      <c r="E245" s="29"/>
      <c r="J245" s="29"/>
    </row>
    <row r="246">
      <c r="E246" s="29"/>
      <c r="J246" s="29"/>
    </row>
    <row r="247">
      <c r="E247" s="29"/>
      <c r="J247" s="29"/>
    </row>
    <row r="248">
      <c r="E248" s="29"/>
      <c r="J248" s="29"/>
    </row>
    <row r="249">
      <c r="E249" s="29"/>
      <c r="J249" s="29"/>
    </row>
    <row r="250">
      <c r="E250" s="29"/>
      <c r="J250" s="29"/>
    </row>
    <row r="251">
      <c r="E251" s="29"/>
      <c r="J251" s="29"/>
    </row>
    <row r="252">
      <c r="E252" s="29"/>
      <c r="J252" s="29"/>
    </row>
    <row r="253">
      <c r="E253" s="29"/>
      <c r="J253" s="29"/>
    </row>
    <row r="254">
      <c r="E254" s="29"/>
      <c r="J254" s="29"/>
    </row>
    <row r="255">
      <c r="E255" s="29"/>
      <c r="J255" s="29"/>
    </row>
    <row r="256">
      <c r="E256" s="29"/>
      <c r="J256" s="29"/>
    </row>
    <row r="257">
      <c r="E257" s="29"/>
      <c r="J257" s="29"/>
    </row>
    <row r="258">
      <c r="E258" s="29"/>
      <c r="J258" s="29"/>
    </row>
    <row r="259">
      <c r="E259" s="29"/>
      <c r="J259" s="29"/>
    </row>
    <row r="260">
      <c r="E260" s="29"/>
      <c r="J260" s="29"/>
    </row>
    <row r="261">
      <c r="E261" s="29"/>
      <c r="J261" s="29"/>
    </row>
    <row r="262">
      <c r="E262" s="29"/>
      <c r="J262" s="29"/>
    </row>
    <row r="263">
      <c r="E263" s="29"/>
      <c r="J263" s="29"/>
    </row>
    <row r="264">
      <c r="E264" s="29"/>
      <c r="J264" s="29"/>
    </row>
    <row r="265">
      <c r="E265" s="29"/>
      <c r="J265" s="29"/>
    </row>
    <row r="266">
      <c r="E266" s="29"/>
      <c r="J266" s="29"/>
    </row>
    <row r="267">
      <c r="E267" s="29"/>
      <c r="J267" s="29"/>
    </row>
    <row r="268">
      <c r="E268" s="29"/>
      <c r="J268" s="29"/>
    </row>
    <row r="269">
      <c r="E269" s="29"/>
      <c r="J269" s="29"/>
    </row>
    <row r="270">
      <c r="E270" s="29"/>
      <c r="J270" s="29"/>
    </row>
    <row r="271">
      <c r="E271" s="29"/>
      <c r="J271" s="29"/>
    </row>
    <row r="272">
      <c r="E272" s="29"/>
      <c r="J272" s="29"/>
    </row>
    <row r="273">
      <c r="E273" s="29"/>
      <c r="J273" s="29"/>
    </row>
    <row r="274">
      <c r="E274" s="29"/>
      <c r="J274" s="29"/>
    </row>
    <row r="275">
      <c r="E275" s="29"/>
      <c r="J275" s="29"/>
    </row>
    <row r="276">
      <c r="E276" s="29"/>
      <c r="J276" s="29"/>
    </row>
    <row r="277">
      <c r="E277" s="29"/>
      <c r="J277" s="29"/>
    </row>
    <row r="278">
      <c r="E278" s="29"/>
      <c r="J278" s="29"/>
    </row>
    <row r="279">
      <c r="E279" s="29"/>
      <c r="J279" s="29"/>
    </row>
    <row r="280">
      <c r="E280" s="29"/>
      <c r="J280" s="29"/>
    </row>
    <row r="281">
      <c r="E281" s="29"/>
      <c r="J281" s="29"/>
    </row>
    <row r="282">
      <c r="E282" s="29"/>
      <c r="J282" s="29"/>
    </row>
    <row r="283">
      <c r="E283" s="29"/>
      <c r="J283" s="29"/>
    </row>
    <row r="284">
      <c r="E284" s="29"/>
      <c r="J284" s="29"/>
    </row>
    <row r="285">
      <c r="E285" s="29"/>
      <c r="J285" s="29"/>
    </row>
    <row r="286">
      <c r="E286" s="29"/>
      <c r="J286" s="29"/>
    </row>
    <row r="287">
      <c r="E287" s="29"/>
      <c r="J287" s="29"/>
    </row>
    <row r="288">
      <c r="E288" s="29"/>
      <c r="J288" s="29"/>
    </row>
    <row r="289">
      <c r="E289" s="29"/>
      <c r="J289" s="29"/>
    </row>
    <row r="290">
      <c r="E290" s="29"/>
      <c r="J290" s="29"/>
    </row>
    <row r="291">
      <c r="E291" s="29"/>
      <c r="J291" s="29"/>
    </row>
    <row r="292">
      <c r="E292" s="29"/>
      <c r="J292" s="29"/>
    </row>
    <row r="293">
      <c r="E293" s="29"/>
      <c r="J293" s="29"/>
    </row>
    <row r="294">
      <c r="E294" s="29"/>
      <c r="J294" s="29"/>
    </row>
    <row r="295">
      <c r="E295" s="29"/>
      <c r="J295" s="29"/>
    </row>
    <row r="296">
      <c r="E296" s="29"/>
      <c r="J296" s="29"/>
    </row>
    <row r="297">
      <c r="E297" s="29"/>
      <c r="J297" s="29"/>
    </row>
    <row r="298">
      <c r="E298" s="29"/>
      <c r="J298" s="29"/>
    </row>
    <row r="299">
      <c r="E299" s="29"/>
      <c r="J299" s="29"/>
    </row>
    <row r="300">
      <c r="E300" s="29"/>
      <c r="J300" s="29"/>
    </row>
    <row r="301">
      <c r="E301" s="29"/>
      <c r="J301" s="29"/>
    </row>
    <row r="302">
      <c r="E302" s="29"/>
      <c r="J302" s="29"/>
    </row>
    <row r="303">
      <c r="E303" s="29"/>
      <c r="J303" s="29"/>
    </row>
    <row r="304">
      <c r="E304" s="29"/>
      <c r="J304" s="29"/>
    </row>
    <row r="305">
      <c r="E305" s="29"/>
      <c r="J305" s="29"/>
    </row>
    <row r="306">
      <c r="E306" s="29"/>
      <c r="J306" s="29"/>
    </row>
    <row r="307">
      <c r="E307" s="29"/>
      <c r="J307" s="29"/>
    </row>
    <row r="308">
      <c r="E308" s="29"/>
      <c r="J308" s="29"/>
    </row>
    <row r="309">
      <c r="E309" s="29"/>
      <c r="J309" s="29"/>
    </row>
    <row r="310">
      <c r="E310" s="29"/>
      <c r="J310" s="29"/>
    </row>
    <row r="311">
      <c r="E311" s="29"/>
      <c r="J311" s="29"/>
    </row>
    <row r="312">
      <c r="E312" s="29"/>
      <c r="J312" s="29"/>
    </row>
    <row r="313">
      <c r="E313" s="29"/>
      <c r="J313" s="29"/>
    </row>
    <row r="314">
      <c r="E314" s="29"/>
      <c r="J314" s="29"/>
    </row>
    <row r="315">
      <c r="E315" s="29"/>
      <c r="J315" s="29"/>
    </row>
    <row r="316">
      <c r="E316" s="29"/>
      <c r="J316" s="29"/>
    </row>
    <row r="317">
      <c r="E317" s="29"/>
      <c r="J317" s="29"/>
    </row>
    <row r="318">
      <c r="E318" s="29"/>
      <c r="J318" s="29"/>
    </row>
    <row r="319">
      <c r="E319" s="29"/>
      <c r="J319" s="29"/>
    </row>
    <row r="320">
      <c r="E320" s="29"/>
      <c r="J320" s="29"/>
    </row>
    <row r="321">
      <c r="E321" s="29"/>
      <c r="J321" s="29"/>
    </row>
    <row r="322">
      <c r="E322" s="29"/>
      <c r="J322" s="29"/>
    </row>
    <row r="323">
      <c r="E323" s="29"/>
      <c r="J323" s="29"/>
    </row>
    <row r="324">
      <c r="E324" s="29"/>
      <c r="J324" s="29"/>
    </row>
    <row r="325">
      <c r="E325" s="29"/>
      <c r="J325" s="29"/>
    </row>
    <row r="326">
      <c r="E326" s="29"/>
      <c r="J326" s="29"/>
    </row>
    <row r="327">
      <c r="E327" s="29"/>
      <c r="J327" s="29"/>
    </row>
    <row r="328">
      <c r="E328" s="29"/>
      <c r="J328" s="29"/>
    </row>
    <row r="329">
      <c r="E329" s="29"/>
      <c r="J329" s="29"/>
    </row>
    <row r="330">
      <c r="E330" s="29"/>
      <c r="J330" s="29"/>
    </row>
    <row r="331">
      <c r="E331" s="29"/>
      <c r="J331" s="29"/>
    </row>
    <row r="332">
      <c r="E332" s="29"/>
      <c r="J332" s="29"/>
    </row>
    <row r="333">
      <c r="E333" s="29"/>
      <c r="J333" s="29"/>
    </row>
    <row r="334">
      <c r="E334" s="29"/>
      <c r="J334" s="29"/>
    </row>
    <row r="335">
      <c r="E335" s="29"/>
      <c r="J335" s="29"/>
    </row>
    <row r="336">
      <c r="E336" s="29"/>
      <c r="J336" s="29"/>
    </row>
    <row r="337">
      <c r="E337" s="29"/>
      <c r="J337" s="29"/>
    </row>
    <row r="338">
      <c r="E338" s="29"/>
      <c r="J338" s="29"/>
    </row>
    <row r="339">
      <c r="E339" s="29"/>
      <c r="J339" s="29"/>
    </row>
    <row r="340">
      <c r="E340" s="29"/>
      <c r="J340" s="29"/>
    </row>
    <row r="341">
      <c r="E341" s="29"/>
      <c r="J341" s="29"/>
    </row>
    <row r="342">
      <c r="E342" s="29"/>
      <c r="J342" s="29"/>
    </row>
    <row r="343">
      <c r="E343" s="29"/>
      <c r="J343" s="29"/>
    </row>
    <row r="344">
      <c r="E344" s="29"/>
      <c r="J344" s="29"/>
    </row>
    <row r="345">
      <c r="E345" s="29"/>
      <c r="J345" s="29"/>
    </row>
    <row r="346">
      <c r="E346" s="29"/>
      <c r="J346" s="29"/>
    </row>
    <row r="347">
      <c r="E347" s="29"/>
      <c r="J347" s="29"/>
    </row>
    <row r="348">
      <c r="E348" s="29"/>
      <c r="J348" s="29"/>
    </row>
    <row r="349">
      <c r="E349" s="29"/>
      <c r="J349" s="29"/>
    </row>
    <row r="350">
      <c r="E350" s="29"/>
      <c r="J350" s="29"/>
    </row>
    <row r="351">
      <c r="E351" s="29"/>
      <c r="J351" s="29"/>
    </row>
    <row r="352">
      <c r="E352" s="29"/>
      <c r="J352" s="29"/>
    </row>
    <row r="353">
      <c r="E353" s="29"/>
      <c r="J353" s="29"/>
    </row>
    <row r="354">
      <c r="E354" s="29"/>
      <c r="J354" s="29"/>
    </row>
    <row r="355">
      <c r="E355" s="29"/>
      <c r="J355" s="29"/>
    </row>
    <row r="356">
      <c r="E356" s="29"/>
      <c r="J356" s="29"/>
    </row>
    <row r="357">
      <c r="E357" s="29"/>
      <c r="J357" s="29"/>
    </row>
    <row r="358">
      <c r="E358" s="29"/>
      <c r="J358" s="29"/>
    </row>
    <row r="359">
      <c r="E359" s="29"/>
      <c r="J359" s="29"/>
    </row>
    <row r="360">
      <c r="E360" s="29"/>
      <c r="J360" s="29"/>
    </row>
    <row r="361">
      <c r="E361" s="29"/>
      <c r="J361" s="29"/>
    </row>
    <row r="362">
      <c r="E362" s="29"/>
      <c r="J362" s="29"/>
    </row>
    <row r="363">
      <c r="E363" s="29"/>
      <c r="J363" s="29"/>
    </row>
    <row r="364">
      <c r="E364" s="29"/>
      <c r="J364" s="29"/>
    </row>
    <row r="365">
      <c r="E365" s="29"/>
      <c r="J365" s="29"/>
    </row>
    <row r="366">
      <c r="E366" s="29"/>
      <c r="J366" s="29"/>
    </row>
    <row r="367">
      <c r="E367" s="29"/>
      <c r="J367" s="29"/>
    </row>
    <row r="368">
      <c r="E368" s="29"/>
      <c r="J368" s="29"/>
    </row>
    <row r="369">
      <c r="E369" s="29"/>
      <c r="J369" s="29"/>
    </row>
    <row r="370">
      <c r="E370" s="29"/>
      <c r="J370" s="29"/>
    </row>
    <row r="371">
      <c r="E371" s="29"/>
      <c r="J371" s="29"/>
    </row>
    <row r="372">
      <c r="E372" s="29"/>
      <c r="J372" s="29"/>
    </row>
    <row r="373">
      <c r="E373" s="29"/>
      <c r="J373" s="29"/>
    </row>
    <row r="374">
      <c r="E374" s="29"/>
      <c r="J374" s="29"/>
    </row>
    <row r="375">
      <c r="E375" s="29"/>
      <c r="J375" s="29"/>
    </row>
    <row r="376">
      <c r="E376" s="29"/>
      <c r="J376" s="29"/>
    </row>
    <row r="377">
      <c r="E377" s="29"/>
      <c r="J377" s="29"/>
    </row>
    <row r="378">
      <c r="E378" s="29"/>
      <c r="J378" s="29"/>
    </row>
    <row r="379">
      <c r="E379" s="29"/>
      <c r="J379" s="29"/>
    </row>
    <row r="380">
      <c r="E380" s="29"/>
      <c r="J380" s="29"/>
    </row>
    <row r="381">
      <c r="E381" s="29"/>
      <c r="J381" s="29"/>
    </row>
    <row r="382">
      <c r="E382" s="29"/>
      <c r="J382" s="29"/>
    </row>
    <row r="383">
      <c r="E383" s="29"/>
      <c r="J383" s="29"/>
    </row>
    <row r="384">
      <c r="E384" s="29"/>
      <c r="J384" s="29"/>
    </row>
    <row r="385">
      <c r="E385" s="29"/>
      <c r="J385" s="29"/>
    </row>
    <row r="386">
      <c r="E386" s="29"/>
      <c r="J386" s="29"/>
    </row>
    <row r="387">
      <c r="E387" s="29"/>
      <c r="J387" s="29"/>
    </row>
    <row r="388">
      <c r="E388" s="29"/>
      <c r="J388" s="29"/>
    </row>
    <row r="389">
      <c r="E389" s="29"/>
      <c r="J389" s="29"/>
    </row>
    <row r="390">
      <c r="E390" s="29"/>
      <c r="J390" s="29"/>
    </row>
    <row r="391">
      <c r="E391" s="29"/>
      <c r="J391" s="29"/>
    </row>
    <row r="392">
      <c r="E392" s="29"/>
      <c r="J392" s="29"/>
    </row>
    <row r="393">
      <c r="E393" s="29"/>
      <c r="J393" s="29"/>
    </row>
    <row r="394">
      <c r="E394" s="29"/>
      <c r="J394" s="29"/>
    </row>
    <row r="395">
      <c r="E395" s="29"/>
      <c r="J395" s="29"/>
    </row>
    <row r="396">
      <c r="E396" s="29"/>
      <c r="J396" s="29"/>
    </row>
    <row r="397">
      <c r="E397" s="29"/>
      <c r="J397" s="29"/>
    </row>
    <row r="398">
      <c r="E398" s="29"/>
      <c r="J398" s="29"/>
    </row>
    <row r="399">
      <c r="E399" s="29"/>
      <c r="J399" s="29"/>
    </row>
    <row r="400">
      <c r="E400" s="29"/>
      <c r="J400" s="29"/>
    </row>
    <row r="401">
      <c r="E401" s="29"/>
      <c r="J401" s="29"/>
    </row>
    <row r="402">
      <c r="E402" s="29"/>
      <c r="J402" s="29"/>
    </row>
    <row r="403">
      <c r="E403" s="29"/>
      <c r="J403" s="29"/>
    </row>
    <row r="404">
      <c r="E404" s="29"/>
      <c r="J404" s="29"/>
    </row>
    <row r="405">
      <c r="E405" s="29"/>
      <c r="J405" s="29"/>
    </row>
    <row r="406">
      <c r="E406" s="29"/>
      <c r="J406" s="29"/>
    </row>
    <row r="407">
      <c r="E407" s="29"/>
      <c r="J407" s="29"/>
    </row>
    <row r="408">
      <c r="E408" s="29"/>
      <c r="J408" s="29"/>
    </row>
    <row r="409">
      <c r="E409" s="29"/>
      <c r="J409" s="29"/>
    </row>
    <row r="410">
      <c r="E410" s="29"/>
      <c r="J410" s="29"/>
    </row>
    <row r="411">
      <c r="E411" s="29"/>
      <c r="J411" s="29"/>
    </row>
    <row r="412">
      <c r="E412" s="29"/>
      <c r="J412" s="29"/>
    </row>
    <row r="413">
      <c r="E413" s="29"/>
      <c r="J413" s="29"/>
    </row>
    <row r="414">
      <c r="E414" s="29"/>
      <c r="J414" s="29"/>
    </row>
    <row r="415">
      <c r="E415" s="29"/>
      <c r="J415" s="29"/>
    </row>
    <row r="416">
      <c r="E416" s="29"/>
      <c r="J416" s="29"/>
    </row>
    <row r="417">
      <c r="E417" s="29"/>
      <c r="J417" s="29"/>
    </row>
    <row r="418">
      <c r="E418" s="29"/>
      <c r="J418" s="29"/>
    </row>
    <row r="419">
      <c r="E419" s="29"/>
      <c r="J419" s="29"/>
    </row>
    <row r="420">
      <c r="E420" s="29"/>
      <c r="J420" s="29"/>
    </row>
    <row r="421">
      <c r="E421" s="29"/>
      <c r="J421" s="29"/>
    </row>
    <row r="422">
      <c r="E422" s="29"/>
      <c r="J422" s="29"/>
    </row>
    <row r="423">
      <c r="E423" s="29"/>
      <c r="J423" s="29"/>
    </row>
    <row r="424">
      <c r="E424" s="29"/>
      <c r="J424" s="29"/>
    </row>
    <row r="425">
      <c r="E425" s="29"/>
      <c r="J425" s="29"/>
    </row>
    <row r="426">
      <c r="E426" s="29"/>
      <c r="J426" s="29"/>
    </row>
    <row r="427">
      <c r="E427" s="29"/>
      <c r="J427" s="29"/>
    </row>
    <row r="428">
      <c r="E428" s="29"/>
      <c r="J428" s="29"/>
    </row>
    <row r="429">
      <c r="E429" s="29"/>
      <c r="J429" s="29"/>
    </row>
    <row r="430">
      <c r="E430" s="29"/>
      <c r="J430" s="29"/>
    </row>
    <row r="431">
      <c r="E431" s="29"/>
      <c r="J431" s="29"/>
    </row>
    <row r="432">
      <c r="E432" s="29"/>
      <c r="J432" s="29"/>
    </row>
    <row r="433">
      <c r="E433" s="29"/>
      <c r="J433" s="29"/>
    </row>
    <row r="434">
      <c r="E434" s="29"/>
      <c r="J434" s="29"/>
    </row>
    <row r="435">
      <c r="E435" s="29"/>
      <c r="J435" s="29"/>
    </row>
    <row r="436">
      <c r="E436" s="29"/>
      <c r="J436" s="29"/>
    </row>
    <row r="437">
      <c r="E437" s="29"/>
      <c r="J437" s="29"/>
    </row>
    <row r="438">
      <c r="E438" s="29"/>
      <c r="J438" s="29"/>
    </row>
    <row r="439">
      <c r="E439" s="29"/>
      <c r="J439" s="29"/>
    </row>
    <row r="440">
      <c r="E440" s="29"/>
      <c r="J440" s="29"/>
    </row>
    <row r="441">
      <c r="E441" s="29"/>
      <c r="J441" s="29"/>
    </row>
    <row r="442">
      <c r="E442" s="29"/>
      <c r="J442" s="29"/>
    </row>
    <row r="443">
      <c r="E443" s="29"/>
      <c r="J443" s="29"/>
    </row>
    <row r="444">
      <c r="E444" s="29"/>
      <c r="J444" s="29"/>
    </row>
    <row r="445">
      <c r="E445" s="29"/>
      <c r="J445" s="29"/>
    </row>
    <row r="446">
      <c r="E446" s="29"/>
      <c r="J446" s="29"/>
    </row>
    <row r="447">
      <c r="E447" s="29"/>
      <c r="J447" s="29"/>
    </row>
    <row r="448">
      <c r="E448" s="29"/>
      <c r="J448" s="29"/>
    </row>
    <row r="449">
      <c r="E449" s="29"/>
      <c r="J449" s="29"/>
    </row>
    <row r="450">
      <c r="E450" s="29"/>
      <c r="J450" s="29"/>
    </row>
    <row r="451">
      <c r="E451" s="29"/>
      <c r="J451" s="29"/>
    </row>
    <row r="452">
      <c r="E452" s="29"/>
      <c r="J452" s="29"/>
    </row>
    <row r="453">
      <c r="E453" s="29"/>
      <c r="J453" s="29"/>
    </row>
    <row r="454">
      <c r="E454" s="29"/>
      <c r="J454" s="29"/>
    </row>
    <row r="455">
      <c r="E455" s="29"/>
      <c r="J455" s="29"/>
    </row>
    <row r="456">
      <c r="E456" s="29"/>
      <c r="J456" s="29"/>
    </row>
    <row r="457">
      <c r="E457" s="29"/>
      <c r="J457" s="29"/>
    </row>
    <row r="458">
      <c r="E458" s="29"/>
      <c r="J458" s="29"/>
    </row>
    <row r="459">
      <c r="E459" s="29"/>
      <c r="J459" s="29"/>
    </row>
    <row r="460">
      <c r="E460" s="29"/>
      <c r="J460" s="29"/>
    </row>
    <row r="461">
      <c r="E461" s="29"/>
      <c r="J461" s="29"/>
    </row>
    <row r="462">
      <c r="E462" s="29"/>
      <c r="J462" s="29"/>
    </row>
    <row r="463">
      <c r="E463" s="29"/>
      <c r="J463" s="29"/>
    </row>
    <row r="464">
      <c r="E464" s="29"/>
      <c r="J464" s="29"/>
    </row>
    <row r="465">
      <c r="E465" s="29"/>
      <c r="J465" s="29"/>
    </row>
    <row r="466">
      <c r="E466" s="29"/>
      <c r="J466" s="29"/>
    </row>
    <row r="467">
      <c r="E467" s="29"/>
      <c r="J467" s="29"/>
    </row>
    <row r="468">
      <c r="E468" s="29"/>
      <c r="J468" s="29"/>
    </row>
    <row r="469">
      <c r="E469" s="29"/>
      <c r="J469" s="29"/>
    </row>
    <row r="470">
      <c r="E470" s="29"/>
      <c r="J470" s="29"/>
    </row>
    <row r="471">
      <c r="E471" s="29"/>
      <c r="J471" s="29"/>
    </row>
    <row r="472">
      <c r="E472" s="29"/>
      <c r="J472" s="29"/>
    </row>
    <row r="473">
      <c r="E473" s="29"/>
      <c r="J473" s="29"/>
    </row>
    <row r="474">
      <c r="E474" s="29"/>
      <c r="J474" s="29"/>
    </row>
    <row r="475">
      <c r="E475" s="29"/>
      <c r="J475" s="29"/>
    </row>
    <row r="476">
      <c r="E476" s="29"/>
      <c r="J476" s="29"/>
    </row>
    <row r="477">
      <c r="E477" s="29"/>
      <c r="J477" s="29"/>
    </row>
    <row r="478">
      <c r="E478" s="29"/>
      <c r="J478" s="29"/>
    </row>
    <row r="479">
      <c r="E479" s="29"/>
      <c r="J479" s="29"/>
    </row>
    <row r="480">
      <c r="E480" s="29"/>
      <c r="J480" s="29"/>
    </row>
    <row r="481">
      <c r="E481" s="29"/>
      <c r="J481" s="29"/>
    </row>
    <row r="482">
      <c r="E482" s="29"/>
      <c r="J482" s="29"/>
    </row>
    <row r="483">
      <c r="E483" s="29"/>
      <c r="J483" s="29"/>
    </row>
    <row r="484">
      <c r="E484" s="29"/>
      <c r="J484" s="29"/>
    </row>
    <row r="485">
      <c r="E485" s="29"/>
      <c r="J485" s="29"/>
    </row>
    <row r="486">
      <c r="E486" s="29"/>
      <c r="J486" s="29"/>
    </row>
    <row r="487">
      <c r="E487" s="29"/>
      <c r="J487" s="29"/>
    </row>
    <row r="488">
      <c r="E488" s="29"/>
      <c r="J488" s="29"/>
    </row>
    <row r="489">
      <c r="E489" s="29"/>
      <c r="J489" s="29"/>
    </row>
    <row r="490">
      <c r="E490" s="29"/>
      <c r="J490" s="29"/>
    </row>
    <row r="491">
      <c r="E491" s="29"/>
      <c r="J491" s="29"/>
    </row>
    <row r="492">
      <c r="E492" s="29"/>
      <c r="J492" s="29"/>
    </row>
    <row r="493">
      <c r="E493" s="29"/>
      <c r="J493" s="29"/>
    </row>
    <row r="494">
      <c r="E494" s="29"/>
      <c r="J494" s="29"/>
    </row>
    <row r="495">
      <c r="E495" s="29"/>
      <c r="J495" s="29"/>
    </row>
    <row r="496">
      <c r="E496" s="29"/>
      <c r="J496" s="29"/>
    </row>
    <row r="497">
      <c r="E497" s="29"/>
      <c r="J497" s="29"/>
    </row>
    <row r="498">
      <c r="E498" s="29"/>
      <c r="J498" s="29"/>
    </row>
    <row r="499">
      <c r="E499" s="29"/>
      <c r="J499" s="29"/>
    </row>
    <row r="500">
      <c r="E500" s="29"/>
      <c r="J500" s="29"/>
    </row>
    <row r="501">
      <c r="E501" s="29"/>
      <c r="J501" s="29"/>
    </row>
    <row r="502">
      <c r="E502" s="29"/>
      <c r="J502" s="29"/>
    </row>
    <row r="503">
      <c r="E503" s="29"/>
      <c r="J503" s="29"/>
    </row>
    <row r="504">
      <c r="E504" s="29"/>
      <c r="J504" s="29"/>
    </row>
    <row r="505">
      <c r="E505" s="29"/>
      <c r="J505" s="29"/>
    </row>
    <row r="506">
      <c r="E506" s="29"/>
      <c r="J506" s="29"/>
    </row>
    <row r="507">
      <c r="E507" s="29"/>
      <c r="J507" s="29"/>
    </row>
    <row r="508">
      <c r="E508" s="29"/>
      <c r="J508" s="29"/>
    </row>
    <row r="509">
      <c r="E509" s="29"/>
      <c r="J509" s="29"/>
    </row>
    <row r="510">
      <c r="E510" s="29"/>
      <c r="J510" s="29"/>
    </row>
    <row r="511">
      <c r="E511" s="29"/>
      <c r="J511" s="29"/>
    </row>
    <row r="512">
      <c r="E512" s="29"/>
      <c r="J512" s="29"/>
    </row>
    <row r="513">
      <c r="E513" s="29"/>
      <c r="J513" s="29"/>
    </row>
    <row r="514">
      <c r="E514" s="29"/>
      <c r="J514" s="29"/>
    </row>
    <row r="515">
      <c r="E515" s="29"/>
      <c r="J515" s="29"/>
    </row>
    <row r="516">
      <c r="E516" s="29"/>
      <c r="J516" s="29"/>
    </row>
    <row r="517">
      <c r="E517" s="29"/>
      <c r="J517" s="29"/>
    </row>
    <row r="518">
      <c r="E518" s="29"/>
      <c r="J518" s="29"/>
    </row>
    <row r="519">
      <c r="E519" s="29"/>
      <c r="J519" s="29"/>
    </row>
    <row r="520">
      <c r="E520" s="29"/>
      <c r="J520" s="29"/>
    </row>
    <row r="521">
      <c r="E521" s="29"/>
      <c r="J521" s="29"/>
    </row>
    <row r="522">
      <c r="E522" s="29"/>
      <c r="J522" s="29"/>
    </row>
    <row r="523">
      <c r="E523" s="29"/>
      <c r="J523" s="29"/>
    </row>
    <row r="524">
      <c r="E524" s="29"/>
      <c r="J524" s="29"/>
    </row>
    <row r="525">
      <c r="E525" s="29"/>
      <c r="J525" s="29"/>
    </row>
    <row r="526">
      <c r="E526" s="29"/>
      <c r="J526" s="29"/>
    </row>
    <row r="527">
      <c r="E527" s="29"/>
      <c r="J527" s="29"/>
    </row>
    <row r="528">
      <c r="E528" s="29"/>
      <c r="J528" s="29"/>
    </row>
    <row r="529">
      <c r="E529" s="29"/>
      <c r="J529" s="29"/>
    </row>
    <row r="530">
      <c r="E530" s="29"/>
      <c r="J530" s="29"/>
    </row>
    <row r="531">
      <c r="E531" s="29"/>
      <c r="J531" s="29"/>
    </row>
    <row r="532">
      <c r="E532" s="29"/>
      <c r="J532" s="29"/>
    </row>
    <row r="533">
      <c r="E533" s="29"/>
      <c r="J533" s="29"/>
    </row>
    <row r="534">
      <c r="E534" s="29"/>
      <c r="J534" s="29"/>
    </row>
    <row r="535">
      <c r="E535" s="29"/>
      <c r="J535" s="29"/>
    </row>
    <row r="536">
      <c r="E536" s="29"/>
      <c r="J536" s="29"/>
    </row>
    <row r="537">
      <c r="E537" s="29"/>
      <c r="J537" s="29"/>
    </row>
    <row r="538">
      <c r="E538" s="29"/>
      <c r="J538" s="29"/>
    </row>
    <row r="539">
      <c r="E539" s="29"/>
      <c r="J539" s="29"/>
    </row>
    <row r="540">
      <c r="E540" s="29"/>
      <c r="J540" s="29"/>
    </row>
    <row r="541">
      <c r="E541" s="29"/>
      <c r="J541" s="29"/>
    </row>
    <row r="542">
      <c r="E542" s="29"/>
      <c r="J542" s="29"/>
    </row>
    <row r="543">
      <c r="E543" s="29"/>
      <c r="J543" s="29"/>
    </row>
    <row r="544">
      <c r="E544" s="29"/>
      <c r="J544" s="29"/>
    </row>
    <row r="545">
      <c r="E545" s="29"/>
      <c r="J545" s="29"/>
    </row>
    <row r="546">
      <c r="E546" s="29"/>
      <c r="J546" s="29"/>
    </row>
    <row r="547">
      <c r="E547" s="29"/>
      <c r="J547" s="29"/>
    </row>
    <row r="548">
      <c r="E548" s="29"/>
      <c r="J548" s="29"/>
    </row>
    <row r="549">
      <c r="E549" s="29"/>
      <c r="J549" s="29"/>
    </row>
    <row r="550">
      <c r="E550" s="29"/>
      <c r="J550" s="29"/>
    </row>
    <row r="551">
      <c r="E551" s="29"/>
      <c r="J551" s="29"/>
    </row>
    <row r="552">
      <c r="E552" s="29"/>
      <c r="J552" s="29"/>
    </row>
    <row r="553">
      <c r="E553" s="29"/>
      <c r="J553" s="29"/>
    </row>
    <row r="554">
      <c r="E554" s="29"/>
      <c r="J554" s="29"/>
    </row>
    <row r="555">
      <c r="E555" s="29"/>
      <c r="J555" s="29"/>
    </row>
    <row r="556">
      <c r="E556" s="29"/>
      <c r="J556" s="29"/>
    </row>
    <row r="557">
      <c r="E557" s="29"/>
      <c r="J557" s="29"/>
    </row>
    <row r="558">
      <c r="E558" s="29"/>
      <c r="J558" s="29"/>
    </row>
    <row r="559">
      <c r="E559" s="29"/>
      <c r="J559" s="29"/>
    </row>
    <row r="560">
      <c r="E560" s="29"/>
      <c r="J560" s="29"/>
    </row>
    <row r="561">
      <c r="E561" s="29"/>
      <c r="J561" s="29"/>
    </row>
    <row r="562">
      <c r="E562" s="29"/>
      <c r="J562" s="29"/>
    </row>
    <row r="563">
      <c r="E563" s="29"/>
      <c r="J563" s="29"/>
    </row>
    <row r="564">
      <c r="E564" s="29"/>
      <c r="J564" s="29"/>
    </row>
    <row r="565">
      <c r="E565" s="29"/>
      <c r="J565" s="29"/>
    </row>
    <row r="566">
      <c r="E566" s="29"/>
      <c r="J566" s="29"/>
    </row>
    <row r="567">
      <c r="E567" s="29"/>
      <c r="J567" s="29"/>
    </row>
    <row r="568">
      <c r="E568" s="29"/>
      <c r="J568" s="29"/>
    </row>
    <row r="569">
      <c r="E569" s="29"/>
      <c r="J569" s="29"/>
    </row>
    <row r="570">
      <c r="E570" s="29"/>
      <c r="J570" s="29"/>
    </row>
    <row r="571">
      <c r="E571" s="29"/>
      <c r="J571" s="29"/>
    </row>
    <row r="572">
      <c r="E572" s="29"/>
      <c r="J572" s="29"/>
    </row>
    <row r="573">
      <c r="E573" s="29"/>
      <c r="J573" s="29"/>
    </row>
    <row r="574">
      <c r="E574" s="29"/>
      <c r="J574" s="29"/>
    </row>
    <row r="575">
      <c r="E575" s="29"/>
      <c r="J575" s="29"/>
    </row>
    <row r="576">
      <c r="E576" s="29"/>
      <c r="J576" s="29"/>
    </row>
    <row r="577">
      <c r="E577" s="29"/>
      <c r="J577" s="29"/>
    </row>
    <row r="578">
      <c r="E578" s="29"/>
      <c r="J578" s="29"/>
    </row>
    <row r="579">
      <c r="E579" s="29"/>
      <c r="J579" s="29"/>
    </row>
    <row r="580">
      <c r="E580" s="29"/>
      <c r="J580" s="29"/>
    </row>
    <row r="581">
      <c r="E581" s="29"/>
      <c r="J581" s="29"/>
    </row>
    <row r="582">
      <c r="E582" s="29"/>
      <c r="J582" s="29"/>
    </row>
    <row r="583">
      <c r="E583" s="29"/>
      <c r="J583" s="29"/>
    </row>
    <row r="584">
      <c r="E584" s="29"/>
      <c r="J584" s="29"/>
    </row>
    <row r="585">
      <c r="E585" s="29"/>
      <c r="J585" s="29"/>
    </row>
    <row r="586">
      <c r="E586" s="29"/>
      <c r="J586" s="29"/>
    </row>
    <row r="587">
      <c r="E587" s="29"/>
      <c r="J587" s="29"/>
    </row>
    <row r="588">
      <c r="E588" s="29"/>
      <c r="J588" s="29"/>
    </row>
    <row r="589">
      <c r="E589" s="29"/>
      <c r="J589" s="29"/>
    </row>
    <row r="590">
      <c r="E590" s="29"/>
      <c r="J590" s="29"/>
    </row>
    <row r="591">
      <c r="E591" s="29"/>
      <c r="J591" s="29"/>
    </row>
    <row r="592">
      <c r="E592" s="29"/>
      <c r="J592" s="29"/>
    </row>
    <row r="593">
      <c r="E593" s="29"/>
      <c r="J593" s="29"/>
    </row>
    <row r="594">
      <c r="E594" s="29"/>
      <c r="J594" s="29"/>
    </row>
    <row r="595">
      <c r="E595" s="29"/>
      <c r="J595" s="29"/>
    </row>
    <row r="596">
      <c r="E596" s="29"/>
      <c r="J596" s="29"/>
    </row>
    <row r="597">
      <c r="E597" s="29"/>
      <c r="J597" s="29"/>
    </row>
    <row r="598">
      <c r="E598" s="29"/>
      <c r="J598" s="29"/>
    </row>
    <row r="599">
      <c r="E599" s="29"/>
      <c r="J599" s="29"/>
    </row>
    <row r="600">
      <c r="E600" s="29"/>
      <c r="J600" s="29"/>
    </row>
    <row r="601">
      <c r="E601" s="29"/>
      <c r="J601" s="29"/>
    </row>
    <row r="602">
      <c r="E602" s="29"/>
      <c r="J602" s="29"/>
    </row>
    <row r="603">
      <c r="E603" s="29"/>
      <c r="J603" s="29"/>
    </row>
    <row r="604">
      <c r="E604" s="29"/>
      <c r="J604" s="29"/>
    </row>
    <row r="605">
      <c r="E605" s="29"/>
      <c r="J605" s="29"/>
    </row>
    <row r="606">
      <c r="E606" s="29"/>
      <c r="J606" s="29"/>
    </row>
    <row r="607">
      <c r="E607" s="29"/>
      <c r="J607" s="29"/>
    </row>
    <row r="608">
      <c r="E608" s="29"/>
      <c r="J608" s="29"/>
    </row>
    <row r="609">
      <c r="E609" s="29"/>
      <c r="J609" s="29"/>
    </row>
    <row r="610">
      <c r="E610" s="29"/>
      <c r="J610" s="29"/>
    </row>
    <row r="611">
      <c r="E611" s="29"/>
      <c r="J611" s="29"/>
    </row>
    <row r="612">
      <c r="E612" s="29"/>
      <c r="J612" s="29"/>
    </row>
    <row r="613">
      <c r="E613" s="29"/>
      <c r="J613" s="29"/>
    </row>
    <row r="614">
      <c r="E614" s="29"/>
      <c r="J614" s="29"/>
    </row>
    <row r="615">
      <c r="E615" s="29"/>
      <c r="J615" s="29"/>
    </row>
    <row r="616">
      <c r="E616" s="29"/>
      <c r="J616" s="29"/>
    </row>
    <row r="617">
      <c r="E617" s="29"/>
      <c r="J617" s="29"/>
    </row>
    <row r="618">
      <c r="E618" s="29"/>
      <c r="J618" s="29"/>
    </row>
    <row r="619">
      <c r="E619" s="29"/>
      <c r="J619" s="29"/>
    </row>
    <row r="620">
      <c r="E620" s="29"/>
      <c r="J620" s="29"/>
    </row>
    <row r="621">
      <c r="E621" s="29"/>
      <c r="J621" s="29"/>
    </row>
    <row r="622">
      <c r="E622" s="29"/>
      <c r="J622" s="29"/>
    </row>
    <row r="623">
      <c r="E623" s="29"/>
      <c r="J623" s="29"/>
    </row>
    <row r="624">
      <c r="E624" s="29"/>
      <c r="J624" s="29"/>
    </row>
    <row r="625">
      <c r="E625" s="29"/>
      <c r="J625" s="29"/>
    </row>
    <row r="626">
      <c r="E626" s="29"/>
      <c r="J626" s="29"/>
    </row>
    <row r="627">
      <c r="E627" s="29"/>
      <c r="J627" s="29"/>
    </row>
    <row r="628">
      <c r="E628" s="29"/>
      <c r="J628" s="29"/>
    </row>
    <row r="629">
      <c r="E629" s="29"/>
      <c r="J629" s="29"/>
    </row>
    <row r="630">
      <c r="E630" s="29"/>
      <c r="J630" s="29"/>
    </row>
    <row r="631">
      <c r="E631" s="29"/>
      <c r="J631" s="29"/>
    </row>
    <row r="632">
      <c r="E632" s="29"/>
      <c r="J632" s="29"/>
    </row>
    <row r="633">
      <c r="E633" s="29"/>
      <c r="J633" s="29"/>
    </row>
    <row r="634">
      <c r="E634" s="29"/>
      <c r="J634" s="29"/>
    </row>
    <row r="635">
      <c r="E635" s="29"/>
      <c r="J635" s="29"/>
    </row>
    <row r="636">
      <c r="E636" s="29"/>
      <c r="J636" s="29"/>
    </row>
    <row r="637">
      <c r="E637" s="29"/>
      <c r="J637" s="29"/>
    </row>
    <row r="638">
      <c r="E638" s="29"/>
      <c r="J638" s="29"/>
    </row>
    <row r="639">
      <c r="E639" s="29"/>
      <c r="J639" s="29"/>
    </row>
    <row r="640">
      <c r="E640" s="29"/>
      <c r="J640" s="29"/>
    </row>
    <row r="641">
      <c r="E641" s="29"/>
      <c r="J641" s="29"/>
    </row>
    <row r="642">
      <c r="E642" s="29"/>
      <c r="J642" s="29"/>
    </row>
    <row r="643">
      <c r="E643" s="29"/>
      <c r="J643" s="29"/>
    </row>
    <row r="644">
      <c r="E644" s="29"/>
      <c r="J644" s="29"/>
    </row>
    <row r="645">
      <c r="E645" s="29"/>
      <c r="J645" s="29"/>
    </row>
    <row r="646">
      <c r="E646" s="29"/>
      <c r="J646" s="29"/>
    </row>
    <row r="647">
      <c r="E647" s="29"/>
      <c r="J647" s="29"/>
    </row>
    <row r="648">
      <c r="E648" s="29"/>
      <c r="J648" s="29"/>
    </row>
    <row r="649">
      <c r="E649" s="29"/>
      <c r="J649" s="29"/>
    </row>
    <row r="650">
      <c r="E650" s="29"/>
      <c r="J650" s="29"/>
    </row>
    <row r="651">
      <c r="E651" s="29"/>
      <c r="J651" s="29"/>
    </row>
    <row r="652">
      <c r="E652" s="29"/>
      <c r="J652" s="29"/>
    </row>
    <row r="653">
      <c r="E653" s="29"/>
      <c r="J653" s="29"/>
    </row>
    <row r="654">
      <c r="E654" s="29"/>
      <c r="J654" s="29"/>
    </row>
    <row r="655">
      <c r="E655" s="29"/>
      <c r="J655" s="29"/>
    </row>
    <row r="656">
      <c r="E656" s="29"/>
      <c r="J656" s="29"/>
    </row>
    <row r="657">
      <c r="E657" s="29"/>
      <c r="J657" s="29"/>
    </row>
    <row r="658">
      <c r="E658" s="29"/>
      <c r="J658" s="29"/>
    </row>
    <row r="659">
      <c r="E659" s="29"/>
      <c r="J659" s="29"/>
    </row>
    <row r="660">
      <c r="E660" s="29"/>
      <c r="J660" s="29"/>
    </row>
    <row r="661">
      <c r="E661" s="29"/>
      <c r="J661" s="29"/>
    </row>
    <row r="662">
      <c r="E662" s="29"/>
      <c r="J662" s="29"/>
    </row>
    <row r="663">
      <c r="E663" s="29"/>
      <c r="J663" s="29"/>
    </row>
    <row r="664">
      <c r="E664" s="29"/>
      <c r="J664" s="29"/>
    </row>
    <row r="665">
      <c r="E665" s="29"/>
      <c r="J665" s="29"/>
    </row>
    <row r="666">
      <c r="E666" s="29"/>
      <c r="J666" s="29"/>
    </row>
    <row r="667">
      <c r="E667" s="29"/>
      <c r="J667" s="29"/>
    </row>
    <row r="668">
      <c r="E668" s="29"/>
      <c r="J668" s="29"/>
    </row>
    <row r="669">
      <c r="E669" s="29"/>
      <c r="J669" s="29"/>
    </row>
    <row r="670">
      <c r="E670" s="29"/>
      <c r="J670" s="29"/>
    </row>
    <row r="671">
      <c r="E671" s="29"/>
      <c r="J671" s="29"/>
    </row>
    <row r="672">
      <c r="E672" s="29"/>
      <c r="J672" s="29"/>
    </row>
    <row r="673">
      <c r="E673" s="29"/>
      <c r="J673" s="29"/>
    </row>
    <row r="674">
      <c r="E674" s="29"/>
      <c r="J674" s="29"/>
    </row>
    <row r="675">
      <c r="E675" s="29"/>
      <c r="J675" s="29"/>
    </row>
    <row r="676">
      <c r="E676" s="29"/>
      <c r="J676" s="29"/>
    </row>
    <row r="677">
      <c r="E677" s="29"/>
      <c r="J677" s="29"/>
    </row>
    <row r="678">
      <c r="E678" s="29"/>
      <c r="J678" s="29"/>
    </row>
    <row r="679">
      <c r="E679" s="29"/>
      <c r="J679" s="29"/>
    </row>
    <row r="680">
      <c r="E680" s="29"/>
      <c r="J680" s="29"/>
    </row>
    <row r="681">
      <c r="E681" s="29"/>
      <c r="J681" s="29"/>
    </row>
    <row r="682">
      <c r="E682" s="29"/>
      <c r="J682" s="29"/>
    </row>
    <row r="683">
      <c r="E683" s="29"/>
      <c r="J683" s="29"/>
    </row>
    <row r="684">
      <c r="E684" s="29"/>
      <c r="J684" s="29"/>
    </row>
    <row r="685">
      <c r="E685" s="29"/>
      <c r="J685" s="29"/>
    </row>
    <row r="686">
      <c r="E686" s="29"/>
      <c r="J686" s="29"/>
    </row>
    <row r="687">
      <c r="E687" s="29"/>
      <c r="J687" s="29"/>
    </row>
    <row r="688">
      <c r="E688" s="29"/>
      <c r="J688" s="29"/>
    </row>
    <row r="689">
      <c r="E689" s="29"/>
      <c r="J689" s="29"/>
    </row>
    <row r="690">
      <c r="E690" s="29"/>
      <c r="J690" s="29"/>
    </row>
    <row r="691">
      <c r="E691" s="29"/>
      <c r="J691" s="29"/>
    </row>
    <row r="692">
      <c r="E692" s="29"/>
      <c r="J692" s="29"/>
    </row>
    <row r="693">
      <c r="E693" s="29"/>
      <c r="J693" s="29"/>
    </row>
    <row r="694">
      <c r="E694" s="29"/>
      <c r="J694" s="29"/>
    </row>
    <row r="695">
      <c r="E695" s="29"/>
      <c r="J695" s="29"/>
    </row>
    <row r="696">
      <c r="E696" s="29"/>
      <c r="J696" s="29"/>
    </row>
    <row r="697">
      <c r="E697" s="29"/>
      <c r="J697" s="29"/>
    </row>
    <row r="698">
      <c r="E698" s="29"/>
      <c r="J698" s="29"/>
    </row>
    <row r="699">
      <c r="E699" s="29"/>
      <c r="J699" s="29"/>
    </row>
    <row r="700">
      <c r="E700" s="29"/>
      <c r="J700" s="29"/>
    </row>
    <row r="701">
      <c r="E701" s="29"/>
      <c r="J701" s="29"/>
    </row>
    <row r="702">
      <c r="E702" s="29"/>
      <c r="J702" s="29"/>
    </row>
    <row r="703">
      <c r="E703" s="29"/>
      <c r="J703" s="29"/>
    </row>
    <row r="704">
      <c r="E704" s="29"/>
      <c r="J704" s="29"/>
    </row>
    <row r="705">
      <c r="E705" s="29"/>
      <c r="J705" s="29"/>
    </row>
    <row r="706">
      <c r="E706" s="29"/>
      <c r="J706" s="29"/>
    </row>
    <row r="707">
      <c r="E707" s="29"/>
      <c r="J707" s="29"/>
    </row>
    <row r="708">
      <c r="E708" s="29"/>
      <c r="J708" s="29"/>
    </row>
    <row r="709">
      <c r="E709" s="29"/>
      <c r="J709" s="29"/>
    </row>
    <row r="710">
      <c r="E710" s="29"/>
      <c r="J710" s="29"/>
    </row>
    <row r="711">
      <c r="E711" s="29"/>
      <c r="J711" s="29"/>
    </row>
    <row r="712">
      <c r="E712" s="29"/>
      <c r="J712" s="29"/>
    </row>
    <row r="713">
      <c r="E713" s="29"/>
      <c r="J713" s="29"/>
    </row>
    <row r="714">
      <c r="E714" s="29"/>
      <c r="J714" s="29"/>
    </row>
    <row r="715">
      <c r="E715" s="29"/>
      <c r="J715" s="29"/>
    </row>
    <row r="716">
      <c r="E716" s="29"/>
      <c r="J716" s="29"/>
    </row>
    <row r="717">
      <c r="E717" s="29"/>
      <c r="J717" s="29"/>
    </row>
    <row r="718">
      <c r="E718" s="29"/>
      <c r="J718" s="29"/>
    </row>
    <row r="719">
      <c r="E719" s="29"/>
      <c r="J719" s="29"/>
    </row>
    <row r="720">
      <c r="E720" s="29"/>
      <c r="J720" s="29"/>
    </row>
    <row r="721">
      <c r="E721" s="29"/>
      <c r="J721" s="29"/>
    </row>
    <row r="722">
      <c r="E722" s="29"/>
      <c r="J722" s="29"/>
    </row>
    <row r="723">
      <c r="E723" s="29"/>
      <c r="J723" s="29"/>
    </row>
    <row r="724">
      <c r="E724" s="29"/>
      <c r="J724" s="29"/>
    </row>
    <row r="725">
      <c r="E725" s="29"/>
      <c r="J725" s="29"/>
    </row>
    <row r="726">
      <c r="E726" s="29"/>
      <c r="J726" s="29"/>
    </row>
    <row r="727">
      <c r="E727" s="29"/>
      <c r="J727" s="29"/>
    </row>
    <row r="728">
      <c r="E728" s="29"/>
      <c r="J728" s="29"/>
    </row>
    <row r="729">
      <c r="E729" s="29"/>
      <c r="J729" s="29"/>
    </row>
    <row r="730">
      <c r="E730" s="29"/>
      <c r="J730" s="29"/>
    </row>
    <row r="731">
      <c r="E731" s="29"/>
      <c r="J731" s="29"/>
    </row>
    <row r="732">
      <c r="E732" s="29"/>
      <c r="J732" s="29"/>
    </row>
    <row r="733">
      <c r="E733" s="29"/>
      <c r="J733" s="29"/>
    </row>
    <row r="734">
      <c r="E734" s="29"/>
      <c r="J734" s="29"/>
    </row>
    <row r="735">
      <c r="E735" s="29"/>
      <c r="J735" s="29"/>
    </row>
    <row r="736">
      <c r="E736" s="29"/>
      <c r="J736" s="29"/>
    </row>
    <row r="737">
      <c r="E737" s="29"/>
      <c r="J737" s="29"/>
    </row>
    <row r="738">
      <c r="E738" s="29"/>
      <c r="J738" s="29"/>
    </row>
    <row r="739">
      <c r="E739" s="29"/>
      <c r="J739" s="29"/>
    </row>
    <row r="740">
      <c r="E740" s="29"/>
      <c r="J740" s="29"/>
    </row>
    <row r="741">
      <c r="E741" s="29"/>
      <c r="J741" s="29"/>
    </row>
    <row r="742">
      <c r="E742" s="29"/>
      <c r="J742" s="29"/>
    </row>
    <row r="743">
      <c r="E743" s="29"/>
      <c r="J743" s="29"/>
    </row>
    <row r="744">
      <c r="E744" s="29"/>
      <c r="J744" s="29"/>
    </row>
    <row r="745">
      <c r="E745" s="29"/>
      <c r="J745" s="29"/>
    </row>
    <row r="746">
      <c r="E746" s="29"/>
      <c r="J746" s="29"/>
    </row>
    <row r="747">
      <c r="E747" s="29"/>
      <c r="J747" s="29"/>
    </row>
    <row r="748">
      <c r="E748" s="29"/>
      <c r="J748" s="29"/>
    </row>
    <row r="749">
      <c r="E749" s="29"/>
      <c r="J749" s="29"/>
    </row>
    <row r="750">
      <c r="E750" s="29"/>
      <c r="J750" s="29"/>
    </row>
    <row r="751">
      <c r="E751" s="29"/>
      <c r="J751" s="29"/>
    </row>
    <row r="752">
      <c r="E752" s="29"/>
      <c r="J752" s="29"/>
    </row>
    <row r="753">
      <c r="E753" s="29"/>
      <c r="J753" s="29"/>
    </row>
    <row r="754">
      <c r="E754" s="29"/>
      <c r="J754" s="29"/>
    </row>
    <row r="755">
      <c r="E755" s="29"/>
      <c r="J755" s="29"/>
    </row>
    <row r="756">
      <c r="E756" s="29"/>
      <c r="J756" s="29"/>
    </row>
    <row r="757">
      <c r="E757" s="29"/>
      <c r="J757" s="29"/>
    </row>
    <row r="758">
      <c r="E758" s="29"/>
      <c r="J758" s="29"/>
    </row>
    <row r="759">
      <c r="E759" s="29"/>
      <c r="J759" s="29"/>
    </row>
    <row r="760">
      <c r="E760" s="29"/>
      <c r="J760" s="29"/>
    </row>
    <row r="761">
      <c r="E761" s="29"/>
      <c r="J761" s="29"/>
    </row>
    <row r="762">
      <c r="E762" s="29"/>
      <c r="J762" s="29"/>
    </row>
    <row r="763">
      <c r="E763" s="29"/>
      <c r="J763" s="29"/>
    </row>
    <row r="764">
      <c r="E764" s="29"/>
      <c r="J764" s="29"/>
    </row>
    <row r="765">
      <c r="E765" s="29"/>
      <c r="J765" s="29"/>
    </row>
    <row r="766">
      <c r="E766" s="29"/>
      <c r="J766" s="29"/>
    </row>
    <row r="767">
      <c r="E767" s="29"/>
      <c r="J767" s="29"/>
    </row>
    <row r="768">
      <c r="E768" s="29"/>
      <c r="J768" s="29"/>
    </row>
    <row r="769">
      <c r="E769" s="29"/>
      <c r="J769" s="29"/>
    </row>
    <row r="770">
      <c r="E770" s="29"/>
      <c r="J770" s="29"/>
    </row>
    <row r="771">
      <c r="E771" s="29"/>
      <c r="J771" s="29"/>
    </row>
    <row r="772">
      <c r="E772" s="29"/>
      <c r="J772" s="29"/>
    </row>
    <row r="773">
      <c r="E773" s="29"/>
      <c r="J773" s="29"/>
    </row>
    <row r="774">
      <c r="E774" s="29"/>
      <c r="J774" s="29"/>
    </row>
    <row r="775">
      <c r="E775" s="29"/>
      <c r="J775" s="29"/>
    </row>
    <row r="776">
      <c r="E776" s="29"/>
      <c r="J776" s="29"/>
    </row>
    <row r="777">
      <c r="E777" s="29"/>
      <c r="J777" s="29"/>
    </row>
    <row r="778">
      <c r="E778" s="29"/>
      <c r="J778" s="29"/>
    </row>
    <row r="779">
      <c r="E779" s="29"/>
      <c r="J779" s="29"/>
    </row>
    <row r="780">
      <c r="E780" s="29"/>
      <c r="J780" s="29"/>
    </row>
    <row r="781">
      <c r="E781" s="29"/>
      <c r="J781" s="29"/>
    </row>
    <row r="782">
      <c r="E782" s="29"/>
      <c r="J782" s="29"/>
    </row>
    <row r="783">
      <c r="E783" s="29"/>
      <c r="J783" s="29"/>
    </row>
    <row r="784">
      <c r="E784" s="29"/>
      <c r="J784" s="29"/>
    </row>
    <row r="785">
      <c r="E785" s="29"/>
      <c r="J785" s="29"/>
    </row>
    <row r="786">
      <c r="E786" s="29"/>
      <c r="J786" s="29"/>
    </row>
    <row r="787">
      <c r="E787" s="29"/>
      <c r="J787" s="29"/>
    </row>
    <row r="788">
      <c r="E788" s="29"/>
      <c r="J788" s="29"/>
    </row>
    <row r="789">
      <c r="E789" s="29"/>
      <c r="J789" s="29"/>
    </row>
    <row r="790">
      <c r="E790" s="29"/>
      <c r="J790" s="29"/>
    </row>
    <row r="791">
      <c r="E791" s="29"/>
      <c r="J791" s="29"/>
    </row>
    <row r="792">
      <c r="E792" s="29"/>
      <c r="J792" s="29"/>
    </row>
    <row r="793">
      <c r="E793" s="29"/>
      <c r="J793" s="29"/>
    </row>
    <row r="794">
      <c r="E794" s="29"/>
      <c r="J794" s="29"/>
    </row>
    <row r="795">
      <c r="E795" s="29"/>
      <c r="J795" s="29"/>
    </row>
    <row r="796">
      <c r="E796" s="29"/>
      <c r="J796" s="29"/>
    </row>
    <row r="797">
      <c r="E797" s="29"/>
      <c r="J797" s="29"/>
    </row>
    <row r="798">
      <c r="E798" s="29"/>
      <c r="J798" s="29"/>
    </row>
    <row r="799">
      <c r="E799" s="29"/>
      <c r="J799" s="29"/>
    </row>
    <row r="800">
      <c r="E800" s="29"/>
      <c r="J800" s="29"/>
    </row>
    <row r="801">
      <c r="E801" s="29"/>
      <c r="J801" s="29"/>
    </row>
    <row r="802">
      <c r="E802" s="29"/>
      <c r="J802" s="29"/>
    </row>
    <row r="803">
      <c r="E803" s="29"/>
      <c r="J803" s="29"/>
    </row>
    <row r="804">
      <c r="E804" s="29"/>
      <c r="J804" s="29"/>
    </row>
    <row r="805">
      <c r="E805" s="29"/>
      <c r="J805" s="29"/>
    </row>
    <row r="806">
      <c r="E806" s="29"/>
      <c r="J806" s="29"/>
    </row>
    <row r="807">
      <c r="E807" s="29"/>
      <c r="J807" s="29"/>
    </row>
    <row r="808">
      <c r="E808" s="29"/>
      <c r="J808" s="29"/>
    </row>
    <row r="809">
      <c r="E809" s="29"/>
      <c r="J809" s="29"/>
    </row>
    <row r="810">
      <c r="E810" s="29"/>
      <c r="J810" s="29"/>
    </row>
    <row r="811">
      <c r="E811" s="29"/>
      <c r="J811" s="29"/>
    </row>
    <row r="812">
      <c r="E812" s="29"/>
      <c r="J812" s="29"/>
    </row>
    <row r="813">
      <c r="E813" s="29"/>
      <c r="J813" s="29"/>
    </row>
    <row r="814">
      <c r="E814" s="29"/>
      <c r="J814" s="29"/>
    </row>
    <row r="815">
      <c r="E815" s="29"/>
      <c r="J815" s="29"/>
    </row>
    <row r="816">
      <c r="E816" s="29"/>
      <c r="J816" s="29"/>
    </row>
    <row r="817">
      <c r="E817" s="29"/>
      <c r="J817" s="29"/>
    </row>
    <row r="818">
      <c r="E818" s="29"/>
      <c r="J818" s="29"/>
    </row>
    <row r="819">
      <c r="E819" s="29"/>
      <c r="J819" s="29"/>
    </row>
    <row r="820">
      <c r="E820" s="29"/>
      <c r="J820" s="29"/>
    </row>
    <row r="821">
      <c r="E821" s="29"/>
      <c r="J821" s="29"/>
    </row>
    <row r="822">
      <c r="E822" s="29"/>
      <c r="J822" s="29"/>
    </row>
    <row r="823">
      <c r="E823" s="29"/>
      <c r="J823" s="29"/>
    </row>
    <row r="824">
      <c r="E824" s="29"/>
      <c r="J824" s="29"/>
    </row>
    <row r="825">
      <c r="E825" s="29"/>
      <c r="J825" s="29"/>
    </row>
    <row r="826">
      <c r="E826" s="29"/>
      <c r="J826" s="29"/>
    </row>
    <row r="827">
      <c r="E827" s="29"/>
      <c r="J827" s="29"/>
    </row>
    <row r="828">
      <c r="E828" s="29"/>
      <c r="J828" s="29"/>
    </row>
    <row r="829">
      <c r="E829" s="29"/>
      <c r="J829" s="29"/>
    </row>
    <row r="830">
      <c r="E830" s="29"/>
      <c r="J830" s="29"/>
    </row>
    <row r="831">
      <c r="E831" s="29"/>
      <c r="J831" s="29"/>
    </row>
    <row r="832">
      <c r="E832" s="29"/>
      <c r="J832" s="29"/>
    </row>
    <row r="833">
      <c r="E833" s="29"/>
      <c r="J833" s="29"/>
    </row>
    <row r="834">
      <c r="E834" s="29"/>
      <c r="J834" s="29"/>
    </row>
    <row r="835">
      <c r="E835" s="29"/>
      <c r="J835" s="29"/>
    </row>
    <row r="836">
      <c r="E836" s="29"/>
      <c r="J836" s="29"/>
    </row>
    <row r="837">
      <c r="E837" s="29"/>
      <c r="J837" s="29"/>
    </row>
    <row r="838">
      <c r="E838" s="29"/>
      <c r="J838" s="29"/>
    </row>
    <row r="839">
      <c r="E839" s="29"/>
      <c r="J839" s="29"/>
    </row>
    <row r="840">
      <c r="E840" s="29"/>
      <c r="J840" s="29"/>
    </row>
    <row r="841">
      <c r="E841" s="29"/>
      <c r="J841" s="29"/>
    </row>
    <row r="842">
      <c r="E842" s="29"/>
      <c r="J842" s="29"/>
    </row>
    <row r="843">
      <c r="E843" s="29"/>
      <c r="J843" s="29"/>
    </row>
    <row r="844">
      <c r="E844" s="29"/>
      <c r="J844" s="29"/>
    </row>
    <row r="845">
      <c r="E845" s="29"/>
      <c r="J845" s="29"/>
    </row>
    <row r="846">
      <c r="E846" s="29"/>
      <c r="J846" s="29"/>
    </row>
    <row r="847">
      <c r="E847" s="29"/>
      <c r="J847" s="29"/>
    </row>
    <row r="848">
      <c r="E848" s="29"/>
      <c r="J848" s="29"/>
    </row>
    <row r="849">
      <c r="E849" s="29"/>
      <c r="J849" s="29"/>
    </row>
    <row r="850">
      <c r="E850" s="29"/>
      <c r="J850" s="29"/>
    </row>
    <row r="851">
      <c r="E851" s="29"/>
      <c r="J851" s="29"/>
    </row>
    <row r="852">
      <c r="E852" s="29"/>
      <c r="J852" s="29"/>
    </row>
    <row r="853">
      <c r="E853" s="29"/>
      <c r="J853" s="29"/>
    </row>
    <row r="854">
      <c r="E854" s="29"/>
      <c r="J854" s="29"/>
    </row>
    <row r="855">
      <c r="E855" s="29"/>
      <c r="J855" s="29"/>
    </row>
    <row r="856">
      <c r="E856" s="29"/>
      <c r="J856" s="29"/>
    </row>
    <row r="857">
      <c r="E857" s="29"/>
      <c r="J857" s="29"/>
    </row>
    <row r="858">
      <c r="E858" s="29"/>
      <c r="J858" s="29"/>
    </row>
    <row r="859">
      <c r="E859" s="29"/>
      <c r="J859" s="29"/>
    </row>
    <row r="860">
      <c r="E860" s="29"/>
      <c r="J860" s="29"/>
    </row>
    <row r="861">
      <c r="E861" s="29"/>
      <c r="J861" s="29"/>
    </row>
    <row r="862">
      <c r="E862" s="29"/>
      <c r="J862" s="29"/>
    </row>
    <row r="863">
      <c r="E863" s="29"/>
      <c r="J863" s="29"/>
    </row>
    <row r="864">
      <c r="E864" s="29"/>
      <c r="J864" s="29"/>
    </row>
    <row r="865">
      <c r="E865" s="29"/>
      <c r="J865" s="29"/>
    </row>
    <row r="866">
      <c r="E866" s="29"/>
      <c r="J866" s="29"/>
    </row>
    <row r="867">
      <c r="E867" s="29"/>
      <c r="J867" s="29"/>
    </row>
    <row r="868">
      <c r="E868" s="29"/>
      <c r="J868" s="29"/>
    </row>
    <row r="869">
      <c r="E869" s="29"/>
      <c r="J869" s="29"/>
    </row>
    <row r="870">
      <c r="E870" s="29"/>
      <c r="J870" s="29"/>
    </row>
    <row r="871">
      <c r="E871" s="29"/>
      <c r="J871" s="29"/>
    </row>
    <row r="872">
      <c r="E872" s="29"/>
      <c r="J872" s="29"/>
    </row>
    <row r="873">
      <c r="E873" s="29"/>
      <c r="J873" s="29"/>
    </row>
    <row r="874">
      <c r="E874" s="29"/>
      <c r="J874" s="29"/>
    </row>
    <row r="875">
      <c r="E875" s="29"/>
      <c r="J875" s="29"/>
    </row>
    <row r="876">
      <c r="E876" s="29"/>
      <c r="J876" s="29"/>
    </row>
    <row r="877">
      <c r="E877" s="29"/>
      <c r="J877" s="29"/>
    </row>
    <row r="878">
      <c r="E878" s="29"/>
      <c r="J878" s="29"/>
    </row>
    <row r="879">
      <c r="E879" s="29"/>
      <c r="J879" s="29"/>
    </row>
    <row r="880">
      <c r="E880" s="29"/>
      <c r="J880" s="29"/>
    </row>
    <row r="881">
      <c r="E881" s="29"/>
      <c r="J881" s="29"/>
    </row>
    <row r="882">
      <c r="E882" s="29"/>
      <c r="J882" s="29"/>
    </row>
    <row r="883">
      <c r="E883" s="29"/>
      <c r="J883" s="29"/>
    </row>
    <row r="884">
      <c r="E884" s="29"/>
      <c r="J884" s="29"/>
    </row>
    <row r="885">
      <c r="E885" s="29"/>
      <c r="J885" s="29"/>
    </row>
    <row r="886">
      <c r="E886" s="29"/>
      <c r="J886" s="29"/>
    </row>
    <row r="887">
      <c r="E887" s="29"/>
      <c r="J887" s="29"/>
    </row>
    <row r="888">
      <c r="E888" s="29"/>
      <c r="J888" s="29"/>
    </row>
    <row r="889">
      <c r="E889" s="29"/>
      <c r="J889" s="29"/>
    </row>
    <row r="890">
      <c r="E890" s="29"/>
      <c r="J890" s="29"/>
    </row>
    <row r="891">
      <c r="E891" s="29"/>
      <c r="J891" s="29"/>
    </row>
    <row r="892">
      <c r="E892" s="29"/>
      <c r="J892" s="29"/>
    </row>
    <row r="893">
      <c r="E893" s="29"/>
      <c r="J893" s="29"/>
    </row>
    <row r="894">
      <c r="E894" s="29"/>
      <c r="J894" s="29"/>
    </row>
    <row r="895">
      <c r="E895" s="29"/>
      <c r="J895" s="29"/>
    </row>
    <row r="896">
      <c r="E896" s="29"/>
      <c r="J896" s="29"/>
    </row>
    <row r="897">
      <c r="E897" s="29"/>
      <c r="J897" s="29"/>
    </row>
    <row r="898">
      <c r="E898" s="29"/>
      <c r="J898" s="29"/>
    </row>
    <row r="899">
      <c r="E899" s="29"/>
      <c r="J899" s="29"/>
    </row>
    <row r="900">
      <c r="E900" s="29"/>
      <c r="J900" s="29"/>
    </row>
    <row r="901">
      <c r="E901" s="29"/>
      <c r="J901" s="29"/>
    </row>
    <row r="902">
      <c r="E902" s="29"/>
      <c r="J902" s="29"/>
    </row>
    <row r="903">
      <c r="E903" s="29"/>
      <c r="J903" s="29"/>
    </row>
    <row r="904">
      <c r="E904" s="29"/>
      <c r="J904" s="29"/>
    </row>
    <row r="905">
      <c r="E905" s="29"/>
      <c r="J905" s="29"/>
    </row>
    <row r="906">
      <c r="E906" s="29"/>
      <c r="J906" s="29"/>
    </row>
    <row r="907">
      <c r="E907" s="29"/>
      <c r="J907" s="29"/>
    </row>
    <row r="908">
      <c r="E908" s="29"/>
      <c r="J908" s="29"/>
    </row>
    <row r="909">
      <c r="E909" s="29"/>
      <c r="J909" s="29"/>
    </row>
    <row r="910">
      <c r="E910" s="29"/>
      <c r="J910" s="29"/>
    </row>
    <row r="911">
      <c r="E911" s="29"/>
      <c r="J911" s="29"/>
    </row>
    <row r="912">
      <c r="E912" s="29"/>
      <c r="J912" s="29"/>
    </row>
    <row r="913">
      <c r="E913" s="29"/>
      <c r="J913" s="29"/>
    </row>
    <row r="914">
      <c r="E914" s="29"/>
      <c r="J914" s="29"/>
    </row>
    <row r="915">
      <c r="E915" s="29"/>
      <c r="J915" s="29"/>
    </row>
    <row r="916">
      <c r="E916" s="29"/>
      <c r="J916" s="29"/>
    </row>
    <row r="917">
      <c r="E917" s="29"/>
      <c r="J917" s="29"/>
    </row>
    <row r="918">
      <c r="E918" s="29"/>
      <c r="J918" s="29"/>
    </row>
    <row r="919">
      <c r="E919" s="29"/>
      <c r="J919" s="29"/>
    </row>
    <row r="920">
      <c r="E920" s="29"/>
      <c r="J920" s="29"/>
    </row>
    <row r="921">
      <c r="E921" s="29"/>
      <c r="J921" s="29"/>
    </row>
    <row r="922">
      <c r="E922" s="29"/>
      <c r="J922" s="29"/>
    </row>
    <row r="923">
      <c r="E923" s="29"/>
      <c r="J923" s="29"/>
    </row>
    <row r="924">
      <c r="E924" s="29"/>
      <c r="J924" s="29"/>
    </row>
    <row r="925">
      <c r="E925" s="29"/>
      <c r="J925" s="29"/>
    </row>
    <row r="926">
      <c r="E926" s="29"/>
      <c r="J926" s="29"/>
    </row>
    <row r="927">
      <c r="E927" s="29"/>
      <c r="J927" s="29"/>
    </row>
    <row r="928">
      <c r="E928" s="29"/>
      <c r="J928" s="29"/>
    </row>
    <row r="929">
      <c r="E929" s="29"/>
      <c r="J929" s="29"/>
    </row>
    <row r="930">
      <c r="E930" s="29"/>
      <c r="J930" s="29"/>
    </row>
    <row r="931">
      <c r="E931" s="29"/>
      <c r="J931" s="29"/>
    </row>
    <row r="932">
      <c r="E932" s="29"/>
      <c r="J932" s="29"/>
    </row>
    <row r="933">
      <c r="E933" s="29"/>
      <c r="J933" s="29"/>
    </row>
    <row r="934">
      <c r="E934" s="29"/>
      <c r="J934" s="29"/>
    </row>
    <row r="935">
      <c r="E935" s="29"/>
      <c r="J935" s="29"/>
    </row>
    <row r="936">
      <c r="E936" s="29"/>
      <c r="J936" s="29"/>
    </row>
    <row r="937">
      <c r="E937" s="29"/>
      <c r="J937" s="29"/>
    </row>
    <row r="938">
      <c r="E938" s="29"/>
      <c r="J938" s="29"/>
    </row>
    <row r="939">
      <c r="E939" s="29"/>
      <c r="J939" s="29"/>
    </row>
    <row r="940">
      <c r="E940" s="29"/>
      <c r="J940" s="29"/>
    </row>
    <row r="941">
      <c r="E941" s="29"/>
      <c r="J941" s="29"/>
    </row>
    <row r="942">
      <c r="E942" s="29"/>
      <c r="J942" s="29"/>
    </row>
    <row r="943">
      <c r="E943" s="29"/>
      <c r="J943" s="29"/>
    </row>
    <row r="944">
      <c r="E944" s="29"/>
      <c r="J944" s="29"/>
    </row>
    <row r="945">
      <c r="E945" s="29"/>
      <c r="J945" s="29"/>
    </row>
    <row r="946">
      <c r="E946" s="29"/>
      <c r="J946" s="29"/>
    </row>
    <row r="947">
      <c r="E947" s="29"/>
      <c r="J947" s="29"/>
    </row>
    <row r="948">
      <c r="E948" s="29"/>
      <c r="J948" s="29"/>
    </row>
    <row r="949">
      <c r="E949" s="29"/>
      <c r="J949" s="29"/>
    </row>
    <row r="950">
      <c r="E950" s="29"/>
      <c r="J950" s="29"/>
    </row>
    <row r="951">
      <c r="E951" s="29"/>
      <c r="J951" s="29"/>
    </row>
    <row r="952">
      <c r="E952" s="29"/>
      <c r="J952" s="29"/>
    </row>
    <row r="953">
      <c r="E953" s="29"/>
      <c r="J953" s="29"/>
    </row>
    <row r="954">
      <c r="E954" s="29"/>
      <c r="J954" s="29"/>
    </row>
    <row r="955">
      <c r="E955" s="29"/>
      <c r="J955" s="29"/>
    </row>
    <row r="956">
      <c r="E956" s="29"/>
      <c r="J956" s="29"/>
    </row>
    <row r="957">
      <c r="E957" s="29"/>
      <c r="J957" s="29"/>
    </row>
    <row r="958">
      <c r="E958" s="29"/>
      <c r="J958" s="29"/>
    </row>
    <row r="959">
      <c r="E959" s="29"/>
      <c r="J959" s="29"/>
    </row>
    <row r="960">
      <c r="E960" s="29"/>
      <c r="J960" s="29"/>
    </row>
    <row r="961">
      <c r="E961" s="29"/>
      <c r="J961" s="29"/>
    </row>
    <row r="962">
      <c r="E962" s="29"/>
      <c r="J962" s="29"/>
    </row>
    <row r="963">
      <c r="E963" s="29"/>
      <c r="J963" s="29"/>
    </row>
    <row r="964">
      <c r="E964" s="29"/>
      <c r="J964" s="29"/>
    </row>
    <row r="965">
      <c r="E965" s="29"/>
      <c r="J965" s="29"/>
    </row>
    <row r="966">
      <c r="E966" s="29"/>
      <c r="J966" s="29"/>
    </row>
    <row r="967">
      <c r="E967" s="29"/>
      <c r="J967" s="29"/>
    </row>
    <row r="968">
      <c r="E968" s="29"/>
      <c r="J968" s="29"/>
    </row>
    <row r="969">
      <c r="E969" s="29"/>
      <c r="J969" s="29"/>
    </row>
    <row r="970">
      <c r="E970" s="29"/>
      <c r="J970" s="29"/>
    </row>
    <row r="971">
      <c r="E971" s="29"/>
      <c r="J971" s="29"/>
    </row>
    <row r="972">
      <c r="E972" s="29"/>
      <c r="J972" s="29"/>
    </row>
    <row r="973">
      <c r="E973" s="29"/>
      <c r="J973" s="29"/>
    </row>
    <row r="974">
      <c r="E974" s="29"/>
      <c r="J974" s="29"/>
    </row>
    <row r="975">
      <c r="E975" s="29"/>
      <c r="J975" s="29"/>
    </row>
    <row r="976">
      <c r="E976" s="29"/>
      <c r="J976" s="29"/>
    </row>
    <row r="977">
      <c r="E977" s="29"/>
      <c r="J977" s="29"/>
    </row>
    <row r="978">
      <c r="E978" s="29"/>
      <c r="J978" s="29"/>
    </row>
    <row r="979">
      <c r="E979" s="29"/>
      <c r="J979" s="29"/>
    </row>
    <row r="980">
      <c r="E980" s="29"/>
      <c r="J980" s="29"/>
    </row>
    <row r="981">
      <c r="E981" s="29"/>
      <c r="J981" s="29"/>
    </row>
    <row r="982">
      <c r="E982" s="29"/>
      <c r="J982" s="29"/>
    </row>
    <row r="983">
      <c r="E983" s="29"/>
      <c r="J983" s="29"/>
    </row>
    <row r="984">
      <c r="E984" s="29"/>
      <c r="J984" s="29"/>
    </row>
    <row r="985">
      <c r="E985" s="29"/>
      <c r="J985" s="29"/>
    </row>
    <row r="986">
      <c r="E986" s="29"/>
      <c r="J986" s="29"/>
    </row>
    <row r="987">
      <c r="E987" s="29"/>
      <c r="J987" s="29"/>
    </row>
    <row r="988">
      <c r="E988" s="29"/>
      <c r="J988" s="29"/>
    </row>
    <row r="989">
      <c r="E989" s="29"/>
      <c r="J989" s="29"/>
    </row>
  </sheetData>
  <dataValidations>
    <dataValidation type="list" allowBlank="1" showErrorMessage="1" sqref="B4:B21">
      <formula1>"Cafeteria,Aseo"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0.25"/>
    <col customWidth="1" min="3" max="3" width="25.63"/>
    <col hidden="1" min="4" max="57" width="12.63"/>
  </cols>
  <sheetData>
    <row r="1">
      <c r="A1" s="26"/>
      <c r="B1" s="26"/>
      <c r="C1" s="27"/>
      <c r="D1" s="53" t="s">
        <v>2</v>
      </c>
      <c r="E1" s="53" t="s">
        <v>2</v>
      </c>
      <c r="F1" s="53" t="s">
        <v>2</v>
      </c>
      <c r="G1" s="53" t="s">
        <v>2</v>
      </c>
      <c r="H1" s="53" t="s">
        <v>2</v>
      </c>
      <c r="I1" s="54" t="s">
        <v>126</v>
      </c>
      <c r="J1" s="54" t="s">
        <v>126</v>
      </c>
      <c r="K1" s="54" t="s">
        <v>126</v>
      </c>
      <c r="L1" s="54" t="s">
        <v>126</v>
      </c>
      <c r="M1" s="55" t="s">
        <v>127</v>
      </c>
      <c r="N1" s="55" t="s">
        <v>127</v>
      </c>
      <c r="O1" s="55" t="s">
        <v>127</v>
      </c>
      <c r="P1" s="55" t="s">
        <v>127</v>
      </c>
      <c r="Q1" s="45" t="s">
        <v>128</v>
      </c>
      <c r="R1" s="45" t="s">
        <v>128</v>
      </c>
      <c r="S1" s="45" t="s">
        <v>128</v>
      </c>
      <c r="T1" s="45" t="s">
        <v>128</v>
      </c>
      <c r="U1" s="45" t="s">
        <v>128</v>
      </c>
      <c r="V1" s="45" t="s">
        <v>129</v>
      </c>
      <c r="W1" s="45" t="s">
        <v>129</v>
      </c>
      <c r="X1" s="45" t="s">
        <v>129</v>
      </c>
      <c r="Y1" s="45" t="s">
        <v>129</v>
      </c>
      <c r="Z1" s="56" t="s">
        <v>130</v>
      </c>
      <c r="AA1" s="56" t="s">
        <v>130</v>
      </c>
      <c r="AB1" s="56" t="s">
        <v>130</v>
      </c>
      <c r="AC1" s="56" t="s">
        <v>130</v>
      </c>
      <c r="AD1" s="56" t="s">
        <v>130</v>
      </c>
      <c r="AE1" s="56" t="s">
        <v>130</v>
      </c>
      <c r="AF1" s="56" t="s">
        <v>130</v>
      </c>
      <c r="AG1" s="56" t="s">
        <v>130</v>
      </c>
      <c r="AH1" s="56" t="s">
        <v>131</v>
      </c>
      <c r="AI1" s="56" t="s">
        <v>131</v>
      </c>
      <c r="AJ1" s="56" t="s">
        <v>131</v>
      </c>
      <c r="AK1" s="56" t="s">
        <v>131</v>
      </c>
      <c r="AL1" s="56" t="s">
        <v>131</v>
      </c>
      <c r="AM1" s="56" t="s">
        <v>131</v>
      </c>
      <c r="AN1" s="56" t="s">
        <v>131</v>
      </c>
      <c r="AO1" s="56" t="s">
        <v>131</v>
      </c>
      <c r="AP1" s="28" t="s">
        <v>132</v>
      </c>
      <c r="AQ1" s="28" t="s">
        <v>132</v>
      </c>
      <c r="AR1" s="28" t="s">
        <v>132</v>
      </c>
      <c r="AS1" s="28" t="s">
        <v>132</v>
      </c>
      <c r="AT1" s="28" t="s">
        <v>132</v>
      </c>
      <c r="AU1" s="28" t="s">
        <v>132</v>
      </c>
      <c r="AV1" s="28" t="s">
        <v>132</v>
      </c>
      <c r="AW1" s="28" t="s">
        <v>132</v>
      </c>
      <c r="AX1" s="28" t="s">
        <v>133</v>
      </c>
      <c r="AY1" s="28" t="s">
        <v>133</v>
      </c>
      <c r="AZ1" s="28" t="s">
        <v>133</v>
      </c>
      <c r="BA1" s="28" t="s">
        <v>133</v>
      </c>
      <c r="BB1" s="28" t="s">
        <v>133</v>
      </c>
      <c r="BC1" s="28" t="s">
        <v>133</v>
      </c>
      <c r="BD1" s="28" t="s">
        <v>133</v>
      </c>
      <c r="BE1" s="28" t="s">
        <v>133</v>
      </c>
      <c r="BF1" s="28" t="s">
        <v>134</v>
      </c>
      <c r="BG1" s="28" t="s">
        <v>134</v>
      </c>
      <c r="BH1" s="28" t="s">
        <v>134</v>
      </c>
      <c r="BI1" s="28" t="s">
        <v>134</v>
      </c>
      <c r="BJ1" s="28" t="s">
        <v>134</v>
      </c>
      <c r="BK1" s="28" t="s">
        <v>134</v>
      </c>
      <c r="BL1" s="28" t="s">
        <v>134</v>
      </c>
      <c r="BM1" s="28" t="s">
        <v>134</v>
      </c>
      <c r="BN1" s="28" t="s">
        <v>134</v>
      </c>
    </row>
    <row r="2">
      <c r="A2" s="26"/>
      <c r="B2" s="26"/>
      <c r="C2" s="27"/>
      <c r="D2" s="34">
        <v>45811.0</v>
      </c>
      <c r="E2" s="34">
        <f>D2+6</f>
        <v>45817</v>
      </c>
      <c r="F2" s="34">
        <f t="shared" ref="F2:L2" si="1">E2+7</f>
        <v>45824</v>
      </c>
      <c r="G2" s="34">
        <f t="shared" si="1"/>
        <v>45831</v>
      </c>
      <c r="H2" s="34">
        <f t="shared" si="1"/>
        <v>45838</v>
      </c>
      <c r="I2" s="34">
        <f t="shared" si="1"/>
        <v>45845</v>
      </c>
      <c r="J2" s="34">
        <f t="shared" si="1"/>
        <v>45852</v>
      </c>
      <c r="K2" s="34">
        <f t="shared" si="1"/>
        <v>45859</v>
      </c>
      <c r="L2" s="34">
        <f t="shared" si="1"/>
        <v>45866</v>
      </c>
      <c r="M2" s="33">
        <v>45873.0</v>
      </c>
      <c r="N2" s="33">
        <v>45880.0</v>
      </c>
      <c r="O2" s="33">
        <v>45887.0</v>
      </c>
      <c r="P2" s="33">
        <v>45894.0</v>
      </c>
      <c r="Q2" s="33">
        <v>45901.0</v>
      </c>
      <c r="R2" s="33">
        <v>45908.0</v>
      </c>
      <c r="S2" s="33">
        <v>45915.0</v>
      </c>
      <c r="T2" s="33">
        <v>45922.0</v>
      </c>
      <c r="U2" s="33">
        <v>45929.0</v>
      </c>
      <c r="V2" s="33">
        <f>U2+7</f>
        <v>45936</v>
      </c>
      <c r="W2" s="33">
        <v>45943.0</v>
      </c>
      <c r="X2" s="33">
        <v>45950.0</v>
      </c>
      <c r="Y2" s="33">
        <v>45957.0</v>
      </c>
      <c r="Z2" s="57">
        <f>Y2+7</f>
        <v>45964</v>
      </c>
      <c r="AA2" s="33">
        <v>45967.0</v>
      </c>
      <c r="AB2" s="33">
        <v>45971.0</v>
      </c>
      <c r="AC2" s="33">
        <v>45978.0</v>
      </c>
      <c r="AD2" s="33">
        <v>45979.0</v>
      </c>
      <c r="AE2" s="33">
        <v>45981.0</v>
      </c>
      <c r="AF2" s="33">
        <v>45985.0</v>
      </c>
      <c r="AG2" s="33">
        <v>45989.0</v>
      </c>
      <c r="AH2" s="33">
        <v>45992.0</v>
      </c>
      <c r="AI2" s="33">
        <v>45995.0</v>
      </c>
      <c r="AJ2" s="33">
        <v>46000.0</v>
      </c>
      <c r="AK2" s="33">
        <v>46002.0</v>
      </c>
      <c r="AL2" s="58">
        <v>46006.0</v>
      </c>
      <c r="AM2" s="33">
        <v>46009.0</v>
      </c>
      <c r="AN2" s="33">
        <v>46013.0</v>
      </c>
      <c r="AO2" s="33">
        <v>46020.0</v>
      </c>
      <c r="AP2" s="34">
        <v>46027.0</v>
      </c>
      <c r="AQ2" s="33">
        <v>46030.0</v>
      </c>
      <c r="AR2" s="33">
        <v>46034.0</v>
      </c>
      <c r="AS2" s="33">
        <v>46037.0</v>
      </c>
      <c r="AT2" s="33">
        <v>46041.0</v>
      </c>
      <c r="AU2" s="33">
        <v>46044.0</v>
      </c>
      <c r="AV2" s="33">
        <v>46048.0</v>
      </c>
      <c r="AW2" s="33">
        <v>46051.0</v>
      </c>
      <c r="AX2" s="33">
        <v>46055.0</v>
      </c>
      <c r="AY2" s="33">
        <v>46058.0</v>
      </c>
      <c r="AZ2" s="33">
        <v>46062.0</v>
      </c>
      <c r="BA2" s="33">
        <v>46065.0</v>
      </c>
      <c r="BB2" s="33">
        <v>46069.0</v>
      </c>
      <c r="BC2" s="33">
        <v>46072.0</v>
      </c>
      <c r="BD2" s="33">
        <v>46076.0</v>
      </c>
      <c r="BE2" s="33">
        <v>46079.0</v>
      </c>
      <c r="BF2" s="33">
        <v>46083.0</v>
      </c>
      <c r="BG2" s="33">
        <v>46086.0</v>
      </c>
      <c r="BH2" s="33">
        <v>46090.0</v>
      </c>
      <c r="BI2" s="33">
        <v>46093.0</v>
      </c>
      <c r="BJ2" s="33">
        <v>46097.0</v>
      </c>
      <c r="BK2" s="33">
        <v>46100.0</v>
      </c>
      <c r="BL2" s="33">
        <v>46104.0</v>
      </c>
      <c r="BM2" s="33">
        <v>46107.0</v>
      </c>
      <c r="BN2" s="33">
        <v>46111.0</v>
      </c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35" t="s">
        <v>11</v>
      </c>
      <c r="L3" s="35" t="s">
        <v>11</v>
      </c>
      <c r="M3" s="35" t="s">
        <v>11</v>
      </c>
      <c r="N3" s="35" t="s">
        <v>11</v>
      </c>
      <c r="O3" s="35" t="s">
        <v>11</v>
      </c>
      <c r="P3" s="35" t="s">
        <v>11</v>
      </c>
      <c r="Q3" s="35" t="s">
        <v>11</v>
      </c>
      <c r="R3" s="35" t="s">
        <v>11</v>
      </c>
      <c r="S3" s="35" t="s">
        <v>11</v>
      </c>
      <c r="T3" s="35" t="s">
        <v>11</v>
      </c>
      <c r="U3" s="35" t="s">
        <v>11</v>
      </c>
      <c r="V3" s="35" t="s">
        <v>11</v>
      </c>
      <c r="W3" s="35" t="s">
        <v>11</v>
      </c>
      <c r="X3" s="35" t="s">
        <v>11</v>
      </c>
      <c r="Y3" s="35" t="s">
        <v>11</v>
      </c>
      <c r="Z3" s="59" t="s">
        <v>11</v>
      </c>
      <c r="AA3" s="59" t="s">
        <v>11</v>
      </c>
      <c r="AB3" s="35" t="s">
        <v>11</v>
      </c>
      <c r="AC3" s="35" t="s">
        <v>11</v>
      </c>
      <c r="AD3" s="35" t="s">
        <v>11</v>
      </c>
      <c r="AE3" s="35" t="s">
        <v>11</v>
      </c>
      <c r="AF3" s="35" t="s">
        <v>11</v>
      </c>
      <c r="AG3" s="35" t="s">
        <v>11</v>
      </c>
      <c r="AH3" s="35" t="s">
        <v>11</v>
      </c>
      <c r="AI3" s="35" t="s">
        <v>11</v>
      </c>
      <c r="AJ3" s="35" t="s">
        <v>11</v>
      </c>
      <c r="AK3" s="35" t="s">
        <v>11</v>
      </c>
      <c r="AL3" s="35" t="s">
        <v>11</v>
      </c>
      <c r="AM3" s="35" t="s">
        <v>11</v>
      </c>
      <c r="AN3" s="35" t="s">
        <v>11</v>
      </c>
      <c r="AO3" s="35" t="s">
        <v>11</v>
      </c>
      <c r="AP3" s="35" t="s">
        <v>11</v>
      </c>
      <c r="AQ3" s="35" t="s">
        <v>11</v>
      </c>
      <c r="AR3" s="35" t="s">
        <v>11</v>
      </c>
      <c r="AS3" s="35" t="s">
        <v>11</v>
      </c>
      <c r="AT3" s="35" t="s">
        <v>11</v>
      </c>
      <c r="AU3" s="35" t="s">
        <v>11</v>
      </c>
      <c r="AV3" s="35" t="s">
        <v>11</v>
      </c>
      <c r="AW3" s="35" t="s">
        <v>11</v>
      </c>
      <c r="AX3" s="35" t="s">
        <v>11</v>
      </c>
      <c r="AY3" s="35" t="s">
        <v>11</v>
      </c>
      <c r="AZ3" s="35" t="s">
        <v>11</v>
      </c>
      <c r="BA3" s="35" t="s">
        <v>11</v>
      </c>
      <c r="BB3" s="35" t="s">
        <v>11</v>
      </c>
      <c r="BC3" s="35" t="s">
        <v>11</v>
      </c>
      <c r="BD3" s="35" t="s">
        <v>11</v>
      </c>
      <c r="BE3" s="35" t="s">
        <v>11</v>
      </c>
      <c r="BF3" s="35" t="s">
        <v>11</v>
      </c>
      <c r="BG3" s="35" t="s">
        <v>11</v>
      </c>
      <c r="BH3" s="35" t="s">
        <v>11</v>
      </c>
      <c r="BI3" s="35" t="s">
        <v>11</v>
      </c>
      <c r="BJ3" s="35" t="s">
        <v>11</v>
      </c>
      <c r="BK3" s="35" t="s">
        <v>11</v>
      </c>
      <c r="BL3" s="35" t="s">
        <v>11</v>
      </c>
      <c r="BM3" s="35" t="s">
        <v>11</v>
      </c>
      <c r="BN3" s="35" t="s">
        <v>11</v>
      </c>
    </row>
    <row r="4">
      <c r="A4" s="36" t="s">
        <v>135</v>
      </c>
      <c r="B4" s="36" t="s">
        <v>15</v>
      </c>
      <c r="C4" s="37" t="s">
        <v>16</v>
      </c>
      <c r="D4" s="60">
        <v>1.0</v>
      </c>
      <c r="E4" s="60">
        <v>0.0</v>
      </c>
      <c r="F4" s="60">
        <v>13.0</v>
      </c>
      <c r="G4" s="60">
        <v>7.0</v>
      </c>
      <c r="H4" s="60">
        <v>3.0</v>
      </c>
      <c r="I4" s="31">
        <v>20.0</v>
      </c>
      <c r="J4" s="31">
        <v>9.0</v>
      </c>
      <c r="K4" s="31">
        <v>4.0</v>
      </c>
      <c r="L4" s="31">
        <v>10.0</v>
      </c>
      <c r="M4" s="31">
        <v>4.0</v>
      </c>
      <c r="N4" s="31">
        <v>1.0</v>
      </c>
      <c r="O4" s="31">
        <v>0.0</v>
      </c>
      <c r="P4" s="31">
        <v>1.0</v>
      </c>
      <c r="Q4" s="39">
        <v>7.0</v>
      </c>
      <c r="R4" s="39">
        <v>4.0</v>
      </c>
      <c r="S4" s="39">
        <v>1.0</v>
      </c>
      <c r="T4" s="39">
        <v>0.0</v>
      </c>
      <c r="U4" s="31">
        <v>9.0</v>
      </c>
      <c r="V4" s="31">
        <v>7.0</v>
      </c>
      <c r="W4" s="31">
        <v>4.0</v>
      </c>
      <c r="X4" s="31">
        <v>1.0</v>
      </c>
      <c r="Y4" s="31">
        <v>12.0</v>
      </c>
      <c r="Z4" s="61" t="s">
        <v>136</v>
      </c>
      <c r="AA4" s="61" t="s">
        <v>137</v>
      </c>
      <c r="AB4" s="61" t="s">
        <v>138</v>
      </c>
      <c r="AC4" s="31">
        <v>0.0</v>
      </c>
      <c r="AD4" s="61" t="s">
        <v>139</v>
      </c>
      <c r="AE4" s="61" t="s">
        <v>140</v>
      </c>
      <c r="AF4" s="61" t="s">
        <v>141</v>
      </c>
      <c r="AG4" s="61" t="s">
        <v>142</v>
      </c>
      <c r="AH4" s="61">
        <v>0.0</v>
      </c>
      <c r="AI4" s="61" t="s">
        <v>143</v>
      </c>
      <c r="AJ4" s="61" t="s">
        <v>144</v>
      </c>
      <c r="AK4" s="61" t="s">
        <v>139</v>
      </c>
      <c r="AL4" s="61" t="s">
        <v>145</v>
      </c>
      <c r="AM4" s="61" t="s">
        <v>138</v>
      </c>
      <c r="AN4" s="61">
        <v>13.0</v>
      </c>
      <c r="AO4" s="61">
        <v>10.0</v>
      </c>
      <c r="AP4" s="61">
        <v>10.0</v>
      </c>
      <c r="AQ4" s="61">
        <v>8.0</v>
      </c>
      <c r="AR4" s="61">
        <v>7.0</v>
      </c>
      <c r="AS4" s="61">
        <v>6.0</v>
      </c>
      <c r="AT4" s="61">
        <v>5.0</v>
      </c>
      <c r="AU4" s="61">
        <v>4.0</v>
      </c>
      <c r="AV4" s="61">
        <v>3.0</v>
      </c>
      <c r="AW4" s="61">
        <v>10.0</v>
      </c>
      <c r="AX4" s="61">
        <v>9.0</v>
      </c>
      <c r="AY4" s="61">
        <v>8.0</v>
      </c>
      <c r="AZ4" s="61">
        <v>7.0</v>
      </c>
      <c r="BA4" s="61">
        <v>5.0</v>
      </c>
      <c r="BB4" s="61">
        <v>5.0</v>
      </c>
      <c r="BC4" s="61">
        <v>4.0</v>
      </c>
      <c r="BD4" s="61">
        <v>1.0</v>
      </c>
      <c r="BE4" s="61">
        <v>0.0</v>
      </c>
      <c r="BF4" s="61">
        <v>13.0</v>
      </c>
      <c r="BG4" s="61">
        <v>10.0</v>
      </c>
      <c r="BH4" s="61">
        <v>8.0</v>
      </c>
      <c r="BI4" s="61">
        <v>6.0</v>
      </c>
      <c r="BJ4" s="61">
        <v>5.0</v>
      </c>
      <c r="BK4" s="61">
        <v>16.0</v>
      </c>
      <c r="BL4" s="61">
        <v>15.0</v>
      </c>
      <c r="BM4" s="61"/>
      <c r="BN4" s="61"/>
    </row>
    <row r="5">
      <c r="A5" s="36" t="s">
        <v>135</v>
      </c>
      <c r="B5" s="36" t="s">
        <v>15</v>
      </c>
      <c r="C5" s="37" t="s">
        <v>21</v>
      </c>
      <c r="D5" s="60">
        <v>1.0</v>
      </c>
      <c r="E5" s="60">
        <v>0.0</v>
      </c>
      <c r="F5" s="60">
        <v>0.0</v>
      </c>
      <c r="G5" s="60">
        <v>6.0</v>
      </c>
      <c r="H5" s="60">
        <v>1.0</v>
      </c>
      <c r="I5" s="31">
        <v>3.0</v>
      </c>
      <c r="J5" s="31">
        <v>1.0</v>
      </c>
      <c r="K5" s="31">
        <v>0.0</v>
      </c>
      <c r="L5" s="31">
        <v>2.0</v>
      </c>
      <c r="M5" s="31">
        <v>1.0</v>
      </c>
      <c r="N5" s="31">
        <v>0.0</v>
      </c>
      <c r="O5" s="31">
        <v>3.0</v>
      </c>
      <c r="P5" s="31">
        <v>1.0</v>
      </c>
      <c r="Q5" s="39">
        <v>0.0</v>
      </c>
      <c r="R5" s="39">
        <v>3.0</v>
      </c>
      <c r="S5" s="39">
        <v>1.0</v>
      </c>
      <c r="T5" s="39">
        <v>0.0</v>
      </c>
      <c r="U5" s="31">
        <v>0.0</v>
      </c>
      <c r="V5" s="31">
        <v>0.0</v>
      </c>
      <c r="W5" s="31">
        <v>2.0</v>
      </c>
      <c r="X5" s="31">
        <v>0.0</v>
      </c>
      <c r="Y5" s="31">
        <v>4.0</v>
      </c>
      <c r="Z5" s="61">
        <v>2.0</v>
      </c>
      <c r="AA5" s="31">
        <v>0.0</v>
      </c>
      <c r="AB5" s="31">
        <v>0.0</v>
      </c>
      <c r="AC5" s="31">
        <v>3.0</v>
      </c>
      <c r="AD5" s="31"/>
      <c r="AE5" s="31">
        <v>2.0</v>
      </c>
      <c r="AF5" s="31">
        <v>0.0</v>
      </c>
      <c r="AG5" s="31">
        <v>0.0</v>
      </c>
      <c r="AH5" s="31">
        <v>0.0</v>
      </c>
      <c r="AI5" s="31">
        <v>7.0</v>
      </c>
      <c r="AJ5" s="31">
        <v>6.0</v>
      </c>
      <c r="AK5" s="31">
        <v>3.0</v>
      </c>
      <c r="AL5" s="31">
        <v>2.0</v>
      </c>
      <c r="AM5" s="31">
        <v>1.0</v>
      </c>
      <c r="AN5" s="31">
        <v>7.0</v>
      </c>
      <c r="AO5" s="31">
        <v>5.0</v>
      </c>
      <c r="AP5" s="31">
        <v>4.0</v>
      </c>
      <c r="AQ5" s="31">
        <v>3.0</v>
      </c>
      <c r="AR5" s="31">
        <v>3.0</v>
      </c>
      <c r="AS5" s="31">
        <v>8.0</v>
      </c>
      <c r="AT5" s="31">
        <v>7.0</v>
      </c>
      <c r="AU5" s="31">
        <v>11.0</v>
      </c>
      <c r="AV5" s="31">
        <v>11.0</v>
      </c>
      <c r="AW5" s="31">
        <v>9.0</v>
      </c>
      <c r="AX5" s="31">
        <v>9.0</v>
      </c>
      <c r="AY5" s="31">
        <v>8.0</v>
      </c>
      <c r="AZ5" s="31">
        <v>6.0</v>
      </c>
      <c r="BA5" s="31">
        <v>3.0</v>
      </c>
      <c r="BB5" s="31">
        <v>1.0</v>
      </c>
      <c r="BC5" s="31">
        <v>6.0</v>
      </c>
      <c r="BD5" s="31">
        <v>5.0</v>
      </c>
      <c r="BE5" s="31">
        <v>4.0</v>
      </c>
      <c r="BF5" s="31">
        <v>3.0</v>
      </c>
      <c r="BG5" s="31">
        <v>1.0</v>
      </c>
      <c r="BH5" s="31">
        <v>0.0</v>
      </c>
      <c r="BI5" s="31">
        <v>5.0</v>
      </c>
      <c r="BJ5" s="31">
        <v>5.0</v>
      </c>
      <c r="BK5" s="31">
        <v>1.0</v>
      </c>
      <c r="BL5" s="31">
        <v>0.0</v>
      </c>
      <c r="BM5" s="31"/>
      <c r="BN5" s="31"/>
    </row>
    <row r="6">
      <c r="A6" s="36" t="s">
        <v>135</v>
      </c>
      <c r="B6" s="36" t="s">
        <v>15</v>
      </c>
      <c r="C6" s="37" t="s">
        <v>22</v>
      </c>
      <c r="D6" s="60">
        <v>8.0</v>
      </c>
      <c r="E6" s="60">
        <v>4.0</v>
      </c>
      <c r="F6" s="60">
        <v>0.0</v>
      </c>
      <c r="G6" s="60">
        <v>6.0</v>
      </c>
      <c r="H6" s="60">
        <v>4.0</v>
      </c>
      <c r="I6" s="31">
        <v>5.0</v>
      </c>
      <c r="J6" s="31">
        <v>3.0</v>
      </c>
      <c r="K6" s="31">
        <v>0.0</v>
      </c>
      <c r="L6" s="31">
        <v>3.0</v>
      </c>
      <c r="M6" s="31">
        <v>2.0</v>
      </c>
      <c r="N6" s="31">
        <v>0.0</v>
      </c>
      <c r="O6" s="31">
        <v>3.0</v>
      </c>
      <c r="P6" s="31">
        <v>2.0</v>
      </c>
      <c r="Q6" s="39" t="s">
        <v>146</v>
      </c>
      <c r="R6" s="39">
        <v>4.0</v>
      </c>
      <c r="S6" s="39">
        <v>3.0</v>
      </c>
      <c r="T6" s="40">
        <v>2.0</v>
      </c>
      <c r="U6" s="31">
        <v>0.0</v>
      </c>
      <c r="V6" s="31">
        <v>0.0</v>
      </c>
      <c r="W6" s="31">
        <v>4.0</v>
      </c>
      <c r="X6" s="31">
        <v>1.0</v>
      </c>
      <c r="Y6" s="31">
        <v>7.0</v>
      </c>
      <c r="Z6" s="61">
        <v>5.0</v>
      </c>
      <c r="AA6" s="31">
        <v>4.0</v>
      </c>
      <c r="AB6" s="31">
        <v>1.0</v>
      </c>
      <c r="AC6" s="31">
        <v>7.0</v>
      </c>
      <c r="AD6" s="31"/>
      <c r="AE6" s="31">
        <v>6.0</v>
      </c>
      <c r="AF6" s="31">
        <v>6.0</v>
      </c>
      <c r="AG6" s="31">
        <v>5.0</v>
      </c>
      <c r="AH6" s="31">
        <v>6.0</v>
      </c>
      <c r="AI6" s="31">
        <v>7.0</v>
      </c>
      <c r="AJ6" s="31">
        <v>7.0</v>
      </c>
      <c r="AK6" s="31">
        <v>6.0</v>
      </c>
      <c r="AL6" s="31">
        <v>6.0</v>
      </c>
      <c r="AM6" s="31">
        <v>5.0</v>
      </c>
      <c r="AN6" s="31">
        <v>8.0</v>
      </c>
      <c r="AO6" s="31">
        <v>6.0</v>
      </c>
      <c r="AP6" s="31">
        <v>6.0</v>
      </c>
      <c r="AQ6" s="31">
        <v>5.0</v>
      </c>
      <c r="AR6" s="31">
        <v>5.0</v>
      </c>
      <c r="AS6" s="31">
        <v>10.0</v>
      </c>
      <c r="AT6" s="31">
        <v>9.0</v>
      </c>
      <c r="AU6" s="31">
        <v>12.0</v>
      </c>
      <c r="AV6" s="31">
        <v>12.0</v>
      </c>
      <c r="AW6" s="31">
        <v>11.0</v>
      </c>
      <c r="AX6" s="31">
        <v>9.0</v>
      </c>
      <c r="AY6" s="31">
        <v>8.0</v>
      </c>
      <c r="AZ6" s="31">
        <v>7.0</v>
      </c>
      <c r="BA6" s="31">
        <v>7.0</v>
      </c>
      <c r="BB6" s="31">
        <v>6.0</v>
      </c>
      <c r="BC6" s="31">
        <v>8.0</v>
      </c>
      <c r="BD6" s="31">
        <v>13.0</v>
      </c>
      <c r="BE6" s="31">
        <v>12.0</v>
      </c>
      <c r="BF6" s="31">
        <v>10.0</v>
      </c>
      <c r="BG6" s="31">
        <v>8.0</v>
      </c>
      <c r="BH6" s="31">
        <v>8.0</v>
      </c>
      <c r="BI6" s="31">
        <v>9.0</v>
      </c>
      <c r="BJ6" s="31">
        <v>9.0</v>
      </c>
      <c r="BK6" s="31">
        <v>8.0</v>
      </c>
      <c r="BL6" s="31">
        <v>7.0</v>
      </c>
      <c r="BM6" s="31"/>
      <c r="BN6" s="31"/>
    </row>
    <row r="7">
      <c r="A7" s="36" t="s">
        <v>135</v>
      </c>
      <c r="B7" s="36" t="s">
        <v>15</v>
      </c>
      <c r="C7" s="37" t="s">
        <v>23</v>
      </c>
      <c r="D7" s="60">
        <v>4.0</v>
      </c>
      <c r="E7" s="60">
        <v>3.0</v>
      </c>
      <c r="F7" s="60">
        <v>1.0</v>
      </c>
      <c r="G7" s="60">
        <v>0.0</v>
      </c>
      <c r="H7" s="60">
        <v>0.0</v>
      </c>
      <c r="I7" s="31">
        <v>0.0</v>
      </c>
      <c r="J7" s="31">
        <v>0.0</v>
      </c>
      <c r="K7" s="31">
        <v>0.0</v>
      </c>
      <c r="L7" s="31">
        <v>3.0</v>
      </c>
      <c r="M7" s="31">
        <v>1.0</v>
      </c>
      <c r="N7" s="31">
        <v>0.0</v>
      </c>
      <c r="O7" s="31">
        <v>0.0</v>
      </c>
      <c r="P7" s="31">
        <v>0.0</v>
      </c>
      <c r="Q7" s="39">
        <v>0.0</v>
      </c>
      <c r="R7" s="39">
        <v>3.0</v>
      </c>
      <c r="S7" s="39">
        <v>2.0</v>
      </c>
      <c r="T7" s="39">
        <v>2.0</v>
      </c>
      <c r="U7" s="31">
        <v>2.0</v>
      </c>
      <c r="V7" s="31">
        <v>2.0</v>
      </c>
      <c r="W7" s="31">
        <v>2.0</v>
      </c>
      <c r="X7" s="31">
        <v>2.0</v>
      </c>
      <c r="Y7" s="31">
        <v>2.0</v>
      </c>
      <c r="Z7" s="61">
        <v>2.0</v>
      </c>
      <c r="AA7" s="31">
        <v>2.0</v>
      </c>
      <c r="AB7" s="31">
        <v>1.0</v>
      </c>
      <c r="AC7" s="31">
        <v>4.0</v>
      </c>
      <c r="AD7" s="31"/>
      <c r="AE7" s="31">
        <v>4.0</v>
      </c>
      <c r="AF7" s="31">
        <v>4.0</v>
      </c>
      <c r="AG7" s="31">
        <v>4.0</v>
      </c>
      <c r="AH7" s="31">
        <v>4.0</v>
      </c>
      <c r="AI7" s="31">
        <v>3.0</v>
      </c>
      <c r="AJ7" s="31">
        <v>3.0</v>
      </c>
      <c r="AK7" s="31">
        <v>3.0</v>
      </c>
      <c r="AL7" s="31">
        <v>3.0</v>
      </c>
      <c r="AM7" s="31">
        <v>3.0</v>
      </c>
      <c r="AN7" s="31">
        <v>6.0</v>
      </c>
      <c r="AO7" s="31">
        <v>6.0</v>
      </c>
      <c r="AP7" s="31">
        <v>6.0</v>
      </c>
      <c r="AQ7" s="31">
        <v>6.0</v>
      </c>
      <c r="AR7" s="31">
        <v>6.0</v>
      </c>
      <c r="AS7" s="31">
        <v>6.0</v>
      </c>
      <c r="AT7" s="31">
        <v>6.0</v>
      </c>
      <c r="AU7" s="31">
        <v>6.0</v>
      </c>
      <c r="AV7" s="31">
        <v>6.0</v>
      </c>
      <c r="AW7" s="31">
        <v>6.0</v>
      </c>
      <c r="AX7" s="31">
        <v>6.0</v>
      </c>
      <c r="AY7" s="31">
        <v>6.0</v>
      </c>
      <c r="AZ7" s="31">
        <v>6.0</v>
      </c>
      <c r="BA7" s="31">
        <v>6.0</v>
      </c>
      <c r="BB7" s="31">
        <v>6.0</v>
      </c>
      <c r="BC7" s="31">
        <v>8.0</v>
      </c>
      <c r="BD7" s="31">
        <v>8.0</v>
      </c>
      <c r="BE7" s="31">
        <v>8.0</v>
      </c>
      <c r="BF7" s="31">
        <v>8.0</v>
      </c>
      <c r="BG7" s="31">
        <v>7.0</v>
      </c>
      <c r="BH7" s="31">
        <v>7.0</v>
      </c>
      <c r="BI7" s="31">
        <v>8.0</v>
      </c>
      <c r="BJ7" s="31">
        <v>8.0</v>
      </c>
      <c r="BK7" s="31">
        <v>7.0</v>
      </c>
      <c r="BL7" s="31">
        <v>7.0</v>
      </c>
      <c r="BM7" s="31"/>
      <c r="BN7" s="31"/>
    </row>
    <row r="8">
      <c r="A8" s="36" t="s">
        <v>135</v>
      </c>
      <c r="B8" s="36" t="s">
        <v>15</v>
      </c>
      <c r="C8" s="37" t="s">
        <v>24</v>
      </c>
      <c r="P8" s="31">
        <v>1.0</v>
      </c>
      <c r="Q8" s="39">
        <v>0.0</v>
      </c>
      <c r="T8" s="32"/>
      <c r="U8" s="31">
        <v>0.0</v>
      </c>
      <c r="V8" s="31">
        <v>0.0</v>
      </c>
      <c r="W8" s="31" t="s">
        <v>147</v>
      </c>
      <c r="Z8" s="61">
        <v>7.0</v>
      </c>
      <c r="AA8" s="31">
        <v>4.0</v>
      </c>
      <c r="AB8" s="31">
        <v>2.0</v>
      </c>
      <c r="AC8" s="61" t="s">
        <v>148</v>
      </c>
      <c r="AD8" s="31"/>
      <c r="AE8" s="31">
        <v>7.0</v>
      </c>
      <c r="AF8" s="31">
        <v>6.0</v>
      </c>
      <c r="AG8" s="31">
        <v>4.0</v>
      </c>
      <c r="AH8" s="31">
        <v>2.0</v>
      </c>
      <c r="AI8" s="31">
        <v>10.0</v>
      </c>
      <c r="AJ8" s="31">
        <v>7.0</v>
      </c>
      <c r="AK8" s="31">
        <v>4.0</v>
      </c>
      <c r="AL8" s="31">
        <v>4.0</v>
      </c>
      <c r="AM8" s="31">
        <v>2.0</v>
      </c>
      <c r="AN8" s="31">
        <v>14.0</v>
      </c>
      <c r="AO8" s="31">
        <v>12.0</v>
      </c>
      <c r="AP8" s="31">
        <v>6.0</v>
      </c>
      <c r="AQ8" s="31">
        <v>4.0</v>
      </c>
      <c r="AR8" s="31">
        <v>4.0</v>
      </c>
      <c r="AS8" s="31">
        <v>10.0</v>
      </c>
      <c r="AT8" s="31">
        <v>9.0</v>
      </c>
      <c r="AU8" s="31">
        <v>21.0</v>
      </c>
      <c r="AV8" s="31">
        <v>21.0</v>
      </c>
      <c r="AW8" s="31">
        <v>19.0</v>
      </c>
      <c r="AX8" s="31">
        <v>16.0</v>
      </c>
      <c r="AY8" s="31">
        <v>12.0</v>
      </c>
      <c r="AZ8" s="31">
        <v>7.0</v>
      </c>
      <c r="BA8" s="31">
        <v>6.0</v>
      </c>
      <c r="BB8" s="31">
        <v>4.0</v>
      </c>
      <c r="BC8" s="31">
        <v>18.0</v>
      </c>
      <c r="BD8" s="31">
        <v>14.0</v>
      </c>
      <c r="BE8" s="31">
        <v>10.0</v>
      </c>
      <c r="BF8" s="31">
        <v>6.0</v>
      </c>
      <c r="BG8" s="31">
        <v>2.0</v>
      </c>
      <c r="BH8" s="31">
        <v>2.0</v>
      </c>
      <c r="BI8" s="31">
        <v>16.0</v>
      </c>
      <c r="BJ8" s="31">
        <v>14.0</v>
      </c>
      <c r="BK8" s="31">
        <v>12.0</v>
      </c>
      <c r="BL8" s="31">
        <v>10.0</v>
      </c>
      <c r="BM8" s="31"/>
      <c r="BN8" s="31"/>
    </row>
    <row r="9">
      <c r="A9" s="36" t="s">
        <v>135</v>
      </c>
      <c r="B9" s="36" t="s">
        <v>15</v>
      </c>
      <c r="C9" s="37" t="s">
        <v>25</v>
      </c>
      <c r="D9" s="62"/>
      <c r="E9" s="62"/>
      <c r="F9" s="62"/>
      <c r="G9" s="62"/>
      <c r="H9" s="63"/>
      <c r="I9" s="62"/>
      <c r="J9" s="62"/>
      <c r="K9" s="62"/>
      <c r="L9" s="62"/>
      <c r="M9" s="62"/>
      <c r="N9" s="62"/>
      <c r="O9" s="62"/>
      <c r="P9" s="62"/>
      <c r="Q9" s="64"/>
      <c r="R9" s="64"/>
      <c r="S9" s="64"/>
      <c r="T9" s="64"/>
      <c r="U9" s="64"/>
      <c r="V9" s="64"/>
      <c r="W9" s="64"/>
      <c r="X9" s="64"/>
      <c r="Y9" s="64"/>
      <c r="Z9" s="65" t="s">
        <v>149</v>
      </c>
      <c r="AA9" s="65" t="s">
        <v>150</v>
      </c>
      <c r="AB9" s="65" t="s">
        <v>151</v>
      </c>
      <c r="AC9" s="65" t="s">
        <v>152</v>
      </c>
      <c r="AD9" s="32"/>
      <c r="AE9" s="32">
        <v>9.0</v>
      </c>
      <c r="AF9" s="32">
        <v>8.0</v>
      </c>
      <c r="AG9" s="32">
        <v>6.0</v>
      </c>
      <c r="AH9" s="32">
        <v>8.0</v>
      </c>
      <c r="AI9" s="32">
        <v>7.0</v>
      </c>
      <c r="AJ9" s="32">
        <v>6.0</v>
      </c>
      <c r="AK9" s="32">
        <v>5.0</v>
      </c>
      <c r="AL9" s="32">
        <v>4.0</v>
      </c>
      <c r="AM9" s="32">
        <v>1.0</v>
      </c>
      <c r="AN9" s="31">
        <v>1.0</v>
      </c>
      <c r="AO9" s="32">
        <v>0.0</v>
      </c>
      <c r="AP9" s="32">
        <v>0.0</v>
      </c>
      <c r="AQ9" s="32">
        <v>0.0</v>
      </c>
      <c r="AR9" s="32">
        <v>0.0</v>
      </c>
      <c r="AS9" s="32">
        <v>0.0</v>
      </c>
      <c r="AT9" s="32">
        <v>0.0</v>
      </c>
      <c r="AU9" s="32">
        <v>12.0</v>
      </c>
      <c r="AV9" s="32">
        <v>11.0</v>
      </c>
      <c r="AW9" s="32">
        <v>7.0</v>
      </c>
      <c r="AX9" s="32">
        <v>5.0</v>
      </c>
      <c r="AY9" s="32">
        <v>4.0</v>
      </c>
      <c r="AZ9" s="32">
        <v>2.0</v>
      </c>
      <c r="BA9" s="32">
        <v>0.0</v>
      </c>
      <c r="BB9" s="32">
        <v>0.0</v>
      </c>
      <c r="BC9" s="32">
        <v>14.0</v>
      </c>
      <c r="BD9" s="32">
        <v>12.0</v>
      </c>
      <c r="BE9" s="32">
        <v>9.0</v>
      </c>
      <c r="BF9" s="32">
        <v>7.0</v>
      </c>
      <c r="BG9" s="32">
        <v>2.0</v>
      </c>
      <c r="BH9" s="32">
        <v>0.0</v>
      </c>
      <c r="BI9" s="32">
        <v>22.0</v>
      </c>
      <c r="BJ9" s="32">
        <v>20.0</v>
      </c>
      <c r="BK9" s="32">
        <v>11.0</v>
      </c>
      <c r="BL9" s="32">
        <v>8.0</v>
      </c>
      <c r="BM9" s="32"/>
      <c r="BN9" s="32"/>
    </row>
    <row r="10">
      <c r="A10" s="36" t="s">
        <v>135</v>
      </c>
      <c r="B10" s="36" t="s">
        <v>15</v>
      </c>
      <c r="C10" s="37" t="s">
        <v>26</v>
      </c>
      <c r="Z10" s="6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2"/>
      <c r="AO10" s="31"/>
      <c r="AP10" s="31"/>
      <c r="AQ10" s="31"/>
      <c r="AR10" s="31"/>
      <c r="AS10" s="31"/>
      <c r="AT10" s="31"/>
      <c r="AU10" s="31"/>
      <c r="AV10" s="31"/>
      <c r="AW10" s="31"/>
      <c r="AX10" s="31"/>
      <c r="AY10" s="31"/>
      <c r="AZ10" s="31"/>
      <c r="BA10" s="31"/>
      <c r="BB10" s="31"/>
      <c r="BC10" s="31"/>
      <c r="BD10" s="31"/>
      <c r="BE10" s="31"/>
      <c r="BF10" s="31"/>
      <c r="BG10" s="31"/>
      <c r="BH10" s="31"/>
      <c r="BI10" s="31">
        <v>1.0</v>
      </c>
      <c r="BJ10" s="31">
        <v>1.0</v>
      </c>
      <c r="BK10" s="31">
        <v>1.0</v>
      </c>
      <c r="BL10" s="31">
        <v>1.0</v>
      </c>
      <c r="BM10" s="31"/>
      <c r="BN10" s="31"/>
    </row>
    <row r="11">
      <c r="A11" s="36" t="s">
        <v>135</v>
      </c>
      <c r="B11" s="36" t="s">
        <v>15</v>
      </c>
      <c r="C11" s="37" t="s">
        <v>27</v>
      </c>
      <c r="Z11" s="61">
        <v>2.0</v>
      </c>
      <c r="AA11" s="31">
        <v>2.0</v>
      </c>
      <c r="AB11" s="31">
        <v>1.0</v>
      </c>
      <c r="AC11" s="31">
        <v>0.0</v>
      </c>
      <c r="AD11" s="31"/>
      <c r="AE11" s="31">
        <v>0.0</v>
      </c>
      <c r="AF11" s="31">
        <v>0.0</v>
      </c>
      <c r="AG11" s="31">
        <v>0.0</v>
      </c>
      <c r="AH11" s="31">
        <v>0.0</v>
      </c>
      <c r="AI11" s="31">
        <v>3.0</v>
      </c>
      <c r="AJ11" s="31">
        <v>2.0</v>
      </c>
      <c r="AK11" s="31">
        <v>1.0</v>
      </c>
      <c r="AL11" s="31">
        <v>1.0</v>
      </c>
      <c r="AM11" s="31">
        <v>1.0</v>
      </c>
      <c r="AN11" s="32">
        <v>1.0</v>
      </c>
      <c r="AO11" s="31">
        <v>3.0</v>
      </c>
      <c r="AP11" s="31">
        <v>3.0</v>
      </c>
      <c r="AQ11" s="31">
        <v>2.0</v>
      </c>
      <c r="AR11" s="31">
        <v>2.0</v>
      </c>
      <c r="AS11" s="31">
        <v>2.0</v>
      </c>
      <c r="AT11" s="31">
        <v>2.0</v>
      </c>
      <c r="AU11" s="31">
        <v>3.0</v>
      </c>
      <c r="AV11" s="31">
        <v>3.0</v>
      </c>
      <c r="AW11" s="31">
        <v>2.0</v>
      </c>
      <c r="AX11" s="31">
        <v>2.0</v>
      </c>
      <c r="AY11" s="31">
        <v>1.0</v>
      </c>
      <c r="AZ11" s="31">
        <v>1.0</v>
      </c>
      <c r="BA11" s="31">
        <v>1.0</v>
      </c>
      <c r="BB11" s="31">
        <v>1.0</v>
      </c>
      <c r="BC11" s="31">
        <v>1.0</v>
      </c>
      <c r="BD11" s="31">
        <v>2.0</v>
      </c>
      <c r="BE11" s="31">
        <v>2.0</v>
      </c>
      <c r="BF11" s="31">
        <v>0.0</v>
      </c>
      <c r="BG11" s="31">
        <v>0.0</v>
      </c>
      <c r="BH11" s="31">
        <v>0.0</v>
      </c>
      <c r="BI11" s="31">
        <v>1.0</v>
      </c>
      <c r="BJ11" s="31">
        <v>0.0</v>
      </c>
      <c r="BK11" s="31">
        <v>0.0</v>
      </c>
      <c r="BL11" s="31">
        <v>0.0</v>
      </c>
      <c r="BM11" s="31"/>
      <c r="BN11" s="31"/>
    </row>
    <row r="12">
      <c r="A12" s="36" t="s">
        <v>135</v>
      </c>
      <c r="B12" s="36" t="s">
        <v>33</v>
      </c>
      <c r="C12" s="37" t="s">
        <v>34</v>
      </c>
      <c r="V12" s="31" t="s">
        <v>35</v>
      </c>
      <c r="W12" s="31" t="s">
        <v>35</v>
      </c>
      <c r="X12" s="31" t="s">
        <v>35</v>
      </c>
      <c r="Y12" s="31" t="s">
        <v>35</v>
      </c>
      <c r="Z12" s="31" t="s">
        <v>35</v>
      </c>
      <c r="AA12" s="31" t="s">
        <v>35</v>
      </c>
      <c r="AB12" s="31" t="s">
        <v>35</v>
      </c>
      <c r="AC12" s="31">
        <v>0.0</v>
      </c>
      <c r="AD12" s="31"/>
      <c r="AE12" s="31">
        <v>0.0</v>
      </c>
      <c r="AF12" s="31">
        <v>0.0</v>
      </c>
      <c r="AG12" s="31">
        <v>0.0</v>
      </c>
      <c r="AH12" s="31">
        <v>0.0</v>
      </c>
      <c r="AI12" s="31">
        <v>0.0</v>
      </c>
      <c r="AJ12" s="31">
        <v>0.0</v>
      </c>
      <c r="AK12" s="31">
        <v>0.0</v>
      </c>
      <c r="AL12" s="31">
        <v>0.0</v>
      </c>
      <c r="AM12" s="31">
        <v>0.0</v>
      </c>
      <c r="AN12" s="31">
        <v>1.0</v>
      </c>
      <c r="AO12" s="31">
        <v>3.0</v>
      </c>
      <c r="AP12" s="31">
        <v>2.0</v>
      </c>
      <c r="AQ12" s="31">
        <v>0.0</v>
      </c>
      <c r="AR12" s="31">
        <v>0.0</v>
      </c>
      <c r="AS12" s="31">
        <v>1.0</v>
      </c>
      <c r="AT12" s="31">
        <v>1.0</v>
      </c>
      <c r="AU12" s="31">
        <v>1.0</v>
      </c>
      <c r="AV12" s="31">
        <v>1.0</v>
      </c>
      <c r="AW12" s="31">
        <v>1.0</v>
      </c>
      <c r="AX12" s="31">
        <v>0.0</v>
      </c>
      <c r="AY12" s="31">
        <v>0.0</v>
      </c>
      <c r="AZ12" s="31">
        <v>0.0</v>
      </c>
      <c r="BA12" s="31">
        <v>0.0</v>
      </c>
      <c r="BB12" s="31">
        <v>0.0</v>
      </c>
      <c r="BC12" s="31">
        <v>1.0</v>
      </c>
      <c r="BD12" s="31">
        <v>2.0</v>
      </c>
      <c r="BE12" s="31">
        <v>2.0</v>
      </c>
      <c r="BF12" s="31">
        <v>1.0</v>
      </c>
      <c r="BG12" s="31">
        <v>1.0</v>
      </c>
      <c r="BH12" s="31">
        <v>1.0</v>
      </c>
      <c r="BI12" s="31">
        <v>1.0</v>
      </c>
      <c r="BJ12" s="31">
        <v>1.0</v>
      </c>
      <c r="BK12" s="31">
        <v>0.0</v>
      </c>
      <c r="BL12" s="31">
        <v>0.0</v>
      </c>
      <c r="BM12" s="31"/>
      <c r="BN12" s="31"/>
    </row>
    <row r="13">
      <c r="A13" s="36" t="s">
        <v>135</v>
      </c>
      <c r="B13" s="36" t="s">
        <v>33</v>
      </c>
      <c r="C13" s="37" t="s">
        <v>36</v>
      </c>
      <c r="V13" s="31" t="s">
        <v>35</v>
      </c>
      <c r="W13" s="31" t="s">
        <v>35</v>
      </c>
      <c r="X13" s="31" t="s">
        <v>35</v>
      </c>
      <c r="Y13" s="31" t="s">
        <v>35</v>
      </c>
      <c r="Z13" s="31" t="s">
        <v>35</v>
      </c>
      <c r="AA13" s="31" t="s">
        <v>35</v>
      </c>
      <c r="AB13" s="31" t="s">
        <v>35</v>
      </c>
      <c r="AC13" s="31">
        <v>1.0</v>
      </c>
      <c r="AD13" s="31"/>
      <c r="AE13" s="31">
        <v>1.0</v>
      </c>
      <c r="AF13" s="31">
        <v>1.0</v>
      </c>
      <c r="AG13" s="31">
        <v>1.0</v>
      </c>
      <c r="AH13" s="31">
        <v>1.0</v>
      </c>
      <c r="AI13" s="31">
        <v>1.0</v>
      </c>
      <c r="AJ13" s="31">
        <v>1.0</v>
      </c>
      <c r="AK13" s="31">
        <v>0.0</v>
      </c>
      <c r="AL13" s="31">
        <v>0.0</v>
      </c>
      <c r="AM13" s="31">
        <v>0.0</v>
      </c>
      <c r="AN13" s="31">
        <v>2.0</v>
      </c>
      <c r="AO13" s="31">
        <v>1.0</v>
      </c>
      <c r="AP13" s="31">
        <v>1.0</v>
      </c>
      <c r="AQ13" s="31">
        <v>1.0</v>
      </c>
      <c r="AR13" s="31">
        <v>1.0</v>
      </c>
      <c r="AS13" s="31">
        <v>1.0</v>
      </c>
      <c r="AT13" s="31">
        <v>1.0</v>
      </c>
      <c r="AU13" s="31">
        <v>1.0</v>
      </c>
      <c r="AV13" s="31">
        <v>1.0</v>
      </c>
      <c r="AW13" s="31">
        <v>1.0</v>
      </c>
      <c r="AX13" s="31">
        <v>1.0</v>
      </c>
      <c r="AY13" s="31">
        <v>1.0</v>
      </c>
      <c r="AZ13" s="31">
        <v>1.0</v>
      </c>
      <c r="BA13" s="31">
        <v>1.0</v>
      </c>
      <c r="BB13" s="31">
        <v>1.0</v>
      </c>
      <c r="BC13" s="31">
        <v>2.0</v>
      </c>
      <c r="BD13" s="31">
        <v>2.0</v>
      </c>
      <c r="BE13" s="31">
        <v>2.0</v>
      </c>
      <c r="BF13" s="31">
        <v>1.0</v>
      </c>
      <c r="BG13" s="31">
        <v>1.0</v>
      </c>
      <c r="BH13" s="31">
        <v>1.0</v>
      </c>
      <c r="BI13" s="31">
        <v>1.0</v>
      </c>
      <c r="BJ13" s="31">
        <v>1.0</v>
      </c>
      <c r="BK13" s="31">
        <v>1.0</v>
      </c>
      <c r="BL13" s="31">
        <v>1.0</v>
      </c>
      <c r="BM13" s="31"/>
      <c r="BN13" s="31"/>
    </row>
    <row r="14">
      <c r="A14" s="36" t="s">
        <v>135</v>
      </c>
      <c r="B14" s="36" t="s">
        <v>33</v>
      </c>
      <c r="C14" s="37" t="s">
        <v>37</v>
      </c>
      <c r="V14" s="31" t="s">
        <v>35</v>
      </c>
      <c r="W14" s="31" t="s">
        <v>35</v>
      </c>
      <c r="X14" s="31" t="s">
        <v>35</v>
      </c>
      <c r="Y14" s="31" t="s">
        <v>35</v>
      </c>
      <c r="Z14" s="31" t="s">
        <v>35</v>
      </c>
      <c r="AA14" s="31" t="s">
        <v>35</v>
      </c>
      <c r="AB14" s="31" t="s">
        <v>35</v>
      </c>
      <c r="AC14" s="31">
        <v>3.0</v>
      </c>
      <c r="AE14" s="31">
        <v>3.0</v>
      </c>
      <c r="AF14" s="31">
        <v>3.0</v>
      </c>
      <c r="AG14" s="31">
        <v>3.0</v>
      </c>
      <c r="AH14" s="31">
        <v>0.0</v>
      </c>
      <c r="AI14" s="31">
        <v>29.0</v>
      </c>
      <c r="AJ14" s="31">
        <v>27.0</v>
      </c>
      <c r="AK14" s="31">
        <v>25.0</v>
      </c>
      <c r="AL14" s="31">
        <v>24.0</v>
      </c>
      <c r="AM14" s="31">
        <v>21.0</v>
      </c>
      <c r="AN14" s="31">
        <v>45.0</v>
      </c>
      <c r="AO14" s="31">
        <v>42.0</v>
      </c>
      <c r="AP14" s="31">
        <v>40.0</v>
      </c>
      <c r="AQ14" s="31">
        <v>36.0</v>
      </c>
      <c r="AR14" s="31">
        <v>35.0</v>
      </c>
      <c r="AS14" s="31">
        <v>59.0</v>
      </c>
      <c r="AT14" s="31">
        <v>57.0</v>
      </c>
      <c r="AU14" s="31">
        <v>20.0</v>
      </c>
      <c r="AV14" s="31">
        <v>19.0</v>
      </c>
      <c r="AW14" s="31">
        <v>15.0</v>
      </c>
      <c r="AX14" s="31">
        <v>12.0</v>
      </c>
      <c r="AY14" s="31">
        <v>12.0</v>
      </c>
      <c r="AZ14" s="31">
        <v>9.0</v>
      </c>
      <c r="BA14" s="31">
        <v>6.0</v>
      </c>
      <c r="BB14" s="31">
        <v>5.0</v>
      </c>
      <c r="BC14" s="31">
        <v>12.0</v>
      </c>
      <c r="BD14" s="31">
        <v>12.0</v>
      </c>
      <c r="BE14" s="31">
        <v>12.0</v>
      </c>
      <c r="BF14" s="31">
        <v>10.0</v>
      </c>
      <c r="BG14" s="31">
        <v>7.0</v>
      </c>
      <c r="BH14" s="31">
        <v>7.0</v>
      </c>
      <c r="BI14" s="31">
        <v>18.0</v>
      </c>
      <c r="BJ14" s="31">
        <v>16.0</v>
      </c>
      <c r="BK14" s="31">
        <v>14.0</v>
      </c>
      <c r="BL14" s="31">
        <v>11.0</v>
      </c>
      <c r="BM14" s="31"/>
      <c r="BN14" s="31"/>
    </row>
    <row r="15">
      <c r="A15" s="36" t="s">
        <v>135</v>
      </c>
      <c r="B15" s="36" t="s">
        <v>33</v>
      </c>
      <c r="C15" s="37" t="s">
        <v>40</v>
      </c>
      <c r="V15" s="31"/>
      <c r="W15" s="31"/>
      <c r="X15" s="31"/>
      <c r="Y15" s="31"/>
      <c r="Z15" s="31"/>
      <c r="AA15" s="31"/>
      <c r="AB15" s="31"/>
      <c r="AC15" s="31"/>
      <c r="AE15" s="31"/>
      <c r="AF15" s="31"/>
      <c r="AG15" s="31"/>
      <c r="AH15" s="31"/>
      <c r="AI15" s="31"/>
      <c r="AJ15" s="31"/>
      <c r="AK15" s="31"/>
      <c r="AL15" s="31"/>
      <c r="AM15" s="31"/>
      <c r="AN15" s="31"/>
      <c r="AO15" s="31">
        <v>0.0</v>
      </c>
      <c r="AP15" s="31">
        <v>0.0</v>
      </c>
      <c r="AQ15" s="31">
        <v>0.0</v>
      </c>
      <c r="AR15" s="31">
        <v>0.0</v>
      </c>
      <c r="AS15" s="31">
        <v>0.0</v>
      </c>
      <c r="AT15" s="31">
        <v>0.0</v>
      </c>
      <c r="AU15" s="31">
        <v>20.0</v>
      </c>
      <c r="AV15" s="31">
        <v>19.0</v>
      </c>
      <c r="AW15" s="31">
        <v>15.0</v>
      </c>
      <c r="AX15" s="31">
        <v>14.0</v>
      </c>
      <c r="AY15" s="31">
        <v>14.0</v>
      </c>
      <c r="AZ15" s="31">
        <v>11.0</v>
      </c>
      <c r="BA15" s="31">
        <v>7.0</v>
      </c>
      <c r="BB15" s="31">
        <v>6.0</v>
      </c>
      <c r="BC15" s="31">
        <v>14.0</v>
      </c>
      <c r="BD15" s="31">
        <v>14.0</v>
      </c>
      <c r="BE15" s="31">
        <v>14.0</v>
      </c>
      <c r="BF15" s="31">
        <v>12.0</v>
      </c>
      <c r="BG15" s="31">
        <v>9.0</v>
      </c>
      <c r="BH15" s="31">
        <v>9.0</v>
      </c>
      <c r="BI15" s="31">
        <v>20.0</v>
      </c>
      <c r="BJ15" s="31">
        <v>18.0</v>
      </c>
      <c r="BK15" s="31">
        <v>16.0</v>
      </c>
      <c r="BL15" s="31">
        <v>14.0</v>
      </c>
      <c r="BM15" s="31"/>
      <c r="BN15" s="31"/>
    </row>
    <row r="16">
      <c r="A16" s="36" t="s">
        <v>135</v>
      </c>
      <c r="B16" s="36" t="s">
        <v>33</v>
      </c>
      <c r="C16" s="37" t="s">
        <v>43</v>
      </c>
      <c r="V16" s="31"/>
      <c r="W16" s="31"/>
      <c r="X16" s="31"/>
      <c r="Y16" s="31"/>
      <c r="Z16" s="31"/>
      <c r="AA16" s="31"/>
      <c r="AB16" s="31"/>
      <c r="AC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>
        <v>0.0</v>
      </c>
      <c r="AP16" s="31">
        <v>0.0</v>
      </c>
      <c r="AQ16" s="31">
        <v>0.0</v>
      </c>
      <c r="AR16" s="31">
        <v>0.0</v>
      </c>
      <c r="AS16" s="31">
        <v>0.0</v>
      </c>
      <c r="AT16" s="31">
        <v>0.0</v>
      </c>
      <c r="AU16" s="31">
        <v>30.0</v>
      </c>
      <c r="AV16" s="31">
        <v>29.0</v>
      </c>
      <c r="AW16" s="31">
        <v>15.0</v>
      </c>
      <c r="AX16" s="31">
        <v>13.0</v>
      </c>
      <c r="AY16" s="31">
        <v>13.0</v>
      </c>
      <c r="AZ16" s="31">
        <v>9.0</v>
      </c>
      <c r="BA16" s="31">
        <v>6.0</v>
      </c>
      <c r="BB16" s="31">
        <v>5.0</v>
      </c>
      <c r="BC16" s="31">
        <v>12.0</v>
      </c>
      <c r="BD16" s="31">
        <v>12.0</v>
      </c>
      <c r="BE16" s="31">
        <v>12.0</v>
      </c>
      <c r="BF16" s="31">
        <v>10.0</v>
      </c>
      <c r="BG16" s="31">
        <v>7.0</v>
      </c>
      <c r="BH16" s="31">
        <v>7.0</v>
      </c>
      <c r="BI16" s="31">
        <v>8.0</v>
      </c>
      <c r="BJ16" s="31">
        <v>6.0</v>
      </c>
      <c r="BK16" s="31">
        <v>4.0</v>
      </c>
      <c r="BL16" s="31">
        <v>2.0</v>
      </c>
      <c r="BM16" s="31"/>
      <c r="BN16" s="31"/>
    </row>
    <row r="17">
      <c r="A17" s="36" t="s">
        <v>135</v>
      </c>
      <c r="B17" s="36" t="s">
        <v>33</v>
      </c>
      <c r="C17" s="37" t="s">
        <v>46</v>
      </c>
      <c r="V17" s="31" t="s">
        <v>35</v>
      </c>
      <c r="W17" s="31" t="s">
        <v>35</v>
      </c>
      <c r="X17" s="31" t="s">
        <v>35</v>
      </c>
      <c r="Y17" s="31" t="s">
        <v>35</v>
      </c>
      <c r="Z17" s="31" t="s">
        <v>35</v>
      </c>
      <c r="AA17" s="31" t="s">
        <v>35</v>
      </c>
      <c r="AB17" s="31" t="s">
        <v>35</v>
      </c>
      <c r="AC17" s="31">
        <v>1.0</v>
      </c>
      <c r="AE17" s="31">
        <v>1.0</v>
      </c>
      <c r="AF17" s="31">
        <v>1.0</v>
      </c>
      <c r="AG17" s="31">
        <v>1.0</v>
      </c>
      <c r="AH17" s="31">
        <v>0.0</v>
      </c>
      <c r="AI17" s="31">
        <v>1.0</v>
      </c>
      <c r="AJ17" s="31">
        <v>0.0</v>
      </c>
      <c r="AK17" s="31">
        <v>0.0</v>
      </c>
      <c r="AL17" s="31">
        <v>0.0</v>
      </c>
      <c r="AM17" s="31">
        <v>0.0</v>
      </c>
      <c r="AN17" s="31">
        <v>2.0</v>
      </c>
      <c r="AO17" s="31">
        <v>1.0</v>
      </c>
      <c r="AP17" s="31">
        <v>1.0</v>
      </c>
      <c r="AQ17" s="31">
        <v>1.0</v>
      </c>
      <c r="AR17" s="31">
        <v>1.0</v>
      </c>
      <c r="AS17" s="31">
        <v>2.0</v>
      </c>
      <c r="AT17" s="31">
        <v>1.0</v>
      </c>
      <c r="AU17" s="31">
        <v>1.0</v>
      </c>
      <c r="AV17" s="31">
        <v>1.0</v>
      </c>
      <c r="AW17" s="31">
        <v>1.0</v>
      </c>
      <c r="AX17" s="31">
        <v>1.0</v>
      </c>
      <c r="AY17" s="31">
        <v>1.0</v>
      </c>
      <c r="AZ17" s="31">
        <v>1.0</v>
      </c>
      <c r="BA17" s="31">
        <v>2.0</v>
      </c>
      <c r="BB17" s="31">
        <v>2.0</v>
      </c>
      <c r="BC17" s="31">
        <v>2.0</v>
      </c>
      <c r="BD17" s="31">
        <v>1.0</v>
      </c>
      <c r="BE17" s="31">
        <v>0.0</v>
      </c>
      <c r="BF17" s="31">
        <v>0.0</v>
      </c>
      <c r="BG17" s="31">
        <v>0.0</v>
      </c>
      <c r="BH17" s="31">
        <v>0.0</v>
      </c>
      <c r="BI17" s="31">
        <v>2.0</v>
      </c>
      <c r="BJ17" s="31">
        <v>0.0</v>
      </c>
      <c r="BK17" s="31">
        <v>0.0</v>
      </c>
      <c r="BL17" s="31">
        <v>0.0</v>
      </c>
      <c r="BM17" s="31"/>
      <c r="BN17" s="31"/>
    </row>
    <row r="18">
      <c r="A18" s="36" t="s">
        <v>135</v>
      </c>
      <c r="B18" s="36" t="s">
        <v>33</v>
      </c>
      <c r="C18" s="37" t="s">
        <v>47</v>
      </c>
      <c r="V18" s="31" t="s">
        <v>35</v>
      </c>
      <c r="W18" s="31" t="s">
        <v>35</v>
      </c>
      <c r="X18" s="31" t="s">
        <v>35</v>
      </c>
      <c r="Y18" s="31" t="s">
        <v>35</v>
      </c>
      <c r="Z18" s="31" t="s">
        <v>35</v>
      </c>
      <c r="AA18" s="31" t="s">
        <v>35</v>
      </c>
      <c r="AB18" s="31" t="s">
        <v>35</v>
      </c>
      <c r="AC18" s="31">
        <v>1.0</v>
      </c>
      <c r="AE18" s="31">
        <v>1.0</v>
      </c>
      <c r="AF18" s="31">
        <v>1.0</v>
      </c>
      <c r="AG18" s="31">
        <v>1.0</v>
      </c>
      <c r="AH18" s="31">
        <v>1.0</v>
      </c>
      <c r="AI18" s="31">
        <v>3.0</v>
      </c>
      <c r="AJ18" s="31">
        <v>3.0</v>
      </c>
      <c r="AK18" s="31">
        <v>3.0</v>
      </c>
      <c r="AL18" s="31">
        <v>2.0</v>
      </c>
      <c r="AM18" s="31">
        <v>2.0</v>
      </c>
      <c r="AN18" s="31">
        <v>4.0</v>
      </c>
      <c r="AO18" s="31">
        <v>3.0</v>
      </c>
      <c r="AP18" s="31">
        <v>2.0</v>
      </c>
      <c r="AQ18" s="31">
        <v>2.0</v>
      </c>
      <c r="AR18" s="31">
        <v>1.0</v>
      </c>
      <c r="AS18" s="31">
        <v>3.0</v>
      </c>
      <c r="AT18" s="31">
        <v>3.0</v>
      </c>
      <c r="AU18" s="31">
        <v>2.0</v>
      </c>
      <c r="AV18" s="31">
        <v>2.0</v>
      </c>
      <c r="AW18" s="31">
        <v>2.0</v>
      </c>
      <c r="AX18" s="31">
        <v>2.0</v>
      </c>
      <c r="AY18" s="31">
        <v>2.0</v>
      </c>
      <c r="AZ18" s="31">
        <v>2.0</v>
      </c>
      <c r="BA18" s="31">
        <v>2.0</v>
      </c>
      <c r="BB18" s="31">
        <v>2.0</v>
      </c>
      <c r="BC18" s="31">
        <v>4.0</v>
      </c>
      <c r="BD18" s="31">
        <v>4.0</v>
      </c>
      <c r="BE18" s="31">
        <v>3.0</v>
      </c>
      <c r="BF18" s="31">
        <v>3.0</v>
      </c>
      <c r="BG18" s="31">
        <v>3.0</v>
      </c>
      <c r="BH18" s="31">
        <v>3.0</v>
      </c>
      <c r="BI18" s="31">
        <v>6.0</v>
      </c>
      <c r="BJ18" s="31">
        <v>6.0</v>
      </c>
      <c r="BK18" s="31">
        <v>5.0</v>
      </c>
      <c r="BL18" s="31">
        <v>4.0</v>
      </c>
      <c r="BM18" s="31"/>
      <c r="BN18" s="31"/>
    </row>
    <row r="19">
      <c r="A19" s="36"/>
      <c r="B19" s="37"/>
      <c r="C19" s="36"/>
      <c r="Z19" s="66"/>
    </row>
    <row r="20">
      <c r="Z20" s="66"/>
    </row>
    <row r="21">
      <c r="Z21" s="66"/>
    </row>
    <row r="22">
      <c r="A22" s="64"/>
      <c r="B22" s="64"/>
      <c r="C22" s="64"/>
      <c r="D22" s="64"/>
      <c r="E22" s="64"/>
      <c r="F22" s="64"/>
      <c r="G22" s="64"/>
      <c r="H22" s="67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8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  <c r="BH22" s="64"/>
      <c r="BI22" s="64"/>
      <c r="BJ22" s="64"/>
      <c r="BK22" s="64"/>
      <c r="BL22" s="64"/>
      <c r="BM22" s="64"/>
      <c r="BN22" s="64"/>
    </row>
    <row r="23">
      <c r="Z23" s="66"/>
    </row>
    <row r="24">
      <c r="Z24" s="66"/>
    </row>
    <row r="25">
      <c r="Z25" s="66"/>
    </row>
    <row r="26">
      <c r="A26" s="35"/>
      <c r="B26" s="35"/>
      <c r="C26" s="35"/>
      <c r="Z26" s="66"/>
    </row>
    <row r="27">
      <c r="A27" s="36"/>
      <c r="B27" s="37"/>
      <c r="C27" s="37"/>
      <c r="Z27" s="66"/>
    </row>
    <row r="28">
      <c r="A28" s="36"/>
      <c r="B28" s="37"/>
      <c r="C28" s="37"/>
      <c r="Z28" s="66"/>
    </row>
    <row r="29">
      <c r="A29" s="36"/>
      <c r="B29" s="37"/>
      <c r="C29" s="37"/>
      <c r="Z29" s="66"/>
    </row>
    <row r="30">
      <c r="A30" s="36"/>
      <c r="B30" s="37"/>
      <c r="C30" s="36"/>
      <c r="Z30" s="66"/>
    </row>
    <row r="31">
      <c r="Z31" s="66"/>
    </row>
    <row r="32">
      <c r="Z32" s="66"/>
    </row>
    <row r="33">
      <c r="A33" s="62"/>
      <c r="B33" s="62"/>
      <c r="C33" s="62"/>
      <c r="D33" s="62"/>
      <c r="E33" s="62"/>
      <c r="F33" s="62"/>
      <c r="G33" s="62"/>
      <c r="H33" s="63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9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</row>
    <row r="34">
      <c r="Z34" s="66"/>
    </row>
    <row r="35">
      <c r="Z35" s="66"/>
    </row>
    <row r="36">
      <c r="C36" s="70"/>
      <c r="Z36" s="66"/>
    </row>
    <row r="37">
      <c r="B37" s="35"/>
      <c r="C37" s="35"/>
      <c r="Z37" s="66"/>
    </row>
    <row r="38">
      <c r="A38" s="36"/>
      <c r="B38" s="37"/>
      <c r="C38" s="37"/>
      <c r="Z38" s="66"/>
    </row>
    <row r="39">
      <c r="A39" s="36"/>
      <c r="B39" s="37"/>
      <c r="C39" s="37"/>
      <c r="Z39" s="66"/>
    </row>
    <row r="40">
      <c r="A40" s="36"/>
      <c r="B40" s="37"/>
      <c r="C40" s="37"/>
      <c r="Z40" s="66"/>
    </row>
    <row r="41">
      <c r="A41" s="36"/>
      <c r="B41" s="37"/>
      <c r="C41" s="36"/>
      <c r="Z41" s="66"/>
    </row>
    <row r="42">
      <c r="Z42" s="66"/>
    </row>
    <row r="43">
      <c r="Z43" s="66"/>
    </row>
    <row r="44">
      <c r="A44" s="62"/>
      <c r="B44" s="62"/>
      <c r="C44" s="62"/>
      <c r="D44" s="62"/>
      <c r="E44" s="62"/>
      <c r="F44" s="62"/>
      <c r="G44" s="62"/>
      <c r="H44" s="63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9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</row>
    <row r="45">
      <c r="Z45" s="66"/>
    </row>
    <row r="46">
      <c r="Z46" s="66"/>
    </row>
    <row r="47">
      <c r="Z47" s="66"/>
    </row>
    <row r="48">
      <c r="Z48" s="66"/>
    </row>
    <row r="49">
      <c r="Z49" s="66"/>
    </row>
    <row r="50">
      <c r="Z50" s="66"/>
    </row>
    <row r="51">
      <c r="Z51" s="66"/>
    </row>
    <row r="52">
      <c r="Z52" s="66"/>
    </row>
    <row r="53">
      <c r="Z53" s="66"/>
    </row>
    <row r="54">
      <c r="Z54" s="66"/>
    </row>
    <row r="55">
      <c r="Z55" s="66"/>
    </row>
    <row r="56">
      <c r="Z56" s="66"/>
    </row>
    <row r="57">
      <c r="Z57" s="66"/>
    </row>
    <row r="58">
      <c r="Z58" s="66"/>
    </row>
    <row r="59">
      <c r="Z59" s="66"/>
    </row>
    <row r="60">
      <c r="Z60" s="66"/>
    </row>
    <row r="61">
      <c r="Z61" s="66"/>
    </row>
    <row r="62">
      <c r="Z62" s="66"/>
    </row>
    <row r="63">
      <c r="Z63" s="66"/>
    </row>
    <row r="64">
      <c r="Z64" s="66"/>
    </row>
    <row r="65">
      <c r="Z65" s="66"/>
    </row>
    <row r="66">
      <c r="Z66" s="66"/>
    </row>
    <row r="67">
      <c r="Z67" s="66"/>
    </row>
    <row r="68">
      <c r="Z68" s="66"/>
    </row>
    <row r="69">
      <c r="Z69" s="66"/>
    </row>
    <row r="70">
      <c r="Z70" s="66"/>
    </row>
    <row r="71">
      <c r="Z71" s="66"/>
    </row>
    <row r="72">
      <c r="Z72" s="66"/>
    </row>
    <row r="73">
      <c r="Z73" s="66"/>
    </row>
    <row r="74">
      <c r="Z74" s="66"/>
    </row>
    <row r="75">
      <c r="Z75" s="66"/>
    </row>
    <row r="76">
      <c r="Z76" s="66"/>
    </row>
    <row r="77">
      <c r="Z77" s="66"/>
    </row>
    <row r="78">
      <c r="Z78" s="66"/>
    </row>
    <row r="79">
      <c r="Z79" s="66"/>
    </row>
    <row r="80">
      <c r="Z80" s="66"/>
    </row>
    <row r="81">
      <c r="Z81" s="66"/>
    </row>
    <row r="82">
      <c r="Z82" s="66"/>
    </row>
    <row r="83">
      <c r="Z83" s="66"/>
    </row>
    <row r="84">
      <c r="Z84" s="66"/>
    </row>
    <row r="85">
      <c r="Z85" s="66"/>
    </row>
    <row r="86">
      <c r="Z86" s="66"/>
    </row>
    <row r="87">
      <c r="Z87" s="66"/>
    </row>
    <row r="88">
      <c r="Z88" s="66"/>
    </row>
    <row r="89">
      <c r="Z89" s="66"/>
    </row>
    <row r="90">
      <c r="Z90" s="66"/>
    </row>
    <row r="91">
      <c r="Z91" s="66"/>
    </row>
    <row r="92">
      <c r="Z92" s="66"/>
    </row>
    <row r="93">
      <c r="Z93" s="66"/>
    </row>
    <row r="94">
      <c r="Z94" s="66"/>
    </row>
    <row r="95">
      <c r="Z95" s="66"/>
    </row>
    <row r="96">
      <c r="Z96" s="66"/>
    </row>
    <row r="97">
      <c r="Z97" s="66"/>
    </row>
    <row r="98">
      <c r="Z98" s="66"/>
    </row>
    <row r="99">
      <c r="Z99" s="66"/>
    </row>
    <row r="100">
      <c r="Z100" s="66"/>
    </row>
    <row r="101">
      <c r="Z101" s="66"/>
    </row>
    <row r="102">
      <c r="Z102" s="66"/>
    </row>
    <row r="103">
      <c r="Z103" s="66"/>
    </row>
    <row r="104">
      <c r="Z104" s="66"/>
    </row>
    <row r="105">
      <c r="Z105" s="66"/>
    </row>
    <row r="106">
      <c r="Z106" s="66"/>
    </row>
    <row r="107">
      <c r="Z107" s="66"/>
    </row>
    <row r="108">
      <c r="Z108" s="66"/>
    </row>
    <row r="109">
      <c r="Z109" s="66"/>
    </row>
    <row r="110">
      <c r="Z110" s="66"/>
    </row>
    <row r="111">
      <c r="Z111" s="66"/>
    </row>
    <row r="112">
      <c r="Z112" s="66"/>
    </row>
    <row r="113">
      <c r="Z113" s="66"/>
    </row>
    <row r="114">
      <c r="Z114" s="66"/>
    </row>
    <row r="115">
      <c r="Z115" s="66"/>
    </row>
    <row r="116">
      <c r="Z116" s="66"/>
    </row>
    <row r="117">
      <c r="Z117" s="66"/>
    </row>
    <row r="118">
      <c r="Z118" s="66"/>
    </row>
    <row r="119">
      <c r="Z119" s="66"/>
    </row>
    <row r="120">
      <c r="Z120" s="66"/>
    </row>
    <row r="121">
      <c r="Z121" s="66"/>
    </row>
    <row r="122">
      <c r="Z122" s="66"/>
    </row>
    <row r="123">
      <c r="Z123" s="66"/>
    </row>
    <row r="124">
      <c r="Z124" s="66"/>
    </row>
    <row r="125">
      <c r="Z125" s="66"/>
    </row>
    <row r="126">
      <c r="Z126" s="66"/>
    </row>
    <row r="127">
      <c r="Z127" s="66"/>
    </row>
    <row r="128">
      <c r="Z128" s="66"/>
    </row>
    <row r="129">
      <c r="Z129" s="66"/>
    </row>
    <row r="130">
      <c r="Z130" s="66"/>
    </row>
    <row r="131">
      <c r="Z131" s="66"/>
    </row>
    <row r="132">
      <c r="Z132" s="66"/>
    </row>
    <row r="133">
      <c r="Z133" s="66"/>
    </row>
    <row r="134">
      <c r="Z134" s="66"/>
    </row>
    <row r="135">
      <c r="Z135" s="66"/>
    </row>
    <row r="136">
      <c r="Z136" s="66"/>
    </row>
    <row r="137">
      <c r="Z137" s="66"/>
    </row>
    <row r="138">
      <c r="Z138" s="66"/>
    </row>
    <row r="139">
      <c r="Z139" s="66"/>
    </row>
    <row r="140">
      <c r="Z140" s="66"/>
    </row>
    <row r="141">
      <c r="Z141" s="66"/>
    </row>
    <row r="142">
      <c r="Z142" s="66"/>
    </row>
    <row r="143">
      <c r="Z143" s="66"/>
    </row>
    <row r="144">
      <c r="Z144" s="66"/>
    </row>
    <row r="145">
      <c r="Z145" s="66"/>
    </row>
    <row r="146">
      <c r="Z146" s="66"/>
    </row>
    <row r="147">
      <c r="Z147" s="66"/>
    </row>
    <row r="148">
      <c r="Z148" s="66"/>
    </row>
    <row r="149">
      <c r="Z149" s="66"/>
    </row>
    <row r="150">
      <c r="Z150" s="66"/>
    </row>
    <row r="151">
      <c r="Z151" s="66"/>
    </row>
    <row r="152">
      <c r="Z152" s="66"/>
    </row>
    <row r="153">
      <c r="Z153" s="66"/>
    </row>
    <row r="154">
      <c r="Z154" s="66"/>
    </row>
    <row r="155">
      <c r="Z155" s="66"/>
    </row>
    <row r="156">
      <c r="Z156" s="66"/>
    </row>
    <row r="157">
      <c r="Z157" s="66"/>
    </row>
    <row r="158">
      <c r="Z158" s="66"/>
    </row>
    <row r="159">
      <c r="Z159" s="66"/>
    </row>
    <row r="160">
      <c r="Z160" s="66"/>
    </row>
    <row r="161">
      <c r="Z161" s="66"/>
    </row>
    <row r="162">
      <c r="Z162" s="66"/>
    </row>
    <row r="163">
      <c r="Z163" s="66"/>
    </row>
    <row r="164">
      <c r="Z164" s="66"/>
    </row>
    <row r="165">
      <c r="Z165" s="66"/>
    </row>
    <row r="166">
      <c r="Z166" s="66"/>
    </row>
    <row r="167">
      <c r="Z167" s="66"/>
    </row>
    <row r="168">
      <c r="Z168" s="66"/>
    </row>
    <row r="169">
      <c r="Z169" s="66"/>
    </row>
    <row r="170">
      <c r="Z170" s="66"/>
    </row>
    <row r="171">
      <c r="Z171" s="66"/>
    </row>
    <row r="172">
      <c r="Z172" s="66"/>
    </row>
    <row r="173">
      <c r="Z173" s="66"/>
    </row>
    <row r="174">
      <c r="Z174" s="66"/>
    </row>
    <row r="175">
      <c r="Z175" s="66"/>
    </row>
    <row r="176">
      <c r="Z176" s="66"/>
    </row>
    <row r="177">
      <c r="Z177" s="66"/>
    </row>
    <row r="178">
      <c r="Z178" s="66"/>
    </row>
    <row r="179">
      <c r="Z179" s="66"/>
    </row>
    <row r="180">
      <c r="Z180" s="66"/>
    </row>
    <row r="181">
      <c r="Z181" s="66"/>
    </row>
    <row r="182">
      <c r="Z182" s="66"/>
    </row>
    <row r="183">
      <c r="Z183" s="66"/>
    </row>
    <row r="184">
      <c r="Z184" s="66"/>
    </row>
    <row r="185">
      <c r="Z185" s="66"/>
    </row>
    <row r="186">
      <c r="Z186" s="66"/>
    </row>
    <row r="187">
      <c r="Z187" s="66"/>
    </row>
    <row r="188">
      <c r="Z188" s="66"/>
    </row>
    <row r="189">
      <c r="Z189" s="66"/>
    </row>
    <row r="190">
      <c r="Z190" s="66"/>
    </row>
    <row r="191">
      <c r="Z191" s="66"/>
    </row>
    <row r="192">
      <c r="Z192" s="66"/>
    </row>
    <row r="193">
      <c r="Z193" s="66"/>
    </row>
    <row r="194">
      <c r="Z194" s="66"/>
    </row>
    <row r="195">
      <c r="Z195" s="66"/>
    </row>
    <row r="196">
      <c r="Z196" s="66"/>
    </row>
    <row r="197">
      <c r="Z197" s="66"/>
    </row>
    <row r="198">
      <c r="Z198" s="66"/>
    </row>
    <row r="199">
      <c r="Z199" s="66"/>
    </row>
    <row r="200">
      <c r="Z200" s="66"/>
    </row>
    <row r="201">
      <c r="Z201" s="66"/>
    </row>
    <row r="202">
      <c r="Z202" s="66"/>
    </row>
    <row r="203">
      <c r="Z203" s="66"/>
    </row>
    <row r="204">
      <c r="Z204" s="66"/>
    </row>
    <row r="205">
      <c r="Z205" s="66"/>
    </row>
    <row r="206">
      <c r="Z206" s="66"/>
    </row>
    <row r="207">
      <c r="Z207" s="66"/>
    </row>
    <row r="208">
      <c r="Z208" s="66"/>
    </row>
    <row r="209">
      <c r="Z209" s="66"/>
    </row>
    <row r="210">
      <c r="Z210" s="66"/>
    </row>
    <row r="211">
      <c r="Z211" s="66"/>
    </row>
    <row r="212">
      <c r="Z212" s="66"/>
    </row>
    <row r="213">
      <c r="Z213" s="66"/>
    </row>
    <row r="214">
      <c r="Z214" s="66"/>
    </row>
    <row r="215">
      <c r="Z215" s="66"/>
    </row>
    <row r="216">
      <c r="Z216" s="66"/>
    </row>
    <row r="217">
      <c r="Z217" s="66"/>
    </row>
    <row r="218">
      <c r="Z218" s="66"/>
    </row>
    <row r="219">
      <c r="Z219" s="66"/>
    </row>
    <row r="220">
      <c r="Z220" s="66"/>
    </row>
    <row r="221">
      <c r="Z221" s="66"/>
    </row>
    <row r="222">
      <c r="Z222" s="66"/>
    </row>
    <row r="223">
      <c r="Z223" s="66"/>
    </row>
    <row r="224">
      <c r="Z224" s="66"/>
    </row>
    <row r="225">
      <c r="Z225" s="66"/>
    </row>
    <row r="226">
      <c r="Z226" s="66"/>
    </row>
    <row r="227">
      <c r="Z227" s="66"/>
    </row>
    <row r="228">
      <c r="Z228" s="66"/>
    </row>
    <row r="229">
      <c r="Z229" s="66"/>
    </row>
    <row r="230">
      <c r="Z230" s="66"/>
    </row>
    <row r="231">
      <c r="Z231" s="66"/>
    </row>
    <row r="232">
      <c r="Z232" s="66"/>
    </row>
    <row r="233">
      <c r="Z233" s="66"/>
    </row>
    <row r="234">
      <c r="Z234" s="66"/>
    </row>
    <row r="235">
      <c r="Z235" s="66"/>
    </row>
    <row r="236">
      <c r="Z236" s="66"/>
    </row>
    <row r="237">
      <c r="Z237" s="66"/>
    </row>
    <row r="238">
      <c r="Z238" s="66"/>
    </row>
    <row r="239">
      <c r="Z239" s="66"/>
    </row>
    <row r="240">
      <c r="Z240" s="66"/>
    </row>
    <row r="241">
      <c r="Z241" s="66"/>
    </row>
    <row r="242">
      <c r="Z242" s="66"/>
    </row>
    <row r="243">
      <c r="Z243" s="66"/>
    </row>
    <row r="244">
      <c r="Z244" s="66"/>
    </row>
    <row r="245">
      <c r="Z245" s="66"/>
    </row>
    <row r="246">
      <c r="Z246" s="66"/>
    </row>
    <row r="247">
      <c r="Z247" s="66"/>
    </row>
    <row r="248">
      <c r="Z248" s="66"/>
    </row>
    <row r="249">
      <c r="Z249" s="66"/>
    </row>
    <row r="250">
      <c r="Z250" s="66"/>
    </row>
    <row r="251">
      <c r="Z251" s="66"/>
    </row>
    <row r="252">
      <c r="Z252" s="66"/>
    </row>
    <row r="253">
      <c r="Z253" s="66"/>
    </row>
    <row r="254">
      <c r="Z254" s="66"/>
    </row>
    <row r="255">
      <c r="Z255" s="66"/>
    </row>
    <row r="256">
      <c r="Z256" s="66"/>
    </row>
    <row r="257">
      <c r="Z257" s="66"/>
    </row>
    <row r="258">
      <c r="Z258" s="66"/>
    </row>
    <row r="259">
      <c r="Z259" s="66"/>
    </row>
    <row r="260">
      <c r="Z260" s="66"/>
    </row>
    <row r="261">
      <c r="Z261" s="66"/>
    </row>
    <row r="262">
      <c r="Z262" s="66"/>
    </row>
    <row r="263">
      <c r="Z263" s="66"/>
    </row>
    <row r="264">
      <c r="Z264" s="66"/>
    </row>
    <row r="265">
      <c r="Z265" s="66"/>
    </row>
    <row r="266">
      <c r="Z266" s="66"/>
    </row>
    <row r="267">
      <c r="Z267" s="66"/>
    </row>
    <row r="268">
      <c r="Z268" s="66"/>
    </row>
    <row r="269">
      <c r="Z269" s="66"/>
    </row>
    <row r="270">
      <c r="Z270" s="66"/>
    </row>
    <row r="271">
      <c r="Z271" s="66"/>
    </row>
    <row r="272">
      <c r="Z272" s="66"/>
    </row>
    <row r="273">
      <c r="Z273" s="66"/>
    </row>
    <row r="274">
      <c r="Z274" s="66"/>
    </row>
    <row r="275">
      <c r="Z275" s="66"/>
    </row>
    <row r="276">
      <c r="Z276" s="66"/>
    </row>
    <row r="277">
      <c r="Z277" s="66"/>
    </row>
    <row r="278">
      <c r="Z278" s="66"/>
    </row>
    <row r="279">
      <c r="Z279" s="66"/>
    </row>
    <row r="280">
      <c r="Z280" s="66"/>
    </row>
    <row r="281">
      <c r="Z281" s="66"/>
    </row>
    <row r="282">
      <c r="Z282" s="66"/>
    </row>
    <row r="283">
      <c r="Z283" s="66"/>
    </row>
    <row r="284">
      <c r="Z284" s="66"/>
    </row>
    <row r="285">
      <c r="Z285" s="66"/>
    </row>
    <row r="286">
      <c r="Z286" s="66"/>
    </row>
    <row r="287">
      <c r="Z287" s="66"/>
    </row>
    <row r="288">
      <c r="Z288" s="66"/>
    </row>
    <row r="289">
      <c r="Z289" s="66"/>
    </row>
    <row r="290">
      <c r="Z290" s="66"/>
    </row>
    <row r="291">
      <c r="Z291" s="66"/>
    </row>
    <row r="292">
      <c r="Z292" s="66"/>
    </row>
    <row r="293">
      <c r="Z293" s="66"/>
    </row>
    <row r="294">
      <c r="Z294" s="66"/>
    </row>
    <row r="295">
      <c r="Z295" s="66"/>
    </row>
    <row r="296">
      <c r="Z296" s="66"/>
    </row>
    <row r="297">
      <c r="Z297" s="66"/>
    </row>
    <row r="298">
      <c r="Z298" s="66"/>
    </row>
    <row r="299">
      <c r="Z299" s="66"/>
    </row>
    <row r="300">
      <c r="Z300" s="66"/>
    </row>
    <row r="301">
      <c r="Z301" s="66"/>
    </row>
    <row r="302">
      <c r="Z302" s="66"/>
    </row>
    <row r="303">
      <c r="Z303" s="66"/>
    </row>
    <row r="304">
      <c r="Z304" s="66"/>
    </row>
    <row r="305">
      <c r="Z305" s="66"/>
    </row>
    <row r="306">
      <c r="Z306" s="66"/>
    </row>
    <row r="307">
      <c r="Z307" s="66"/>
    </row>
    <row r="308">
      <c r="Z308" s="66"/>
    </row>
    <row r="309">
      <c r="Z309" s="66"/>
    </row>
    <row r="310">
      <c r="Z310" s="66"/>
    </row>
    <row r="311">
      <c r="Z311" s="66"/>
    </row>
    <row r="312">
      <c r="Z312" s="66"/>
    </row>
    <row r="313">
      <c r="Z313" s="66"/>
    </row>
    <row r="314">
      <c r="Z314" s="66"/>
    </row>
    <row r="315">
      <c r="Z315" s="66"/>
    </row>
    <row r="316">
      <c r="Z316" s="66"/>
    </row>
    <row r="317">
      <c r="Z317" s="66"/>
    </row>
    <row r="318">
      <c r="Z318" s="66"/>
    </row>
    <row r="319">
      <c r="Z319" s="66"/>
    </row>
    <row r="320">
      <c r="Z320" s="66"/>
    </row>
    <row r="321">
      <c r="Z321" s="66"/>
    </row>
    <row r="322">
      <c r="Z322" s="66"/>
    </row>
    <row r="323">
      <c r="Z323" s="66"/>
    </row>
    <row r="324">
      <c r="Z324" s="66"/>
    </row>
    <row r="325">
      <c r="Z325" s="66"/>
    </row>
    <row r="326">
      <c r="Z326" s="66"/>
    </row>
    <row r="327">
      <c r="Z327" s="66"/>
    </row>
    <row r="328">
      <c r="Z328" s="66"/>
    </row>
    <row r="329">
      <c r="Z329" s="66"/>
    </row>
    <row r="330">
      <c r="Z330" s="66"/>
    </row>
    <row r="331">
      <c r="Z331" s="66"/>
    </row>
    <row r="332">
      <c r="Z332" s="66"/>
    </row>
    <row r="333">
      <c r="Z333" s="66"/>
    </row>
    <row r="334">
      <c r="Z334" s="66"/>
    </row>
    <row r="335">
      <c r="Z335" s="66"/>
    </row>
    <row r="336">
      <c r="Z336" s="66"/>
    </row>
    <row r="337">
      <c r="Z337" s="66"/>
    </row>
    <row r="338">
      <c r="Z338" s="66"/>
    </row>
    <row r="339">
      <c r="Z339" s="66"/>
    </row>
    <row r="340">
      <c r="Z340" s="66"/>
    </row>
    <row r="341">
      <c r="Z341" s="66"/>
    </row>
    <row r="342">
      <c r="Z342" s="66"/>
    </row>
    <row r="343">
      <c r="Z343" s="66"/>
    </row>
    <row r="344">
      <c r="Z344" s="66"/>
    </row>
    <row r="345">
      <c r="Z345" s="66"/>
    </row>
    <row r="346">
      <c r="Z346" s="66"/>
    </row>
    <row r="347">
      <c r="Z347" s="66"/>
    </row>
    <row r="348">
      <c r="Z348" s="66"/>
    </row>
    <row r="349">
      <c r="Z349" s="66"/>
    </row>
    <row r="350">
      <c r="Z350" s="66"/>
    </row>
    <row r="351">
      <c r="Z351" s="66"/>
    </row>
    <row r="352">
      <c r="Z352" s="66"/>
    </row>
    <row r="353">
      <c r="Z353" s="66"/>
    </row>
    <row r="354">
      <c r="Z354" s="66"/>
    </row>
    <row r="355">
      <c r="Z355" s="66"/>
    </row>
    <row r="356">
      <c r="Z356" s="66"/>
    </row>
    <row r="357">
      <c r="Z357" s="66"/>
    </row>
    <row r="358">
      <c r="Z358" s="66"/>
    </row>
    <row r="359">
      <c r="Z359" s="66"/>
    </row>
    <row r="360">
      <c r="Z360" s="66"/>
    </row>
    <row r="361">
      <c r="Z361" s="66"/>
    </row>
    <row r="362">
      <c r="Z362" s="66"/>
    </row>
    <row r="363">
      <c r="Z363" s="66"/>
    </row>
    <row r="364">
      <c r="Z364" s="66"/>
    </row>
    <row r="365">
      <c r="Z365" s="66"/>
    </row>
    <row r="366">
      <c r="Z366" s="66"/>
    </row>
    <row r="367">
      <c r="Z367" s="66"/>
    </row>
    <row r="368">
      <c r="Z368" s="66"/>
    </row>
    <row r="369">
      <c r="Z369" s="66"/>
    </row>
    <row r="370">
      <c r="Z370" s="66"/>
    </row>
    <row r="371">
      <c r="Z371" s="66"/>
    </row>
    <row r="372">
      <c r="Z372" s="66"/>
    </row>
    <row r="373">
      <c r="Z373" s="66"/>
    </row>
    <row r="374">
      <c r="Z374" s="66"/>
    </row>
    <row r="375">
      <c r="Z375" s="66"/>
    </row>
    <row r="376">
      <c r="Z376" s="66"/>
    </row>
    <row r="377">
      <c r="Z377" s="66"/>
    </row>
    <row r="378">
      <c r="Z378" s="66"/>
    </row>
    <row r="379">
      <c r="Z379" s="66"/>
    </row>
    <row r="380">
      <c r="Z380" s="66"/>
    </row>
    <row r="381">
      <c r="Z381" s="66"/>
    </row>
    <row r="382">
      <c r="Z382" s="66"/>
    </row>
    <row r="383">
      <c r="Z383" s="66"/>
    </row>
    <row r="384">
      <c r="Z384" s="66"/>
    </row>
    <row r="385">
      <c r="Z385" s="66"/>
    </row>
    <row r="386">
      <c r="Z386" s="66"/>
    </row>
    <row r="387">
      <c r="Z387" s="66"/>
    </row>
    <row r="388">
      <c r="Z388" s="66"/>
    </row>
    <row r="389">
      <c r="Z389" s="66"/>
    </row>
    <row r="390">
      <c r="Z390" s="66"/>
    </row>
    <row r="391">
      <c r="Z391" s="66"/>
    </row>
    <row r="392">
      <c r="Z392" s="66"/>
    </row>
    <row r="393">
      <c r="Z393" s="66"/>
    </row>
    <row r="394">
      <c r="Z394" s="66"/>
    </row>
    <row r="395">
      <c r="Z395" s="66"/>
    </row>
    <row r="396">
      <c r="Z396" s="66"/>
    </row>
    <row r="397">
      <c r="Z397" s="66"/>
    </row>
    <row r="398">
      <c r="Z398" s="66"/>
    </row>
    <row r="399">
      <c r="Z399" s="66"/>
    </row>
    <row r="400">
      <c r="Z400" s="66"/>
    </row>
    <row r="401">
      <c r="Z401" s="66"/>
    </row>
    <row r="402">
      <c r="Z402" s="66"/>
    </row>
    <row r="403">
      <c r="Z403" s="66"/>
    </row>
    <row r="404">
      <c r="Z404" s="66"/>
    </row>
    <row r="405">
      <c r="Z405" s="66"/>
    </row>
    <row r="406">
      <c r="Z406" s="66"/>
    </row>
    <row r="407">
      <c r="Z407" s="66"/>
    </row>
    <row r="408">
      <c r="Z408" s="66"/>
    </row>
    <row r="409">
      <c r="Z409" s="66"/>
    </row>
    <row r="410">
      <c r="Z410" s="66"/>
    </row>
    <row r="411">
      <c r="Z411" s="66"/>
    </row>
    <row r="412">
      <c r="Z412" s="66"/>
    </row>
    <row r="413">
      <c r="Z413" s="66"/>
    </row>
    <row r="414">
      <c r="Z414" s="66"/>
    </row>
    <row r="415">
      <c r="Z415" s="66"/>
    </row>
    <row r="416">
      <c r="Z416" s="66"/>
    </row>
    <row r="417">
      <c r="Z417" s="66"/>
    </row>
    <row r="418">
      <c r="Z418" s="66"/>
    </row>
    <row r="419">
      <c r="Z419" s="66"/>
    </row>
    <row r="420">
      <c r="Z420" s="66"/>
    </row>
    <row r="421">
      <c r="Z421" s="66"/>
    </row>
    <row r="422">
      <c r="Z422" s="66"/>
    </row>
    <row r="423">
      <c r="Z423" s="66"/>
    </row>
    <row r="424">
      <c r="Z424" s="66"/>
    </row>
    <row r="425">
      <c r="Z425" s="66"/>
    </row>
    <row r="426">
      <c r="Z426" s="66"/>
    </row>
    <row r="427">
      <c r="Z427" s="66"/>
    </row>
    <row r="428">
      <c r="Z428" s="66"/>
    </row>
    <row r="429">
      <c r="Z429" s="66"/>
    </row>
    <row r="430">
      <c r="Z430" s="66"/>
    </row>
    <row r="431">
      <c r="Z431" s="66"/>
    </row>
    <row r="432">
      <c r="Z432" s="66"/>
    </row>
    <row r="433">
      <c r="Z433" s="66"/>
    </row>
    <row r="434">
      <c r="Z434" s="66"/>
    </row>
    <row r="435">
      <c r="Z435" s="66"/>
    </row>
    <row r="436">
      <c r="Z436" s="66"/>
    </row>
    <row r="437">
      <c r="Z437" s="66"/>
    </row>
    <row r="438">
      <c r="Z438" s="66"/>
    </row>
    <row r="439">
      <c r="Z439" s="66"/>
    </row>
    <row r="440">
      <c r="Z440" s="66"/>
    </row>
    <row r="441">
      <c r="Z441" s="66"/>
    </row>
    <row r="442">
      <c r="Z442" s="66"/>
    </row>
    <row r="443">
      <c r="Z443" s="66"/>
    </row>
    <row r="444">
      <c r="Z444" s="66"/>
    </row>
    <row r="445">
      <c r="Z445" s="66"/>
    </row>
    <row r="446">
      <c r="Z446" s="66"/>
    </row>
    <row r="447">
      <c r="Z447" s="66"/>
    </row>
    <row r="448">
      <c r="Z448" s="66"/>
    </row>
    <row r="449">
      <c r="Z449" s="66"/>
    </row>
    <row r="450">
      <c r="Z450" s="66"/>
    </row>
    <row r="451">
      <c r="Z451" s="66"/>
    </row>
    <row r="452">
      <c r="Z452" s="66"/>
    </row>
    <row r="453">
      <c r="Z453" s="66"/>
    </row>
    <row r="454">
      <c r="Z454" s="66"/>
    </row>
    <row r="455">
      <c r="Z455" s="66"/>
    </row>
    <row r="456">
      <c r="Z456" s="66"/>
    </row>
    <row r="457">
      <c r="Z457" s="66"/>
    </row>
    <row r="458">
      <c r="Z458" s="66"/>
    </row>
    <row r="459">
      <c r="Z459" s="66"/>
    </row>
    <row r="460">
      <c r="Z460" s="66"/>
    </row>
    <row r="461">
      <c r="Z461" s="66"/>
    </row>
    <row r="462">
      <c r="Z462" s="66"/>
    </row>
    <row r="463">
      <c r="Z463" s="66"/>
    </row>
    <row r="464">
      <c r="Z464" s="66"/>
    </row>
    <row r="465">
      <c r="Z465" s="66"/>
    </row>
    <row r="466">
      <c r="Z466" s="66"/>
    </row>
    <row r="467">
      <c r="Z467" s="66"/>
    </row>
    <row r="468">
      <c r="Z468" s="66"/>
    </row>
    <row r="469">
      <c r="Z469" s="66"/>
    </row>
    <row r="470">
      <c r="Z470" s="66"/>
    </row>
    <row r="471">
      <c r="Z471" s="66"/>
    </row>
    <row r="472">
      <c r="Z472" s="66"/>
    </row>
    <row r="473">
      <c r="Z473" s="66"/>
    </row>
    <row r="474">
      <c r="Z474" s="66"/>
    </row>
    <row r="475">
      <c r="Z475" s="66"/>
    </row>
    <row r="476">
      <c r="Z476" s="66"/>
    </row>
    <row r="477">
      <c r="Z477" s="66"/>
    </row>
    <row r="478">
      <c r="Z478" s="66"/>
    </row>
    <row r="479">
      <c r="Z479" s="66"/>
    </row>
    <row r="480">
      <c r="Z480" s="66"/>
    </row>
    <row r="481">
      <c r="Z481" s="66"/>
    </row>
    <row r="482">
      <c r="Z482" s="66"/>
    </row>
    <row r="483">
      <c r="Z483" s="66"/>
    </row>
    <row r="484">
      <c r="Z484" s="66"/>
    </row>
    <row r="485">
      <c r="Z485" s="66"/>
    </row>
    <row r="486">
      <c r="Z486" s="66"/>
    </row>
    <row r="487">
      <c r="Z487" s="66"/>
    </row>
    <row r="488">
      <c r="Z488" s="66"/>
    </row>
    <row r="489">
      <c r="Z489" s="66"/>
    </row>
    <row r="490">
      <c r="Z490" s="66"/>
    </row>
    <row r="491">
      <c r="Z491" s="66"/>
    </row>
    <row r="492">
      <c r="Z492" s="66"/>
    </row>
    <row r="493">
      <c r="Z493" s="66"/>
    </row>
    <row r="494">
      <c r="Z494" s="66"/>
    </row>
    <row r="495">
      <c r="Z495" s="66"/>
    </row>
    <row r="496">
      <c r="Z496" s="66"/>
    </row>
    <row r="497">
      <c r="Z497" s="66"/>
    </row>
    <row r="498">
      <c r="Z498" s="66"/>
    </row>
    <row r="499">
      <c r="Z499" s="66"/>
    </row>
    <row r="500">
      <c r="Z500" s="66"/>
    </row>
    <row r="501">
      <c r="Z501" s="66"/>
    </row>
    <row r="502">
      <c r="Z502" s="66"/>
    </row>
    <row r="503">
      <c r="Z503" s="66"/>
    </row>
    <row r="504">
      <c r="Z504" s="66"/>
    </row>
    <row r="505">
      <c r="Z505" s="66"/>
    </row>
    <row r="506">
      <c r="Z506" s="66"/>
    </row>
    <row r="507">
      <c r="Z507" s="66"/>
    </row>
    <row r="508">
      <c r="Z508" s="66"/>
    </row>
    <row r="509">
      <c r="Z509" s="66"/>
    </row>
    <row r="510">
      <c r="Z510" s="66"/>
    </row>
    <row r="511">
      <c r="Z511" s="66"/>
    </row>
    <row r="512">
      <c r="Z512" s="66"/>
    </row>
    <row r="513">
      <c r="Z513" s="66"/>
    </row>
    <row r="514">
      <c r="Z514" s="66"/>
    </row>
    <row r="515">
      <c r="Z515" s="66"/>
    </row>
    <row r="516">
      <c r="Z516" s="66"/>
    </row>
    <row r="517">
      <c r="Z517" s="66"/>
    </row>
    <row r="518">
      <c r="Z518" s="66"/>
    </row>
    <row r="519">
      <c r="Z519" s="66"/>
    </row>
    <row r="520">
      <c r="Z520" s="66"/>
    </row>
    <row r="521">
      <c r="Z521" s="66"/>
    </row>
    <row r="522">
      <c r="Z522" s="66"/>
    </row>
    <row r="523">
      <c r="Z523" s="66"/>
    </row>
    <row r="524">
      <c r="Z524" s="66"/>
    </row>
    <row r="525">
      <c r="Z525" s="66"/>
    </row>
    <row r="526">
      <c r="Z526" s="66"/>
    </row>
    <row r="527">
      <c r="Z527" s="66"/>
    </row>
    <row r="528">
      <c r="Z528" s="66"/>
    </row>
    <row r="529">
      <c r="Z529" s="66"/>
    </row>
    <row r="530">
      <c r="Z530" s="66"/>
    </row>
    <row r="531">
      <c r="Z531" s="66"/>
    </row>
    <row r="532">
      <c r="Z532" s="66"/>
    </row>
    <row r="533">
      <c r="Z533" s="66"/>
    </row>
    <row r="534">
      <c r="Z534" s="66"/>
    </row>
    <row r="535">
      <c r="Z535" s="66"/>
    </row>
    <row r="536">
      <c r="Z536" s="66"/>
    </row>
    <row r="537">
      <c r="Z537" s="66"/>
    </row>
    <row r="538">
      <c r="Z538" s="66"/>
    </row>
    <row r="539">
      <c r="Z539" s="66"/>
    </row>
    <row r="540">
      <c r="Z540" s="66"/>
    </row>
    <row r="541">
      <c r="Z541" s="66"/>
    </row>
    <row r="542">
      <c r="Z542" s="66"/>
    </row>
    <row r="543">
      <c r="Z543" s="66"/>
    </row>
    <row r="544">
      <c r="Z544" s="66"/>
    </row>
    <row r="545">
      <c r="Z545" s="66"/>
    </row>
    <row r="546">
      <c r="Z546" s="66"/>
    </row>
    <row r="547">
      <c r="Z547" s="66"/>
    </row>
    <row r="548">
      <c r="Z548" s="66"/>
    </row>
    <row r="549">
      <c r="Z549" s="66"/>
    </row>
    <row r="550">
      <c r="Z550" s="66"/>
    </row>
    <row r="551">
      <c r="Z551" s="66"/>
    </row>
    <row r="552">
      <c r="Z552" s="66"/>
    </row>
    <row r="553">
      <c r="Z553" s="66"/>
    </row>
    <row r="554">
      <c r="Z554" s="66"/>
    </row>
    <row r="555">
      <c r="Z555" s="66"/>
    </row>
    <row r="556">
      <c r="Z556" s="66"/>
    </row>
    <row r="557">
      <c r="Z557" s="66"/>
    </row>
    <row r="558">
      <c r="Z558" s="66"/>
    </row>
    <row r="559">
      <c r="Z559" s="66"/>
    </row>
    <row r="560">
      <c r="Z560" s="66"/>
    </row>
    <row r="561">
      <c r="Z561" s="66"/>
    </row>
    <row r="562">
      <c r="Z562" s="66"/>
    </row>
    <row r="563">
      <c r="Z563" s="66"/>
    </row>
    <row r="564">
      <c r="Z564" s="66"/>
    </row>
    <row r="565">
      <c r="Z565" s="66"/>
    </row>
    <row r="566">
      <c r="Z566" s="66"/>
    </row>
    <row r="567">
      <c r="Z567" s="66"/>
    </row>
    <row r="568">
      <c r="Z568" s="66"/>
    </row>
    <row r="569">
      <c r="Z569" s="66"/>
    </row>
    <row r="570">
      <c r="Z570" s="66"/>
    </row>
    <row r="571">
      <c r="Z571" s="66"/>
    </row>
    <row r="572">
      <c r="Z572" s="66"/>
    </row>
    <row r="573">
      <c r="Z573" s="66"/>
    </row>
    <row r="574">
      <c r="Z574" s="66"/>
    </row>
    <row r="575">
      <c r="Z575" s="66"/>
    </row>
    <row r="576">
      <c r="Z576" s="66"/>
    </row>
    <row r="577">
      <c r="Z577" s="66"/>
    </row>
    <row r="578">
      <c r="Z578" s="66"/>
    </row>
    <row r="579">
      <c r="Z579" s="66"/>
    </row>
    <row r="580">
      <c r="Z580" s="66"/>
    </row>
    <row r="581">
      <c r="Z581" s="66"/>
    </row>
    <row r="582">
      <c r="Z582" s="66"/>
    </row>
    <row r="583">
      <c r="Z583" s="66"/>
    </row>
    <row r="584">
      <c r="Z584" s="66"/>
    </row>
    <row r="585">
      <c r="Z585" s="66"/>
    </row>
    <row r="586">
      <c r="Z586" s="66"/>
    </row>
    <row r="587">
      <c r="Z587" s="66"/>
    </row>
    <row r="588">
      <c r="Z588" s="66"/>
    </row>
    <row r="589">
      <c r="Z589" s="66"/>
    </row>
    <row r="590">
      <c r="Z590" s="66"/>
    </row>
    <row r="591">
      <c r="Z591" s="66"/>
    </row>
    <row r="592">
      <c r="Z592" s="66"/>
    </row>
    <row r="593">
      <c r="Z593" s="66"/>
    </row>
    <row r="594">
      <c r="Z594" s="66"/>
    </row>
    <row r="595">
      <c r="Z595" s="66"/>
    </row>
    <row r="596">
      <c r="Z596" s="66"/>
    </row>
    <row r="597">
      <c r="Z597" s="66"/>
    </row>
    <row r="598">
      <c r="Z598" s="66"/>
    </row>
    <row r="599">
      <c r="Z599" s="66"/>
    </row>
    <row r="600">
      <c r="Z600" s="66"/>
    </row>
    <row r="601">
      <c r="Z601" s="66"/>
    </row>
    <row r="602">
      <c r="Z602" s="66"/>
    </row>
    <row r="603">
      <c r="Z603" s="66"/>
    </row>
    <row r="604">
      <c r="Z604" s="66"/>
    </row>
    <row r="605">
      <c r="Z605" s="66"/>
    </row>
    <row r="606">
      <c r="Z606" s="66"/>
    </row>
    <row r="607">
      <c r="Z607" s="66"/>
    </row>
    <row r="608">
      <c r="Z608" s="66"/>
    </row>
    <row r="609">
      <c r="Z609" s="66"/>
    </row>
    <row r="610">
      <c r="Z610" s="66"/>
    </row>
    <row r="611">
      <c r="Z611" s="66"/>
    </row>
    <row r="612">
      <c r="Z612" s="66"/>
    </row>
    <row r="613">
      <c r="Z613" s="66"/>
    </row>
    <row r="614">
      <c r="Z614" s="66"/>
    </row>
    <row r="615">
      <c r="Z615" s="66"/>
    </row>
    <row r="616">
      <c r="Z616" s="66"/>
    </row>
    <row r="617">
      <c r="Z617" s="66"/>
    </row>
    <row r="618">
      <c r="Z618" s="66"/>
    </row>
    <row r="619">
      <c r="Z619" s="66"/>
    </row>
    <row r="620">
      <c r="Z620" s="66"/>
    </row>
    <row r="621">
      <c r="Z621" s="66"/>
    </row>
    <row r="622">
      <c r="Z622" s="66"/>
    </row>
    <row r="623">
      <c r="Z623" s="66"/>
    </row>
    <row r="624">
      <c r="Z624" s="66"/>
    </row>
    <row r="625">
      <c r="Z625" s="66"/>
    </row>
    <row r="626">
      <c r="Z626" s="66"/>
    </row>
    <row r="627">
      <c r="Z627" s="66"/>
    </row>
    <row r="628">
      <c r="Z628" s="66"/>
    </row>
    <row r="629">
      <c r="Z629" s="66"/>
    </row>
    <row r="630">
      <c r="Z630" s="66"/>
    </row>
    <row r="631">
      <c r="Z631" s="66"/>
    </row>
    <row r="632">
      <c r="Z632" s="66"/>
    </row>
    <row r="633">
      <c r="Z633" s="66"/>
    </row>
    <row r="634">
      <c r="Z634" s="66"/>
    </row>
    <row r="635">
      <c r="Z635" s="66"/>
    </row>
    <row r="636">
      <c r="Z636" s="66"/>
    </row>
    <row r="637">
      <c r="Z637" s="66"/>
    </row>
    <row r="638">
      <c r="Z638" s="66"/>
    </row>
    <row r="639">
      <c r="Z639" s="66"/>
    </row>
    <row r="640">
      <c r="Z640" s="66"/>
    </row>
    <row r="641">
      <c r="Z641" s="66"/>
    </row>
    <row r="642">
      <c r="Z642" s="66"/>
    </row>
    <row r="643">
      <c r="Z643" s="66"/>
    </row>
    <row r="644">
      <c r="Z644" s="66"/>
    </row>
    <row r="645">
      <c r="Z645" s="66"/>
    </row>
    <row r="646">
      <c r="Z646" s="66"/>
    </row>
    <row r="647">
      <c r="Z647" s="66"/>
    </row>
    <row r="648">
      <c r="Z648" s="66"/>
    </row>
    <row r="649">
      <c r="Z649" s="66"/>
    </row>
    <row r="650">
      <c r="Z650" s="66"/>
    </row>
    <row r="651">
      <c r="Z651" s="66"/>
    </row>
    <row r="652">
      <c r="Z652" s="66"/>
    </row>
    <row r="653">
      <c r="Z653" s="66"/>
    </row>
    <row r="654">
      <c r="Z654" s="66"/>
    </row>
    <row r="655">
      <c r="Z655" s="66"/>
    </row>
    <row r="656">
      <c r="Z656" s="66"/>
    </row>
    <row r="657">
      <c r="Z657" s="66"/>
    </row>
    <row r="658">
      <c r="Z658" s="66"/>
    </row>
    <row r="659">
      <c r="Z659" s="66"/>
    </row>
    <row r="660">
      <c r="Z660" s="66"/>
    </row>
    <row r="661">
      <c r="Z661" s="66"/>
    </row>
    <row r="662">
      <c r="Z662" s="66"/>
    </row>
    <row r="663">
      <c r="Z663" s="66"/>
    </row>
    <row r="664">
      <c r="Z664" s="66"/>
    </row>
    <row r="665">
      <c r="Z665" s="66"/>
    </row>
    <row r="666">
      <c r="Z666" s="66"/>
    </row>
    <row r="667">
      <c r="Z667" s="66"/>
    </row>
    <row r="668">
      <c r="Z668" s="66"/>
    </row>
    <row r="669">
      <c r="Z669" s="66"/>
    </row>
    <row r="670">
      <c r="Z670" s="66"/>
    </row>
    <row r="671">
      <c r="Z671" s="66"/>
    </row>
    <row r="672">
      <c r="Z672" s="66"/>
    </row>
    <row r="673">
      <c r="Z673" s="66"/>
    </row>
    <row r="674">
      <c r="Z674" s="66"/>
    </row>
    <row r="675">
      <c r="Z675" s="66"/>
    </row>
    <row r="676">
      <c r="Z676" s="66"/>
    </row>
    <row r="677">
      <c r="Z677" s="66"/>
    </row>
    <row r="678">
      <c r="Z678" s="66"/>
    </row>
    <row r="679">
      <c r="Z679" s="66"/>
    </row>
    <row r="680">
      <c r="Z680" s="66"/>
    </row>
    <row r="681">
      <c r="Z681" s="66"/>
    </row>
    <row r="682">
      <c r="Z682" s="66"/>
    </row>
    <row r="683">
      <c r="Z683" s="66"/>
    </row>
    <row r="684">
      <c r="Z684" s="66"/>
    </row>
    <row r="685">
      <c r="Z685" s="66"/>
    </row>
    <row r="686">
      <c r="Z686" s="66"/>
    </row>
    <row r="687">
      <c r="Z687" s="66"/>
    </row>
    <row r="688">
      <c r="Z688" s="66"/>
    </row>
    <row r="689">
      <c r="Z689" s="66"/>
    </row>
    <row r="690">
      <c r="Z690" s="66"/>
    </row>
    <row r="691">
      <c r="Z691" s="66"/>
    </row>
    <row r="692">
      <c r="Z692" s="66"/>
    </row>
    <row r="693">
      <c r="Z693" s="66"/>
    </row>
    <row r="694">
      <c r="Z694" s="66"/>
    </row>
    <row r="695">
      <c r="Z695" s="66"/>
    </row>
    <row r="696">
      <c r="Z696" s="66"/>
    </row>
    <row r="697">
      <c r="Z697" s="66"/>
    </row>
    <row r="698">
      <c r="Z698" s="66"/>
    </row>
    <row r="699">
      <c r="Z699" s="66"/>
    </row>
    <row r="700">
      <c r="Z700" s="66"/>
    </row>
    <row r="701">
      <c r="Z701" s="66"/>
    </row>
    <row r="702">
      <c r="Z702" s="66"/>
    </row>
    <row r="703">
      <c r="Z703" s="66"/>
    </row>
    <row r="704">
      <c r="Z704" s="66"/>
    </row>
    <row r="705">
      <c r="Z705" s="66"/>
    </row>
    <row r="706">
      <c r="Z706" s="66"/>
    </row>
    <row r="707">
      <c r="Z707" s="66"/>
    </row>
    <row r="708">
      <c r="Z708" s="66"/>
    </row>
    <row r="709">
      <c r="Z709" s="66"/>
    </row>
    <row r="710">
      <c r="Z710" s="66"/>
    </row>
    <row r="711">
      <c r="Z711" s="66"/>
    </row>
    <row r="712">
      <c r="Z712" s="66"/>
    </row>
    <row r="713">
      <c r="Z713" s="66"/>
    </row>
    <row r="714">
      <c r="Z714" s="66"/>
    </row>
    <row r="715">
      <c r="Z715" s="66"/>
    </row>
    <row r="716">
      <c r="Z716" s="66"/>
    </row>
    <row r="717">
      <c r="Z717" s="66"/>
    </row>
    <row r="718">
      <c r="Z718" s="66"/>
    </row>
    <row r="719">
      <c r="Z719" s="66"/>
    </row>
    <row r="720">
      <c r="Z720" s="66"/>
    </row>
    <row r="721">
      <c r="Z721" s="66"/>
    </row>
    <row r="722">
      <c r="Z722" s="66"/>
    </row>
    <row r="723">
      <c r="Z723" s="66"/>
    </row>
    <row r="724">
      <c r="Z724" s="66"/>
    </row>
    <row r="725">
      <c r="Z725" s="66"/>
    </row>
    <row r="726">
      <c r="Z726" s="66"/>
    </row>
    <row r="727">
      <c r="Z727" s="66"/>
    </row>
    <row r="728">
      <c r="Z728" s="66"/>
    </row>
    <row r="729">
      <c r="Z729" s="66"/>
    </row>
    <row r="730">
      <c r="Z730" s="66"/>
    </row>
    <row r="731">
      <c r="Z731" s="66"/>
    </row>
    <row r="732">
      <c r="Z732" s="66"/>
    </row>
    <row r="733">
      <c r="Z733" s="66"/>
    </row>
    <row r="734">
      <c r="Z734" s="66"/>
    </row>
    <row r="735">
      <c r="Z735" s="66"/>
    </row>
    <row r="736">
      <c r="Z736" s="66"/>
    </row>
    <row r="737">
      <c r="Z737" s="66"/>
    </row>
    <row r="738">
      <c r="Z738" s="66"/>
    </row>
    <row r="739">
      <c r="Z739" s="66"/>
    </row>
    <row r="740">
      <c r="Z740" s="66"/>
    </row>
    <row r="741">
      <c r="Z741" s="66"/>
    </row>
    <row r="742">
      <c r="Z742" s="66"/>
    </row>
    <row r="743">
      <c r="Z743" s="66"/>
    </row>
    <row r="744">
      <c r="Z744" s="66"/>
    </row>
    <row r="745">
      <c r="Z745" s="66"/>
    </row>
    <row r="746">
      <c r="Z746" s="66"/>
    </row>
    <row r="747">
      <c r="Z747" s="66"/>
    </row>
    <row r="748">
      <c r="Z748" s="66"/>
    </row>
    <row r="749">
      <c r="Z749" s="66"/>
    </row>
    <row r="750">
      <c r="Z750" s="66"/>
    </row>
    <row r="751">
      <c r="Z751" s="66"/>
    </row>
    <row r="752">
      <c r="Z752" s="66"/>
    </row>
    <row r="753">
      <c r="Z753" s="66"/>
    </row>
    <row r="754">
      <c r="Z754" s="66"/>
    </row>
    <row r="755">
      <c r="Z755" s="66"/>
    </row>
    <row r="756">
      <c r="Z756" s="66"/>
    </row>
    <row r="757">
      <c r="Z757" s="66"/>
    </row>
    <row r="758">
      <c r="Z758" s="66"/>
    </row>
    <row r="759">
      <c r="Z759" s="66"/>
    </row>
    <row r="760">
      <c r="Z760" s="66"/>
    </row>
    <row r="761">
      <c r="Z761" s="66"/>
    </row>
    <row r="762">
      <c r="Z762" s="66"/>
    </row>
    <row r="763">
      <c r="Z763" s="66"/>
    </row>
    <row r="764">
      <c r="Z764" s="66"/>
    </row>
    <row r="765">
      <c r="Z765" s="66"/>
    </row>
    <row r="766">
      <c r="Z766" s="66"/>
    </row>
    <row r="767">
      <c r="Z767" s="66"/>
    </row>
    <row r="768">
      <c r="Z768" s="66"/>
    </row>
    <row r="769">
      <c r="Z769" s="66"/>
    </row>
    <row r="770">
      <c r="Z770" s="66"/>
    </row>
    <row r="771">
      <c r="Z771" s="66"/>
    </row>
    <row r="772">
      <c r="Z772" s="66"/>
    </row>
    <row r="773">
      <c r="Z773" s="66"/>
    </row>
    <row r="774">
      <c r="Z774" s="66"/>
    </row>
    <row r="775">
      <c r="Z775" s="66"/>
    </row>
    <row r="776">
      <c r="Z776" s="66"/>
    </row>
    <row r="777">
      <c r="Z777" s="66"/>
    </row>
    <row r="778">
      <c r="Z778" s="66"/>
    </row>
    <row r="779">
      <c r="Z779" s="66"/>
    </row>
    <row r="780">
      <c r="Z780" s="66"/>
    </row>
    <row r="781">
      <c r="Z781" s="66"/>
    </row>
    <row r="782">
      <c r="Z782" s="66"/>
    </row>
    <row r="783">
      <c r="Z783" s="66"/>
    </row>
    <row r="784">
      <c r="Z784" s="66"/>
    </row>
    <row r="785">
      <c r="Z785" s="66"/>
    </row>
    <row r="786">
      <c r="Z786" s="66"/>
    </row>
    <row r="787">
      <c r="Z787" s="66"/>
    </row>
    <row r="788">
      <c r="Z788" s="66"/>
    </row>
    <row r="789">
      <c r="Z789" s="66"/>
    </row>
    <row r="790">
      <c r="Z790" s="66"/>
    </row>
    <row r="791">
      <c r="Z791" s="66"/>
    </row>
    <row r="792">
      <c r="Z792" s="66"/>
    </row>
    <row r="793">
      <c r="Z793" s="66"/>
    </row>
    <row r="794">
      <c r="Z794" s="66"/>
    </row>
    <row r="795">
      <c r="Z795" s="66"/>
    </row>
    <row r="796">
      <c r="Z796" s="66"/>
    </row>
    <row r="797">
      <c r="Z797" s="66"/>
    </row>
    <row r="798">
      <c r="Z798" s="66"/>
    </row>
    <row r="799">
      <c r="Z799" s="66"/>
    </row>
    <row r="800">
      <c r="Z800" s="66"/>
    </row>
    <row r="801">
      <c r="Z801" s="66"/>
    </row>
    <row r="802">
      <c r="Z802" s="66"/>
    </row>
    <row r="803">
      <c r="Z803" s="66"/>
    </row>
    <row r="804">
      <c r="Z804" s="66"/>
    </row>
    <row r="805">
      <c r="Z805" s="66"/>
    </row>
    <row r="806">
      <c r="Z806" s="66"/>
    </row>
    <row r="807">
      <c r="Z807" s="66"/>
    </row>
    <row r="808">
      <c r="Z808" s="66"/>
    </row>
    <row r="809">
      <c r="Z809" s="66"/>
    </row>
    <row r="810">
      <c r="Z810" s="66"/>
    </row>
    <row r="811">
      <c r="Z811" s="66"/>
    </row>
    <row r="812">
      <c r="Z812" s="66"/>
    </row>
    <row r="813">
      <c r="Z813" s="66"/>
    </row>
    <row r="814">
      <c r="Z814" s="66"/>
    </row>
    <row r="815">
      <c r="Z815" s="66"/>
    </row>
    <row r="816">
      <c r="Z816" s="66"/>
    </row>
    <row r="817">
      <c r="Z817" s="66"/>
    </row>
    <row r="818">
      <c r="Z818" s="66"/>
    </row>
    <row r="819">
      <c r="Z819" s="66"/>
    </row>
    <row r="820">
      <c r="Z820" s="66"/>
    </row>
    <row r="821">
      <c r="Z821" s="66"/>
    </row>
    <row r="822">
      <c r="Z822" s="66"/>
    </row>
    <row r="823">
      <c r="Z823" s="66"/>
    </row>
    <row r="824">
      <c r="Z824" s="66"/>
    </row>
    <row r="825">
      <c r="Z825" s="66"/>
    </row>
    <row r="826">
      <c r="Z826" s="66"/>
    </row>
    <row r="827">
      <c r="Z827" s="66"/>
    </row>
    <row r="828">
      <c r="Z828" s="66"/>
    </row>
    <row r="829">
      <c r="Z829" s="66"/>
    </row>
    <row r="830">
      <c r="Z830" s="66"/>
    </row>
    <row r="831">
      <c r="Z831" s="66"/>
    </row>
    <row r="832">
      <c r="Z832" s="66"/>
    </row>
    <row r="833">
      <c r="Z833" s="66"/>
    </row>
    <row r="834">
      <c r="Z834" s="66"/>
    </row>
    <row r="835">
      <c r="Z835" s="66"/>
    </row>
    <row r="836">
      <c r="Z836" s="66"/>
    </row>
    <row r="837">
      <c r="Z837" s="66"/>
    </row>
    <row r="838">
      <c r="Z838" s="66"/>
    </row>
    <row r="839">
      <c r="Z839" s="66"/>
    </row>
    <row r="840">
      <c r="Z840" s="66"/>
    </row>
    <row r="841">
      <c r="Z841" s="66"/>
    </row>
    <row r="842">
      <c r="Z842" s="66"/>
    </row>
    <row r="843">
      <c r="Z843" s="66"/>
    </row>
    <row r="844">
      <c r="Z844" s="66"/>
    </row>
    <row r="845">
      <c r="Z845" s="66"/>
    </row>
    <row r="846">
      <c r="Z846" s="66"/>
    </row>
    <row r="847">
      <c r="Z847" s="66"/>
    </row>
    <row r="848">
      <c r="Z848" s="66"/>
    </row>
    <row r="849">
      <c r="Z849" s="66"/>
    </row>
    <row r="850">
      <c r="Z850" s="66"/>
    </row>
    <row r="851">
      <c r="Z851" s="66"/>
    </row>
    <row r="852">
      <c r="Z852" s="66"/>
    </row>
    <row r="853">
      <c r="Z853" s="66"/>
    </row>
    <row r="854">
      <c r="Z854" s="66"/>
    </row>
    <row r="855">
      <c r="Z855" s="66"/>
    </row>
    <row r="856">
      <c r="Z856" s="66"/>
    </row>
    <row r="857">
      <c r="Z857" s="66"/>
    </row>
    <row r="858">
      <c r="Z858" s="66"/>
    </row>
    <row r="859">
      <c r="Z859" s="66"/>
    </row>
    <row r="860">
      <c r="Z860" s="66"/>
    </row>
    <row r="861">
      <c r="Z861" s="66"/>
    </row>
    <row r="862">
      <c r="Z862" s="66"/>
    </row>
    <row r="863">
      <c r="Z863" s="66"/>
    </row>
    <row r="864">
      <c r="Z864" s="66"/>
    </row>
    <row r="865">
      <c r="Z865" s="66"/>
    </row>
    <row r="866">
      <c r="Z866" s="66"/>
    </row>
    <row r="867">
      <c r="Z867" s="66"/>
    </row>
    <row r="868">
      <c r="Z868" s="66"/>
    </row>
    <row r="869">
      <c r="Z869" s="66"/>
    </row>
    <row r="870">
      <c r="Z870" s="66"/>
    </row>
    <row r="871">
      <c r="Z871" s="66"/>
    </row>
    <row r="872">
      <c r="Z872" s="66"/>
    </row>
    <row r="873">
      <c r="Z873" s="66"/>
    </row>
    <row r="874">
      <c r="Z874" s="66"/>
    </row>
    <row r="875">
      <c r="Z875" s="66"/>
    </row>
    <row r="876">
      <c r="Z876" s="66"/>
    </row>
    <row r="877">
      <c r="Z877" s="66"/>
    </row>
    <row r="878">
      <c r="Z878" s="66"/>
    </row>
    <row r="879">
      <c r="Z879" s="66"/>
    </row>
    <row r="880">
      <c r="Z880" s="66"/>
    </row>
    <row r="881">
      <c r="Z881" s="66"/>
    </row>
    <row r="882">
      <c r="Z882" s="66"/>
    </row>
    <row r="883">
      <c r="Z883" s="66"/>
    </row>
    <row r="884">
      <c r="Z884" s="66"/>
    </row>
    <row r="885">
      <c r="Z885" s="66"/>
    </row>
    <row r="886">
      <c r="Z886" s="66"/>
    </row>
    <row r="887">
      <c r="Z887" s="66"/>
    </row>
    <row r="888">
      <c r="Z888" s="66"/>
    </row>
    <row r="889">
      <c r="Z889" s="66"/>
    </row>
    <row r="890">
      <c r="Z890" s="66"/>
    </row>
    <row r="891">
      <c r="Z891" s="66"/>
    </row>
    <row r="892">
      <c r="Z892" s="66"/>
    </row>
    <row r="893">
      <c r="Z893" s="66"/>
    </row>
    <row r="894">
      <c r="Z894" s="66"/>
    </row>
    <row r="895">
      <c r="Z895" s="66"/>
    </row>
    <row r="896">
      <c r="Z896" s="66"/>
    </row>
    <row r="897">
      <c r="Z897" s="66"/>
    </row>
    <row r="898">
      <c r="Z898" s="66"/>
    </row>
    <row r="899">
      <c r="Z899" s="66"/>
    </row>
    <row r="900">
      <c r="Z900" s="66"/>
    </row>
    <row r="901">
      <c r="Z901" s="66"/>
    </row>
    <row r="902">
      <c r="Z902" s="66"/>
    </row>
    <row r="903">
      <c r="Z903" s="66"/>
    </row>
    <row r="904">
      <c r="Z904" s="66"/>
    </row>
    <row r="905">
      <c r="Z905" s="66"/>
    </row>
    <row r="906">
      <c r="Z906" s="66"/>
    </row>
    <row r="907">
      <c r="Z907" s="66"/>
    </row>
    <row r="908">
      <c r="Z908" s="66"/>
    </row>
    <row r="909">
      <c r="Z909" s="66"/>
    </row>
    <row r="910">
      <c r="Z910" s="66"/>
    </row>
    <row r="911">
      <c r="Z911" s="66"/>
    </row>
    <row r="912">
      <c r="Z912" s="66"/>
    </row>
    <row r="913">
      <c r="Z913" s="66"/>
    </row>
    <row r="914">
      <c r="Z914" s="66"/>
    </row>
    <row r="915">
      <c r="Z915" s="66"/>
    </row>
    <row r="916">
      <c r="Z916" s="66"/>
    </row>
    <row r="917">
      <c r="Z917" s="66"/>
    </row>
    <row r="918">
      <c r="Z918" s="66"/>
    </row>
    <row r="919">
      <c r="Z919" s="66"/>
    </row>
    <row r="920">
      <c r="Z920" s="66"/>
    </row>
    <row r="921">
      <c r="Z921" s="66"/>
    </row>
    <row r="922">
      <c r="Z922" s="66"/>
    </row>
    <row r="923">
      <c r="Z923" s="66"/>
    </row>
    <row r="924">
      <c r="Z924" s="66"/>
    </row>
    <row r="925">
      <c r="Z925" s="66"/>
    </row>
    <row r="926">
      <c r="Z926" s="66"/>
    </row>
    <row r="927">
      <c r="Z927" s="66"/>
    </row>
    <row r="928">
      <c r="Z928" s="66"/>
    </row>
    <row r="929">
      <c r="Z929" s="66"/>
    </row>
    <row r="930">
      <c r="Z930" s="66"/>
    </row>
    <row r="931">
      <c r="Z931" s="66"/>
    </row>
    <row r="932">
      <c r="Z932" s="66"/>
    </row>
    <row r="933">
      <c r="Z933" s="66"/>
    </row>
    <row r="934">
      <c r="Z934" s="66"/>
    </row>
    <row r="935">
      <c r="Z935" s="66"/>
    </row>
    <row r="936">
      <c r="Z936" s="66"/>
    </row>
    <row r="937">
      <c r="Z937" s="66"/>
    </row>
    <row r="938">
      <c r="Z938" s="66"/>
    </row>
    <row r="939">
      <c r="Z939" s="66"/>
    </row>
    <row r="940">
      <c r="Z940" s="66"/>
    </row>
    <row r="941">
      <c r="Z941" s="66"/>
    </row>
    <row r="942">
      <c r="Z942" s="66"/>
    </row>
    <row r="943">
      <c r="Z943" s="66"/>
    </row>
    <row r="944">
      <c r="Z944" s="66"/>
    </row>
    <row r="945">
      <c r="Z945" s="66"/>
    </row>
    <row r="946">
      <c r="Z946" s="66"/>
    </row>
    <row r="947">
      <c r="Z947" s="66"/>
    </row>
    <row r="948">
      <c r="Z948" s="66"/>
    </row>
    <row r="949">
      <c r="Z949" s="66"/>
    </row>
    <row r="950">
      <c r="Z950" s="66"/>
    </row>
    <row r="951">
      <c r="Z951" s="66"/>
    </row>
    <row r="952">
      <c r="Z952" s="66"/>
    </row>
    <row r="953">
      <c r="Z953" s="66"/>
    </row>
    <row r="954">
      <c r="Z954" s="66"/>
    </row>
    <row r="955">
      <c r="Z955" s="66"/>
    </row>
    <row r="956">
      <c r="Z956" s="66"/>
    </row>
    <row r="957">
      <c r="Z957" s="66"/>
    </row>
    <row r="958">
      <c r="Z958" s="66"/>
    </row>
    <row r="959">
      <c r="Z959" s="66"/>
    </row>
    <row r="960">
      <c r="Z960" s="66"/>
    </row>
    <row r="961">
      <c r="Z961" s="66"/>
    </row>
    <row r="962">
      <c r="Z962" s="66"/>
    </row>
    <row r="963">
      <c r="Z963" s="66"/>
    </row>
    <row r="964">
      <c r="Z964" s="66"/>
    </row>
    <row r="965">
      <c r="Z965" s="66"/>
    </row>
    <row r="966">
      <c r="Z966" s="66"/>
    </row>
    <row r="967">
      <c r="Z967" s="66"/>
    </row>
    <row r="968">
      <c r="Z968" s="66"/>
    </row>
    <row r="969">
      <c r="Z969" s="66"/>
    </row>
    <row r="970">
      <c r="Z970" s="66"/>
    </row>
    <row r="971">
      <c r="Z971" s="66"/>
    </row>
    <row r="972">
      <c r="Z972" s="66"/>
    </row>
    <row r="973">
      <c r="Z973" s="66"/>
    </row>
    <row r="974">
      <c r="Z974" s="66"/>
    </row>
    <row r="975">
      <c r="Z975" s="66"/>
    </row>
    <row r="976">
      <c r="Z976" s="66"/>
    </row>
    <row r="977">
      <c r="Z977" s="66"/>
    </row>
    <row r="978">
      <c r="Z978" s="66"/>
    </row>
    <row r="979">
      <c r="Z979" s="66"/>
    </row>
    <row r="980">
      <c r="Z980" s="66"/>
    </row>
    <row r="981">
      <c r="Z981" s="66"/>
    </row>
    <row r="982">
      <c r="Z982" s="66"/>
    </row>
    <row r="983">
      <c r="Z983" s="66"/>
    </row>
    <row r="984">
      <c r="Z984" s="66"/>
    </row>
    <row r="985">
      <c r="Z985" s="66"/>
    </row>
    <row r="986">
      <c r="Z986" s="66"/>
    </row>
    <row r="987">
      <c r="Z987" s="66"/>
    </row>
  </sheetData>
  <dataValidations>
    <dataValidation type="list" allowBlank="1" showErrorMessage="1" sqref="B4:B18">
      <formula1>"Cafeteria,Aseo"</formula1>
    </dataValidation>
  </dataValidations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7.13"/>
    <col customWidth="1" min="3" max="3" width="25.13"/>
    <col hidden="1" min="4" max="48" width="12.63"/>
  </cols>
  <sheetData>
    <row r="1">
      <c r="A1" s="26"/>
      <c r="B1" s="26"/>
      <c r="C1" s="27"/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</row>
    <row r="2">
      <c r="A2" s="26"/>
      <c r="B2" s="26"/>
      <c r="C2" s="27"/>
      <c r="D2" s="34">
        <v>45811.0</v>
      </c>
      <c r="E2" s="34">
        <f>D2+6</f>
        <v>45817</v>
      </c>
      <c r="F2" s="34">
        <f t="shared" ref="F2:L2" si="1">E2+7</f>
        <v>45824</v>
      </c>
      <c r="G2" s="34">
        <f t="shared" si="1"/>
        <v>45831</v>
      </c>
      <c r="H2" s="34">
        <f t="shared" si="1"/>
        <v>45838</v>
      </c>
      <c r="I2" s="34">
        <f t="shared" si="1"/>
        <v>45845</v>
      </c>
      <c r="J2" s="34">
        <f t="shared" si="1"/>
        <v>45852</v>
      </c>
      <c r="K2" s="34">
        <f t="shared" si="1"/>
        <v>45859</v>
      </c>
      <c r="L2" s="34">
        <f t="shared" si="1"/>
        <v>45866</v>
      </c>
      <c r="M2" s="33">
        <v>45873.0</v>
      </c>
      <c r="N2" s="33">
        <v>45880.0</v>
      </c>
      <c r="O2" s="33">
        <v>45887.0</v>
      </c>
      <c r="P2" s="33">
        <v>45894.0</v>
      </c>
      <c r="Q2" s="71">
        <v>45915.0</v>
      </c>
      <c r="R2" s="72">
        <v>45922.0</v>
      </c>
      <c r="S2" s="72">
        <v>45929.0</v>
      </c>
      <c r="T2" s="72">
        <f t="shared" ref="T2:X2" si="2">S2+7</f>
        <v>45936</v>
      </c>
      <c r="U2" s="72">
        <f t="shared" si="2"/>
        <v>45943</v>
      </c>
      <c r="V2" s="72">
        <f t="shared" si="2"/>
        <v>45950</v>
      </c>
      <c r="W2" s="72">
        <f t="shared" si="2"/>
        <v>45957</v>
      </c>
      <c r="X2" s="72">
        <f t="shared" si="2"/>
        <v>45964</v>
      </c>
      <c r="Y2" s="72">
        <v>45971.0</v>
      </c>
      <c r="Z2" s="72">
        <v>45978.0</v>
      </c>
      <c r="AA2" s="72">
        <v>45981.0</v>
      </c>
      <c r="AB2" s="72">
        <v>45985.0</v>
      </c>
      <c r="AC2" s="72">
        <v>45987.0</v>
      </c>
      <c r="AD2" s="72">
        <v>45988.0</v>
      </c>
      <c r="AE2" s="33">
        <v>45993.0</v>
      </c>
      <c r="AF2" s="33">
        <v>45996.0</v>
      </c>
      <c r="AG2" s="33">
        <v>46000.0</v>
      </c>
      <c r="AH2" s="72">
        <v>46006.0</v>
      </c>
      <c r="AI2" s="72">
        <v>46013.0</v>
      </c>
      <c r="AJ2" s="72">
        <v>46020.0</v>
      </c>
      <c r="AK2" s="34">
        <v>46027.0</v>
      </c>
      <c r="AL2" s="72">
        <v>46030.0</v>
      </c>
      <c r="AM2" s="72">
        <v>46034.0</v>
      </c>
      <c r="AN2" s="34">
        <v>46037.0</v>
      </c>
      <c r="AO2" s="33">
        <v>46041.0</v>
      </c>
      <c r="AP2" s="33">
        <v>46051.0</v>
      </c>
      <c r="AQ2" s="72">
        <v>46055.0</v>
      </c>
      <c r="AR2" s="72">
        <v>46065.0</v>
      </c>
      <c r="AS2" s="72">
        <v>46069.0</v>
      </c>
      <c r="AT2" s="72">
        <v>46072.0</v>
      </c>
      <c r="AU2" s="72">
        <v>46076.0</v>
      </c>
      <c r="AV2" s="72">
        <v>46079.0</v>
      </c>
      <c r="AW2" s="72">
        <v>46083.0</v>
      </c>
      <c r="AX2" s="72">
        <v>46086.0</v>
      </c>
      <c r="AY2" s="72">
        <v>46090.0</v>
      </c>
      <c r="AZ2" s="72">
        <v>46091.0</v>
      </c>
      <c r="BA2" s="72">
        <v>46093.0</v>
      </c>
      <c r="BB2" s="72">
        <v>46097.0</v>
      </c>
      <c r="BC2" s="72">
        <v>46100.0</v>
      </c>
      <c r="BD2" s="72">
        <v>46104.0</v>
      </c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35" t="s">
        <v>11</v>
      </c>
      <c r="L3" s="35" t="s">
        <v>11</v>
      </c>
      <c r="M3" s="35" t="s">
        <v>11</v>
      </c>
      <c r="N3" s="35" t="s">
        <v>11</v>
      </c>
      <c r="O3" s="35" t="s">
        <v>11</v>
      </c>
      <c r="P3" s="35" t="s">
        <v>11</v>
      </c>
      <c r="Q3" s="35" t="s">
        <v>11</v>
      </c>
      <c r="R3" s="35" t="s">
        <v>11</v>
      </c>
      <c r="S3" s="35" t="s">
        <v>11</v>
      </c>
      <c r="T3" s="35" t="s">
        <v>11</v>
      </c>
      <c r="U3" s="35" t="s">
        <v>11</v>
      </c>
      <c r="V3" s="35" t="s">
        <v>11</v>
      </c>
      <c r="W3" s="35" t="s">
        <v>11</v>
      </c>
      <c r="X3" s="35" t="s">
        <v>11</v>
      </c>
      <c r="Y3" s="35" t="s">
        <v>11</v>
      </c>
      <c r="Z3" s="35" t="s">
        <v>11</v>
      </c>
      <c r="AA3" s="35" t="s">
        <v>11</v>
      </c>
      <c r="AB3" s="35" t="s">
        <v>11</v>
      </c>
      <c r="AC3" s="59" t="s">
        <v>11</v>
      </c>
      <c r="AD3" s="59" t="s">
        <v>11</v>
      </c>
      <c r="AE3" s="35" t="s">
        <v>11</v>
      </c>
      <c r="AF3" s="35" t="s">
        <v>11</v>
      </c>
      <c r="AG3" s="35" t="s">
        <v>11</v>
      </c>
      <c r="AH3" s="35" t="s">
        <v>11</v>
      </c>
      <c r="AI3" s="35" t="s">
        <v>11</v>
      </c>
      <c r="AJ3" s="35" t="s">
        <v>11</v>
      </c>
      <c r="AK3" s="35" t="s">
        <v>11</v>
      </c>
      <c r="AL3" s="35" t="s">
        <v>11</v>
      </c>
      <c r="AM3" s="35" t="s">
        <v>11</v>
      </c>
      <c r="AN3" s="35" t="s">
        <v>11</v>
      </c>
      <c r="AO3" s="35" t="s">
        <v>11</v>
      </c>
      <c r="AP3" s="35" t="s">
        <v>11</v>
      </c>
      <c r="AQ3" s="35" t="s">
        <v>11</v>
      </c>
      <c r="AR3" s="35" t="s">
        <v>11</v>
      </c>
      <c r="AS3" s="35" t="s">
        <v>11</v>
      </c>
      <c r="AT3" s="35" t="s">
        <v>11</v>
      </c>
      <c r="AU3" s="35" t="s">
        <v>11</v>
      </c>
      <c r="AV3" s="35" t="s">
        <v>11</v>
      </c>
      <c r="AW3" s="35" t="s">
        <v>11</v>
      </c>
      <c r="AX3" s="35" t="s">
        <v>11</v>
      </c>
      <c r="AY3" s="35" t="s">
        <v>11</v>
      </c>
      <c r="AZ3" s="35" t="s">
        <v>11</v>
      </c>
      <c r="BA3" s="35" t="s">
        <v>11</v>
      </c>
      <c r="BB3" s="35" t="s">
        <v>11</v>
      </c>
      <c r="BC3" s="35" t="s">
        <v>11</v>
      </c>
      <c r="BD3" s="35" t="s">
        <v>11</v>
      </c>
    </row>
    <row r="4">
      <c r="A4" s="36" t="s">
        <v>153</v>
      </c>
      <c r="B4" s="36" t="s">
        <v>154</v>
      </c>
      <c r="C4" s="37" t="s">
        <v>16</v>
      </c>
      <c r="D4" s="60" t="s">
        <v>155</v>
      </c>
      <c r="E4" s="60" t="s">
        <v>155</v>
      </c>
      <c r="F4" s="60" t="s">
        <v>155</v>
      </c>
      <c r="G4" s="60" t="s">
        <v>155</v>
      </c>
      <c r="H4" s="38">
        <v>0.0</v>
      </c>
      <c r="I4" s="60" t="s">
        <v>155</v>
      </c>
      <c r="J4" s="60" t="s">
        <v>155</v>
      </c>
      <c r="K4" s="60" t="s">
        <v>155</v>
      </c>
      <c r="L4" s="60" t="s">
        <v>155</v>
      </c>
      <c r="M4" s="60" t="s">
        <v>156</v>
      </c>
      <c r="N4" s="73">
        <v>0.0</v>
      </c>
      <c r="O4" s="73">
        <v>0.0</v>
      </c>
      <c r="P4" s="73">
        <v>0.0</v>
      </c>
      <c r="Q4" s="31">
        <v>0.0</v>
      </c>
      <c r="R4" s="31">
        <v>0.0</v>
      </c>
      <c r="S4" s="31">
        <v>2.0</v>
      </c>
      <c r="T4" s="31">
        <v>0.0</v>
      </c>
      <c r="U4" s="31">
        <v>0.0</v>
      </c>
      <c r="V4" s="31">
        <v>0.0</v>
      </c>
      <c r="W4" s="31">
        <v>0.0</v>
      </c>
      <c r="X4" s="31">
        <v>1.0</v>
      </c>
      <c r="Y4" s="31">
        <v>1.0</v>
      </c>
      <c r="Z4" s="61" t="s">
        <v>157</v>
      </c>
      <c r="AA4" s="31"/>
      <c r="AB4" s="61" t="s">
        <v>157</v>
      </c>
      <c r="AC4" s="61" t="s">
        <v>158</v>
      </c>
      <c r="AD4" s="61" t="s">
        <v>159</v>
      </c>
      <c r="AE4" s="61" t="s">
        <v>160</v>
      </c>
      <c r="AF4" s="61" t="s">
        <v>159</v>
      </c>
      <c r="AG4" s="61" t="s">
        <v>157</v>
      </c>
      <c r="AH4" s="61" t="s">
        <v>161</v>
      </c>
      <c r="AI4" s="61" t="s">
        <v>157</v>
      </c>
      <c r="AJ4" s="61" t="s">
        <v>157</v>
      </c>
      <c r="AK4" s="61" t="s">
        <v>161</v>
      </c>
      <c r="AL4" s="61" t="s">
        <v>157</v>
      </c>
      <c r="AM4" s="61" t="s">
        <v>161</v>
      </c>
      <c r="AN4" s="61" t="s">
        <v>157</v>
      </c>
      <c r="AO4" s="61" t="s">
        <v>161</v>
      </c>
      <c r="AP4" s="61" t="s">
        <v>161</v>
      </c>
      <c r="AQ4" s="61" t="s">
        <v>159</v>
      </c>
      <c r="AR4" s="61" t="s">
        <v>157</v>
      </c>
      <c r="AS4" s="61" t="s">
        <v>157</v>
      </c>
      <c r="AT4" s="61" t="s">
        <v>157</v>
      </c>
      <c r="AU4" s="61" t="s">
        <v>157</v>
      </c>
      <c r="AV4" s="61" t="s">
        <v>161</v>
      </c>
      <c r="AW4" s="61" t="s">
        <v>161</v>
      </c>
      <c r="AX4" s="61" t="s">
        <v>159</v>
      </c>
      <c r="AY4" s="61" t="s">
        <v>157</v>
      </c>
      <c r="AZ4" s="61" t="s">
        <v>157</v>
      </c>
      <c r="BA4" s="61" t="s">
        <v>158</v>
      </c>
      <c r="BB4" s="61" t="s">
        <v>157</v>
      </c>
      <c r="BC4" s="61" t="s">
        <v>159</v>
      </c>
      <c r="BD4" s="61" t="s">
        <v>162</v>
      </c>
      <c r="BE4" s="31"/>
      <c r="BF4" s="31"/>
    </row>
    <row r="5">
      <c r="A5" s="36" t="s">
        <v>153</v>
      </c>
      <c r="B5" s="36" t="s">
        <v>15</v>
      </c>
      <c r="C5" s="37" t="s">
        <v>21</v>
      </c>
      <c r="D5" s="60" t="s">
        <v>163</v>
      </c>
      <c r="E5" s="60" t="s">
        <v>164</v>
      </c>
      <c r="F5" s="60" t="s">
        <v>165</v>
      </c>
      <c r="G5" s="60" t="s">
        <v>166</v>
      </c>
      <c r="H5" s="38">
        <v>0.0</v>
      </c>
      <c r="I5" s="60" t="s">
        <v>163</v>
      </c>
      <c r="J5" s="60" t="s">
        <v>164</v>
      </c>
      <c r="K5" s="60" t="s">
        <v>167</v>
      </c>
      <c r="L5" s="60" t="s">
        <v>168</v>
      </c>
      <c r="M5" s="60" t="s">
        <v>164</v>
      </c>
      <c r="N5" s="73">
        <v>0.0</v>
      </c>
      <c r="O5" s="73">
        <v>0.0</v>
      </c>
      <c r="P5" s="73">
        <v>0.0</v>
      </c>
      <c r="Q5" s="31">
        <v>0.0</v>
      </c>
      <c r="R5" s="31">
        <v>0.0</v>
      </c>
      <c r="S5" s="31">
        <v>0.0</v>
      </c>
      <c r="T5" s="31">
        <v>0.0</v>
      </c>
      <c r="U5" s="31">
        <v>0.0</v>
      </c>
      <c r="V5" s="31">
        <v>0.0</v>
      </c>
      <c r="W5" s="31">
        <v>3.0</v>
      </c>
      <c r="X5" s="31">
        <v>2.0</v>
      </c>
      <c r="Y5" s="31">
        <v>2.0</v>
      </c>
      <c r="Z5" s="31">
        <v>0.0</v>
      </c>
      <c r="AA5" s="61" t="s">
        <v>160</v>
      </c>
      <c r="AB5" s="61" t="s">
        <v>160</v>
      </c>
      <c r="AC5" s="61" t="s">
        <v>160</v>
      </c>
      <c r="AD5" s="61" t="s">
        <v>160</v>
      </c>
      <c r="AE5" s="61" t="s">
        <v>169</v>
      </c>
      <c r="AF5" s="61" t="s">
        <v>165</v>
      </c>
      <c r="AG5" s="61" t="s">
        <v>167</v>
      </c>
      <c r="AH5" s="61" t="s">
        <v>170</v>
      </c>
      <c r="AI5" s="61" t="s">
        <v>167</v>
      </c>
      <c r="AJ5" s="61" t="s">
        <v>164</v>
      </c>
      <c r="AK5" s="61" t="s">
        <v>165</v>
      </c>
      <c r="AL5" s="61" t="s">
        <v>167</v>
      </c>
      <c r="AM5" s="61" t="s">
        <v>166</v>
      </c>
      <c r="AN5" s="61" t="s">
        <v>166</v>
      </c>
      <c r="AO5" s="61" t="s">
        <v>161</v>
      </c>
      <c r="AP5" s="61" t="s">
        <v>161</v>
      </c>
      <c r="AQ5" s="61" t="s">
        <v>165</v>
      </c>
      <c r="AR5" s="61" t="s">
        <v>167</v>
      </c>
      <c r="AS5" s="61" t="s">
        <v>167</v>
      </c>
      <c r="AT5" s="61" t="s">
        <v>167</v>
      </c>
      <c r="AU5" s="61" t="s">
        <v>161</v>
      </c>
      <c r="AV5" s="61" t="s">
        <v>161</v>
      </c>
      <c r="AW5" s="61" t="s">
        <v>161</v>
      </c>
      <c r="AX5" s="61" t="s">
        <v>161</v>
      </c>
      <c r="AY5" s="61" t="s">
        <v>161</v>
      </c>
      <c r="AZ5" s="61" t="s">
        <v>169</v>
      </c>
      <c r="BA5" s="61" t="s">
        <v>165</v>
      </c>
      <c r="BB5" s="61" t="s">
        <v>161</v>
      </c>
      <c r="BC5" s="61" t="s">
        <v>161</v>
      </c>
      <c r="BD5" s="61" t="s">
        <v>161</v>
      </c>
      <c r="BE5" s="31"/>
      <c r="BF5" s="31"/>
    </row>
    <row r="6">
      <c r="A6" s="36" t="s">
        <v>153</v>
      </c>
      <c r="B6" s="36" t="s">
        <v>15</v>
      </c>
      <c r="C6" s="37" t="s">
        <v>22</v>
      </c>
      <c r="D6" s="60" t="s">
        <v>171</v>
      </c>
      <c r="E6" s="60" t="s">
        <v>172</v>
      </c>
      <c r="F6" s="60" t="s">
        <v>173</v>
      </c>
      <c r="G6" s="60" t="s">
        <v>174</v>
      </c>
      <c r="H6" s="60" t="s">
        <v>164</v>
      </c>
      <c r="I6" s="60" t="s">
        <v>171</v>
      </c>
      <c r="J6" s="60" t="s">
        <v>172</v>
      </c>
      <c r="K6" s="60" t="s">
        <v>174</v>
      </c>
      <c r="L6" s="60" t="s">
        <v>173</v>
      </c>
      <c r="M6" s="60" t="s">
        <v>175</v>
      </c>
      <c r="N6" s="73" t="s">
        <v>173</v>
      </c>
      <c r="O6" s="73" t="s">
        <v>163</v>
      </c>
      <c r="P6" s="73" t="s">
        <v>169</v>
      </c>
      <c r="Q6" s="61" t="s">
        <v>168</v>
      </c>
      <c r="R6" s="61" t="s">
        <v>167</v>
      </c>
      <c r="S6" s="61" t="s">
        <v>169</v>
      </c>
      <c r="T6" s="61" t="s">
        <v>164</v>
      </c>
      <c r="U6" s="61" t="s">
        <v>164</v>
      </c>
      <c r="V6" s="61" t="s">
        <v>165</v>
      </c>
      <c r="W6" s="61" t="s">
        <v>169</v>
      </c>
      <c r="X6" s="61" t="s">
        <v>168</v>
      </c>
      <c r="Y6" s="61" t="s">
        <v>168</v>
      </c>
      <c r="Z6" s="61" t="s">
        <v>165</v>
      </c>
      <c r="AA6" s="61" t="s">
        <v>165</v>
      </c>
      <c r="AB6" s="61" t="s">
        <v>165</v>
      </c>
      <c r="AC6" s="61" t="s">
        <v>167</v>
      </c>
      <c r="AD6" s="61" t="s">
        <v>167</v>
      </c>
      <c r="AE6" s="61" t="s">
        <v>164</v>
      </c>
      <c r="AF6" s="61" t="s">
        <v>169</v>
      </c>
      <c r="AG6" s="61" t="s">
        <v>164</v>
      </c>
      <c r="AH6" s="61" t="s">
        <v>167</v>
      </c>
      <c r="AI6" s="61" t="s">
        <v>169</v>
      </c>
      <c r="AJ6" s="61" t="s">
        <v>173</v>
      </c>
      <c r="AK6" s="61" t="s">
        <v>169</v>
      </c>
      <c r="AL6" s="61" t="s">
        <v>169</v>
      </c>
      <c r="AM6" s="61" t="s">
        <v>169</v>
      </c>
      <c r="AN6" s="61" t="s">
        <v>169</v>
      </c>
      <c r="AO6" s="61" t="s">
        <v>176</v>
      </c>
      <c r="AP6" s="61" t="s">
        <v>176</v>
      </c>
      <c r="AQ6" s="61" t="s">
        <v>169</v>
      </c>
      <c r="AR6" s="61" t="s">
        <v>164</v>
      </c>
      <c r="AS6" s="61" t="s">
        <v>161</v>
      </c>
      <c r="AT6" s="61" t="s">
        <v>161</v>
      </c>
      <c r="AU6" s="61" t="s">
        <v>161</v>
      </c>
      <c r="AV6" s="61" t="s">
        <v>161</v>
      </c>
      <c r="AW6" s="61" t="s">
        <v>161</v>
      </c>
      <c r="AX6" s="61" t="s">
        <v>161</v>
      </c>
      <c r="AY6" s="61" t="s">
        <v>161</v>
      </c>
      <c r="AZ6" s="61" t="s">
        <v>169</v>
      </c>
      <c r="BA6" s="61" t="s">
        <v>169</v>
      </c>
      <c r="BB6" s="61" t="s">
        <v>169</v>
      </c>
      <c r="BC6" s="61" t="s">
        <v>169</v>
      </c>
      <c r="BD6" s="61" t="s">
        <v>164</v>
      </c>
      <c r="BE6" s="61"/>
      <c r="BF6" s="61"/>
    </row>
    <row r="7">
      <c r="A7" s="36" t="s">
        <v>153</v>
      </c>
      <c r="B7" s="36" t="s">
        <v>177</v>
      </c>
      <c r="C7" s="37" t="s">
        <v>23</v>
      </c>
      <c r="D7" s="74">
        <v>2.0</v>
      </c>
      <c r="E7" s="74">
        <v>0.0</v>
      </c>
      <c r="F7" s="74">
        <v>0.0</v>
      </c>
      <c r="G7" s="38">
        <v>0.0</v>
      </c>
      <c r="H7" s="38">
        <v>0.0</v>
      </c>
      <c r="I7" s="74">
        <v>2.0</v>
      </c>
      <c r="J7" s="74">
        <v>0.0</v>
      </c>
      <c r="K7" s="74">
        <v>0.0</v>
      </c>
      <c r="L7" s="38">
        <v>3.0</v>
      </c>
      <c r="M7" s="74">
        <v>2.0</v>
      </c>
      <c r="N7" s="73">
        <v>0.0</v>
      </c>
      <c r="O7" s="73">
        <v>0.0</v>
      </c>
      <c r="P7" s="73">
        <v>0.0</v>
      </c>
      <c r="Q7" s="31">
        <v>0.0</v>
      </c>
      <c r="R7" s="31">
        <v>0.0</v>
      </c>
      <c r="S7" s="31">
        <v>1.0</v>
      </c>
      <c r="T7" s="31">
        <v>0.0</v>
      </c>
      <c r="U7" s="31">
        <v>0.0</v>
      </c>
      <c r="V7" s="31">
        <v>0.0</v>
      </c>
      <c r="W7" s="31">
        <v>0.0</v>
      </c>
      <c r="X7" s="31">
        <v>0.0</v>
      </c>
      <c r="Y7" s="31">
        <v>0.0</v>
      </c>
      <c r="Z7" s="31">
        <v>0.0</v>
      </c>
      <c r="AA7" s="61" t="s">
        <v>160</v>
      </c>
      <c r="AB7" s="61" t="s">
        <v>160</v>
      </c>
      <c r="AC7" s="61" t="s">
        <v>160</v>
      </c>
      <c r="AD7" s="61" t="s">
        <v>160</v>
      </c>
      <c r="AE7" s="61" t="s">
        <v>164</v>
      </c>
      <c r="AF7" s="61" t="s">
        <v>170</v>
      </c>
      <c r="AG7" s="61" t="s">
        <v>161</v>
      </c>
      <c r="AH7" s="61" t="s">
        <v>161</v>
      </c>
      <c r="AI7" s="61" t="s">
        <v>168</v>
      </c>
      <c r="AJ7" s="61" t="s">
        <v>166</v>
      </c>
      <c r="AK7" s="61" t="s">
        <v>161</v>
      </c>
      <c r="AL7" s="61" t="s">
        <v>161</v>
      </c>
      <c r="AM7" s="61" t="s">
        <v>161</v>
      </c>
      <c r="AN7" s="61" t="s">
        <v>161</v>
      </c>
      <c r="AO7" s="61" t="s">
        <v>161</v>
      </c>
      <c r="AP7" s="61" t="s">
        <v>161</v>
      </c>
      <c r="AQ7" s="61" t="s">
        <v>161</v>
      </c>
      <c r="AR7" s="61" t="s">
        <v>161</v>
      </c>
      <c r="AS7" s="61" t="s">
        <v>161</v>
      </c>
      <c r="AT7" s="61" t="s">
        <v>161</v>
      </c>
      <c r="AU7" s="61" t="s">
        <v>161</v>
      </c>
      <c r="AV7" s="61" t="s">
        <v>161</v>
      </c>
      <c r="AW7" s="61" t="s">
        <v>161</v>
      </c>
      <c r="AX7" s="61" t="s">
        <v>161</v>
      </c>
      <c r="AY7" s="61" t="s">
        <v>161</v>
      </c>
      <c r="AZ7" s="61" t="s">
        <v>178</v>
      </c>
      <c r="BA7" s="61" t="s">
        <v>179</v>
      </c>
      <c r="BB7" s="61" t="s">
        <v>180</v>
      </c>
      <c r="BC7" s="61" t="s">
        <v>180</v>
      </c>
      <c r="BD7" s="61" t="s">
        <v>181</v>
      </c>
      <c r="BE7" s="31"/>
      <c r="BF7" s="31"/>
    </row>
    <row r="8">
      <c r="A8" s="36" t="s">
        <v>153</v>
      </c>
      <c r="B8" s="36" t="s">
        <v>15</v>
      </c>
      <c r="C8" s="37" t="s">
        <v>26</v>
      </c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1"/>
      <c r="AM8" s="61"/>
      <c r="AN8" s="61"/>
      <c r="AO8" s="61"/>
      <c r="AP8" s="61"/>
      <c r="AQ8" s="61"/>
      <c r="AR8" s="61"/>
      <c r="AS8" s="61"/>
      <c r="AT8" s="61"/>
      <c r="AU8" s="61"/>
      <c r="AV8" s="61"/>
      <c r="AW8" s="61"/>
      <c r="AX8" s="61"/>
      <c r="AY8" s="61"/>
      <c r="AZ8" s="61"/>
      <c r="BA8" s="61"/>
      <c r="BB8" s="61" t="s">
        <v>182</v>
      </c>
      <c r="BC8" s="61" t="s">
        <v>182</v>
      </c>
      <c r="BD8" s="61" t="s">
        <v>182</v>
      </c>
    </row>
    <row r="9">
      <c r="A9" s="36" t="s">
        <v>153</v>
      </c>
      <c r="B9" s="36" t="s">
        <v>15</v>
      </c>
      <c r="C9" s="37" t="s">
        <v>27</v>
      </c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Z9" s="61" t="s">
        <v>165</v>
      </c>
      <c r="AA9" s="61" t="s">
        <v>167</v>
      </c>
      <c r="AB9" s="61" t="s">
        <v>183</v>
      </c>
      <c r="AC9" s="61" t="s">
        <v>167</v>
      </c>
      <c r="AD9" s="61" t="s">
        <v>167</v>
      </c>
      <c r="AE9" s="61" t="s">
        <v>182</v>
      </c>
      <c r="AF9" s="61" t="s">
        <v>181</v>
      </c>
      <c r="AG9" s="61" t="s">
        <v>182</v>
      </c>
      <c r="AH9" s="61" t="s">
        <v>182</v>
      </c>
      <c r="AI9" s="61" t="s">
        <v>184</v>
      </c>
      <c r="AJ9" s="61" t="s">
        <v>180</v>
      </c>
      <c r="AK9" s="61" t="s">
        <v>180</v>
      </c>
      <c r="AL9" s="61" t="s">
        <v>181</v>
      </c>
      <c r="AM9" s="61" t="s">
        <v>181</v>
      </c>
      <c r="AN9" s="61" t="s">
        <v>181</v>
      </c>
      <c r="AO9" s="61" t="s">
        <v>181</v>
      </c>
      <c r="AP9" s="61" t="s">
        <v>180</v>
      </c>
      <c r="AQ9" s="61" t="s">
        <v>180</v>
      </c>
      <c r="AR9" s="61" t="s">
        <v>181</v>
      </c>
      <c r="AS9" s="61" t="s">
        <v>181</v>
      </c>
      <c r="AT9" s="61" t="s">
        <v>181</v>
      </c>
      <c r="AU9" s="61" t="s">
        <v>181</v>
      </c>
      <c r="AV9" s="61" t="s">
        <v>185</v>
      </c>
      <c r="AW9" s="61" t="s">
        <v>185</v>
      </c>
      <c r="AX9" s="61" t="s">
        <v>185</v>
      </c>
      <c r="AY9" s="61" t="s">
        <v>185</v>
      </c>
      <c r="AZ9" s="61" t="s">
        <v>185</v>
      </c>
      <c r="BA9" s="61" t="s">
        <v>182</v>
      </c>
      <c r="BB9" s="61" t="s">
        <v>182</v>
      </c>
      <c r="BC9" s="61" t="s">
        <v>182</v>
      </c>
      <c r="BD9" s="61" t="s">
        <v>182</v>
      </c>
    </row>
    <row r="10">
      <c r="A10" s="75" t="s">
        <v>153</v>
      </c>
      <c r="B10" s="75" t="s">
        <v>15</v>
      </c>
      <c r="C10" s="37" t="s">
        <v>186</v>
      </c>
      <c r="Z10" s="61"/>
      <c r="AA10" s="61"/>
      <c r="AB10" s="61"/>
      <c r="AC10" s="61"/>
      <c r="AD10" s="61"/>
      <c r="AE10" s="76" t="s">
        <v>163</v>
      </c>
      <c r="AF10" s="76" t="s">
        <v>168</v>
      </c>
      <c r="AG10" s="76" t="s">
        <v>164</v>
      </c>
      <c r="AH10" s="76" t="s">
        <v>166</v>
      </c>
      <c r="AI10" s="76" t="s">
        <v>187</v>
      </c>
      <c r="AJ10" s="76" t="s">
        <v>174</v>
      </c>
      <c r="AK10" s="76" t="s">
        <v>168</v>
      </c>
      <c r="AL10" s="76" t="s">
        <v>167</v>
      </c>
      <c r="AM10" s="76" t="s">
        <v>166</v>
      </c>
      <c r="AN10" s="76" t="s">
        <v>161</v>
      </c>
      <c r="AO10" s="76" t="s">
        <v>161</v>
      </c>
      <c r="AP10" s="76" t="s">
        <v>169</v>
      </c>
      <c r="AQ10" s="76" t="s">
        <v>168</v>
      </c>
      <c r="AR10" s="76" t="s">
        <v>167</v>
      </c>
      <c r="AS10" s="76" t="s">
        <v>166</v>
      </c>
      <c r="AT10" s="61" t="s">
        <v>166</v>
      </c>
      <c r="AU10" s="61" t="s">
        <v>161</v>
      </c>
      <c r="AV10" s="61" t="s">
        <v>161</v>
      </c>
      <c r="AW10" s="61" t="s">
        <v>161</v>
      </c>
      <c r="AX10" s="61" t="s">
        <v>161</v>
      </c>
      <c r="AY10" s="61" t="s">
        <v>161</v>
      </c>
      <c r="AZ10" s="76" t="s">
        <v>163</v>
      </c>
      <c r="BA10" s="76" t="s">
        <v>168</v>
      </c>
      <c r="BB10" s="76" t="s">
        <v>165</v>
      </c>
      <c r="BC10" s="76" t="s">
        <v>165</v>
      </c>
      <c r="BD10" s="61" t="s">
        <v>161</v>
      </c>
    </row>
    <row r="11">
      <c r="A11" s="75" t="s">
        <v>153</v>
      </c>
      <c r="B11" s="75" t="s">
        <v>15</v>
      </c>
      <c r="C11" s="37" t="s">
        <v>188</v>
      </c>
      <c r="X11" s="46"/>
      <c r="Y11" s="46"/>
      <c r="Z11" s="76" t="s">
        <v>160</v>
      </c>
      <c r="AA11" s="76" t="s">
        <v>160</v>
      </c>
      <c r="AB11" s="76" t="s">
        <v>160</v>
      </c>
      <c r="AC11" s="76" t="s">
        <v>160</v>
      </c>
      <c r="AD11" s="76" t="s">
        <v>160</v>
      </c>
      <c r="AE11" s="76" t="s">
        <v>160</v>
      </c>
      <c r="AF11" s="76" t="s">
        <v>160</v>
      </c>
      <c r="AG11" s="76" t="s">
        <v>160</v>
      </c>
      <c r="AH11" s="76" t="s">
        <v>160</v>
      </c>
      <c r="AI11" s="76" t="s">
        <v>160</v>
      </c>
      <c r="AJ11" s="76" t="s">
        <v>160</v>
      </c>
      <c r="AK11" s="76" t="s">
        <v>160</v>
      </c>
      <c r="AL11" s="76" t="s">
        <v>160</v>
      </c>
      <c r="AM11" s="76" t="s">
        <v>160</v>
      </c>
      <c r="AN11" s="76" t="s">
        <v>161</v>
      </c>
      <c r="AO11" s="76" t="s">
        <v>161</v>
      </c>
      <c r="AP11" s="76" t="s">
        <v>181</v>
      </c>
      <c r="AQ11" s="76" t="s">
        <v>160</v>
      </c>
      <c r="AR11" s="76" t="s">
        <v>160</v>
      </c>
      <c r="AS11" s="76" t="s">
        <v>160</v>
      </c>
      <c r="AT11" s="77" t="s">
        <v>160</v>
      </c>
      <c r="AU11" s="77" t="s">
        <v>160</v>
      </c>
      <c r="AV11" s="77" t="s">
        <v>160</v>
      </c>
      <c r="AW11" s="77" t="s">
        <v>160</v>
      </c>
      <c r="AX11" s="77" t="s">
        <v>160</v>
      </c>
      <c r="AY11" s="77" t="s">
        <v>160</v>
      </c>
      <c r="AZ11" s="77" t="s">
        <v>176</v>
      </c>
      <c r="BA11" s="77" t="s">
        <v>180</v>
      </c>
      <c r="BB11" s="77" t="s">
        <v>180</v>
      </c>
      <c r="BC11" s="77" t="s">
        <v>180</v>
      </c>
      <c r="BD11" s="77" t="s">
        <v>181</v>
      </c>
    </row>
    <row r="12">
      <c r="A12" s="36" t="s">
        <v>153</v>
      </c>
      <c r="B12" s="36" t="s">
        <v>33</v>
      </c>
      <c r="C12" s="37" t="s">
        <v>34</v>
      </c>
      <c r="D12" s="78"/>
      <c r="E12" s="79"/>
      <c r="F12" s="78"/>
      <c r="G12" s="78"/>
      <c r="H12" s="78"/>
      <c r="I12" s="62"/>
      <c r="J12" s="62"/>
      <c r="K12" s="62"/>
      <c r="L12" s="62"/>
      <c r="M12" s="62"/>
      <c r="N12" s="62"/>
      <c r="T12" s="31" t="s">
        <v>35</v>
      </c>
      <c r="U12" s="31" t="s">
        <v>35</v>
      </c>
      <c r="V12" s="31" t="s">
        <v>35</v>
      </c>
      <c r="W12" s="31" t="s">
        <v>35</v>
      </c>
      <c r="X12" s="31" t="s">
        <v>35</v>
      </c>
      <c r="Y12" s="31" t="s">
        <v>35</v>
      </c>
      <c r="Z12" s="61" t="s">
        <v>189</v>
      </c>
      <c r="AA12" s="61" t="s">
        <v>182</v>
      </c>
      <c r="AB12" s="61" t="s">
        <v>182</v>
      </c>
      <c r="AC12" s="61" t="s">
        <v>182</v>
      </c>
      <c r="AD12" s="61" t="s">
        <v>182</v>
      </c>
      <c r="AE12" s="61" t="s">
        <v>190</v>
      </c>
      <c r="AF12" s="61" t="s">
        <v>190</v>
      </c>
      <c r="AG12" s="61" t="s">
        <v>190</v>
      </c>
      <c r="AH12" s="61" t="s">
        <v>190</v>
      </c>
      <c r="AI12" s="61" t="s">
        <v>190</v>
      </c>
      <c r="AJ12" s="61" t="s">
        <v>190</v>
      </c>
      <c r="AK12" s="61" t="s">
        <v>190</v>
      </c>
      <c r="AL12" s="61" t="s">
        <v>190</v>
      </c>
      <c r="AM12" s="61" t="s">
        <v>190</v>
      </c>
      <c r="AN12" s="61" t="s">
        <v>190</v>
      </c>
      <c r="AO12" s="61" t="s">
        <v>190</v>
      </c>
      <c r="AP12" s="61" t="s">
        <v>190</v>
      </c>
      <c r="AQ12" s="61" t="s">
        <v>190</v>
      </c>
      <c r="AR12" s="61" t="s">
        <v>190</v>
      </c>
      <c r="AS12" s="61" t="s">
        <v>190</v>
      </c>
      <c r="AT12" s="77" t="s">
        <v>190</v>
      </c>
      <c r="AU12" s="77" t="s">
        <v>190</v>
      </c>
      <c r="AV12" s="77" t="s">
        <v>190</v>
      </c>
      <c r="AW12" s="77" t="s">
        <v>190</v>
      </c>
      <c r="AX12" s="77" t="s">
        <v>190</v>
      </c>
      <c r="AY12" s="77" t="s">
        <v>190</v>
      </c>
      <c r="AZ12" s="77" t="s">
        <v>190</v>
      </c>
      <c r="BA12" s="77" t="s">
        <v>190</v>
      </c>
      <c r="BB12" s="77" t="s">
        <v>190</v>
      </c>
      <c r="BC12" s="77" t="s">
        <v>190</v>
      </c>
      <c r="BD12" s="77" t="s">
        <v>190</v>
      </c>
    </row>
    <row r="13">
      <c r="A13" s="36" t="s">
        <v>153</v>
      </c>
      <c r="B13" s="36" t="s">
        <v>33</v>
      </c>
      <c r="C13" s="37" t="s">
        <v>36</v>
      </c>
      <c r="T13" s="31" t="s">
        <v>35</v>
      </c>
      <c r="U13" s="31" t="s">
        <v>35</v>
      </c>
      <c r="V13" s="31" t="s">
        <v>35</v>
      </c>
      <c r="W13" s="31" t="s">
        <v>35</v>
      </c>
      <c r="X13" s="31" t="s">
        <v>35</v>
      </c>
      <c r="Y13" s="31" t="s">
        <v>35</v>
      </c>
      <c r="Z13" s="31" t="s">
        <v>191</v>
      </c>
      <c r="AA13" s="61" t="s">
        <v>160</v>
      </c>
      <c r="AB13" s="61" t="s">
        <v>160</v>
      </c>
      <c r="AC13" s="61" t="s">
        <v>160</v>
      </c>
      <c r="AD13" s="61" t="s">
        <v>160</v>
      </c>
      <c r="AE13" s="61" t="s">
        <v>190</v>
      </c>
      <c r="AF13" s="61" t="s">
        <v>190</v>
      </c>
      <c r="AG13" s="61" t="s">
        <v>190</v>
      </c>
      <c r="AH13" s="61" t="s">
        <v>190</v>
      </c>
      <c r="AI13" s="61" t="s">
        <v>192</v>
      </c>
      <c r="AJ13" s="61" t="s">
        <v>192</v>
      </c>
      <c r="AK13" s="61" t="s">
        <v>192</v>
      </c>
      <c r="AL13" s="61" t="s">
        <v>190</v>
      </c>
      <c r="AM13" s="61" t="s">
        <v>190</v>
      </c>
      <c r="AN13" s="61" t="s">
        <v>190</v>
      </c>
      <c r="AO13" s="61" t="s">
        <v>190</v>
      </c>
      <c r="AP13" s="61" t="s">
        <v>190</v>
      </c>
      <c r="AQ13" s="61" t="s">
        <v>190</v>
      </c>
      <c r="AR13" s="61" t="s">
        <v>190</v>
      </c>
      <c r="AS13" s="61" t="s">
        <v>190</v>
      </c>
      <c r="AT13" s="61" t="s">
        <v>190</v>
      </c>
      <c r="AU13" s="61" t="s">
        <v>190</v>
      </c>
      <c r="AV13" s="61" t="s">
        <v>190</v>
      </c>
      <c r="AW13" s="61" t="s">
        <v>190</v>
      </c>
      <c r="AX13" s="61" t="s">
        <v>190</v>
      </c>
      <c r="AY13" s="61" t="s">
        <v>190</v>
      </c>
      <c r="AZ13" s="61" t="s">
        <v>190</v>
      </c>
      <c r="BA13" s="61" t="s">
        <v>190</v>
      </c>
      <c r="BB13" s="61" t="s">
        <v>190</v>
      </c>
      <c r="BC13" s="61" t="s">
        <v>190</v>
      </c>
      <c r="BD13" s="61" t="s">
        <v>190</v>
      </c>
    </row>
    <row r="14">
      <c r="A14" s="36" t="s">
        <v>153</v>
      </c>
      <c r="B14" s="36" t="s">
        <v>33</v>
      </c>
      <c r="C14" s="37" t="s">
        <v>193</v>
      </c>
      <c r="T14" s="31" t="s">
        <v>35</v>
      </c>
      <c r="U14" s="31" t="s">
        <v>35</v>
      </c>
      <c r="V14" s="31" t="s">
        <v>35</v>
      </c>
      <c r="W14" s="31" t="s">
        <v>35</v>
      </c>
      <c r="X14" s="31" t="s">
        <v>35</v>
      </c>
      <c r="Y14" s="31" t="s">
        <v>35</v>
      </c>
      <c r="Z14" s="31" t="s">
        <v>194</v>
      </c>
      <c r="AA14" s="31" t="s">
        <v>195</v>
      </c>
      <c r="AB14" s="31" t="s">
        <v>196</v>
      </c>
      <c r="AC14" s="61" t="s">
        <v>196</v>
      </c>
      <c r="AD14" s="61" t="s">
        <v>196</v>
      </c>
      <c r="AE14" s="61" t="s">
        <v>197</v>
      </c>
      <c r="AF14" s="61" t="s">
        <v>198</v>
      </c>
      <c r="AG14" s="61" t="s">
        <v>198</v>
      </c>
      <c r="AH14" s="61" t="s">
        <v>198</v>
      </c>
      <c r="AI14" s="61" t="s">
        <v>199</v>
      </c>
      <c r="AJ14" s="61" t="s">
        <v>199</v>
      </c>
      <c r="AK14" s="61" t="s">
        <v>200</v>
      </c>
      <c r="AL14" s="61" t="s">
        <v>201</v>
      </c>
      <c r="AM14" s="61" t="s">
        <v>201</v>
      </c>
      <c r="AN14" s="61" t="s">
        <v>202</v>
      </c>
      <c r="AO14" s="61" t="s">
        <v>202</v>
      </c>
      <c r="AP14" s="61" t="s">
        <v>202</v>
      </c>
      <c r="AQ14" s="61" t="s">
        <v>202</v>
      </c>
      <c r="AR14" s="61" t="s">
        <v>202</v>
      </c>
      <c r="AS14" s="61" t="s">
        <v>202</v>
      </c>
      <c r="AT14" s="61" t="s">
        <v>203</v>
      </c>
      <c r="AU14" s="61" t="s">
        <v>204</v>
      </c>
      <c r="AV14" s="61" t="s">
        <v>204</v>
      </c>
      <c r="AW14" s="61" t="s">
        <v>204</v>
      </c>
      <c r="AX14" s="61" t="s">
        <v>204</v>
      </c>
      <c r="AY14" s="61" t="s">
        <v>204</v>
      </c>
      <c r="AZ14" s="61" t="s">
        <v>205</v>
      </c>
      <c r="BA14" s="61" t="s">
        <v>205</v>
      </c>
      <c r="BB14" s="61" t="s">
        <v>205</v>
      </c>
      <c r="BC14" s="61" t="s">
        <v>205</v>
      </c>
      <c r="BD14" s="61" t="s">
        <v>205</v>
      </c>
    </row>
    <row r="15">
      <c r="A15" s="36" t="s">
        <v>153</v>
      </c>
      <c r="B15" s="36" t="s">
        <v>33</v>
      </c>
      <c r="C15" s="37" t="s">
        <v>46</v>
      </c>
      <c r="T15" s="31" t="s">
        <v>35</v>
      </c>
      <c r="U15" s="31" t="s">
        <v>35</v>
      </c>
      <c r="V15" s="31" t="s">
        <v>35</v>
      </c>
      <c r="W15" s="31" t="s">
        <v>35</v>
      </c>
      <c r="X15" s="31" t="s">
        <v>35</v>
      </c>
      <c r="Y15" s="31" t="s">
        <v>35</v>
      </c>
      <c r="Z15" s="31" t="s">
        <v>206</v>
      </c>
      <c r="AA15" s="61" t="s">
        <v>182</v>
      </c>
      <c r="AB15" s="61" t="s">
        <v>182</v>
      </c>
      <c r="AC15" s="61" t="s">
        <v>182</v>
      </c>
      <c r="AD15" s="61" t="s">
        <v>182</v>
      </c>
      <c r="AE15" s="61" t="s">
        <v>166</v>
      </c>
      <c r="AF15" s="61" t="s">
        <v>166</v>
      </c>
      <c r="AG15" s="61" t="s">
        <v>166</v>
      </c>
      <c r="AH15" s="61" t="s">
        <v>166</v>
      </c>
      <c r="AI15" s="61" t="s">
        <v>167</v>
      </c>
      <c r="AJ15" s="61" t="s">
        <v>167</v>
      </c>
      <c r="AK15" s="61" t="s">
        <v>167</v>
      </c>
      <c r="AL15" s="61" t="s">
        <v>167</v>
      </c>
      <c r="AM15" s="61" t="s">
        <v>167</v>
      </c>
      <c r="AN15" s="61" t="s">
        <v>167</v>
      </c>
      <c r="AO15" s="61" t="s">
        <v>166</v>
      </c>
      <c r="AP15" s="61" t="s">
        <v>166</v>
      </c>
      <c r="AQ15" s="61" t="s">
        <v>166</v>
      </c>
      <c r="AR15" s="61" t="s">
        <v>166</v>
      </c>
      <c r="AS15" s="61" t="s">
        <v>166</v>
      </c>
      <c r="AT15" s="61" t="s">
        <v>166</v>
      </c>
      <c r="AU15" s="61" t="s">
        <v>166</v>
      </c>
      <c r="AV15" s="61" t="s">
        <v>166</v>
      </c>
      <c r="AW15" s="61" t="s">
        <v>166</v>
      </c>
      <c r="AX15" s="61" t="s">
        <v>161</v>
      </c>
      <c r="AY15" s="61" t="s">
        <v>161</v>
      </c>
      <c r="AZ15" s="61" t="s">
        <v>166</v>
      </c>
      <c r="BA15" s="61" t="s">
        <v>166</v>
      </c>
      <c r="BB15" s="61" t="s">
        <v>166</v>
      </c>
      <c r="BC15" s="61" t="s">
        <v>166</v>
      </c>
      <c r="BD15" s="61" t="s">
        <v>166</v>
      </c>
    </row>
    <row r="16">
      <c r="A16" s="36" t="s">
        <v>153</v>
      </c>
      <c r="B16" s="36" t="s">
        <v>33</v>
      </c>
      <c r="C16" s="37" t="s">
        <v>207</v>
      </c>
      <c r="T16" s="31"/>
      <c r="U16" s="31"/>
      <c r="V16" s="31"/>
      <c r="W16" s="31"/>
      <c r="X16" s="31"/>
      <c r="Y16" s="31"/>
      <c r="Z16" s="61" t="s">
        <v>160</v>
      </c>
      <c r="AA16" s="61" t="s">
        <v>160</v>
      </c>
      <c r="AB16" s="61" t="s">
        <v>160</v>
      </c>
      <c r="AC16" s="61" t="s">
        <v>160</v>
      </c>
      <c r="AD16" s="61" t="s">
        <v>160</v>
      </c>
      <c r="AE16" s="61" t="s">
        <v>208</v>
      </c>
      <c r="AF16" s="61" t="s">
        <v>209</v>
      </c>
      <c r="AG16" s="61" t="s">
        <v>210</v>
      </c>
      <c r="AH16" s="61" t="s">
        <v>211</v>
      </c>
      <c r="AI16" s="61" t="s">
        <v>212</v>
      </c>
      <c r="AJ16" s="61" t="s">
        <v>213</v>
      </c>
      <c r="AK16" s="61" t="s">
        <v>214</v>
      </c>
      <c r="AL16" s="61" t="s">
        <v>215</v>
      </c>
      <c r="AM16" s="61" t="s">
        <v>216</v>
      </c>
      <c r="AN16" s="61" t="s">
        <v>181</v>
      </c>
      <c r="AO16" s="61" t="s">
        <v>182</v>
      </c>
      <c r="AP16" s="61" t="s">
        <v>217</v>
      </c>
      <c r="AQ16" s="61" t="s">
        <v>216</v>
      </c>
      <c r="AR16" s="61" t="s">
        <v>218</v>
      </c>
      <c r="AS16" s="61" t="s">
        <v>218</v>
      </c>
      <c r="AT16" s="61" t="s">
        <v>166</v>
      </c>
      <c r="AU16" s="61" t="s">
        <v>166</v>
      </c>
      <c r="AV16" s="61" t="s">
        <v>161</v>
      </c>
      <c r="AW16" s="61" t="s">
        <v>161</v>
      </c>
      <c r="AX16" s="61" t="s">
        <v>161</v>
      </c>
      <c r="AY16" s="61" t="s">
        <v>161</v>
      </c>
      <c r="AZ16" s="61" t="s">
        <v>163</v>
      </c>
      <c r="BA16" s="61" t="s">
        <v>165</v>
      </c>
      <c r="BB16" s="61" t="s">
        <v>161</v>
      </c>
      <c r="BC16" s="61" t="s">
        <v>161</v>
      </c>
      <c r="BD16" s="61" t="s">
        <v>161</v>
      </c>
    </row>
    <row r="17">
      <c r="A17" s="36" t="s">
        <v>153</v>
      </c>
      <c r="B17" s="36" t="s">
        <v>33</v>
      </c>
      <c r="C17" s="37" t="s">
        <v>47</v>
      </c>
      <c r="T17" s="31" t="s">
        <v>35</v>
      </c>
      <c r="U17" s="31" t="s">
        <v>35</v>
      </c>
      <c r="V17" s="31" t="s">
        <v>35</v>
      </c>
      <c r="W17" s="31" t="s">
        <v>35</v>
      </c>
      <c r="X17" s="31" t="s">
        <v>35</v>
      </c>
      <c r="Y17" s="31" t="s">
        <v>35</v>
      </c>
      <c r="Z17" s="61" t="s">
        <v>181</v>
      </c>
      <c r="AA17" s="61" t="s">
        <v>181</v>
      </c>
      <c r="AB17" s="61" t="s">
        <v>181</v>
      </c>
      <c r="AC17" s="61" t="s">
        <v>181</v>
      </c>
      <c r="AD17" s="61" t="s">
        <v>181</v>
      </c>
      <c r="AE17" s="61" t="s">
        <v>176</v>
      </c>
      <c r="AF17" s="61" t="s">
        <v>219</v>
      </c>
      <c r="AG17" s="61" t="s">
        <v>179</v>
      </c>
      <c r="AH17" s="61" t="s">
        <v>176</v>
      </c>
      <c r="AI17" s="61" t="s">
        <v>219</v>
      </c>
      <c r="AJ17" s="61" t="s">
        <v>219</v>
      </c>
      <c r="AK17" s="61" t="s">
        <v>179</v>
      </c>
      <c r="AL17" s="61" t="s">
        <v>176</v>
      </c>
      <c r="AM17" s="61" t="s">
        <v>176</v>
      </c>
      <c r="AN17" s="61" t="s">
        <v>176</v>
      </c>
      <c r="AO17" s="61" t="s">
        <v>181</v>
      </c>
      <c r="AP17" s="61" t="s">
        <v>181</v>
      </c>
      <c r="AQ17" s="61" t="s">
        <v>181</v>
      </c>
      <c r="AR17" s="61" t="s">
        <v>181</v>
      </c>
      <c r="AS17" s="61" t="s">
        <v>181</v>
      </c>
      <c r="AT17" s="61" t="s">
        <v>181</v>
      </c>
      <c r="AU17" s="61" t="s">
        <v>181</v>
      </c>
      <c r="AV17" s="61" t="s">
        <v>181</v>
      </c>
      <c r="AW17" s="61" t="s">
        <v>181</v>
      </c>
      <c r="AX17" s="61" t="s">
        <v>161</v>
      </c>
      <c r="AY17" s="61" t="s">
        <v>161</v>
      </c>
      <c r="AZ17" s="61" t="s">
        <v>181</v>
      </c>
      <c r="BA17" s="61" t="s">
        <v>181</v>
      </c>
      <c r="BB17" s="61" t="s">
        <v>181</v>
      </c>
      <c r="BC17" s="61" t="s">
        <v>181</v>
      </c>
      <c r="BD17" s="61" t="s">
        <v>181</v>
      </c>
    </row>
    <row r="18">
      <c r="A18" s="36"/>
      <c r="B18" s="80"/>
      <c r="C18" s="81"/>
    </row>
    <row r="19">
      <c r="A19" s="80"/>
      <c r="B19" s="80"/>
      <c r="C19" s="81"/>
    </row>
    <row r="20">
      <c r="A20" s="80"/>
      <c r="B20" s="80"/>
      <c r="C20" s="80"/>
    </row>
    <row r="21">
      <c r="A21" s="80"/>
      <c r="B21" s="80"/>
      <c r="C21" s="64"/>
    </row>
    <row r="22">
      <c r="A22" s="64"/>
      <c r="B22" s="64"/>
      <c r="C22" s="64"/>
    </row>
    <row r="23">
      <c r="A23" s="64"/>
      <c r="B23" s="64"/>
      <c r="C23" s="64"/>
      <c r="D23" s="78"/>
      <c r="E23" s="79"/>
      <c r="F23" s="78"/>
      <c r="G23" s="78"/>
      <c r="H23" s="78"/>
      <c r="I23" s="62"/>
      <c r="J23" s="62"/>
      <c r="K23" s="62"/>
      <c r="L23" s="62"/>
      <c r="M23" s="62"/>
      <c r="N23" s="62"/>
    </row>
    <row r="24">
      <c r="A24" s="64"/>
      <c r="B24" s="64"/>
      <c r="C24" s="64"/>
    </row>
    <row r="26">
      <c r="A26" s="35"/>
      <c r="B26" s="35"/>
      <c r="C26" s="35"/>
    </row>
    <row r="27">
      <c r="A27" s="36"/>
      <c r="B27" s="36"/>
      <c r="C27" s="37"/>
    </row>
    <row r="28">
      <c r="A28" s="36"/>
      <c r="B28" s="36"/>
      <c r="C28" s="37"/>
    </row>
    <row r="29">
      <c r="A29" s="36"/>
      <c r="B29" s="36"/>
      <c r="C29" s="37"/>
    </row>
    <row r="30">
      <c r="A30" s="36"/>
      <c r="B30" s="36"/>
      <c r="C30" s="36"/>
    </row>
  </sheetData>
  <dataValidations>
    <dataValidation type="list" allowBlank="1" showErrorMessage="1" sqref="B5:B6 B8:B17">
      <formula1>"Cafeteria,Aseo,Cocina"</formula1>
    </dataValidation>
    <dataValidation type="list" allowBlank="1" showErrorMessage="1" sqref="B4">
      <formula1>"Dimerc,Corporate Coffe"</formula1>
    </dataValidation>
    <dataValidation type="list" allowBlank="1" showErrorMessage="1" sqref="B7">
      <formula1>"Cafeteria,Aseo,Cocina,Papelería"</formula1>
    </dataValidation>
  </dataValidations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2.13"/>
    <col customWidth="1" min="3" max="3" width="26.88"/>
    <col hidden="1" min="4" max="41" width="12.63"/>
  </cols>
  <sheetData>
    <row r="1">
      <c r="A1" s="82" t="s">
        <v>220</v>
      </c>
      <c r="B1" s="26"/>
      <c r="C1" s="82" t="s">
        <v>221</v>
      </c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  <c r="I1" s="28" t="s">
        <v>126</v>
      </c>
      <c r="J1" s="28" t="s">
        <v>126</v>
      </c>
      <c r="K1" s="28" t="s">
        <v>126</v>
      </c>
      <c r="L1" s="28" t="s">
        <v>126</v>
      </c>
      <c r="M1" s="28" t="s">
        <v>222</v>
      </c>
      <c r="N1" s="28" t="s">
        <v>222</v>
      </c>
      <c r="O1" s="28" t="s">
        <v>222</v>
      </c>
      <c r="P1" s="28" t="s">
        <v>222</v>
      </c>
      <c r="Q1" s="28" t="s">
        <v>128</v>
      </c>
      <c r="R1" s="28" t="s">
        <v>128</v>
      </c>
      <c r="S1" s="28" t="s">
        <v>128</v>
      </c>
      <c r="T1" s="28" t="s">
        <v>128</v>
      </c>
      <c r="U1" s="28" t="s">
        <v>128</v>
      </c>
      <c r="V1" s="28" t="s">
        <v>129</v>
      </c>
      <c r="W1" s="28" t="s">
        <v>129</v>
      </c>
      <c r="X1" s="28" t="s">
        <v>129</v>
      </c>
      <c r="Y1" s="35" t="s">
        <v>129</v>
      </c>
      <c r="Z1" s="35"/>
      <c r="AA1" s="35"/>
      <c r="AB1" s="35"/>
      <c r="AC1" s="35"/>
      <c r="AD1" s="35"/>
      <c r="AE1" s="35"/>
      <c r="AF1" s="35"/>
      <c r="AG1" s="35"/>
      <c r="AH1" s="35"/>
      <c r="AI1" s="26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26"/>
      <c r="AW1" s="26"/>
      <c r="AX1" s="26"/>
      <c r="AY1" s="26"/>
      <c r="AZ1" s="26"/>
      <c r="BA1" s="26"/>
      <c r="BB1" s="26"/>
    </row>
    <row r="2">
      <c r="A2" s="26"/>
      <c r="B2" s="26"/>
      <c r="C2" s="27"/>
      <c r="D2" s="34">
        <v>45811.0</v>
      </c>
      <c r="E2" s="34">
        <f>D2+6</f>
        <v>45817</v>
      </c>
      <c r="F2" s="34">
        <f t="shared" ref="F2:H2" si="1">E2+7</f>
        <v>45824</v>
      </c>
      <c r="G2" s="34">
        <f t="shared" si="1"/>
        <v>45831</v>
      </c>
      <c r="H2" s="34">
        <f t="shared" si="1"/>
        <v>45838</v>
      </c>
      <c r="I2" s="33">
        <v>45845.0</v>
      </c>
      <c r="J2" s="33">
        <v>45852.0</v>
      </c>
      <c r="K2" s="33">
        <v>45859.0</v>
      </c>
      <c r="L2" s="34">
        <f>K2+7</f>
        <v>45866</v>
      </c>
      <c r="M2" s="33">
        <v>45873.0</v>
      </c>
      <c r="N2" s="33">
        <v>45880.0</v>
      </c>
      <c r="O2" s="33">
        <v>45887.0</v>
      </c>
      <c r="P2" s="33">
        <v>45894.0</v>
      </c>
      <c r="Q2" s="33">
        <v>45901.0</v>
      </c>
      <c r="R2" s="33">
        <v>45908.0</v>
      </c>
      <c r="S2" s="33">
        <v>45915.0</v>
      </c>
      <c r="T2" s="33">
        <v>45922.0</v>
      </c>
      <c r="U2" s="33">
        <v>45929.0</v>
      </c>
      <c r="V2" s="72">
        <f t="shared" ref="V2:Z2" si="2">U2+7</f>
        <v>45936</v>
      </c>
      <c r="W2" s="72">
        <f t="shared" si="2"/>
        <v>45943</v>
      </c>
      <c r="X2" s="72">
        <f t="shared" si="2"/>
        <v>45950</v>
      </c>
      <c r="Y2" s="83">
        <f t="shared" si="2"/>
        <v>45957</v>
      </c>
      <c r="Z2" s="83">
        <f t="shared" si="2"/>
        <v>45964</v>
      </c>
      <c r="AA2" s="84">
        <v>45967.0</v>
      </c>
      <c r="AB2" s="83">
        <f>Z2+7</f>
        <v>45971</v>
      </c>
      <c r="AC2" s="84">
        <v>45978.0</v>
      </c>
      <c r="AD2" s="84">
        <v>45979.0</v>
      </c>
      <c r="AE2" s="84">
        <v>45981.0</v>
      </c>
      <c r="AF2" s="84">
        <v>45985.0</v>
      </c>
      <c r="AG2" s="84">
        <v>45988.0</v>
      </c>
      <c r="AH2" s="84">
        <v>45988.0</v>
      </c>
      <c r="AI2" s="84">
        <v>45992.0</v>
      </c>
      <c r="AJ2" s="33">
        <v>45995.0</v>
      </c>
      <c r="AK2" s="33">
        <v>46000.0</v>
      </c>
      <c r="AL2" s="33">
        <v>46002.0</v>
      </c>
      <c r="AM2" s="33">
        <v>46006.0</v>
      </c>
      <c r="AN2" s="33">
        <v>46009.0</v>
      </c>
      <c r="AO2" s="33">
        <v>46013.0</v>
      </c>
      <c r="AP2" s="33">
        <v>46020.0</v>
      </c>
      <c r="AQ2" s="34">
        <v>46027.0</v>
      </c>
      <c r="AR2" s="33">
        <v>46030.0</v>
      </c>
      <c r="AS2" s="33">
        <v>46034.0</v>
      </c>
      <c r="AT2" s="33">
        <v>46037.0</v>
      </c>
      <c r="AU2" s="33">
        <v>46041.0</v>
      </c>
      <c r="AV2" s="33">
        <v>46044.0</v>
      </c>
      <c r="AW2" s="33">
        <v>46048.0</v>
      </c>
      <c r="AX2" s="33"/>
      <c r="AY2" s="33"/>
      <c r="AZ2" s="33"/>
      <c r="BA2" s="33"/>
      <c r="BB2" s="33"/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35" t="s">
        <v>11</v>
      </c>
      <c r="L3" s="35" t="s">
        <v>11</v>
      </c>
      <c r="M3" s="35" t="s">
        <v>11</v>
      </c>
      <c r="N3" s="35" t="s">
        <v>11</v>
      </c>
      <c r="O3" s="35" t="s">
        <v>11</v>
      </c>
      <c r="P3" s="35" t="s">
        <v>11</v>
      </c>
      <c r="Q3" s="35" t="s">
        <v>11</v>
      </c>
      <c r="R3" s="35" t="s">
        <v>11</v>
      </c>
      <c r="S3" s="35" t="s">
        <v>11</v>
      </c>
      <c r="T3" s="35" t="s">
        <v>11</v>
      </c>
      <c r="U3" s="35" t="s">
        <v>11</v>
      </c>
      <c r="V3" s="35" t="s">
        <v>11</v>
      </c>
      <c r="W3" s="35" t="s">
        <v>11</v>
      </c>
      <c r="X3" s="35" t="s">
        <v>11</v>
      </c>
      <c r="Y3" s="35" t="s">
        <v>11</v>
      </c>
      <c r="Z3" s="35" t="s">
        <v>11</v>
      </c>
      <c r="AA3" s="35" t="s">
        <v>11</v>
      </c>
      <c r="AB3" s="35" t="s">
        <v>11</v>
      </c>
      <c r="AC3" s="35" t="s">
        <v>11</v>
      </c>
      <c r="AD3" s="35" t="s">
        <v>11</v>
      </c>
      <c r="AE3" s="35" t="s">
        <v>11</v>
      </c>
      <c r="AF3" s="35" t="s">
        <v>11</v>
      </c>
      <c r="AG3" s="35" t="s">
        <v>11</v>
      </c>
      <c r="AH3" s="35" t="s">
        <v>11</v>
      </c>
      <c r="AI3" s="35" t="s">
        <v>11</v>
      </c>
      <c r="AJ3" s="35" t="s">
        <v>11</v>
      </c>
      <c r="AK3" s="35" t="s">
        <v>11</v>
      </c>
      <c r="AL3" s="35" t="s">
        <v>11</v>
      </c>
      <c r="AM3" s="35" t="s">
        <v>11</v>
      </c>
      <c r="AN3" s="35" t="s">
        <v>11</v>
      </c>
      <c r="AO3" s="35" t="s">
        <v>11</v>
      </c>
      <c r="AP3" s="35" t="s">
        <v>11</v>
      </c>
      <c r="AQ3" s="35" t="s">
        <v>11</v>
      </c>
      <c r="AR3" s="35" t="s">
        <v>11</v>
      </c>
      <c r="AS3" s="35" t="s">
        <v>11</v>
      </c>
      <c r="AT3" s="35" t="s">
        <v>11</v>
      </c>
      <c r="AU3" s="35" t="s">
        <v>11</v>
      </c>
      <c r="AV3" s="35" t="s">
        <v>11</v>
      </c>
      <c r="AW3" s="35" t="s">
        <v>11</v>
      </c>
      <c r="AX3" s="35"/>
      <c r="AY3" s="35"/>
      <c r="AZ3" s="35"/>
      <c r="BA3" s="35"/>
      <c r="BB3" s="35"/>
    </row>
    <row r="4">
      <c r="A4" s="36" t="s">
        <v>223</v>
      </c>
      <c r="B4" s="36" t="s">
        <v>15</v>
      </c>
      <c r="C4" s="37" t="s">
        <v>16</v>
      </c>
      <c r="D4" s="85">
        <v>0.0</v>
      </c>
      <c r="E4" s="85">
        <v>0.0</v>
      </c>
      <c r="F4" s="73" t="s">
        <v>224</v>
      </c>
      <c r="G4" s="73" t="s">
        <v>225</v>
      </c>
      <c r="H4" s="85">
        <v>0.0</v>
      </c>
      <c r="I4" s="85">
        <v>0.0</v>
      </c>
      <c r="J4" s="86">
        <v>4.0</v>
      </c>
      <c r="K4" s="73" t="s">
        <v>225</v>
      </c>
      <c r="L4" s="73">
        <v>4.0</v>
      </c>
      <c r="M4" s="86" t="s">
        <v>226</v>
      </c>
      <c r="N4" s="86">
        <v>1.0</v>
      </c>
      <c r="O4" s="73">
        <v>4.0</v>
      </c>
      <c r="P4" s="73">
        <v>2.0</v>
      </c>
      <c r="Q4" s="31">
        <v>5.0</v>
      </c>
      <c r="R4" s="31">
        <v>2.0</v>
      </c>
      <c r="S4" s="31">
        <v>0.0</v>
      </c>
      <c r="T4" s="31">
        <v>0.0</v>
      </c>
      <c r="U4" s="31">
        <v>4.0</v>
      </c>
      <c r="V4" s="31">
        <v>1.0</v>
      </c>
      <c r="W4" s="31">
        <v>4.0</v>
      </c>
      <c r="X4" s="31">
        <v>1.5</v>
      </c>
      <c r="Y4" s="73">
        <v>1.0</v>
      </c>
      <c r="Z4" s="31">
        <v>0.0</v>
      </c>
      <c r="AA4" s="31">
        <v>0.0</v>
      </c>
      <c r="AB4" s="87">
        <v>0.0</v>
      </c>
      <c r="AC4" s="88">
        <v>1.0</v>
      </c>
      <c r="AD4" s="89">
        <v>5.0</v>
      </c>
      <c r="AE4" s="89">
        <v>4.0</v>
      </c>
      <c r="AF4" s="89">
        <v>4.0</v>
      </c>
      <c r="AG4" s="89">
        <v>1.0</v>
      </c>
      <c r="AH4" s="89">
        <v>1.0</v>
      </c>
      <c r="AI4" s="90">
        <v>0.0</v>
      </c>
      <c r="AJ4" s="31">
        <v>4.0</v>
      </c>
      <c r="AK4" s="31">
        <v>3.0</v>
      </c>
      <c r="AL4" s="61" t="s">
        <v>227</v>
      </c>
      <c r="AM4" s="91">
        <v>45689.0</v>
      </c>
      <c r="AN4" s="92">
        <v>0.0</v>
      </c>
      <c r="AO4" s="65">
        <v>5.0</v>
      </c>
      <c r="AP4" s="65" t="s">
        <v>228</v>
      </c>
      <c r="AQ4" s="65">
        <v>4.0</v>
      </c>
      <c r="AR4" s="65" t="s">
        <v>229</v>
      </c>
      <c r="AS4" s="65">
        <v>8.0</v>
      </c>
      <c r="AT4" s="65" t="s">
        <v>230</v>
      </c>
      <c r="AU4" s="65">
        <v>4.0</v>
      </c>
      <c r="AV4" s="86">
        <v>3.0</v>
      </c>
      <c r="AW4" s="86">
        <v>2.0</v>
      </c>
      <c r="AX4" s="93"/>
      <c r="AY4" s="93"/>
      <c r="AZ4" s="93"/>
      <c r="BA4" s="93"/>
      <c r="BB4" s="93"/>
    </row>
    <row r="5">
      <c r="A5" s="36" t="s">
        <v>223</v>
      </c>
      <c r="B5" s="36" t="s">
        <v>15</v>
      </c>
      <c r="C5" s="37" t="s">
        <v>21</v>
      </c>
      <c r="D5" s="60">
        <v>0.0</v>
      </c>
      <c r="E5" s="60">
        <v>4.0</v>
      </c>
      <c r="F5" s="60">
        <v>3.0</v>
      </c>
      <c r="G5" s="60">
        <v>1.0</v>
      </c>
      <c r="H5" s="85">
        <v>0.0</v>
      </c>
      <c r="I5" s="85">
        <v>0.0</v>
      </c>
      <c r="J5" s="60">
        <v>3.0</v>
      </c>
      <c r="K5" s="60">
        <v>1.0</v>
      </c>
      <c r="L5" s="60">
        <v>2.0</v>
      </c>
      <c r="M5" s="85">
        <v>4.0</v>
      </c>
      <c r="N5" s="60">
        <v>1.0</v>
      </c>
      <c r="O5" s="60">
        <v>0.0</v>
      </c>
      <c r="P5" s="60">
        <v>3.0</v>
      </c>
      <c r="Q5" s="31">
        <v>0.0</v>
      </c>
      <c r="R5" s="31">
        <v>4.0</v>
      </c>
      <c r="S5" s="31">
        <v>3.0</v>
      </c>
      <c r="T5" s="31">
        <v>3.0</v>
      </c>
      <c r="U5" s="31">
        <v>2.0</v>
      </c>
      <c r="V5" s="31">
        <v>1.0</v>
      </c>
      <c r="W5" s="31">
        <v>5.0</v>
      </c>
      <c r="X5" s="31">
        <v>3.0</v>
      </c>
      <c r="Y5" s="73">
        <v>6.0</v>
      </c>
      <c r="Z5" s="31">
        <v>5.0</v>
      </c>
      <c r="AA5" s="31">
        <v>3.0</v>
      </c>
      <c r="AB5" s="31" t="s">
        <v>231</v>
      </c>
      <c r="AC5" s="61" t="s">
        <v>232</v>
      </c>
      <c r="AD5" s="61">
        <v>10.0</v>
      </c>
      <c r="AE5" s="61">
        <v>8.0</v>
      </c>
      <c r="AF5" s="61">
        <v>8.0</v>
      </c>
      <c r="AG5" s="61">
        <v>7.0</v>
      </c>
      <c r="AH5" s="61">
        <v>7.0</v>
      </c>
      <c r="AI5" s="73">
        <v>6.0</v>
      </c>
      <c r="AJ5" s="31">
        <v>3.0</v>
      </c>
      <c r="AK5" s="31">
        <v>2.0</v>
      </c>
      <c r="AL5" s="31">
        <v>1.0</v>
      </c>
      <c r="AM5" s="94">
        <v>0.0</v>
      </c>
      <c r="AN5" s="94">
        <v>0.0</v>
      </c>
      <c r="AO5" s="94">
        <v>0.0</v>
      </c>
      <c r="AP5" s="32">
        <v>4.0</v>
      </c>
      <c r="AQ5" s="32">
        <v>4.0</v>
      </c>
      <c r="AR5" s="32">
        <v>4.0</v>
      </c>
      <c r="AS5" s="32">
        <v>1.0</v>
      </c>
      <c r="AT5" s="32">
        <v>2.0</v>
      </c>
      <c r="AU5" s="32">
        <v>1.0</v>
      </c>
      <c r="AV5" s="86">
        <v>11.0</v>
      </c>
      <c r="AW5" s="86">
        <v>11.0</v>
      </c>
      <c r="AX5" s="93"/>
      <c r="AY5" s="93"/>
      <c r="AZ5" s="93"/>
      <c r="BA5" s="93"/>
      <c r="BB5" s="93"/>
    </row>
    <row r="6">
      <c r="A6" s="36" t="s">
        <v>223</v>
      </c>
      <c r="B6" s="36" t="s">
        <v>15</v>
      </c>
      <c r="C6" s="37" t="s">
        <v>22</v>
      </c>
      <c r="D6" s="60">
        <v>0.0</v>
      </c>
      <c r="E6" s="60">
        <v>6.0</v>
      </c>
      <c r="F6" s="60">
        <v>3.0</v>
      </c>
      <c r="G6" s="60">
        <v>2.0</v>
      </c>
      <c r="H6" s="85">
        <v>1.0</v>
      </c>
      <c r="I6" s="85">
        <v>0.0</v>
      </c>
      <c r="J6" s="60">
        <v>7.0</v>
      </c>
      <c r="K6" s="60">
        <v>6.0</v>
      </c>
      <c r="L6" s="60">
        <v>5.0</v>
      </c>
      <c r="M6" s="85">
        <v>8.0</v>
      </c>
      <c r="N6" s="60">
        <v>6.0</v>
      </c>
      <c r="O6" s="60">
        <v>3.0</v>
      </c>
      <c r="P6" s="60">
        <v>4.0</v>
      </c>
      <c r="Q6" s="31">
        <v>3.0</v>
      </c>
      <c r="R6" s="31">
        <v>3.0</v>
      </c>
      <c r="S6" s="31">
        <v>2.0</v>
      </c>
      <c r="T6" s="31">
        <v>2.0</v>
      </c>
      <c r="U6" s="31">
        <v>1.0</v>
      </c>
      <c r="V6" s="31">
        <v>0.0</v>
      </c>
      <c r="W6" s="31">
        <v>5.0</v>
      </c>
      <c r="X6" s="31">
        <v>4.0</v>
      </c>
      <c r="Y6" s="73">
        <v>6.0</v>
      </c>
      <c r="Z6" s="31">
        <v>6.0</v>
      </c>
      <c r="AA6" s="31">
        <v>4.0</v>
      </c>
      <c r="AB6" s="31" t="s">
        <v>233</v>
      </c>
      <c r="AC6" s="61" t="s">
        <v>234</v>
      </c>
      <c r="AD6" s="61">
        <v>26.0</v>
      </c>
      <c r="AE6" s="61">
        <v>24.0</v>
      </c>
      <c r="AF6" s="61">
        <v>13.0</v>
      </c>
      <c r="AG6" s="61">
        <v>12.0</v>
      </c>
      <c r="AH6" s="61">
        <v>12.0</v>
      </c>
      <c r="AI6" s="73">
        <v>11.0</v>
      </c>
      <c r="AJ6" s="31">
        <v>8.0</v>
      </c>
      <c r="AK6" s="31">
        <v>5.0</v>
      </c>
      <c r="AL6" s="31">
        <v>3.0</v>
      </c>
      <c r="AM6" s="31">
        <v>1.0</v>
      </c>
      <c r="AN6" s="94">
        <v>0.0</v>
      </c>
      <c r="AO6" s="94">
        <v>0.0</v>
      </c>
      <c r="AP6" s="32">
        <v>13.0</v>
      </c>
      <c r="AQ6" s="32">
        <v>10.0</v>
      </c>
      <c r="AR6" s="32">
        <v>10.0</v>
      </c>
      <c r="AS6" s="32">
        <v>7.0</v>
      </c>
      <c r="AT6" s="32">
        <v>3.0</v>
      </c>
      <c r="AU6" s="32">
        <v>1.0</v>
      </c>
      <c r="AV6" s="86">
        <v>30.0</v>
      </c>
      <c r="AW6" s="86">
        <v>30.0</v>
      </c>
      <c r="AX6" s="93"/>
      <c r="AY6" s="93"/>
      <c r="AZ6" s="93"/>
      <c r="BA6" s="93"/>
      <c r="BB6" s="93"/>
    </row>
    <row r="7">
      <c r="A7" s="36" t="s">
        <v>223</v>
      </c>
      <c r="B7" s="36" t="s">
        <v>15</v>
      </c>
      <c r="C7" s="36" t="s">
        <v>23</v>
      </c>
      <c r="D7" s="60">
        <v>0.0</v>
      </c>
      <c r="E7" s="60">
        <v>4.0</v>
      </c>
      <c r="F7" s="60">
        <v>3.0</v>
      </c>
      <c r="G7" s="60">
        <v>2.0</v>
      </c>
      <c r="H7" s="60">
        <v>2.0</v>
      </c>
      <c r="I7" s="60">
        <v>2.0</v>
      </c>
      <c r="J7" s="60">
        <v>2.0</v>
      </c>
      <c r="K7" s="60">
        <v>1.0</v>
      </c>
      <c r="L7" s="60">
        <v>6.0</v>
      </c>
      <c r="M7" s="60">
        <v>5.0</v>
      </c>
      <c r="N7" s="60">
        <f>M7</f>
        <v>5</v>
      </c>
      <c r="O7" s="60">
        <v>3.0</v>
      </c>
      <c r="P7" s="60">
        <v>3.0</v>
      </c>
      <c r="Q7" s="31">
        <v>2.0</v>
      </c>
      <c r="R7" s="31">
        <v>2.0</v>
      </c>
      <c r="S7" s="31">
        <v>1.0</v>
      </c>
      <c r="T7" s="31">
        <v>1.0</v>
      </c>
      <c r="U7" s="31">
        <v>1.0</v>
      </c>
      <c r="V7" s="31">
        <v>1.0</v>
      </c>
      <c r="W7" s="31">
        <v>2.0</v>
      </c>
      <c r="X7" s="31">
        <v>1.0</v>
      </c>
      <c r="Y7" s="73">
        <v>1.0</v>
      </c>
      <c r="Z7" s="31">
        <v>0.0</v>
      </c>
      <c r="AA7" s="31">
        <v>1.0</v>
      </c>
      <c r="AB7" s="31">
        <v>1.0</v>
      </c>
      <c r="AC7" s="31">
        <v>1.0</v>
      </c>
      <c r="AD7" s="31">
        <v>2.0</v>
      </c>
      <c r="AE7" s="31">
        <v>2.0</v>
      </c>
      <c r="AF7" s="31">
        <v>2.0</v>
      </c>
      <c r="AG7" s="31">
        <v>1.0</v>
      </c>
      <c r="AH7" s="31">
        <v>1.0</v>
      </c>
      <c r="AI7" s="73">
        <v>1.0</v>
      </c>
      <c r="AJ7" s="31">
        <v>1.0</v>
      </c>
      <c r="AK7" s="31">
        <v>1.0</v>
      </c>
      <c r="AL7" s="31">
        <v>0.0</v>
      </c>
      <c r="AM7" s="94">
        <v>0.0</v>
      </c>
      <c r="AN7" s="94">
        <v>0.0</v>
      </c>
      <c r="AO7" s="94">
        <v>0.0</v>
      </c>
      <c r="AP7" s="32">
        <v>2.0</v>
      </c>
      <c r="AQ7" s="32">
        <v>2.0</v>
      </c>
      <c r="AR7" s="32">
        <v>2.0</v>
      </c>
      <c r="AS7" s="32">
        <v>2.0</v>
      </c>
      <c r="AT7" s="32">
        <v>1.0</v>
      </c>
      <c r="AU7" s="32">
        <v>1.0</v>
      </c>
      <c r="AV7" s="86">
        <v>1.0</v>
      </c>
      <c r="AW7" s="86">
        <v>1.0</v>
      </c>
      <c r="AX7" s="93"/>
      <c r="AY7" s="93"/>
      <c r="AZ7" s="93"/>
      <c r="BA7" s="93"/>
      <c r="BB7" s="93"/>
    </row>
    <row r="8">
      <c r="A8" s="36" t="s">
        <v>223</v>
      </c>
      <c r="B8" s="36" t="s">
        <v>15</v>
      </c>
      <c r="C8" s="36" t="s">
        <v>235</v>
      </c>
      <c r="D8" s="60"/>
      <c r="E8" s="60"/>
      <c r="F8" s="73"/>
      <c r="G8" s="73"/>
      <c r="H8" s="85"/>
      <c r="I8" s="60"/>
      <c r="J8" s="73"/>
      <c r="K8" s="73"/>
      <c r="L8" s="73"/>
      <c r="M8" s="73"/>
      <c r="N8" s="73"/>
      <c r="O8" s="73"/>
      <c r="P8" s="73"/>
      <c r="Q8" s="31" t="s">
        <v>35</v>
      </c>
      <c r="R8" s="31" t="s">
        <v>35</v>
      </c>
      <c r="S8" s="31"/>
      <c r="T8" s="31" t="s">
        <v>35</v>
      </c>
      <c r="U8" s="31" t="s">
        <v>35</v>
      </c>
      <c r="V8" s="31" t="s">
        <v>35</v>
      </c>
      <c r="W8" s="31" t="s">
        <v>35</v>
      </c>
      <c r="X8" s="31" t="s">
        <v>35</v>
      </c>
      <c r="Y8" s="73">
        <v>10.0</v>
      </c>
      <c r="Z8" s="31">
        <v>8.0</v>
      </c>
      <c r="AA8" s="31">
        <v>5.0</v>
      </c>
      <c r="AB8" s="31">
        <v>4.0</v>
      </c>
      <c r="AC8" s="94">
        <v>0.0</v>
      </c>
      <c r="AD8" s="32">
        <v>8.0</v>
      </c>
      <c r="AE8" s="32">
        <v>7.0</v>
      </c>
      <c r="AF8" s="32">
        <v>6.0</v>
      </c>
      <c r="AG8" s="32">
        <v>4.0</v>
      </c>
      <c r="AH8" s="32">
        <v>4.0</v>
      </c>
      <c r="AI8" s="86">
        <v>3.0</v>
      </c>
      <c r="AJ8" s="31">
        <v>1.0</v>
      </c>
      <c r="AK8" s="94">
        <v>0.0</v>
      </c>
      <c r="AL8" s="94">
        <v>0.0</v>
      </c>
      <c r="AM8" s="94">
        <v>0.0</v>
      </c>
      <c r="AN8" s="94">
        <v>0.0</v>
      </c>
      <c r="AO8" s="94">
        <v>0.0</v>
      </c>
      <c r="AP8" s="32">
        <v>8.0</v>
      </c>
      <c r="AQ8" s="32">
        <v>7.0</v>
      </c>
      <c r="AR8" s="32">
        <v>4.0</v>
      </c>
      <c r="AS8" s="32">
        <v>2.0</v>
      </c>
      <c r="AT8" s="32">
        <v>0.0</v>
      </c>
      <c r="AU8" s="32">
        <v>0.0</v>
      </c>
      <c r="AV8" s="86">
        <v>24.0</v>
      </c>
      <c r="AW8" s="86">
        <v>20.0</v>
      </c>
      <c r="AX8" s="93"/>
      <c r="AY8" s="93"/>
      <c r="AZ8" s="93"/>
      <c r="BA8" s="93"/>
      <c r="BB8" s="93"/>
    </row>
    <row r="9">
      <c r="A9" s="36" t="s">
        <v>223</v>
      </c>
      <c r="B9" s="36" t="s">
        <v>15</v>
      </c>
      <c r="C9" s="36" t="s">
        <v>236</v>
      </c>
      <c r="D9" s="60"/>
      <c r="E9" s="60"/>
      <c r="F9" s="73"/>
      <c r="G9" s="73"/>
      <c r="H9" s="85"/>
      <c r="I9" s="60"/>
      <c r="J9" s="73"/>
      <c r="K9" s="73"/>
      <c r="L9" s="73"/>
      <c r="M9" s="73"/>
      <c r="N9" s="73"/>
      <c r="O9" s="73"/>
      <c r="P9" s="73"/>
      <c r="Q9" s="31" t="s">
        <v>35</v>
      </c>
      <c r="R9" s="31" t="s">
        <v>35</v>
      </c>
      <c r="S9" s="31" t="s">
        <v>35</v>
      </c>
      <c r="T9" s="31" t="s">
        <v>35</v>
      </c>
      <c r="U9" s="31" t="s">
        <v>35</v>
      </c>
      <c r="V9" s="31" t="s">
        <v>35</v>
      </c>
      <c r="W9" s="31" t="s">
        <v>35</v>
      </c>
      <c r="X9" s="31" t="s">
        <v>35</v>
      </c>
      <c r="Y9" s="73">
        <v>2.0</v>
      </c>
      <c r="Z9" s="31">
        <v>1.0</v>
      </c>
      <c r="AA9" s="31">
        <v>0.0</v>
      </c>
      <c r="AB9" s="94">
        <v>0.0</v>
      </c>
      <c r="AC9" s="94">
        <v>0.0</v>
      </c>
      <c r="AD9" s="32">
        <v>1.0</v>
      </c>
      <c r="AE9" s="32">
        <v>1.0</v>
      </c>
      <c r="AF9" s="32">
        <v>1.0</v>
      </c>
      <c r="AG9" s="32">
        <v>1.0</v>
      </c>
      <c r="AH9" s="32">
        <v>1.0</v>
      </c>
      <c r="AI9" s="86">
        <v>1.0</v>
      </c>
      <c r="AJ9" s="31">
        <v>1.0</v>
      </c>
      <c r="AK9" s="31">
        <v>1.0</v>
      </c>
      <c r="AL9" s="31">
        <v>1.0</v>
      </c>
      <c r="AM9" s="31">
        <v>1.0</v>
      </c>
      <c r="AN9" s="94">
        <v>0.0</v>
      </c>
      <c r="AO9" s="94">
        <v>0.0</v>
      </c>
      <c r="AP9" s="32">
        <v>1.0</v>
      </c>
      <c r="AQ9" s="32">
        <v>1.0</v>
      </c>
      <c r="AR9" s="32">
        <v>1.0</v>
      </c>
      <c r="AS9" s="32">
        <v>0.0</v>
      </c>
      <c r="AT9" s="32">
        <v>0.0</v>
      </c>
      <c r="AU9" s="32">
        <v>0.0</v>
      </c>
      <c r="AV9" s="86">
        <v>1.0</v>
      </c>
      <c r="AW9" s="86">
        <v>1.0</v>
      </c>
      <c r="AX9" s="93"/>
      <c r="AY9" s="93"/>
      <c r="AZ9" s="93"/>
      <c r="BA9" s="93"/>
      <c r="BB9" s="93"/>
    </row>
    <row r="10">
      <c r="A10" s="36" t="s">
        <v>223</v>
      </c>
      <c r="B10" s="36" t="s">
        <v>15</v>
      </c>
      <c r="C10" s="36" t="s">
        <v>237</v>
      </c>
      <c r="D10" s="60"/>
      <c r="E10" s="60"/>
      <c r="F10" s="73"/>
      <c r="G10" s="73"/>
      <c r="H10" s="85"/>
      <c r="I10" s="60"/>
      <c r="J10" s="73"/>
      <c r="K10" s="73"/>
      <c r="L10" s="73"/>
      <c r="M10" s="73"/>
      <c r="N10" s="73"/>
      <c r="O10" s="73"/>
      <c r="P10" s="73"/>
      <c r="Q10" s="31"/>
      <c r="R10" s="31"/>
      <c r="S10" s="31"/>
      <c r="T10" s="31"/>
      <c r="U10" s="31"/>
      <c r="V10" s="31"/>
      <c r="W10" s="31"/>
      <c r="X10" s="31"/>
      <c r="Y10" s="73"/>
      <c r="Z10" s="31"/>
      <c r="AA10" s="31"/>
      <c r="AB10" s="32"/>
      <c r="AC10" s="32"/>
      <c r="AD10" s="32"/>
      <c r="AE10" s="32"/>
      <c r="AF10" s="32"/>
      <c r="AG10" s="32"/>
      <c r="AH10" s="32"/>
      <c r="AI10" s="86"/>
      <c r="AJ10" s="31"/>
      <c r="AK10" s="31"/>
      <c r="AL10" s="31"/>
      <c r="AM10" s="31"/>
      <c r="AN10" s="31"/>
      <c r="AO10" s="31"/>
      <c r="AP10" s="31">
        <v>0.0</v>
      </c>
      <c r="AQ10" s="31">
        <v>0.0</v>
      </c>
      <c r="AR10" s="31">
        <v>0.0</v>
      </c>
      <c r="AS10" s="31">
        <v>0.0</v>
      </c>
      <c r="AT10" s="31">
        <v>0.0</v>
      </c>
      <c r="AU10" s="31">
        <v>0.0</v>
      </c>
      <c r="AV10" s="73">
        <v>10.0</v>
      </c>
      <c r="AW10" s="73">
        <v>6.0</v>
      </c>
      <c r="AX10" s="95"/>
      <c r="AY10" s="95"/>
      <c r="AZ10" s="95"/>
      <c r="BA10" s="95"/>
      <c r="BB10" s="95"/>
    </row>
    <row r="11">
      <c r="A11" s="36" t="s">
        <v>223</v>
      </c>
      <c r="B11" s="36" t="s">
        <v>33</v>
      </c>
      <c r="C11" s="36" t="s">
        <v>238</v>
      </c>
      <c r="D11" s="60"/>
      <c r="E11" s="60"/>
      <c r="F11" s="73"/>
      <c r="G11" s="73"/>
      <c r="H11" s="85"/>
      <c r="I11" s="60"/>
      <c r="J11" s="73"/>
      <c r="K11" s="73"/>
      <c r="L11" s="73"/>
      <c r="M11" s="73"/>
      <c r="N11" s="73"/>
      <c r="O11" s="73"/>
      <c r="P11" s="73"/>
      <c r="Q11" s="31"/>
      <c r="R11" s="31"/>
      <c r="S11" s="31"/>
      <c r="T11" s="31"/>
      <c r="U11" s="31"/>
      <c r="V11" s="31"/>
      <c r="W11" s="31"/>
      <c r="X11" s="31"/>
      <c r="Y11" s="73"/>
      <c r="Z11" s="31"/>
      <c r="AA11" s="31"/>
      <c r="AB11" s="32"/>
      <c r="AC11" s="32">
        <v>1.0</v>
      </c>
      <c r="AD11" s="32">
        <v>2.0</v>
      </c>
      <c r="AE11" s="32">
        <v>2.0</v>
      </c>
      <c r="AF11" s="32">
        <v>2.0</v>
      </c>
      <c r="AG11" s="32">
        <v>1.0</v>
      </c>
      <c r="AH11" s="32">
        <v>1.0</v>
      </c>
      <c r="AI11" s="86">
        <v>1.0</v>
      </c>
      <c r="AJ11" s="31">
        <v>1.0</v>
      </c>
      <c r="AK11" s="31">
        <v>1.0</v>
      </c>
      <c r="AL11" s="31">
        <v>1.0</v>
      </c>
      <c r="AM11" s="31">
        <v>1.0</v>
      </c>
      <c r="AN11" s="31">
        <v>1.0</v>
      </c>
      <c r="AO11" s="31">
        <v>1.0</v>
      </c>
      <c r="AP11" s="31">
        <v>1.0</v>
      </c>
      <c r="AQ11" s="31">
        <v>1.0</v>
      </c>
      <c r="AR11" s="31">
        <v>1.0</v>
      </c>
      <c r="AS11" s="31">
        <v>1.0</v>
      </c>
      <c r="AT11" s="31">
        <v>1.0</v>
      </c>
      <c r="AU11" s="31">
        <v>1.0</v>
      </c>
      <c r="AV11" s="73">
        <v>2.0</v>
      </c>
      <c r="AW11" s="73">
        <v>2.0</v>
      </c>
      <c r="AX11" s="95"/>
      <c r="AY11" s="95"/>
      <c r="AZ11" s="95"/>
      <c r="BA11" s="95"/>
      <c r="BB11" s="95"/>
    </row>
    <row r="12">
      <c r="A12" s="36" t="s">
        <v>223</v>
      </c>
      <c r="B12" s="36" t="s">
        <v>33</v>
      </c>
      <c r="C12" s="36" t="s">
        <v>239</v>
      </c>
      <c r="D12" s="60"/>
      <c r="E12" s="60"/>
      <c r="F12" s="73"/>
      <c r="G12" s="73"/>
      <c r="H12" s="85"/>
      <c r="I12" s="60"/>
      <c r="J12" s="73"/>
      <c r="K12" s="73"/>
      <c r="L12" s="73"/>
      <c r="M12" s="73"/>
      <c r="N12" s="73"/>
      <c r="O12" s="73"/>
      <c r="P12" s="73"/>
      <c r="Q12" s="31"/>
      <c r="R12" s="31"/>
      <c r="S12" s="31"/>
      <c r="T12" s="31"/>
      <c r="U12" s="31"/>
      <c r="V12" s="31"/>
      <c r="W12" s="31"/>
      <c r="X12" s="31"/>
      <c r="Y12" s="73"/>
      <c r="Z12" s="31"/>
      <c r="AA12" s="31"/>
      <c r="AB12" s="32"/>
      <c r="AC12" s="94">
        <v>0.0</v>
      </c>
      <c r="AD12" s="32">
        <v>2.0</v>
      </c>
      <c r="AE12" s="32">
        <v>2.0</v>
      </c>
      <c r="AF12" s="32">
        <v>2.0</v>
      </c>
      <c r="AG12" s="32">
        <v>1.0</v>
      </c>
      <c r="AH12" s="32">
        <v>1.0</v>
      </c>
      <c r="AI12" s="86">
        <v>1.0</v>
      </c>
      <c r="AJ12" s="31">
        <v>1.0</v>
      </c>
      <c r="AK12" s="31">
        <v>1.0</v>
      </c>
      <c r="AL12" s="31">
        <v>1.0</v>
      </c>
      <c r="AM12" s="31">
        <v>1.0</v>
      </c>
      <c r="AN12" s="31">
        <v>1.0</v>
      </c>
      <c r="AO12" s="31">
        <v>1.0</v>
      </c>
      <c r="AP12" s="31">
        <v>1.0</v>
      </c>
      <c r="AQ12" s="31">
        <v>1.0</v>
      </c>
      <c r="AR12" s="31">
        <v>1.0</v>
      </c>
      <c r="AS12" s="31">
        <v>1.0</v>
      </c>
      <c r="AT12" s="31">
        <v>1.0</v>
      </c>
      <c r="AU12" s="31">
        <v>1.0</v>
      </c>
      <c r="AV12" s="73">
        <v>2.0</v>
      </c>
      <c r="AW12" s="73">
        <v>2.0</v>
      </c>
      <c r="AX12" s="95"/>
      <c r="AY12" s="95"/>
      <c r="AZ12" s="95"/>
      <c r="BA12" s="95"/>
      <c r="BB12" s="95"/>
    </row>
    <row r="13">
      <c r="A13" s="36" t="s">
        <v>223</v>
      </c>
      <c r="B13" s="36" t="s">
        <v>33</v>
      </c>
      <c r="C13" s="96" t="s">
        <v>37</v>
      </c>
      <c r="D13" s="60"/>
      <c r="E13" s="60"/>
      <c r="F13" s="73"/>
      <c r="G13" s="73"/>
      <c r="H13" s="85"/>
      <c r="I13" s="60"/>
      <c r="J13" s="73"/>
      <c r="K13" s="73"/>
      <c r="L13" s="73"/>
      <c r="M13" s="73"/>
      <c r="N13" s="73"/>
      <c r="O13" s="73"/>
      <c r="P13" s="73"/>
      <c r="Q13" s="31"/>
      <c r="R13" s="31"/>
      <c r="S13" s="31"/>
      <c r="T13" s="31"/>
      <c r="U13" s="31"/>
      <c r="V13" s="31"/>
      <c r="W13" s="31"/>
      <c r="X13" s="31"/>
      <c r="Y13" s="73"/>
      <c r="Z13" s="31"/>
      <c r="AA13" s="31"/>
      <c r="AB13" s="32"/>
      <c r="AC13" s="97" t="s">
        <v>240</v>
      </c>
      <c r="AD13" s="97" t="s">
        <v>241</v>
      </c>
      <c r="AE13" s="97" t="s">
        <v>241</v>
      </c>
      <c r="AF13" s="97" t="s">
        <v>242</v>
      </c>
      <c r="AG13" s="97" t="s">
        <v>243</v>
      </c>
      <c r="AH13" s="97" t="s">
        <v>243</v>
      </c>
      <c r="AI13" s="98" t="s">
        <v>244</v>
      </c>
      <c r="AJ13" s="98" t="s">
        <v>245</v>
      </c>
      <c r="AK13" s="98" t="s">
        <v>246</v>
      </c>
      <c r="AL13" s="98" t="s">
        <v>247</v>
      </c>
      <c r="AM13" s="98" t="s">
        <v>248</v>
      </c>
      <c r="AN13" s="98" t="s">
        <v>249</v>
      </c>
      <c r="AO13" s="98" t="s">
        <v>249</v>
      </c>
      <c r="AP13" s="98">
        <f> 21 </f>
        <v>21</v>
      </c>
      <c r="AQ13" s="98">
        <v>18.0</v>
      </c>
      <c r="AR13" s="98">
        <v>16.0</v>
      </c>
      <c r="AS13" s="98">
        <v>16.0</v>
      </c>
      <c r="AT13" s="98">
        <v>15.0</v>
      </c>
      <c r="AU13" s="98">
        <v>14.0</v>
      </c>
      <c r="AV13" s="98">
        <v>21.0</v>
      </c>
      <c r="AW13" s="98">
        <v>21.0</v>
      </c>
      <c r="AX13" s="98"/>
      <c r="AY13" s="98"/>
      <c r="AZ13" s="98"/>
      <c r="BA13" s="98"/>
      <c r="BB13" s="98"/>
    </row>
    <row r="14">
      <c r="A14" s="36" t="s">
        <v>223</v>
      </c>
      <c r="B14" s="36" t="s">
        <v>33</v>
      </c>
      <c r="C14" s="96" t="s">
        <v>250</v>
      </c>
      <c r="D14" s="60"/>
      <c r="E14" s="60"/>
      <c r="F14" s="73"/>
      <c r="G14" s="73"/>
      <c r="H14" s="85"/>
      <c r="I14" s="60"/>
      <c r="J14" s="73"/>
      <c r="K14" s="73"/>
      <c r="L14" s="73"/>
      <c r="M14" s="73"/>
      <c r="N14" s="73"/>
      <c r="O14" s="73"/>
      <c r="P14" s="73"/>
      <c r="Q14" s="31"/>
      <c r="R14" s="31"/>
      <c r="S14" s="31"/>
      <c r="T14" s="31"/>
      <c r="U14" s="31"/>
      <c r="V14" s="31"/>
      <c r="W14" s="31"/>
      <c r="X14" s="31"/>
      <c r="Y14" s="73"/>
      <c r="Z14" s="31"/>
      <c r="AA14" s="31"/>
      <c r="AB14" s="32"/>
      <c r="AC14" s="32"/>
      <c r="AD14" s="65"/>
      <c r="AE14" s="65"/>
      <c r="AF14" s="65"/>
      <c r="AG14" s="65"/>
      <c r="AH14" s="65"/>
      <c r="AI14" s="86"/>
      <c r="AJ14" s="31"/>
      <c r="AK14" s="31"/>
      <c r="AL14" s="31"/>
      <c r="AN14" s="61"/>
      <c r="AO14" s="61"/>
      <c r="AP14" s="61">
        <v>5.0</v>
      </c>
      <c r="AQ14" s="61">
        <v>4.0</v>
      </c>
      <c r="AR14" s="61">
        <v>2.0</v>
      </c>
      <c r="AS14" s="61">
        <v>2.0</v>
      </c>
      <c r="AT14" s="61">
        <v>1.0</v>
      </c>
      <c r="AU14" s="61">
        <v>0.0</v>
      </c>
      <c r="AV14" s="73">
        <v>5.0</v>
      </c>
      <c r="AW14" s="73">
        <v>3.0</v>
      </c>
      <c r="AX14" s="95"/>
      <c r="AY14" s="95"/>
      <c r="AZ14" s="95"/>
      <c r="BA14" s="95"/>
      <c r="BB14" s="95"/>
    </row>
    <row r="15">
      <c r="A15" s="36" t="s">
        <v>223</v>
      </c>
      <c r="B15" s="36" t="s">
        <v>33</v>
      </c>
      <c r="C15" s="96" t="s">
        <v>251</v>
      </c>
      <c r="D15" s="60"/>
      <c r="E15" s="60"/>
      <c r="F15" s="73"/>
      <c r="G15" s="73"/>
      <c r="H15" s="85"/>
      <c r="I15" s="60"/>
      <c r="J15" s="73"/>
      <c r="K15" s="73"/>
      <c r="L15" s="73"/>
      <c r="M15" s="73"/>
      <c r="N15" s="73"/>
      <c r="O15" s="73"/>
      <c r="P15" s="73"/>
      <c r="Q15" s="31"/>
      <c r="R15" s="31"/>
      <c r="S15" s="31"/>
      <c r="T15" s="31"/>
      <c r="U15" s="31"/>
      <c r="V15" s="31"/>
      <c r="W15" s="31"/>
      <c r="X15" s="31"/>
      <c r="Y15" s="73"/>
      <c r="Z15" s="31"/>
      <c r="AA15" s="31"/>
      <c r="AB15" s="32"/>
      <c r="AC15" s="32"/>
      <c r="AD15" s="65"/>
      <c r="AE15" s="65"/>
      <c r="AF15" s="65"/>
      <c r="AG15" s="65"/>
      <c r="AH15" s="65"/>
      <c r="AI15" s="86"/>
      <c r="AJ15" s="31"/>
      <c r="AK15" s="31"/>
      <c r="AL15" s="31"/>
      <c r="AN15" s="61"/>
      <c r="AO15" s="61"/>
      <c r="AP15" s="61">
        <v>12.0</v>
      </c>
      <c r="AQ15" s="61">
        <v>11.0</v>
      </c>
      <c r="AR15" s="61">
        <v>10.0</v>
      </c>
      <c r="AS15" s="61">
        <v>8.0</v>
      </c>
      <c r="AT15" s="61">
        <v>5.0</v>
      </c>
      <c r="AU15" s="61">
        <v>5.0</v>
      </c>
      <c r="AV15" s="73">
        <v>9.0</v>
      </c>
      <c r="AW15" s="73">
        <v>6.0</v>
      </c>
      <c r="AX15" s="95"/>
      <c r="AY15" s="95"/>
      <c r="AZ15" s="95"/>
      <c r="BA15" s="95"/>
      <c r="BB15" s="95"/>
    </row>
    <row r="16">
      <c r="A16" s="36" t="s">
        <v>223</v>
      </c>
      <c r="B16" s="36" t="s">
        <v>33</v>
      </c>
      <c r="C16" s="36" t="s">
        <v>252</v>
      </c>
      <c r="D16" s="60"/>
      <c r="E16" s="60"/>
      <c r="F16" s="73"/>
      <c r="G16" s="73"/>
      <c r="H16" s="85"/>
      <c r="I16" s="60"/>
      <c r="J16" s="73"/>
      <c r="K16" s="73"/>
      <c r="L16" s="73"/>
      <c r="M16" s="73"/>
      <c r="N16" s="73"/>
      <c r="O16" s="73"/>
      <c r="P16" s="73"/>
      <c r="Q16" s="31"/>
      <c r="R16" s="31"/>
      <c r="S16" s="31"/>
      <c r="T16" s="31"/>
      <c r="U16" s="31"/>
      <c r="V16" s="31"/>
      <c r="W16" s="31"/>
      <c r="X16" s="31"/>
      <c r="Y16" s="73"/>
      <c r="Z16" s="31"/>
      <c r="AA16" s="31"/>
      <c r="AB16" s="32"/>
      <c r="AC16" s="32">
        <v>1.0</v>
      </c>
      <c r="AD16" s="65" t="s">
        <v>253</v>
      </c>
      <c r="AE16" s="65" t="s">
        <v>253</v>
      </c>
      <c r="AF16" s="65" t="s">
        <v>253</v>
      </c>
      <c r="AG16" s="65" t="s">
        <v>254</v>
      </c>
      <c r="AH16" s="65" t="s">
        <v>254</v>
      </c>
      <c r="AI16" s="86">
        <v>6.0</v>
      </c>
      <c r="AJ16" s="31">
        <v>5.0</v>
      </c>
      <c r="AK16" s="31">
        <v>4.0</v>
      </c>
      <c r="AL16" s="31">
        <v>4.0</v>
      </c>
      <c r="AN16" s="61" t="s">
        <v>255</v>
      </c>
      <c r="AO16" s="61" t="s">
        <v>255</v>
      </c>
      <c r="AP16" s="61" t="s">
        <v>253</v>
      </c>
      <c r="AQ16" s="61" t="s">
        <v>253</v>
      </c>
      <c r="AR16" s="61" t="s">
        <v>253</v>
      </c>
      <c r="AS16" s="61" t="s">
        <v>254</v>
      </c>
      <c r="AT16" s="61" t="s">
        <v>254</v>
      </c>
      <c r="AU16" s="61" t="s">
        <v>256</v>
      </c>
      <c r="AV16" s="73">
        <v>11.0</v>
      </c>
      <c r="AW16" s="73" t="s">
        <v>253</v>
      </c>
      <c r="AX16" s="95"/>
      <c r="AY16" s="95"/>
      <c r="AZ16" s="95"/>
      <c r="BA16" s="95"/>
      <c r="BB16" s="95"/>
    </row>
    <row r="17">
      <c r="A17" s="75" t="s">
        <v>223</v>
      </c>
      <c r="B17" s="75" t="s">
        <v>33</v>
      </c>
      <c r="C17" s="75" t="s">
        <v>257</v>
      </c>
      <c r="D17" s="99"/>
      <c r="E17" s="99"/>
      <c r="F17" s="100"/>
      <c r="G17" s="100"/>
      <c r="H17" s="101"/>
      <c r="I17" s="99"/>
      <c r="J17" s="100"/>
      <c r="K17" s="100"/>
      <c r="L17" s="100"/>
      <c r="M17" s="100"/>
      <c r="N17" s="100"/>
      <c r="O17" s="100"/>
      <c r="P17" s="100"/>
      <c r="Q17" s="49"/>
      <c r="R17" s="49"/>
      <c r="S17" s="49"/>
      <c r="T17" s="49"/>
      <c r="U17" s="49"/>
      <c r="V17" s="49"/>
      <c r="W17" s="49"/>
      <c r="X17" s="49"/>
      <c r="Y17" s="100"/>
      <c r="Z17" s="49"/>
      <c r="AA17" s="49"/>
      <c r="AB17" s="102"/>
      <c r="AC17" s="103">
        <v>0.0</v>
      </c>
      <c r="AD17" s="102">
        <v>1.0</v>
      </c>
      <c r="AE17" s="102">
        <v>0.0</v>
      </c>
      <c r="AF17" s="102">
        <v>0.0</v>
      </c>
      <c r="AG17" s="102">
        <v>0.0</v>
      </c>
      <c r="AH17" s="102">
        <v>0.0</v>
      </c>
      <c r="AI17" s="104">
        <v>0.0</v>
      </c>
      <c r="AJ17" s="49">
        <v>0.0</v>
      </c>
      <c r="AK17" s="103">
        <v>0.0</v>
      </c>
      <c r="AL17" s="103">
        <v>0.0</v>
      </c>
      <c r="AM17" s="103">
        <v>0.0</v>
      </c>
      <c r="AN17" s="103">
        <v>0.0</v>
      </c>
      <c r="AO17" s="103">
        <v>0.0</v>
      </c>
      <c r="AP17" s="102">
        <v>1.0</v>
      </c>
      <c r="AQ17" s="32">
        <v>1.0</v>
      </c>
      <c r="AR17" s="32">
        <v>1.0</v>
      </c>
      <c r="AS17" s="32">
        <v>0.0</v>
      </c>
      <c r="AT17" s="32">
        <v>0.0</v>
      </c>
      <c r="AU17" s="32">
        <v>0.0</v>
      </c>
      <c r="AV17" s="86">
        <v>2.0</v>
      </c>
      <c r="AW17" s="86">
        <v>2.0</v>
      </c>
      <c r="AX17" s="93"/>
      <c r="AY17" s="93"/>
      <c r="AZ17" s="93"/>
      <c r="BA17" s="93"/>
      <c r="BB17" s="93"/>
    </row>
    <row r="18">
      <c r="A18" s="36" t="s">
        <v>258</v>
      </c>
      <c r="B18" s="36" t="s">
        <v>15</v>
      </c>
      <c r="C18" s="37" t="s">
        <v>16</v>
      </c>
      <c r="D18" s="60">
        <v>0.0</v>
      </c>
      <c r="E18" s="60">
        <v>0.0</v>
      </c>
      <c r="F18" s="73" t="s">
        <v>259</v>
      </c>
      <c r="G18" s="73" t="s">
        <v>260</v>
      </c>
      <c r="H18" s="85">
        <v>0.0</v>
      </c>
      <c r="I18" s="60">
        <v>0.0</v>
      </c>
      <c r="J18" s="73">
        <v>3.0</v>
      </c>
      <c r="K18" s="73" t="s">
        <v>225</v>
      </c>
      <c r="L18" s="73">
        <v>5.0</v>
      </c>
      <c r="M18" s="73" t="s">
        <v>261</v>
      </c>
      <c r="N18" s="73">
        <v>2.0</v>
      </c>
      <c r="O18" s="73">
        <v>4.0</v>
      </c>
      <c r="P18" s="73">
        <v>3.0</v>
      </c>
      <c r="Q18" s="31">
        <v>1.0</v>
      </c>
      <c r="R18" s="31">
        <v>2.0</v>
      </c>
      <c r="S18" s="31">
        <v>0.0</v>
      </c>
      <c r="T18" s="31">
        <v>0.0</v>
      </c>
      <c r="U18" s="31">
        <v>4.5</v>
      </c>
      <c r="V18" s="31">
        <v>2.5</v>
      </c>
      <c r="W18" s="31">
        <v>5.0</v>
      </c>
      <c r="X18" s="31">
        <v>4.0</v>
      </c>
      <c r="Y18" s="73">
        <v>3.0</v>
      </c>
      <c r="Z18" s="31">
        <v>2.0</v>
      </c>
      <c r="AA18" s="31">
        <v>1.0</v>
      </c>
      <c r="AB18" s="32">
        <v>1.0</v>
      </c>
      <c r="AC18" s="32">
        <v>1.0</v>
      </c>
      <c r="AD18" s="65">
        <v>4.5</v>
      </c>
      <c r="AE18" s="65">
        <v>4.0</v>
      </c>
      <c r="AF18" s="65">
        <v>3.5</v>
      </c>
      <c r="AG18" s="65">
        <v>3.0</v>
      </c>
      <c r="AH18" s="65">
        <v>3.0</v>
      </c>
      <c r="AI18" s="86">
        <v>2.0</v>
      </c>
      <c r="AJ18" s="31">
        <v>6.0</v>
      </c>
      <c r="AK18" s="31">
        <v>5.0</v>
      </c>
      <c r="AL18" s="61" t="s">
        <v>228</v>
      </c>
      <c r="AM18" s="61">
        <v>4.0</v>
      </c>
      <c r="AN18" s="61">
        <v>1.0</v>
      </c>
      <c r="AO18" s="61" t="s">
        <v>262</v>
      </c>
      <c r="AP18" s="61">
        <v>8.0</v>
      </c>
      <c r="AQ18" s="77">
        <v>7.0</v>
      </c>
      <c r="AR18" s="77">
        <v>8.0</v>
      </c>
      <c r="AS18" s="77" t="s">
        <v>263</v>
      </c>
      <c r="AT18" s="77">
        <v>7.0</v>
      </c>
      <c r="AU18" s="77">
        <v>6.0</v>
      </c>
      <c r="AV18" s="105" t="s">
        <v>230</v>
      </c>
      <c r="AW18" s="105">
        <v>6.0</v>
      </c>
      <c r="AX18" s="95"/>
      <c r="AY18" s="95"/>
      <c r="AZ18" s="95"/>
      <c r="BA18" s="95"/>
      <c r="BB18" s="95"/>
    </row>
    <row r="19">
      <c r="A19" s="36" t="s">
        <v>258</v>
      </c>
      <c r="B19" s="36" t="s">
        <v>15</v>
      </c>
      <c r="C19" s="37" t="s">
        <v>21</v>
      </c>
      <c r="D19" s="60">
        <v>0.0</v>
      </c>
      <c r="E19" s="60">
        <v>4.0</v>
      </c>
      <c r="F19" s="60">
        <v>3.0</v>
      </c>
      <c r="G19" s="31">
        <v>3.0</v>
      </c>
      <c r="H19" s="60">
        <v>1.0</v>
      </c>
      <c r="I19" s="60">
        <v>0.0</v>
      </c>
      <c r="J19" s="60">
        <v>3.0</v>
      </c>
      <c r="K19" s="60">
        <v>2.0</v>
      </c>
      <c r="L19" s="31">
        <v>4.0</v>
      </c>
      <c r="M19" s="60">
        <v>4.0</v>
      </c>
      <c r="N19" s="60">
        <v>1.0</v>
      </c>
      <c r="O19" s="60">
        <v>0.0</v>
      </c>
      <c r="P19" s="31">
        <v>4.0</v>
      </c>
      <c r="Q19" s="31">
        <v>1.0</v>
      </c>
      <c r="R19" s="31">
        <v>5.0</v>
      </c>
      <c r="S19" s="31">
        <v>4.0</v>
      </c>
      <c r="T19" s="31">
        <v>3.0</v>
      </c>
      <c r="U19" s="31">
        <v>2.0</v>
      </c>
      <c r="V19" s="31">
        <v>1.0</v>
      </c>
      <c r="W19" s="31">
        <v>5.0</v>
      </c>
      <c r="X19" s="31">
        <v>4.0</v>
      </c>
      <c r="Y19" s="73">
        <v>6.0</v>
      </c>
      <c r="Z19" s="31">
        <v>4.0</v>
      </c>
      <c r="AA19" s="31">
        <v>3.0</v>
      </c>
      <c r="AB19" s="61" t="s">
        <v>264</v>
      </c>
      <c r="AC19" s="61" t="s">
        <v>232</v>
      </c>
      <c r="AD19" s="61">
        <v>10.0</v>
      </c>
      <c r="AE19" s="61">
        <v>9.0</v>
      </c>
      <c r="AF19" s="61">
        <v>9.0</v>
      </c>
      <c r="AG19" s="61">
        <v>8.0</v>
      </c>
      <c r="AH19" s="61">
        <v>8.0</v>
      </c>
      <c r="AI19" s="73">
        <v>7.0</v>
      </c>
      <c r="AJ19" s="31">
        <v>6.0</v>
      </c>
      <c r="AK19" s="31">
        <v>5.0</v>
      </c>
      <c r="AL19" s="31">
        <v>5.0</v>
      </c>
      <c r="AM19" s="31">
        <v>5.0</v>
      </c>
      <c r="AN19" s="31">
        <v>4.0</v>
      </c>
      <c r="AO19" s="31">
        <v>4.0</v>
      </c>
      <c r="AP19" s="31">
        <v>9.0</v>
      </c>
      <c r="AQ19" s="31">
        <v>9.0</v>
      </c>
      <c r="AR19" s="31">
        <v>8.0</v>
      </c>
      <c r="AS19" s="31">
        <v>8.0</v>
      </c>
      <c r="AT19" s="31">
        <v>4.0</v>
      </c>
      <c r="AU19" s="31">
        <v>4.0</v>
      </c>
      <c r="AV19" s="73">
        <v>2.0</v>
      </c>
      <c r="AW19" s="73">
        <v>1.0</v>
      </c>
      <c r="AX19" s="106"/>
      <c r="AY19" s="106"/>
      <c r="AZ19" s="106"/>
      <c r="BA19" s="106"/>
      <c r="BB19" s="106"/>
    </row>
    <row r="20">
      <c r="A20" s="36" t="s">
        <v>258</v>
      </c>
      <c r="B20" s="36" t="s">
        <v>15</v>
      </c>
      <c r="C20" s="37" t="s">
        <v>22</v>
      </c>
      <c r="D20" s="60">
        <v>0.0</v>
      </c>
      <c r="E20" s="60">
        <v>6.0</v>
      </c>
      <c r="F20" s="60">
        <v>5.0</v>
      </c>
      <c r="G20" s="60">
        <v>2.0</v>
      </c>
      <c r="H20" s="60">
        <v>1.0</v>
      </c>
      <c r="I20" s="60">
        <v>0.0</v>
      </c>
      <c r="J20" s="60">
        <v>4.0</v>
      </c>
      <c r="K20" s="60">
        <v>3.0</v>
      </c>
      <c r="L20" s="60">
        <v>10.0</v>
      </c>
      <c r="M20" s="60">
        <v>8.0</v>
      </c>
      <c r="N20" s="60">
        <v>6.0</v>
      </c>
      <c r="O20" s="60">
        <v>3.0</v>
      </c>
      <c r="P20" s="60">
        <v>4.0</v>
      </c>
      <c r="Q20" s="31">
        <v>6.0</v>
      </c>
      <c r="R20" s="31">
        <v>5.0</v>
      </c>
      <c r="S20" s="31">
        <v>4.0</v>
      </c>
      <c r="T20" s="31">
        <v>4.0</v>
      </c>
      <c r="U20" s="31">
        <v>2.0</v>
      </c>
      <c r="V20" s="31">
        <v>1.0</v>
      </c>
      <c r="W20" s="31">
        <v>3.0</v>
      </c>
      <c r="X20" s="31">
        <v>3.0</v>
      </c>
      <c r="Y20" s="73">
        <v>6.0</v>
      </c>
      <c r="Z20" s="31">
        <v>6.0</v>
      </c>
      <c r="AA20" s="31">
        <v>4.0</v>
      </c>
      <c r="AB20" s="61" t="s">
        <v>265</v>
      </c>
      <c r="AC20" s="61" t="s">
        <v>266</v>
      </c>
      <c r="AD20" s="61">
        <v>22.0</v>
      </c>
      <c r="AE20" s="61">
        <v>22.0</v>
      </c>
      <c r="AF20" s="61">
        <v>19.0</v>
      </c>
      <c r="AG20" s="61">
        <v>16.0</v>
      </c>
      <c r="AH20" s="61">
        <v>16.0</v>
      </c>
      <c r="AI20" s="73">
        <v>15.0</v>
      </c>
      <c r="AJ20" s="31">
        <v>15.0</v>
      </c>
      <c r="AK20" s="31">
        <v>15.0</v>
      </c>
      <c r="AL20" s="31">
        <v>14.0</v>
      </c>
      <c r="AM20" s="31">
        <v>13.0</v>
      </c>
      <c r="AN20" s="31">
        <v>13.0</v>
      </c>
      <c r="AO20" s="31">
        <v>13.0</v>
      </c>
      <c r="AP20" s="31">
        <v>22.0</v>
      </c>
      <c r="AQ20" s="31">
        <v>22.0</v>
      </c>
      <c r="AR20" s="31">
        <v>20.0</v>
      </c>
      <c r="AS20" s="31">
        <v>20.0</v>
      </c>
      <c r="AT20" s="31">
        <v>19.0</v>
      </c>
      <c r="AU20" s="31">
        <v>19.0</v>
      </c>
      <c r="AV20" s="73">
        <v>19.0</v>
      </c>
      <c r="AW20" s="73">
        <v>18.0</v>
      </c>
      <c r="AX20" s="106"/>
      <c r="AY20" s="106"/>
      <c r="AZ20" s="106"/>
      <c r="BA20" s="106"/>
      <c r="BB20" s="106"/>
    </row>
    <row r="21">
      <c r="A21" s="36" t="s">
        <v>258</v>
      </c>
      <c r="B21" s="36" t="s">
        <v>15</v>
      </c>
      <c r="C21" s="36" t="s">
        <v>23</v>
      </c>
      <c r="D21" s="60">
        <v>0.0</v>
      </c>
      <c r="E21" s="60">
        <v>4.0</v>
      </c>
      <c r="F21" s="60">
        <v>4.0</v>
      </c>
      <c r="G21" s="60">
        <v>4.0</v>
      </c>
      <c r="H21" s="60">
        <v>3.0</v>
      </c>
      <c r="I21" s="60">
        <v>3.0</v>
      </c>
      <c r="J21" s="60">
        <v>3.0</v>
      </c>
      <c r="K21" s="60">
        <v>2.0</v>
      </c>
      <c r="L21" s="60">
        <v>5.0</v>
      </c>
      <c r="M21" s="60">
        <v>4.0</v>
      </c>
      <c r="N21" s="60">
        <f>M21</f>
        <v>4</v>
      </c>
      <c r="O21" s="60">
        <v>3.0</v>
      </c>
      <c r="P21" s="60">
        <v>3.0</v>
      </c>
      <c r="Q21" s="31">
        <v>2.0</v>
      </c>
      <c r="R21" s="31">
        <v>2.0</v>
      </c>
      <c r="S21" s="31">
        <v>2.0</v>
      </c>
      <c r="T21" s="31">
        <v>2.0</v>
      </c>
      <c r="U21" s="31">
        <v>2.0</v>
      </c>
      <c r="V21" s="31">
        <v>1.0</v>
      </c>
      <c r="W21" s="31">
        <v>2.0</v>
      </c>
      <c r="X21" s="31">
        <v>1.0</v>
      </c>
      <c r="Y21" s="73">
        <v>1.0</v>
      </c>
      <c r="Z21" s="31">
        <v>1.0</v>
      </c>
      <c r="AA21" s="31">
        <v>1.0</v>
      </c>
      <c r="AB21" s="31">
        <v>1.0</v>
      </c>
      <c r="AC21" s="31">
        <v>1.0</v>
      </c>
      <c r="AD21" s="31">
        <v>2.0</v>
      </c>
      <c r="AE21" s="31">
        <v>2.0</v>
      </c>
      <c r="AF21" s="31">
        <v>2.0</v>
      </c>
      <c r="AG21" s="31">
        <v>2.0</v>
      </c>
      <c r="AH21" s="31">
        <v>2.0</v>
      </c>
      <c r="AI21" s="73">
        <v>2.0</v>
      </c>
      <c r="AJ21" s="31">
        <v>2.0</v>
      </c>
      <c r="AK21" s="31">
        <v>1.0</v>
      </c>
      <c r="AL21" s="31">
        <v>0.0</v>
      </c>
      <c r="AM21" s="94">
        <v>0.0</v>
      </c>
      <c r="AN21" s="94">
        <v>0.0</v>
      </c>
      <c r="AO21" s="94">
        <v>0.0</v>
      </c>
      <c r="AP21" s="32">
        <v>2.0</v>
      </c>
      <c r="AQ21" s="32">
        <v>2.0</v>
      </c>
      <c r="AR21" s="32">
        <v>2.0</v>
      </c>
      <c r="AS21" s="32">
        <v>2.0</v>
      </c>
      <c r="AT21" s="32">
        <v>2.0</v>
      </c>
      <c r="AU21" s="32">
        <v>2.0</v>
      </c>
      <c r="AV21" s="86">
        <v>2.0</v>
      </c>
      <c r="AW21" s="86">
        <v>2.0</v>
      </c>
      <c r="AX21" s="93"/>
      <c r="AY21" s="93"/>
      <c r="AZ21" s="93"/>
      <c r="BA21" s="93"/>
      <c r="BB21" s="93"/>
    </row>
    <row r="22">
      <c r="A22" s="36" t="s">
        <v>258</v>
      </c>
      <c r="B22" s="36" t="s">
        <v>15</v>
      </c>
      <c r="C22" s="36" t="s">
        <v>25</v>
      </c>
      <c r="D22" s="26"/>
      <c r="E22" s="26"/>
      <c r="F22" s="70"/>
      <c r="G22" s="26"/>
      <c r="H22" s="26"/>
      <c r="I22" s="70"/>
      <c r="J22" s="107"/>
      <c r="K22" s="107"/>
      <c r="L22" s="64"/>
      <c r="M22" s="64"/>
      <c r="N22" s="64"/>
      <c r="O22" s="64"/>
      <c r="P22" s="64"/>
      <c r="Q22" s="65" t="s">
        <v>35</v>
      </c>
      <c r="R22" s="65" t="s">
        <v>35</v>
      </c>
      <c r="S22" s="65" t="s">
        <v>35</v>
      </c>
      <c r="T22" s="65" t="s">
        <v>35</v>
      </c>
      <c r="U22" s="65" t="s">
        <v>35</v>
      </c>
      <c r="V22" s="65" t="s">
        <v>35</v>
      </c>
      <c r="W22" s="65" t="s">
        <v>35</v>
      </c>
      <c r="X22" s="65" t="s">
        <v>35</v>
      </c>
      <c r="Y22" s="32">
        <v>11.0</v>
      </c>
      <c r="Z22" s="32">
        <v>9.0</v>
      </c>
      <c r="AA22" s="32">
        <v>6.0</v>
      </c>
      <c r="AB22" s="32">
        <v>3.0</v>
      </c>
      <c r="AC22" s="94">
        <v>0.0</v>
      </c>
      <c r="AD22" s="32">
        <v>7.0</v>
      </c>
      <c r="AE22" s="32">
        <v>6.0</v>
      </c>
      <c r="AF22" s="32">
        <v>5.0</v>
      </c>
      <c r="AG22" s="32">
        <v>4.0</v>
      </c>
      <c r="AH22" s="32">
        <v>4.0</v>
      </c>
      <c r="AI22" s="86">
        <v>3.0</v>
      </c>
      <c r="AJ22" s="32">
        <v>1.0</v>
      </c>
      <c r="AK22" s="94">
        <v>0.0</v>
      </c>
      <c r="AL22" s="94">
        <v>0.0</v>
      </c>
      <c r="AM22" s="94">
        <v>0.0</v>
      </c>
      <c r="AN22" s="94">
        <v>0.0</v>
      </c>
      <c r="AO22" s="94">
        <v>0.0</v>
      </c>
      <c r="AP22" s="32">
        <v>9.0</v>
      </c>
      <c r="AQ22" s="32">
        <v>9.0</v>
      </c>
      <c r="AR22" s="32">
        <v>6.0</v>
      </c>
      <c r="AS22" s="32">
        <v>5.0</v>
      </c>
      <c r="AT22" s="32">
        <v>4.0</v>
      </c>
      <c r="AU22" s="32">
        <v>3.0</v>
      </c>
      <c r="AV22" s="86">
        <v>2.0</v>
      </c>
      <c r="AW22" s="86">
        <v>2.0</v>
      </c>
      <c r="AX22" s="93"/>
      <c r="AY22" s="93"/>
      <c r="AZ22" s="93"/>
      <c r="BA22" s="93"/>
      <c r="BB22" s="93"/>
    </row>
    <row r="23">
      <c r="A23" s="36" t="s">
        <v>258</v>
      </c>
      <c r="B23" s="36" t="s">
        <v>15</v>
      </c>
      <c r="C23" s="36" t="s">
        <v>236</v>
      </c>
      <c r="H23" s="108"/>
      <c r="I23" s="109"/>
      <c r="Q23" s="65" t="s">
        <v>35</v>
      </c>
      <c r="R23" s="65" t="s">
        <v>35</v>
      </c>
      <c r="S23" s="65" t="s">
        <v>35</v>
      </c>
      <c r="T23" s="65" t="s">
        <v>35</v>
      </c>
      <c r="U23" s="65" t="s">
        <v>35</v>
      </c>
      <c r="V23" s="65" t="s">
        <v>35</v>
      </c>
      <c r="W23" s="65" t="s">
        <v>35</v>
      </c>
      <c r="X23" s="65" t="s">
        <v>35</v>
      </c>
      <c r="Y23" s="31">
        <v>2.0</v>
      </c>
      <c r="Z23" s="31">
        <v>1.0</v>
      </c>
      <c r="AA23" s="31">
        <v>1.0</v>
      </c>
      <c r="AB23" s="31">
        <v>1.0</v>
      </c>
      <c r="AC23" s="31">
        <v>1.0</v>
      </c>
      <c r="AD23" s="31">
        <v>2.0</v>
      </c>
      <c r="AE23" s="31">
        <v>2.0</v>
      </c>
      <c r="AF23" s="31">
        <v>2.0</v>
      </c>
      <c r="AG23" s="31">
        <v>1.0</v>
      </c>
      <c r="AH23" s="31">
        <v>1.0</v>
      </c>
      <c r="AI23" s="73">
        <v>1.0</v>
      </c>
      <c r="AJ23" s="31">
        <v>1.0</v>
      </c>
      <c r="AK23" s="31">
        <v>1.0</v>
      </c>
      <c r="AL23" s="31">
        <v>1.0</v>
      </c>
      <c r="AM23" s="31">
        <v>1.0</v>
      </c>
      <c r="AN23" s="31">
        <v>1.0</v>
      </c>
      <c r="AO23" s="31">
        <v>1.0</v>
      </c>
      <c r="AP23" s="32">
        <v>1.0</v>
      </c>
      <c r="AQ23" s="32">
        <v>1.0</v>
      </c>
      <c r="AR23" s="32">
        <v>1.0</v>
      </c>
      <c r="AS23" s="32">
        <v>1.0</v>
      </c>
      <c r="AT23" s="32">
        <v>1.0</v>
      </c>
      <c r="AU23" s="32">
        <v>1.0</v>
      </c>
      <c r="AV23" s="86">
        <v>1.0</v>
      </c>
      <c r="AW23" s="86">
        <v>1.0</v>
      </c>
      <c r="AX23" s="93"/>
      <c r="AY23" s="93"/>
      <c r="AZ23" s="93"/>
      <c r="BA23" s="93"/>
      <c r="BB23" s="93"/>
    </row>
    <row r="24">
      <c r="A24" s="36" t="s">
        <v>258</v>
      </c>
      <c r="B24" s="36" t="s">
        <v>15</v>
      </c>
      <c r="C24" s="36" t="s">
        <v>237</v>
      </c>
      <c r="H24" s="70"/>
      <c r="I24" s="70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86"/>
      <c r="AJ24" s="31"/>
      <c r="AK24" s="94"/>
      <c r="AL24" s="94"/>
      <c r="AM24" s="94"/>
      <c r="AN24" s="94"/>
      <c r="AO24" s="94"/>
      <c r="AP24" s="32">
        <v>0.0</v>
      </c>
      <c r="AQ24" s="32">
        <v>0.0</v>
      </c>
      <c r="AR24" s="32">
        <v>0.0</v>
      </c>
      <c r="AS24" s="32">
        <v>0.0</v>
      </c>
      <c r="AT24" s="32">
        <v>0.0</v>
      </c>
      <c r="AU24" s="32">
        <v>0.0</v>
      </c>
      <c r="AV24" s="86">
        <v>0.0</v>
      </c>
      <c r="AW24" s="86">
        <v>0.0</v>
      </c>
      <c r="AX24" s="93"/>
      <c r="AY24" s="93"/>
      <c r="AZ24" s="93"/>
      <c r="BA24" s="93"/>
      <c r="BB24" s="93"/>
    </row>
    <row r="25">
      <c r="A25" s="36" t="s">
        <v>258</v>
      </c>
      <c r="B25" s="36" t="s">
        <v>33</v>
      </c>
      <c r="C25" s="36" t="s">
        <v>238</v>
      </c>
      <c r="H25" s="70"/>
      <c r="I25" s="70"/>
      <c r="X25" s="65" t="s">
        <v>35</v>
      </c>
      <c r="Y25" s="65" t="s">
        <v>35</v>
      </c>
      <c r="Z25" s="65" t="s">
        <v>35</v>
      </c>
      <c r="AA25" s="65" t="s">
        <v>35</v>
      </c>
      <c r="AB25" s="65" t="s">
        <v>35</v>
      </c>
      <c r="AC25" s="65">
        <v>1.0</v>
      </c>
      <c r="AD25" s="65">
        <v>1.0</v>
      </c>
      <c r="AE25" s="65">
        <v>1.0</v>
      </c>
      <c r="AF25" s="65">
        <v>1.0</v>
      </c>
      <c r="AG25" s="65">
        <v>1.0</v>
      </c>
      <c r="AH25" s="65">
        <v>1.0</v>
      </c>
      <c r="AI25" s="86">
        <v>1.0</v>
      </c>
      <c r="AJ25" s="31">
        <v>1.0</v>
      </c>
      <c r="AK25" s="94">
        <v>0.0</v>
      </c>
      <c r="AL25" s="94">
        <v>0.0</v>
      </c>
      <c r="AM25" s="94">
        <v>0.0</v>
      </c>
      <c r="AN25" s="94">
        <v>0.0</v>
      </c>
      <c r="AO25" s="94">
        <v>0.0</v>
      </c>
      <c r="AP25" s="32">
        <v>1.0</v>
      </c>
      <c r="AQ25" s="32">
        <v>0.0</v>
      </c>
      <c r="AR25" s="32">
        <v>0.0</v>
      </c>
      <c r="AS25" s="32">
        <v>0.0</v>
      </c>
      <c r="AT25" s="32">
        <v>0.0</v>
      </c>
      <c r="AU25" s="32">
        <v>0.0</v>
      </c>
      <c r="AV25" s="86">
        <v>0.0</v>
      </c>
      <c r="AW25" s="86">
        <v>1.0</v>
      </c>
      <c r="AX25" s="93"/>
      <c r="AY25" s="93"/>
      <c r="AZ25" s="93"/>
      <c r="BA25" s="93"/>
      <c r="BB25" s="93"/>
    </row>
    <row r="26">
      <c r="A26" s="36" t="s">
        <v>258</v>
      </c>
      <c r="B26" s="36" t="s">
        <v>33</v>
      </c>
      <c r="C26" s="31" t="s">
        <v>267</v>
      </c>
      <c r="H26" s="85"/>
      <c r="I26" s="32"/>
      <c r="X26" s="65" t="s">
        <v>35</v>
      </c>
      <c r="Y26" s="65" t="s">
        <v>35</v>
      </c>
      <c r="Z26" s="65" t="s">
        <v>35</v>
      </c>
      <c r="AA26" s="65" t="s">
        <v>35</v>
      </c>
      <c r="AB26" s="65" t="s">
        <v>35</v>
      </c>
      <c r="AC26" s="65">
        <v>1.0</v>
      </c>
      <c r="AD26" s="65">
        <v>1.0</v>
      </c>
      <c r="AE26" s="65">
        <v>1.0</v>
      </c>
      <c r="AF26" s="65">
        <v>1.0</v>
      </c>
      <c r="AG26" s="65">
        <v>1.0</v>
      </c>
      <c r="AH26" s="65">
        <v>1.0</v>
      </c>
      <c r="AI26" s="86">
        <v>1.0</v>
      </c>
      <c r="AJ26" s="31">
        <v>1.0</v>
      </c>
      <c r="AK26" s="31">
        <v>1.0</v>
      </c>
      <c r="AL26" s="31">
        <v>1.0</v>
      </c>
      <c r="AM26" s="31">
        <v>1.0</v>
      </c>
      <c r="AN26" s="31">
        <v>1.0</v>
      </c>
      <c r="AO26" s="31">
        <v>1.0</v>
      </c>
      <c r="AP26" s="31">
        <v>1.0</v>
      </c>
      <c r="AQ26" s="31">
        <v>1.0</v>
      </c>
      <c r="AR26" s="31">
        <v>1.0</v>
      </c>
      <c r="AS26" s="31">
        <v>1.0</v>
      </c>
      <c r="AT26" s="31">
        <v>1.0</v>
      </c>
      <c r="AU26" s="31">
        <v>1.0</v>
      </c>
      <c r="AV26" s="73">
        <v>1.0</v>
      </c>
      <c r="AW26" s="73">
        <v>2.0</v>
      </c>
      <c r="AX26" s="106"/>
      <c r="AY26" s="106"/>
      <c r="AZ26" s="106"/>
      <c r="BA26" s="106"/>
      <c r="BB26" s="106"/>
    </row>
    <row r="27">
      <c r="A27" s="36" t="s">
        <v>258</v>
      </c>
      <c r="B27" s="36" t="s">
        <v>33</v>
      </c>
      <c r="C27" s="96" t="s">
        <v>37</v>
      </c>
      <c r="H27" s="85"/>
      <c r="I27" s="32"/>
      <c r="X27" s="65" t="s">
        <v>35</v>
      </c>
      <c r="Y27" s="65" t="s">
        <v>35</v>
      </c>
      <c r="Z27" s="65" t="s">
        <v>35</v>
      </c>
      <c r="AA27" s="65" t="s">
        <v>35</v>
      </c>
      <c r="AB27" s="65" t="s">
        <v>35</v>
      </c>
      <c r="AC27" s="97" t="s">
        <v>268</v>
      </c>
      <c r="AD27" s="97" t="s">
        <v>269</v>
      </c>
      <c r="AE27" s="97" t="s">
        <v>270</v>
      </c>
      <c r="AF27" s="97" t="s">
        <v>271</v>
      </c>
      <c r="AG27" s="97" t="s">
        <v>272</v>
      </c>
      <c r="AH27" s="97" t="s">
        <v>272</v>
      </c>
      <c r="AI27" s="98" t="s">
        <v>273</v>
      </c>
      <c r="AJ27" s="98" t="s">
        <v>274</v>
      </c>
      <c r="AK27" s="98" t="s">
        <v>274</v>
      </c>
      <c r="AL27" s="98" t="s">
        <v>275</v>
      </c>
      <c r="AM27" s="98" t="s">
        <v>276</v>
      </c>
      <c r="AN27" s="98" t="s">
        <v>276</v>
      </c>
      <c r="AO27" s="98" t="s">
        <v>276</v>
      </c>
      <c r="AP27" s="98">
        <v>9.0</v>
      </c>
      <c r="AQ27" s="98">
        <v>8.0</v>
      </c>
      <c r="AR27" s="98">
        <v>6.0</v>
      </c>
      <c r="AS27" s="98">
        <v>5.0</v>
      </c>
      <c r="AT27" s="98">
        <v>4.0</v>
      </c>
      <c r="AU27" s="98">
        <v>4.0</v>
      </c>
      <c r="AV27" s="98">
        <v>10.0</v>
      </c>
      <c r="AW27" s="98">
        <v>10.0</v>
      </c>
      <c r="AX27" s="110"/>
      <c r="AY27" s="110"/>
      <c r="AZ27" s="110"/>
      <c r="BA27" s="110"/>
      <c r="BB27" s="110"/>
    </row>
    <row r="28">
      <c r="A28" s="36" t="s">
        <v>258</v>
      </c>
      <c r="B28" s="36" t="s">
        <v>33</v>
      </c>
      <c r="C28" s="96" t="s">
        <v>250</v>
      </c>
      <c r="H28" s="85"/>
      <c r="I28" s="32"/>
      <c r="X28" s="65"/>
      <c r="Y28" s="65"/>
      <c r="Z28" s="65"/>
      <c r="AA28" s="65"/>
      <c r="AB28" s="65"/>
      <c r="AC28" s="97"/>
      <c r="AD28" s="97"/>
      <c r="AE28" s="97"/>
      <c r="AF28" s="97"/>
      <c r="AG28" s="97"/>
      <c r="AH28" s="97"/>
      <c r="AI28" s="98"/>
      <c r="AJ28" s="98"/>
      <c r="AK28" s="98"/>
      <c r="AL28" s="98"/>
      <c r="AM28" s="98"/>
      <c r="AN28" s="98"/>
      <c r="AO28" s="98"/>
      <c r="AP28" s="98">
        <v>5.0</v>
      </c>
      <c r="AQ28" s="98">
        <v>4.0</v>
      </c>
      <c r="AR28" s="98">
        <v>3.0</v>
      </c>
      <c r="AS28" s="98">
        <v>2.0</v>
      </c>
      <c r="AT28" s="98">
        <v>1.0</v>
      </c>
      <c r="AU28" s="98">
        <v>1.0</v>
      </c>
      <c r="AV28" s="98">
        <v>3.0</v>
      </c>
      <c r="AW28" s="98">
        <v>3.0</v>
      </c>
      <c r="AX28" s="110"/>
      <c r="AY28" s="110"/>
      <c r="AZ28" s="110"/>
      <c r="BA28" s="110"/>
      <c r="BB28" s="110"/>
    </row>
    <row r="29">
      <c r="A29" s="36" t="s">
        <v>258</v>
      </c>
      <c r="B29" s="36" t="s">
        <v>33</v>
      </c>
      <c r="C29" s="96" t="s">
        <v>251</v>
      </c>
      <c r="H29" s="85"/>
      <c r="I29" s="32"/>
      <c r="X29" s="65"/>
      <c r="Y29" s="65"/>
      <c r="Z29" s="65"/>
      <c r="AA29" s="65"/>
      <c r="AB29" s="65"/>
      <c r="AC29" s="97"/>
      <c r="AD29" s="97"/>
      <c r="AE29" s="97"/>
      <c r="AF29" s="97"/>
      <c r="AG29" s="97"/>
      <c r="AH29" s="97"/>
      <c r="AI29" s="98"/>
      <c r="AJ29" s="98"/>
      <c r="AK29" s="98"/>
      <c r="AL29" s="98"/>
      <c r="AM29" s="98"/>
      <c r="AN29" s="98"/>
      <c r="AO29" s="98"/>
      <c r="AP29" s="98">
        <v>8.0</v>
      </c>
      <c r="AQ29" s="98">
        <v>8.0</v>
      </c>
      <c r="AR29" s="98">
        <v>8.0</v>
      </c>
      <c r="AS29" s="98">
        <v>8.0</v>
      </c>
      <c r="AT29" s="98">
        <v>6.0</v>
      </c>
      <c r="AU29" s="98">
        <v>6.0</v>
      </c>
      <c r="AV29" s="98">
        <v>6.0</v>
      </c>
      <c r="AW29" s="98">
        <v>6.0</v>
      </c>
      <c r="AX29" s="110"/>
      <c r="AY29" s="110"/>
      <c r="AZ29" s="110"/>
      <c r="BA29" s="110"/>
      <c r="BB29" s="110"/>
    </row>
    <row r="30">
      <c r="A30" s="36" t="s">
        <v>258</v>
      </c>
      <c r="B30" s="36" t="s">
        <v>33</v>
      </c>
      <c r="C30" s="31" t="s">
        <v>252</v>
      </c>
      <c r="H30" s="85"/>
      <c r="I30" s="32"/>
      <c r="X30" s="65" t="s">
        <v>35</v>
      </c>
      <c r="Y30" s="65" t="s">
        <v>35</v>
      </c>
      <c r="Z30" s="65" t="s">
        <v>35</v>
      </c>
      <c r="AA30" s="65" t="s">
        <v>35</v>
      </c>
      <c r="AB30" s="65" t="s">
        <v>35</v>
      </c>
      <c r="AC30" s="65">
        <v>1.0</v>
      </c>
      <c r="AD30" s="65" t="s">
        <v>253</v>
      </c>
      <c r="AE30" s="65" t="s">
        <v>253</v>
      </c>
      <c r="AF30" s="65" t="s">
        <v>253</v>
      </c>
      <c r="AG30" s="65" t="s">
        <v>254</v>
      </c>
      <c r="AH30" s="65" t="s">
        <v>254</v>
      </c>
      <c r="AI30" s="86" t="s">
        <v>254</v>
      </c>
      <c r="AJ30" s="61" t="s">
        <v>256</v>
      </c>
      <c r="AK30" s="61" t="s">
        <v>232</v>
      </c>
      <c r="AL30" s="61" t="s">
        <v>255</v>
      </c>
      <c r="AM30" s="61" t="s">
        <v>255</v>
      </c>
      <c r="AN30" s="61" t="s">
        <v>255</v>
      </c>
      <c r="AO30" s="61" t="s">
        <v>255</v>
      </c>
      <c r="AP30" s="61" t="s">
        <v>256</v>
      </c>
      <c r="AQ30" s="61" t="s">
        <v>277</v>
      </c>
      <c r="AR30" s="61" t="s">
        <v>277</v>
      </c>
      <c r="AS30" s="61" t="s">
        <v>277</v>
      </c>
      <c r="AT30" s="61" t="s">
        <v>232</v>
      </c>
      <c r="AU30" s="61" t="s">
        <v>232</v>
      </c>
      <c r="AV30" s="73" t="s">
        <v>255</v>
      </c>
      <c r="AW30" s="73" t="s">
        <v>255</v>
      </c>
      <c r="AX30" s="95"/>
      <c r="AY30" s="95"/>
      <c r="AZ30" s="95"/>
      <c r="BA30" s="95"/>
      <c r="BB30" s="95"/>
    </row>
    <row r="31">
      <c r="A31" s="36" t="s">
        <v>258</v>
      </c>
      <c r="B31" s="36" t="s">
        <v>33</v>
      </c>
      <c r="C31" s="31" t="s">
        <v>257</v>
      </c>
      <c r="H31" s="85"/>
      <c r="I31" s="64"/>
      <c r="X31" s="65" t="s">
        <v>35</v>
      </c>
      <c r="Y31" s="65" t="s">
        <v>35</v>
      </c>
      <c r="Z31" s="65" t="s">
        <v>35</v>
      </c>
      <c r="AA31" s="65" t="s">
        <v>35</v>
      </c>
      <c r="AB31" s="65" t="s">
        <v>35</v>
      </c>
      <c r="AC31" s="92">
        <v>0.0</v>
      </c>
      <c r="AD31" s="65">
        <v>1.0</v>
      </c>
      <c r="AE31" s="65">
        <v>1.0</v>
      </c>
      <c r="AF31" s="65">
        <v>1.0</v>
      </c>
      <c r="AG31" s="65">
        <v>1.0</v>
      </c>
      <c r="AH31" s="65">
        <v>1.0</v>
      </c>
      <c r="AI31" s="86">
        <v>1.0</v>
      </c>
      <c r="AJ31" s="31">
        <v>0.0</v>
      </c>
      <c r="AK31" s="94">
        <v>0.0</v>
      </c>
      <c r="AL31" s="94">
        <v>0.0</v>
      </c>
      <c r="AM31" s="94">
        <v>0.0</v>
      </c>
      <c r="AN31" s="94">
        <v>0.0</v>
      </c>
      <c r="AO31" s="94">
        <v>0.0</v>
      </c>
      <c r="AP31" s="32">
        <v>1.0</v>
      </c>
      <c r="AQ31" s="32">
        <v>1.0</v>
      </c>
      <c r="AR31" s="32">
        <v>1.0</v>
      </c>
      <c r="AS31" s="32">
        <v>1.0</v>
      </c>
      <c r="AT31" s="32">
        <v>1.0</v>
      </c>
      <c r="AU31" s="32">
        <v>1.0</v>
      </c>
      <c r="AV31" s="86">
        <v>3.0</v>
      </c>
      <c r="AW31" s="86">
        <v>3.0</v>
      </c>
      <c r="AX31" s="93"/>
      <c r="AY31" s="93"/>
      <c r="AZ31" s="93"/>
      <c r="BA31" s="93"/>
      <c r="BB31" s="93"/>
    </row>
    <row r="32">
      <c r="AI32" s="111"/>
      <c r="AV32" s="111"/>
      <c r="AW32" s="111"/>
      <c r="AX32" s="111"/>
      <c r="AY32" s="111"/>
      <c r="AZ32" s="111"/>
      <c r="BA32" s="111"/>
      <c r="BB32" s="111"/>
    </row>
    <row r="33">
      <c r="AI33" s="111"/>
      <c r="AV33" s="111"/>
      <c r="AW33" s="111"/>
      <c r="AX33" s="111"/>
      <c r="AY33" s="111"/>
      <c r="AZ33" s="111"/>
      <c r="BA33" s="111"/>
      <c r="BB33" s="111"/>
    </row>
    <row r="34">
      <c r="A34" s="26"/>
      <c r="B34" s="26"/>
      <c r="C34" s="70"/>
      <c r="D34" s="33"/>
      <c r="E34" s="33"/>
      <c r="F34" s="34"/>
      <c r="G34" s="34"/>
      <c r="H34" s="108"/>
      <c r="I34" s="109"/>
      <c r="AI34" s="111"/>
      <c r="AV34" s="111"/>
      <c r="AW34" s="111"/>
      <c r="AX34" s="111"/>
      <c r="AY34" s="111"/>
      <c r="AZ34" s="111"/>
      <c r="BA34" s="111"/>
      <c r="BB34" s="111"/>
    </row>
    <row r="35">
      <c r="A35" s="35"/>
      <c r="B35" s="35"/>
      <c r="C35" s="35"/>
      <c r="D35" s="35"/>
      <c r="E35" s="35"/>
      <c r="F35" s="35"/>
      <c r="G35" s="35"/>
      <c r="H35" s="70"/>
      <c r="I35" s="70"/>
      <c r="AI35" s="111"/>
      <c r="AV35" s="111"/>
      <c r="AW35" s="111"/>
      <c r="AX35" s="111"/>
      <c r="AY35" s="111"/>
      <c r="AZ35" s="111"/>
      <c r="BA35" s="111"/>
      <c r="BB35" s="111"/>
    </row>
    <row r="36">
      <c r="A36" s="36"/>
      <c r="B36" s="37"/>
      <c r="C36" s="37"/>
      <c r="H36" s="85"/>
      <c r="I36" s="32"/>
      <c r="AI36" s="111"/>
      <c r="AV36" s="111"/>
      <c r="AW36" s="111"/>
      <c r="AX36" s="111"/>
      <c r="AY36" s="111"/>
      <c r="AZ36" s="111"/>
      <c r="BA36" s="111"/>
      <c r="BB36" s="111"/>
    </row>
    <row r="37">
      <c r="A37" s="36"/>
      <c r="B37" s="37"/>
      <c r="C37" s="37"/>
      <c r="H37" s="85"/>
      <c r="I37" s="32"/>
      <c r="AI37" s="111"/>
      <c r="AV37" s="111"/>
      <c r="AW37" s="111"/>
      <c r="AX37" s="111"/>
      <c r="AY37" s="111"/>
      <c r="AZ37" s="111"/>
      <c r="BA37" s="111"/>
      <c r="BB37" s="111"/>
    </row>
    <row r="38">
      <c r="A38" s="36"/>
      <c r="B38" s="37"/>
      <c r="C38" s="37"/>
      <c r="H38" s="85"/>
      <c r="I38" s="32"/>
      <c r="AI38" s="111"/>
      <c r="AV38" s="111"/>
      <c r="AW38" s="111"/>
      <c r="AX38" s="111"/>
      <c r="AY38" s="111"/>
      <c r="AZ38" s="111"/>
      <c r="BA38" s="111"/>
      <c r="BB38" s="111"/>
    </row>
    <row r="39">
      <c r="A39" s="36"/>
      <c r="B39" s="37"/>
      <c r="C39" s="36"/>
      <c r="H39" s="85"/>
      <c r="I39" s="64"/>
      <c r="AI39" s="111"/>
      <c r="AV39" s="111"/>
      <c r="AW39" s="111"/>
      <c r="AX39" s="111"/>
      <c r="AY39" s="111"/>
      <c r="AZ39" s="111"/>
      <c r="BA39" s="111"/>
      <c r="BB39" s="111"/>
    </row>
    <row r="40">
      <c r="A40" s="107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  <c r="AA40" s="64"/>
      <c r="AB40" s="64"/>
      <c r="AC40" s="64"/>
      <c r="AD40" s="64"/>
      <c r="AE40" s="64"/>
      <c r="AF40" s="64"/>
      <c r="AG40" s="64"/>
      <c r="AH40" s="64"/>
      <c r="AI40" s="112"/>
      <c r="AJ40" s="64"/>
      <c r="AK40" s="64"/>
      <c r="AL40" s="64"/>
      <c r="AM40" s="64"/>
      <c r="AN40" s="64"/>
      <c r="AO40" s="64"/>
      <c r="AP40" s="64"/>
      <c r="AQ40" s="64"/>
      <c r="AR40" s="64"/>
      <c r="AS40" s="64"/>
      <c r="AT40" s="64"/>
      <c r="AU40" s="64"/>
      <c r="AV40" s="112"/>
      <c r="AW40" s="112"/>
      <c r="AX40" s="112"/>
      <c r="AY40" s="112"/>
      <c r="AZ40" s="112"/>
      <c r="BA40" s="112"/>
      <c r="BB40" s="112"/>
    </row>
    <row r="41">
      <c r="AI41" s="111"/>
      <c r="AV41" s="111"/>
      <c r="AW41" s="111"/>
      <c r="AX41" s="111"/>
      <c r="AY41" s="111"/>
      <c r="AZ41" s="111"/>
      <c r="BA41" s="111"/>
      <c r="BB41" s="111"/>
    </row>
    <row r="42">
      <c r="A42" s="26"/>
      <c r="B42" s="26"/>
      <c r="C42" s="70"/>
      <c r="AI42" s="111"/>
      <c r="AV42" s="111"/>
      <c r="AW42" s="111"/>
      <c r="AX42" s="111"/>
      <c r="AY42" s="111"/>
      <c r="AZ42" s="111"/>
      <c r="BA42" s="111"/>
      <c r="BB42" s="111"/>
    </row>
    <row r="43">
      <c r="A43" s="35"/>
      <c r="B43" s="35"/>
      <c r="C43" s="35"/>
      <c r="AI43" s="111"/>
      <c r="AV43" s="111"/>
      <c r="AW43" s="111"/>
      <c r="AX43" s="111"/>
      <c r="AY43" s="111"/>
      <c r="AZ43" s="111"/>
      <c r="BA43" s="111"/>
      <c r="BB43" s="111"/>
    </row>
    <row r="44">
      <c r="A44" s="36"/>
      <c r="B44" s="37"/>
      <c r="C44" s="37"/>
      <c r="AI44" s="111"/>
      <c r="AV44" s="111"/>
      <c r="AW44" s="111"/>
      <c r="AX44" s="111"/>
      <c r="AY44" s="111"/>
      <c r="AZ44" s="111"/>
      <c r="BA44" s="111"/>
      <c r="BB44" s="111"/>
    </row>
    <row r="45">
      <c r="A45" s="36"/>
      <c r="B45" s="37"/>
      <c r="C45" s="37"/>
      <c r="AI45" s="111"/>
      <c r="AV45" s="111"/>
      <c r="AW45" s="111"/>
      <c r="AX45" s="111"/>
      <c r="AY45" s="111"/>
      <c r="AZ45" s="111"/>
      <c r="BA45" s="111"/>
      <c r="BB45" s="111"/>
    </row>
    <row r="46">
      <c r="A46" s="36"/>
      <c r="B46" s="37"/>
      <c r="C46" s="37"/>
      <c r="AI46" s="111"/>
      <c r="AV46" s="111"/>
      <c r="AW46" s="111"/>
      <c r="AX46" s="111"/>
      <c r="AY46" s="111"/>
      <c r="AZ46" s="111"/>
      <c r="BA46" s="111"/>
      <c r="BB46" s="111"/>
    </row>
    <row r="47">
      <c r="A47" s="36"/>
      <c r="B47" s="37"/>
      <c r="C47" s="36"/>
      <c r="AI47" s="111"/>
      <c r="AV47" s="111"/>
      <c r="AW47" s="111"/>
      <c r="AX47" s="111"/>
      <c r="AY47" s="111"/>
      <c r="AZ47" s="111"/>
      <c r="BA47" s="111"/>
      <c r="BB47" s="111"/>
    </row>
    <row r="48">
      <c r="AI48" s="111"/>
      <c r="AV48" s="111"/>
      <c r="AW48" s="111"/>
      <c r="AX48" s="111"/>
      <c r="AY48" s="111"/>
      <c r="AZ48" s="111"/>
      <c r="BA48" s="111"/>
      <c r="BB48" s="111"/>
    </row>
    <row r="49">
      <c r="AI49" s="111"/>
      <c r="AV49" s="111"/>
      <c r="AW49" s="111"/>
      <c r="AX49" s="111"/>
      <c r="AY49" s="111"/>
      <c r="AZ49" s="111"/>
      <c r="BA49" s="111"/>
      <c r="BB49" s="111"/>
    </row>
    <row r="50">
      <c r="A50" s="26"/>
      <c r="B50" s="26"/>
      <c r="C50" s="70"/>
      <c r="D50" s="33"/>
      <c r="E50" s="33"/>
      <c r="F50" s="34"/>
      <c r="G50" s="34"/>
      <c r="AI50" s="111"/>
      <c r="AV50" s="111"/>
      <c r="AW50" s="111"/>
      <c r="AX50" s="111"/>
      <c r="AY50" s="111"/>
      <c r="AZ50" s="111"/>
      <c r="BA50" s="111"/>
      <c r="BB50" s="111"/>
    </row>
    <row r="51">
      <c r="A51" s="35"/>
      <c r="B51" s="35"/>
      <c r="C51" s="35"/>
      <c r="D51" s="35"/>
      <c r="E51" s="35"/>
      <c r="F51" s="35"/>
      <c r="G51" s="35"/>
      <c r="AI51" s="111"/>
      <c r="AV51" s="111"/>
      <c r="AW51" s="111"/>
      <c r="AX51" s="111"/>
      <c r="AY51" s="111"/>
      <c r="AZ51" s="111"/>
      <c r="BA51" s="111"/>
      <c r="BB51" s="111"/>
    </row>
    <row r="52">
      <c r="A52" s="36"/>
      <c r="B52" s="37"/>
      <c r="C52" s="37"/>
      <c r="AI52" s="111"/>
      <c r="AV52" s="111"/>
      <c r="AW52" s="111"/>
      <c r="AX52" s="111"/>
      <c r="AY52" s="111"/>
      <c r="AZ52" s="111"/>
      <c r="BA52" s="111"/>
      <c r="BB52" s="111"/>
    </row>
    <row r="53">
      <c r="A53" s="36"/>
      <c r="B53" s="37"/>
      <c r="C53" s="37"/>
      <c r="AI53" s="111"/>
      <c r="AV53" s="111"/>
      <c r="AW53" s="111"/>
      <c r="AX53" s="111"/>
      <c r="AY53" s="111"/>
      <c r="AZ53" s="111"/>
      <c r="BA53" s="111"/>
      <c r="BB53" s="111"/>
    </row>
    <row r="54">
      <c r="A54" s="36"/>
      <c r="B54" s="37"/>
      <c r="C54" s="37"/>
      <c r="AI54" s="111"/>
      <c r="AV54" s="111"/>
      <c r="AW54" s="111"/>
      <c r="AX54" s="111"/>
      <c r="AY54" s="111"/>
      <c r="AZ54" s="111"/>
      <c r="BA54" s="111"/>
      <c r="BB54" s="111"/>
    </row>
    <row r="55">
      <c r="A55" s="36"/>
      <c r="B55" s="37"/>
      <c r="C55" s="36"/>
      <c r="AI55" s="111"/>
      <c r="AV55" s="111"/>
      <c r="AW55" s="111"/>
      <c r="AX55" s="111"/>
      <c r="AY55" s="111"/>
      <c r="AZ55" s="111"/>
      <c r="BA55" s="111"/>
      <c r="BB55" s="111"/>
    </row>
    <row r="56">
      <c r="AI56" s="111"/>
      <c r="AV56" s="111"/>
      <c r="AW56" s="111"/>
      <c r="AX56" s="111"/>
      <c r="AY56" s="111"/>
      <c r="AZ56" s="111"/>
      <c r="BA56" s="111"/>
      <c r="BB56" s="111"/>
    </row>
    <row r="57">
      <c r="AI57" s="111"/>
      <c r="AV57" s="111"/>
      <c r="AW57" s="111"/>
      <c r="AX57" s="111"/>
      <c r="AY57" s="111"/>
      <c r="AZ57" s="111"/>
      <c r="BA57" s="111"/>
      <c r="BB57" s="111"/>
    </row>
    <row r="58">
      <c r="AI58" s="111"/>
      <c r="AV58" s="111"/>
      <c r="AW58" s="111"/>
      <c r="AX58" s="111"/>
      <c r="AY58" s="111"/>
      <c r="AZ58" s="111"/>
      <c r="BA58" s="111"/>
      <c r="BB58" s="111"/>
    </row>
    <row r="59">
      <c r="AI59" s="111"/>
      <c r="AV59" s="111"/>
      <c r="AW59" s="111"/>
      <c r="AX59" s="111"/>
      <c r="AY59" s="111"/>
      <c r="AZ59" s="111"/>
      <c r="BA59" s="111"/>
      <c r="BB59" s="111"/>
    </row>
    <row r="60">
      <c r="AI60" s="111"/>
      <c r="AV60" s="111"/>
      <c r="AW60" s="111"/>
      <c r="AX60" s="111"/>
      <c r="AY60" s="111"/>
      <c r="AZ60" s="111"/>
      <c r="BA60" s="111"/>
      <c r="BB60" s="111"/>
    </row>
    <row r="61">
      <c r="AI61" s="111"/>
      <c r="AV61" s="111"/>
      <c r="AW61" s="111"/>
      <c r="AX61" s="111"/>
      <c r="AY61" s="111"/>
      <c r="AZ61" s="111"/>
      <c r="BA61" s="111"/>
      <c r="BB61" s="111"/>
    </row>
    <row r="62">
      <c r="AI62" s="111"/>
      <c r="AV62" s="111"/>
      <c r="AW62" s="111"/>
      <c r="AX62" s="111"/>
      <c r="AY62" s="111"/>
      <c r="AZ62" s="111"/>
      <c r="BA62" s="111"/>
      <c r="BB62" s="111"/>
    </row>
    <row r="63">
      <c r="AI63" s="111"/>
      <c r="AV63" s="111"/>
      <c r="AW63" s="111"/>
      <c r="AX63" s="111"/>
      <c r="AY63" s="111"/>
      <c r="AZ63" s="111"/>
      <c r="BA63" s="111"/>
      <c r="BB63" s="111"/>
    </row>
    <row r="64">
      <c r="AI64" s="111"/>
      <c r="AV64" s="111"/>
      <c r="AW64" s="111"/>
      <c r="AX64" s="111"/>
      <c r="AY64" s="111"/>
      <c r="AZ64" s="111"/>
      <c r="BA64" s="111"/>
      <c r="BB64" s="111"/>
    </row>
    <row r="65">
      <c r="AI65" s="111"/>
      <c r="AV65" s="111"/>
      <c r="AW65" s="111"/>
      <c r="AX65" s="111"/>
      <c r="AY65" s="111"/>
      <c r="AZ65" s="111"/>
      <c r="BA65" s="111"/>
      <c r="BB65" s="111"/>
    </row>
    <row r="66">
      <c r="AI66" s="111"/>
      <c r="AV66" s="111"/>
      <c r="AW66" s="111"/>
      <c r="AX66" s="111"/>
      <c r="AY66" s="111"/>
      <c r="AZ66" s="111"/>
      <c r="BA66" s="111"/>
      <c r="BB66" s="111"/>
    </row>
    <row r="67">
      <c r="AI67" s="111"/>
      <c r="AV67" s="111"/>
      <c r="AW67" s="111"/>
      <c r="AX67" s="111"/>
      <c r="AY67" s="111"/>
      <c r="AZ67" s="111"/>
      <c r="BA67" s="111"/>
      <c r="BB67" s="111"/>
    </row>
    <row r="68">
      <c r="AI68" s="111"/>
      <c r="AV68" s="111"/>
      <c r="AW68" s="111"/>
      <c r="AX68" s="111"/>
      <c r="AY68" s="111"/>
      <c r="AZ68" s="111"/>
      <c r="BA68" s="111"/>
      <c r="BB68" s="111"/>
    </row>
    <row r="69">
      <c r="AI69" s="111"/>
      <c r="AV69" s="111"/>
      <c r="AW69" s="111"/>
      <c r="AX69" s="111"/>
      <c r="AY69" s="111"/>
      <c r="AZ69" s="111"/>
      <c r="BA69" s="111"/>
      <c r="BB69" s="111"/>
    </row>
    <row r="70">
      <c r="AI70" s="111"/>
      <c r="AV70" s="111"/>
      <c r="AW70" s="111"/>
      <c r="AX70" s="111"/>
      <c r="AY70" s="111"/>
      <c r="AZ70" s="111"/>
      <c r="BA70" s="111"/>
      <c r="BB70" s="111"/>
    </row>
    <row r="71">
      <c r="AI71" s="111"/>
      <c r="AV71" s="111"/>
      <c r="AW71" s="111"/>
      <c r="AX71" s="111"/>
      <c r="AY71" s="111"/>
      <c r="AZ71" s="111"/>
      <c r="BA71" s="111"/>
      <c r="BB71" s="111"/>
    </row>
    <row r="72">
      <c r="AI72" s="111"/>
      <c r="AV72" s="111"/>
      <c r="AW72" s="111"/>
      <c r="AX72" s="111"/>
      <c r="AY72" s="111"/>
      <c r="AZ72" s="111"/>
      <c r="BA72" s="111"/>
      <c r="BB72" s="111"/>
    </row>
    <row r="73">
      <c r="AI73" s="111"/>
      <c r="AV73" s="111"/>
      <c r="AW73" s="111"/>
      <c r="AX73" s="111"/>
      <c r="AY73" s="111"/>
      <c r="AZ73" s="111"/>
      <c r="BA73" s="111"/>
      <c r="BB73" s="111"/>
    </row>
    <row r="74">
      <c r="AI74" s="111"/>
      <c r="AV74" s="111"/>
      <c r="AW74" s="111"/>
      <c r="AX74" s="111"/>
      <c r="AY74" s="111"/>
      <c r="AZ74" s="111"/>
      <c r="BA74" s="111"/>
      <c r="BB74" s="111"/>
    </row>
    <row r="75">
      <c r="AI75" s="111"/>
      <c r="AV75" s="111"/>
      <c r="AW75" s="111"/>
      <c r="AX75" s="111"/>
      <c r="AY75" s="111"/>
      <c r="AZ75" s="111"/>
      <c r="BA75" s="111"/>
      <c r="BB75" s="111"/>
    </row>
    <row r="76">
      <c r="AI76" s="111"/>
      <c r="AV76" s="111"/>
      <c r="AW76" s="111"/>
      <c r="AX76" s="111"/>
      <c r="AY76" s="111"/>
      <c r="AZ76" s="111"/>
      <c r="BA76" s="111"/>
      <c r="BB76" s="111"/>
    </row>
    <row r="77">
      <c r="AI77" s="111"/>
      <c r="AV77" s="111"/>
      <c r="AW77" s="111"/>
      <c r="AX77" s="111"/>
      <c r="AY77" s="111"/>
      <c r="AZ77" s="111"/>
      <c r="BA77" s="111"/>
      <c r="BB77" s="111"/>
    </row>
    <row r="78">
      <c r="AI78" s="111"/>
      <c r="AV78" s="111"/>
      <c r="AW78" s="111"/>
      <c r="AX78" s="111"/>
      <c r="AY78" s="111"/>
      <c r="AZ78" s="111"/>
      <c r="BA78" s="111"/>
      <c r="BB78" s="111"/>
    </row>
    <row r="79">
      <c r="AI79" s="111"/>
      <c r="AV79" s="111"/>
      <c r="AW79" s="111"/>
      <c r="AX79" s="111"/>
      <c r="AY79" s="111"/>
      <c r="AZ79" s="111"/>
      <c r="BA79" s="111"/>
      <c r="BB79" s="111"/>
    </row>
    <row r="80">
      <c r="AI80" s="111"/>
      <c r="AV80" s="111"/>
      <c r="AW80" s="111"/>
      <c r="AX80" s="111"/>
      <c r="AY80" s="111"/>
      <c r="AZ80" s="111"/>
      <c r="BA80" s="111"/>
      <c r="BB80" s="111"/>
    </row>
    <row r="81">
      <c r="AI81" s="111"/>
      <c r="AV81" s="111"/>
      <c r="AW81" s="111"/>
      <c r="AX81" s="111"/>
      <c r="AY81" s="111"/>
      <c r="AZ81" s="111"/>
      <c r="BA81" s="111"/>
      <c r="BB81" s="111"/>
    </row>
    <row r="82">
      <c r="AI82" s="111"/>
      <c r="AV82" s="111"/>
      <c r="AW82" s="111"/>
      <c r="AX82" s="111"/>
      <c r="AY82" s="111"/>
      <c r="AZ82" s="111"/>
      <c r="BA82" s="111"/>
      <c r="BB82" s="111"/>
    </row>
    <row r="83">
      <c r="AI83" s="111"/>
      <c r="AV83" s="111"/>
      <c r="AW83" s="111"/>
      <c r="AX83" s="111"/>
      <c r="AY83" s="111"/>
      <c r="AZ83" s="111"/>
      <c r="BA83" s="111"/>
      <c r="BB83" s="111"/>
    </row>
    <row r="84">
      <c r="AI84" s="111"/>
      <c r="AV84" s="111"/>
      <c r="AW84" s="111"/>
      <c r="AX84" s="111"/>
      <c r="AY84" s="111"/>
      <c r="AZ84" s="111"/>
      <c r="BA84" s="111"/>
      <c r="BB84" s="111"/>
    </row>
    <row r="85">
      <c r="AI85" s="111"/>
      <c r="AV85" s="111"/>
      <c r="AW85" s="111"/>
      <c r="AX85" s="111"/>
      <c r="AY85" s="111"/>
      <c r="AZ85" s="111"/>
      <c r="BA85" s="111"/>
      <c r="BB85" s="111"/>
    </row>
    <row r="86">
      <c r="AI86" s="111"/>
      <c r="AV86" s="111"/>
      <c r="AW86" s="111"/>
      <c r="AX86" s="111"/>
      <c r="AY86" s="111"/>
      <c r="AZ86" s="111"/>
      <c r="BA86" s="111"/>
      <c r="BB86" s="111"/>
    </row>
    <row r="87">
      <c r="AI87" s="111"/>
      <c r="AV87" s="111"/>
      <c r="AW87" s="111"/>
      <c r="AX87" s="111"/>
      <c r="AY87" s="111"/>
      <c r="AZ87" s="111"/>
      <c r="BA87" s="111"/>
      <c r="BB87" s="111"/>
    </row>
    <row r="88">
      <c r="AI88" s="111"/>
      <c r="AV88" s="111"/>
      <c r="AW88" s="111"/>
      <c r="AX88" s="111"/>
      <c r="AY88" s="111"/>
      <c r="AZ88" s="111"/>
      <c r="BA88" s="111"/>
      <c r="BB88" s="111"/>
    </row>
    <row r="89">
      <c r="AI89" s="111"/>
      <c r="AV89" s="111"/>
      <c r="AW89" s="111"/>
      <c r="AX89" s="111"/>
      <c r="AY89" s="111"/>
      <c r="AZ89" s="111"/>
      <c r="BA89" s="111"/>
      <c r="BB89" s="111"/>
    </row>
    <row r="90">
      <c r="AI90" s="111"/>
      <c r="AV90" s="111"/>
      <c r="AW90" s="111"/>
      <c r="AX90" s="111"/>
      <c r="AY90" s="111"/>
      <c r="AZ90" s="111"/>
      <c r="BA90" s="111"/>
      <c r="BB90" s="111"/>
    </row>
    <row r="91">
      <c r="AI91" s="111"/>
      <c r="AV91" s="111"/>
      <c r="AW91" s="111"/>
      <c r="AX91" s="111"/>
      <c r="AY91" s="111"/>
      <c r="AZ91" s="111"/>
      <c r="BA91" s="111"/>
      <c r="BB91" s="111"/>
    </row>
    <row r="92">
      <c r="AI92" s="111"/>
      <c r="AV92" s="111"/>
      <c r="AW92" s="111"/>
      <c r="AX92" s="111"/>
      <c r="AY92" s="111"/>
      <c r="AZ92" s="111"/>
      <c r="BA92" s="111"/>
      <c r="BB92" s="111"/>
    </row>
    <row r="93">
      <c r="AI93" s="111"/>
      <c r="AV93" s="111"/>
      <c r="AW93" s="111"/>
      <c r="AX93" s="111"/>
      <c r="AY93" s="111"/>
      <c r="AZ93" s="111"/>
      <c r="BA93" s="111"/>
      <c r="BB93" s="111"/>
    </row>
    <row r="94">
      <c r="AI94" s="111"/>
      <c r="AV94" s="111"/>
      <c r="AW94" s="111"/>
      <c r="AX94" s="111"/>
      <c r="AY94" s="111"/>
      <c r="AZ94" s="111"/>
      <c r="BA94" s="111"/>
      <c r="BB94" s="111"/>
    </row>
    <row r="95">
      <c r="AI95" s="111"/>
      <c r="AV95" s="111"/>
      <c r="AW95" s="111"/>
      <c r="AX95" s="111"/>
      <c r="AY95" s="111"/>
      <c r="AZ95" s="111"/>
      <c r="BA95" s="111"/>
      <c r="BB95" s="111"/>
    </row>
    <row r="96">
      <c r="AI96" s="111"/>
      <c r="AV96" s="111"/>
      <c r="AW96" s="111"/>
      <c r="AX96" s="111"/>
      <c r="AY96" s="111"/>
      <c r="AZ96" s="111"/>
      <c r="BA96" s="111"/>
      <c r="BB96" s="111"/>
    </row>
    <row r="97">
      <c r="AI97" s="111"/>
      <c r="AV97" s="111"/>
      <c r="AW97" s="111"/>
      <c r="AX97" s="111"/>
      <c r="AY97" s="111"/>
      <c r="AZ97" s="111"/>
      <c r="BA97" s="111"/>
      <c r="BB97" s="111"/>
    </row>
    <row r="98">
      <c r="AI98" s="111"/>
      <c r="AV98" s="111"/>
      <c r="AW98" s="111"/>
      <c r="AX98" s="111"/>
      <c r="AY98" s="111"/>
      <c r="AZ98" s="111"/>
      <c r="BA98" s="111"/>
      <c r="BB98" s="111"/>
    </row>
    <row r="99">
      <c r="AI99" s="111"/>
      <c r="AV99" s="111"/>
      <c r="AW99" s="111"/>
      <c r="AX99" s="111"/>
      <c r="AY99" s="111"/>
      <c r="AZ99" s="111"/>
      <c r="BA99" s="111"/>
      <c r="BB99" s="111"/>
    </row>
    <row r="100">
      <c r="AI100" s="111"/>
      <c r="AV100" s="111"/>
      <c r="AW100" s="111"/>
      <c r="AX100" s="111"/>
      <c r="AY100" s="111"/>
      <c r="AZ100" s="111"/>
      <c r="BA100" s="111"/>
      <c r="BB100" s="111"/>
    </row>
    <row r="101">
      <c r="AI101" s="111"/>
      <c r="AV101" s="111"/>
      <c r="AW101" s="111"/>
      <c r="AX101" s="111"/>
      <c r="AY101" s="111"/>
      <c r="AZ101" s="111"/>
      <c r="BA101" s="111"/>
      <c r="BB101" s="111"/>
    </row>
    <row r="102">
      <c r="AI102" s="111"/>
      <c r="AV102" s="111"/>
      <c r="AW102" s="111"/>
      <c r="AX102" s="111"/>
      <c r="AY102" s="111"/>
      <c r="AZ102" s="111"/>
      <c r="BA102" s="111"/>
      <c r="BB102" s="111"/>
    </row>
    <row r="103">
      <c r="AI103" s="111"/>
      <c r="AV103" s="111"/>
      <c r="AW103" s="111"/>
      <c r="AX103" s="111"/>
      <c r="AY103" s="111"/>
      <c r="AZ103" s="111"/>
      <c r="BA103" s="111"/>
      <c r="BB103" s="111"/>
    </row>
    <row r="104">
      <c r="AI104" s="111"/>
      <c r="AV104" s="111"/>
      <c r="AW104" s="111"/>
      <c r="AX104" s="111"/>
      <c r="AY104" s="111"/>
      <c r="AZ104" s="111"/>
      <c r="BA104" s="111"/>
      <c r="BB104" s="111"/>
    </row>
    <row r="105">
      <c r="AI105" s="111"/>
      <c r="AV105" s="111"/>
      <c r="AW105" s="111"/>
      <c r="AX105" s="111"/>
      <c r="AY105" s="111"/>
      <c r="AZ105" s="111"/>
      <c r="BA105" s="111"/>
      <c r="BB105" s="111"/>
    </row>
    <row r="106">
      <c r="AI106" s="111"/>
      <c r="AV106" s="111"/>
      <c r="AW106" s="111"/>
      <c r="AX106" s="111"/>
      <c r="AY106" s="111"/>
      <c r="AZ106" s="111"/>
      <c r="BA106" s="111"/>
      <c r="BB106" s="111"/>
    </row>
    <row r="107">
      <c r="AI107" s="111"/>
      <c r="AV107" s="111"/>
      <c r="AW107" s="111"/>
      <c r="AX107" s="111"/>
      <c r="AY107" s="111"/>
      <c r="AZ107" s="111"/>
      <c r="BA107" s="111"/>
      <c r="BB107" s="111"/>
    </row>
    <row r="108">
      <c r="AI108" s="111"/>
      <c r="AV108" s="111"/>
      <c r="AW108" s="111"/>
      <c r="AX108" s="111"/>
      <c r="AY108" s="111"/>
      <c r="AZ108" s="111"/>
      <c r="BA108" s="111"/>
      <c r="BB108" s="111"/>
    </row>
    <row r="109">
      <c r="AI109" s="111"/>
      <c r="AV109" s="111"/>
      <c r="AW109" s="111"/>
      <c r="AX109" s="111"/>
      <c r="AY109" s="111"/>
      <c r="AZ109" s="111"/>
      <c r="BA109" s="111"/>
      <c r="BB109" s="111"/>
    </row>
    <row r="110">
      <c r="AI110" s="111"/>
      <c r="AV110" s="111"/>
      <c r="AW110" s="111"/>
      <c r="AX110" s="111"/>
      <c r="AY110" s="111"/>
      <c r="AZ110" s="111"/>
      <c r="BA110" s="111"/>
      <c r="BB110" s="111"/>
    </row>
    <row r="111">
      <c r="AI111" s="111"/>
      <c r="AV111" s="111"/>
      <c r="AW111" s="111"/>
      <c r="AX111" s="111"/>
      <c r="AY111" s="111"/>
      <c r="AZ111" s="111"/>
      <c r="BA111" s="111"/>
      <c r="BB111" s="111"/>
    </row>
    <row r="112">
      <c r="AI112" s="111"/>
      <c r="AV112" s="111"/>
      <c r="AW112" s="111"/>
      <c r="AX112" s="111"/>
      <c r="AY112" s="111"/>
      <c r="AZ112" s="111"/>
      <c r="BA112" s="111"/>
      <c r="BB112" s="111"/>
    </row>
    <row r="113">
      <c r="AI113" s="111"/>
      <c r="AV113" s="111"/>
      <c r="AW113" s="111"/>
      <c r="AX113" s="111"/>
      <c r="AY113" s="111"/>
      <c r="AZ113" s="111"/>
      <c r="BA113" s="111"/>
      <c r="BB113" s="111"/>
    </row>
    <row r="114">
      <c r="AI114" s="111"/>
      <c r="AV114" s="111"/>
      <c r="AW114" s="111"/>
      <c r="AX114" s="111"/>
      <c r="AY114" s="111"/>
      <c r="AZ114" s="111"/>
      <c r="BA114" s="111"/>
      <c r="BB114" s="111"/>
    </row>
    <row r="115">
      <c r="AI115" s="111"/>
      <c r="AV115" s="111"/>
      <c r="AW115" s="111"/>
      <c r="AX115" s="111"/>
      <c r="AY115" s="111"/>
      <c r="AZ115" s="111"/>
      <c r="BA115" s="111"/>
      <c r="BB115" s="111"/>
    </row>
    <row r="116">
      <c r="AI116" s="111"/>
      <c r="AV116" s="111"/>
      <c r="AW116" s="111"/>
      <c r="AX116" s="111"/>
      <c r="AY116" s="111"/>
      <c r="AZ116" s="111"/>
      <c r="BA116" s="111"/>
      <c r="BB116" s="111"/>
    </row>
    <row r="117">
      <c r="AI117" s="111"/>
      <c r="AV117" s="111"/>
      <c r="AW117" s="111"/>
      <c r="AX117" s="111"/>
      <c r="AY117" s="111"/>
      <c r="AZ117" s="111"/>
      <c r="BA117" s="111"/>
      <c r="BB117" s="111"/>
    </row>
    <row r="118">
      <c r="AI118" s="111"/>
      <c r="AV118" s="111"/>
      <c r="AW118" s="111"/>
      <c r="AX118" s="111"/>
      <c r="AY118" s="111"/>
      <c r="AZ118" s="111"/>
      <c r="BA118" s="111"/>
      <c r="BB118" s="111"/>
    </row>
    <row r="119">
      <c r="AI119" s="111"/>
      <c r="AV119" s="111"/>
      <c r="AW119" s="111"/>
      <c r="AX119" s="111"/>
      <c r="AY119" s="111"/>
      <c r="AZ119" s="111"/>
      <c r="BA119" s="111"/>
      <c r="BB119" s="111"/>
    </row>
    <row r="120">
      <c r="AI120" s="111"/>
      <c r="AV120" s="111"/>
      <c r="AW120" s="111"/>
      <c r="AX120" s="111"/>
      <c r="AY120" s="111"/>
      <c r="AZ120" s="111"/>
      <c r="BA120" s="111"/>
      <c r="BB120" s="111"/>
    </row>
    <row r="121">
      <c r="AI121" s="111"/>
      <c r="AV121" s="111"/>
      <c r="AW121" s="111"/>
      <c r="AX121" s="111"/>
      <c r="AY121" s="111"/>
      <c r="AZ121" s="111"/>
      <c r="BA121" s="111"/>
      <c r="BB121" s="111"/>
    </row>
    <row r="122">
      <c r="AI122" s="111"/>
      <c r="AV122" s="111"/>
      <c r="AW122" s="111"/>
      <c r="AX122" s="111"/>
      <c r="AY122" s="111"/>
      <c r="AZ122" s="111"/>
      <c r="BA122" s="111"/>
      <c r="BB122" s="111"/>
    </row>
    <row r="123">
      <c r="AI123" s="111"/>
      <c r="AV123" s="111"/>
      <c r="AW123" s="111"/>
      <c r="AX123" s="111"/>
      <c r="AY123" s="111"/>
      <c r="AZ123" s="111"/>
      <c r="BA123" s="111"/>
      <c r="BB123" s="111"/>
    </row>
    <row r="124">
      <c r="AI124" s="111"/>
      <c r="AV124" s="111"/>
      <c r="AW124" s="111"/>
      <c r="AX124" s="111"/>
      <c r="AY124" s="111"/>
      <c r="AZ124" s="111"/>
      <c r="BA124" s="111"/>
      <c r="BB124" s="111"/>
    </row>
    <row r="125">
      <c r="AI125" s="111"/>
      <c r="AV125" s="111"/>
      <c r="AW125" s="111"/>
      <c r="AX125" s="111"/>
      <c r="AY125" s="111"/>
      <c r="AZ125" s="111"/>
      <c r="BA125" s="111"/>
      <c r="BB125" s="111"/>
    </row>
    <row r="126">
      <c r="AI126" s="111"/>
      <c r="AV126" s="111"/>
      <c r="AW126" s="111"/>
      <c r="AX126" s="111"/>
      <c r="AY126" s="111"/>
      <c r="AZ126" s="111"/>
      <c r="BA126" s="111"/>
      <c r="BB126" s="111"/>
    </row>
    <row r="127">
      <c r="AI127" s="111"/>
      <c r="AV127" s="111"/>
      <c r="AW127" s="111"/>
      <c r="AX127" s="111"/>
      <c r="AY127" s="111"/>
      <c r="AZ127" s="111"/>
      <c r="BA127" s="111"/>
      <c r="BB127" s="111"/>
    </row>
    <row r="128">
      <c r="AI128" s="111"/>
      <c r="AV128" s="111"/>
      <c r="AW128" s="111"/>
      <c r="AX128" s="111"/>
      <c r="AY128" s="111"/>
      <c r="AZ128" s="111"/>
      <c r="BA128" s="111"/>
      <c r="BB128" s="111"/>
    </row>
    <row r="129">
      <c r="AI129" s="111"/>
      <c r="AV129" s="111"/>
      <c r="AW129" s="111"/>
      <c r="AX129" s="111"/>
      <c r="AY129" s="111"/>
      <c r="AZ129" s="111"/>
      <c r="BA129" s="111"/>
      <c r="BB129" s="111"/>
    </row>
    <row r="130">
      <c r="AI130" s="111"/>
      <c r="AV130" s="111"/>
      <c r="AW130" s="111"/>
      <c r="AX130" s="111"/>
      <c r="AY130" s="111"/>
      <c r="AZ130" s="111"/>
      <c r="BA130" s="111"/>
      <c r="BB130" s="111"/>
    </row>
    <row r="131">
      <c r="AI131" s="111"/>
      <c r="AV131" s="111"/>
      <c r="AW131" s="111"/>
      <c r="AX131" s="111"/>
      <c r="AY131" s="111"/>
      <c r="AZ131" s="111"/>
      <c r="BA131" s="111"/>
      <c r="BB131" s="111"/>
    </row>
    <row r="132">
      <c r="AI132" s="111"/>
      <c r="AV132" s="111"/>
      <c r="AW132" s="111"/>
      <c r="AX132" s="111"/>
      <c r="AY132" s="111"/>
      <c r="AZ132" s="111"/>
      <c r="BA132" s="111"/>
      <c r="BB132" s="111"/>
    </row>
    <row r="133">
      <c r="AI133" s="111"/>
      <c r="AV133" s="111"/>
      <c r="AW133" s="111"/>
      <c r="AX133" s="111"/>
      <c r="AY133" s="111"/>
      <c r="AZ133" s="111"/>
      <c r="BA133" s="111"/>
      <c r="BB133" s="111"/>
    </row>
    <row r="134">
      <c r="AI134" s="111"/>
      <c r="AV134" s="111"/>
      <c r="AW134" s="111"/>
      <c r="AX134" s="111"/>
      <c r="AY134" s="111"/>
      <c r="AZ134" s="111"/>
      <c r="BA134" s="111"/>
      <c r="BB134" s="111"/>
    </row>
    <row r="135">
      <c r="AI135" s="111"/>
      <c r="AV135" s="111"/>
      <c r="AW135" s="111"/>
      <c r="AX135" s="111"/>
      <c r="AY135" s="111"/>
      <c r="AZ135" s="111"/>
      <c r="BA135" s="111"/>
      <c r="BB135" s="111"/>
    </row>
    <row r="136">
      <c r="AI136" s="111"/>
      <c r="AV136" s="111"/>
      <c r="AW136" s="111"/>
      <c r="AX136" s="111"/>
      <c r="AY136" s="111"/>
      <c r="AZ136" s="111"/>
      <c r="BA136" s="111"/>
      <c r="BB136" s="111"/>
    </row>
    <row r="137">
      <c r="AI137" s="111"/>
      <c r="AV137" s="111"/>
      <c r="AW137" s="111"/>
      <c r="AX137" s="111"/>
      <c r="AY137" s="111"/>
      <c r="AZ137" s="111"/>
      <c r="BA137" s="111"/>
      <c r="BB137" s="111"/>
    </row>
    <row r="138">
      <c r="AI138" s="111"/>
      <c r="AV138" s="111"/>
      <c r="AW138" s="111"/>
      <c r="AX138" s="111"/>
      <c r="AY138" s="111"/>
      <c r="AZ138" s="111"/>
      <c r="BA138" s="111"/>
      <c r="BB138" s="111"/>
    </row>
    <row r="139">
      <c r="AI139" s="111"/>
      <c r="AV139" s="111"/>
      <c r="AW139" s="111"/>
      <c r="AX139" s="111"/>
      <c r="AY139" s="111"/>
      <c r="AZ139" s="111"/>
      <c r="BA139" s="111"/>
      <c r="BB139" s="111"/>
    </row>
    <row r="140">
      <c r="AI140" s="111"/>
      <c r="AV140" s="111"/>
      <c r="AW140" s="111"/>
      <c r="AX140" s="111"/>
      <c r="AY140" s="111"/>
      <c r="AZ140" s="111"/>
      <c r="BA140" s="111"/>
      <c r="BB140" s="111"/>
    </row>
    <row r="141">
      <c r="AI141" s="111"/>
      <c r="AV141" s="111"/>
      <c r="AW141" s="111"/>
      <c r="AX141" s="111"/>
      <c r="AY141" s="111"/>
      <c r="AZ141" s="111"/>
      <c r="BA141" s="111"/>
      <c r="BB141" s="111"/>
    </row>
    <row r="142">
      <c r="AI142" s="111"/>
      <c r="AV142" s="111"/>
      <c r="AW142" s="111"/>
      <c r="AX142" s="111"/>
      <c r="AY142" s="111"/>
      <c r="AZ142" s="111"/>
      <c r="BA142" s="111"/>
      <c r="BB142" s="111"/>
    </row>
    <row r="143">
      <c r="AI143" s="111"/>
      <c r="AV143" s="111"/>
      <c r="AW143" s="111"/>
      <c r="AX143" s="111"/>
      <c r="AY143" s="111"/>
      <c r="AZ143" s="111"/>
      <c r="BA143" s="111"/>
      <c r="BB143" s="111"/>
    </row>
    <row r="144">
      <c r="AI144" s="111"/>
      <c r="AV144" s="111"/>
      <c r="AW144" s="111"/>
      <c r="AX144" s="111"/>
      <c r="AY144" s="111"/>
      <c r="AZ144" s="111"/>
      <c r="BA144" s="111"/>
      <c r="BB144" s="111"/>
    </row>
    <row r="145">
      <c r="AI145" s="111"/>
      <c r="AV145" s="111"/>
      <c r="AW145" s="111"/>
      <c r="AX145" s="111"/>
      <c r="AY145" s="111"/>
      <c r="AZ145" s="111"/>
      <c r="BA145" s="111"/>
      <c r="BB145" s="111"/>
    </row>
    <row r="146">
      <c r="AI146" s="111"/>
      <c r="AV146" s="111"/>
      <c r="AW146" s="111"/>
      <c r="AX146" s="111"/>
      <c r="AY146" s="111"/>
      <c r="AZ146" s="111"/>
      <c r="BA146" s="111"/>
      <c r="BB146" s="111"/>
    </row>
    <row r="147">
      <c r="AI147" s="111"/>
      <c r="AV147" s="111"/>
      <c r="AW147" s="111"/>
      <c r="AX147" s="111"/>
      <c r="AY147" s="111"/>
      <c r="AZ147" s="111"/>
      <c r="BA147" s="111"/>
      <c r="BB147" s="111"/>
    </row>
    <row r="148">
      <c r="AI148" s="111"/>
      <c r="AV148" s="111"/>
      <c r="AW148" s="111"/>
      <c r="AX148" s="111"/>
      <c r="AY148" s="111"/>
      <c r="AZ148" s="111"/>
      <c r="BA148" s="111"/>
      <c r="BB148" s="111"/>
    </row>
    <row r="149">
      <c r="AI149" s="111"/>
      <c r="AV149" s="111"/>
      <c r="AW149" s="111"/>
      <c r="AX149" s="111"/>
      <c r="AY149" s="111"/>
      <c r="AZ149" s="111"/>
      <c r="BA149" s="111"/>
      <c r="BB149" s="111"/>
    </row>
    <row r="150">
      <c r="AI150" s="111"/>
      <c r="AV150" s="111"/>
      <c r="AW150" s="111"/>
      <c r="AX150" s="111"/>
      <c r="AY150" s="111"/>
      <c r="AZ150" s="111"/>
      <c r="BA150" s="111"/>
      <c r="BB150" s="111"/>
    </row>
    <row r="151">
      <c r="AI151" s="111"/>
      <c r="AV151" s="111"/>
      <c r="AW151" s="111"/>
      <c r="AX151" s="111"/>
      <c r="AY151" s="111"/>
      <c r="AZ151" s="111"/>
      <c r="BA151" s="111"/>
      <c r="BB151" s="111"/>
    </row>
    <row r="152">
      <c r="AI152" s="111"/>
      <c r="AV152" s="111"/>
      <c r="AW152" s="111"/>
      <c r="AX152" s="111"/>
      <c r="AY152" s="111"/>
      <c r="AZ152" s="111"/>
      <c r="BA152" s="111"/>
      <c r="BB152" s="111"/>
    </row>
    <row r="153">
      <c r="AI153" s="111"/>
      <c r="AV153" s="111"/>
      <c r="AW153" s="111"/>
      <c r="AX153" s="111"/>
      <c r="AY153" s="111"/>
      <c r="AZ153" s="111"/>
      <c r="BA153" s="111"/>
      <c r="BB153" s="111"/>
    </row>
    <row r="154">
      <c r="AI154" s="111"/>
      <c r="AV154" s="111"/>
      <c r="AW154" s="111"/>
      <c r="AX154" s="111"/>
      <c r="AY154" s="111"/>
      <c r="AZ154" s="111"/>
      <c r="BA154" s="111"/>
      <c r="BB154" s="111"/>
    </row>
    <row r="155">
      <c r="AI155" s="111"/>
      <c r="AV155" s="111"/>
      <c r="AW155" s="111"/>
      <c r="AX155" s="111"/>
      <c r="AY155" s="111"/>
      <c r="AZ155" s="111"/>
      <c r="BA155" s="111"/>
      <c r="BB155" s="111"/>
    </row>
    <row r="156">
      <c r="AI156" s="111"/>
      <c r="AV156" s="111"/>
      <c r="AW156" s="111"/>
      <c r="AX156" s="111"/>
      <c r="AY156" s="111"/>
      <c r="AZ156" s="111"/>
      <c r="BA156" s="111"/>
      <c r="BB156" s="111"/>
    </row>
    <row r="157">
      <c r="AI157" s="111"/>
      <c r="AV157" s="111"/>
      <c r="AW157" s="111"/>
      <c r="AX157" s="111"/>
      <c r="AY157" s="111"/>
      <c r="AZ157" s="111"/>
      <c r="BA157" s="111"/>
      <c r="BB157" s="111"/>
    </row>
    <row r="158">
      <c r="AI158" s="111"/>
      <c r="AV158" s="111"/>
      <c r="AW158" s="111"/>
      <c r="AX158" s="111"/>
      <c r="AY158" s="111"/>
      <c r="AZ158" s="111"/>
      <c r="BA158" s="111"/>
      <c r="BB158" s="111"/>
    </row>
    <row r="159">
      <c r="AI159" s="111"/>
      <c r="AV159" s="111"/>
      <c r="AW159" s="111"/>
      <c r="AX159" s="111"/>
      <c r="AY159" s="111"/>
      <c r="AZ159" s="111"/>
      <c r="BA159" s="111"/>
      <c r="BB159" s="111"/>
    </row>
    <row r="160">
      <c r="AI160" s="111"/>
      <c r="AV160" s="111"/>
      <c r="AW160" s="111"/>
      <c r="AX160" s="111"/>
      <c r="AY160" s="111"/>
      <c r="AZ160" s="111"/>
      <c r="BA160" s="111"/>
      <c r="BB160" s="111"/>
    </row>
    <row r="161">
      <c r="AI161" s="111"/>
      <c r="AV161" s="111"/>
      <c r="AW161" s="111"/>
      <c r="AX161" s="111"/>
      <c r="AY161" s="111"/>
      <c r="AZ161" s="111"/>
      <c r="BA161" s="111"/>
      <c r="BB161" s="111"/>
    </row>
    <row r="162">
      <c r="AI162" s="111"/>
      <c r="AV162" s="111"/>
      <c r="AW162" s="111"/>
      <c r="AX162" s="111"/>
      <c r="AY162" s="111"/>
      <c r="AZ162" s="111"/>
      <c r="BA162" s="111"/>
      <c r="BB162" s="111"/>
    </row>
    <row r="163">
      <c r="AI163" s="111"/>
      <c r="AV163" s="111"/>
      <c r="AW163" s="111"/>
      <c r="AX163" s="111"/>
      <c r="AY163" s="111"/>
      <c r="AZ163" s="111"/>
      <c r="BA163" s="111"/>
      <c r="BB163" s="111"/>
    </row>
    <row r="164">
      <c r="AI164" s="111"/>
      <c r="AV164" s="111"/>
      <c r="AW164" s="111"/>
      <c r="AX164" s="111"/>
      <c r="AY164" s="111"/>
      <c r="AZ164" s="111"/>
      <c r="BA164" s="111"/>
      <c r="BB164" s="111"/>
    </row>
    <row r="165">
      <c r="AI165" s="111"/>
      <c r="AV165" s="111"/>
      <c r="AW165" s="111"/>
      <c r="AX165" s="111"/>
      <c r="AY165" s="111"/>
      <c r="AZ165" s="111"/>
      <c r="BA165" s="111"/>
      <c r="BB165" s="111"/>
    </row>
    <row r="166">
      <c r="AI166" s="111"/>
      <c r="AV166" s="111"/>
      <c r="AW166" s="111"/>
      <c r="AX166" s="111"/>
      <c r="AY166" s="111"/>
      <c r="AZ166" s="111"/>
      <c r="BA166" s="111"/>
      <c r="BB166" s="111"/>
    </row>
    <row r="167">
      <c r="AI167" s="111"/>
      <c r="AV167" s="111"/>
      <c r="AW167" s="111"/>
      <c r="AX167" s="111"/>
      <c r="AY167" s="111"/>
      <c r="AZ167" s="111"/>
      <c r="BA167" s="111"/>
      <c r="BB167" s="111"/>
    </row>
    <row r="168">
      <c r="AI168" s="111"/>
      <c r="AV168" s="111"/>
      <c r="AW168" s="111"/>
      <c r="AX168" s="111"/>
      <c r="AY168" s="111"/>
      <c r="AZ168" s="111"/>
      <c r="BA168" s="111"/>
      <c r="BB168" s="111"/>
    </row>
    <row r="169">
      <c r="AI169" s="111"/>
      <c r="AV169" s="111"/>
      <c r="AW169" s="111"/>
      <c r="AX169" s="111"/>
      <c r="AY169" s="111"/>
      <c r="AZ169" s="111"/>
      <c r="BA169" s="111"/>
      <c r="BB169" s="111"/>
    </row>
    <row r="170">
      <c r="AI170" s="111"/>
      <c r="AV170" s="111"/>
      <c r="AW170" s="111"/>
      <c r="AX170" s="111"/>
      <c r="AY170" s="111"/>
      <c r="AZ170" s="111"/>
      <c r="BA170" s="111"/>
      <c r="BB170" s="111"/>
    </row>
    <row r="171">
      <c r="AI171" s="111"/>
      <c r="AV171" s="111"/>
      <c r="AW171" s="111"/>
      <c r="AX171" s="111"/>
      <c r="AY171" s="111"/>
      <c r="AZ171" s="111"/>
      <c r="BA171" s="111"/>
      <c r="BB171" s="111"/>
    </row>
    <row r="172">
      <c r="AI172" s="111"/>
      <c r="AV172" s="111"/>
      <c r="AW172" s="111"/>
      <c r="AX172" s="111"/>
      <c r="AY172" s="111"/>
      <c r="AZ172" s="111"/>
      <c r="BA172" s="111"/>
      <c r="BB172" s="111"/>
    </row>
    <row r="173">
      <c r="AI173" s="111"/>
      <c r="AV173" s="111"/>
      <c r="AW173" s="111"/>
      <c r="AX173" s="111"/>
      <c r="AY173" s="111"/>
      <c r="AZ173" s="111"/>
      <c r="BA173" s="111"/>
      <c r="BB173" s="111"/>
    </row>
    <row r="174">
      <c r="AI174" s="111"/>
      <c r="AV174" s="111"/>
      <c r="AW174" s="111"/>
      <c r="AX174" s="111"/>
      <c r="AY174" s="111"/>
      <c r="AZ174" s="111"/>
      <c r="BA174" s="111"/>
      <c r="BB174" s="111"/>
    </row>
    <row r="175">
      <c r="AI175" s="111"/>
      <c r="AV175" s="111"/>
      <c r="AW175" s="111"/>
      <c r="AX175" s="111"/>
      <c r="AY175" s="111"/>
      <c r="AZ175" s="111"/>
      <c r="BA175" s="111"/>
      <c r="BB175" s="111"/>
    </row>
    <row r="176">
      <c r="AI176" s="111"/>
      <c r="AV176" s="111"/>
      <c r="AW176" s="111"/>
      <c r="AX176" s="111"/>
      <c r="AY176" s="111"/>
      <c r="AZ176" s="111"/>
      <c r="BA176" s="111"/>
      <c r="BB176" s="111"/>
    </row>
    <row r="177">
      <c r="AI177" s="111"/>
      <c r="AV177" s="111"/>
      <c r="AW177" s="111"/>
      <c r="AX177" s="111"/>
      <c r="AY177" s="111"/>
      <c r="AZ177" s="111"/>
      <c r="BA177" s="111"/>
      <c r="BB177" s="111"/>
    </row>
    <row r="178">
      <c r="AI178" s="111"/>
      <c r="AV178" s="111"/>
      <c r="AW178" s="111"/>
      <c r="AX178" s="111"/>
      <c r="AY178" s="111"/>
      <c r="AZ178" s="111"/>
      <c r="BA178" s="111"/>
      <c r="BB178" s="111"/>
    </row>
    <row r="179">
      <c r="AI179" s="111"/>
      <c r="AV179" s="111"/>
      <c r="AW179" s="111"/>
      <c r="AX179" s="111"/>
      <c r="AY179" s="111"/>
      <c r="AZ179" s="111"/>
      <c r="BA179" s="111"/>
      <c r="BB179" s="111"/>
    </row>
    <row r="180">
      <c r="AI180" s="111"/>
      <c r="AV180" s="111"/>
      <c r="AW180" s="111"/>
      <c r="AX180" s="111"/>
      <c r="AY180" s="111"/>
      <c r="AZ180" s="111"/>
      <c r="BA180" s="111"/>
      <c r="BB180" s="111"/>
    </row>
    <row r="181">
      <c r="AI181" s="111"/>
      <c r="AV181" s="111"/>
      <c r="AW181" s="111"/>
      <c r="AX181" s="111"/>
      <c r="AY181" s="111"/>
      <c r="AZ181" s="111"/>
      <c r="BA181" s="111"/>
      <c r="BB181" s="111"/>
    </row>
    <row r="182">
      <c r="AI182" s="111"/>
      <c r="AV182" s="111"/>
      <c r="AW182" s="111"/>
      <c r="AX182" s="111"/>
      <c r="AY182" s="111"/>
      <c r="AZ182" s="111"/>
      <c r="BA182" s="111"/>
      <c r="BB182" s="111"/>
    </row>
    <row r="183">
      <c r="AI183" s="111"/>
      <c r="AV183" s="111"/>
      <c r="AW183" s="111"/>
      <c r="AX183" s="111"/>
      <c r="AY183" s="111"/>
      <c r="AZ183" s="111"/>
      <c r="BA183" s="111"/>
      <c r="BB183" s="111"/>
    </row>
    <row r="184">
      <c r="AI184" s="111"/>
      <c r="AV184" s="111"/>
      <c r="AW184" s="111"/>
      <c r="AX184" s="111"/>
      <c r="AY184" s="111"/>
      <c r="AZ184" s="111"/>
      <c r="BA184" s="111"/>
      <c r="BB184" s="111"/>
    </row>
    <row r="185">
      <c r="AI185" s="111"/>
      <c r="AV185" s="111"/>
      <c r="AW185" s="111"/>
      <c r="AX185" s="111"/>
      <c r="AY185" s="111"/>
      <c r="AZ185" s="111"/>
      <c r="BA185" s="111"/>
      <c r="BB185" s="111"/>
    </row>
    <row r="186">
      <c r="AI186" s="111"/>
      <c r="AV186" s="111"/>
      <c r="AW186" s="111"/>
      <c r="AX186" s="111"/>
      <c r="AY186" s="111"/>
      <c r="AZ186" s="111"/>
      <c r="BA186" s="111"/>
      <c r="BB186" s="111"/>
    </row>
    <row r="187">
      <c r="AI187" s="111"/>
      <c r="AV187" s="111"/>
      <c r="AW187" s="111"/>
      <c r="AX187" s="111"/>
      <c r="AY187" s="111"/>
      <c r="AZ187" s="111"/>
      <c r="BA187" s="111"/>
      <c r="BB187" s="111"/>
    </row>
    <row r="188">
      <c r="AI188" s="111"/>
      <c r="AV188" s="111"/>
      <c r="AW188" s="111"/>
      <c r="AX188" s="111"/>
      <c r="AY188" s="111"/>
      <c r="AZ188" s="111"/>
      <c r="BA188" s="111"/>
      <c r="BB188" s="111"/>
    </row>
    <row r="189">
      <c r="AI189" s="111"/>
      <c r="AV189" s="111"/>
      <c r="AW189" s="111"/>
      <c r="AX189" s="111"/>
      <c r="AY189" s="111"/>
      <c r="AZ189" s="111"/>
      <c r="BA189" s="111"/>
      <c r="BB189" s="111"/>
    </row>
    <row r="190">
      <c r="AI190" s="111"/>
      <c r="AV190" s="111"/>
      <c r="AW190" s="111"/>
      <c r="AX190" s="111"/>
      <c r="AY190" s="111"/>
      <c r="AZ190" s="111"/>
      <c r="BA190" s="111"/>
      <c r="BB190" s="111"/>
    </row>
    <row r="191">
      <c r="AI191" s="111"/>
      <c r="AV191" s="111"/>
      <c r="AW191" s="111"/>
      <c r="AX191" s="111"/>
      <c r="AY191" s="111"/>
      <c r="AZ191" s="111"/>
      <c r="BA191" s="111"/>
      <c r="BB191" s="111"/>
    </row>
    <row r="192">
      <c r="AI192" s="111"/>
      <c r="AV192" s="111"/>
      <c r="AW192" s="111"/>
      <c r="AX192" s="111"/>
      <c r="AY192" s="111"/>
      <c r="AZ192" s="111"/>
      <c r="BA192" s="111"/>
      <c r="BB192" s="111"/>
    </row>
    <row r="193">
      <c r="AI193" s="111"/>
      <c r="AV193" s="111"/>
      <c r="AW193" s="111"/>
      <c r="AX193" s="111"/>
      <c r="AY193" s="111"/>
      <c r="AZ193" s="111"/>
      <c r="BA193" s="111"/>
      <c r="BB193" s="111"/>
    </row>
    <row r="194">
      <c r="AI194" s="111"/>
      <c r="AV194" s="111"/>
      <c r="AW194" s="111"/>
      <c r="AX194" s="111"/>
      <c r="AY194" s="111"/>
      <c r="AZ194" s="111"/>
      <c r="BA194" s="111"/>
      <c r="BB194" s="111"/>
    </row>
    <row r="195">
      <c r="AI195" s="111"/>
      <c r="AV195" s="111"/>
      <c r="AW195" s="111"/>
      <c r="AX195" s="111"/>
      <c r="AY195" s="111"/>
      <c r="AZ195" s="111"/>
      <c r="BA195" s="111"/>
      <c r="BB195" s="111"/>
    </row>
    <row r="196">
      <c r="AI196" s="111"/>
      <c r="AV196" s="111"/>
      <c r="AW196" s="111"/>
      <c r="AX196" s="111"/>
      <c r="AY196" s="111"/>
      <c r="AZ196" s="111"/>
      <c r="BA196" s="111"/>
      <c r="BB196" s="111"/>
    </row>
    <row r="197">
      <c r="AI197" s="111"/>
      <c r="AV197" s="111"/>
      <c r="AW197" s="111"/>
      <c r="AX197" s="111"/>
      <c r="AY197" s="111"/>
      <c r="AZ197" s="111"/>
      <c r="BA197" s="111"/>
      <c r="BB197" s="111"/>
    </row>
    <row r="198">
      <c r="AI198" s="111"/>
      <c r="AV198" s="111"/>
      <c r="AW198" s="111"/>
      <c r="AX198" s="111"/>
      <c r="AY198" s="111"/>
      <c r="AZ198" s="111"/>
      <c r="BA198" s="111"/>
      <c r="BB198" s="111"/>
    </row>
    <row r="199">
      <c r="AI199" s="111"/>
      <c r="AV199" s="111"/>
      <c r="AW199" s="111"/>
      <c r="AX199" s="111"/>
      <c r="AY199" s="111"/>
      <c r="AZ199" s="111"/>
      <c r="BA199" s="111"/>
      <c r="BB199" s="111"/>
    </row>
    <row r="200">
      <c r="AI200" s="111"/>
      <c r="AV200" s="111"/>
      <c r="AW200" s="111"/>
      <c r="AX200" s="111"/>
      <c r="AY200" s="111"/>
      <c r="AZ200" s="111"/>
      <c r="BA200" s="111"/>
      <c r="BB200" s="111"/>
    </row>
    <row r="201">
      <c r="AI201" s="111"/>
      <c r="AV201" s="111"/>
      <c r="AW201" s="111"/>
      <c r="AX201" s="111"/>
      <c r="AY201" s="111"/>
      <c r="AZ201" s="111"/>
      <c r="BA201" s="111"/>
      <c r="BB201" s="111"/>
    </row>
    <row r="202">
      <c r="AI202" s="111"/>
      <c r="AV202" s="111"/>
      <c r="AW202" s="111"/>
      <c r="AX202" s="111"/>
      <c r="AY202" s="111"/>
      <c r="AZ202" s="111"/>
      <c r="BA202" s="111"/>
      <c r="BB202" s="111"/>
    </row>
    <row r="203">
      <c r="AI203" s="111"/>
      <c r="AV203" s="111"/>
      <c r="AW203" s="111"/>
      <c r="AX203" s="111"/>
      <c r="AY203" s="111"/>
      <c r="AZ203" s="111"/>
      <c r="BA203" s="111"/>
      <c r="BB203" s="111"/>
    </row>
    <row r="204">
      <c r="AI204" s="111"/>
      <c r="AV204" s="111"/>
      <c r="AW204" s="111"/>
      <c r="AX204" s="111"/>
      <c r="AY204" s="111"/>
      <c r="AZ204" s="111"/>
      <c r="BA204" s="111"/>
      <c r="BB204" s="111"/>
    </row>
    <row r="205">
      <c r="AI205" s="111"/>
      <c r="AV205" s="111"/>
      <c r="AW205" s="111"/>
      <c r="AX205" s="111"/>
      <c r="AY205" s="111"/>
      <c r="AZ205" s="111"/>
      <c r="BA205" s="111"/>
      <c r="BB205" s="111"/>
    </row>
    <row r="206">
      <c r="AI206" s="111"/>
      <c r="AV206" s="111"/>
      <c r="AW206" s="111"/>
      <c r="AX206" s="111"/>
      <c r="AY206" s="111"/>
      <c r="AZ206" s="111"/>
      <c r="BA206" s="111"/>
      <c r="BB206" s="111"/>
    </row>
    <row r="207">
      <c r="AI207" s="111"/>
      <c r="AV207" s="111"/>
      <c r="AW207" s="111"/>
      <c r="AX207" s="111"/>
      <c r="AY207" s="111"/>
      <c r="AZ207" s="111"/>
      <c r="BA207" s="111"/>
      <c r="BB207" s="111"/>
    </row>
    <row r="208">
      <c r="AI208" s="111"/>
      <c r="AV208" s="111"/>
      <c r="AW208" s="111"/>
      <c r="AX208" s="111"/>
      <c r="AY208" s="111"/>
      <c r="AZ208" s="111"/>
      <c r="BA208" s="111"/>
      <c r="BB208" s="111"/>
    </row>
    <row r="209">
      <c r="AI209" s="111"/>
      <c r="AV209" s="111"/>
      <c r="AW209" s="111"/>
      <c r="AX209" s="111"/>
      <c r="AY209" s="111"/>
      <c r="AZ209" s="111"/>
      <c r="BA209" s="111"/>
      <c r="BB209" s="111"/>
    </row>
    <row r="210">
      <c r="AI210" s="111"/>
      <c r="AV210" s="111"/>
      <c r="AW210" s="111"/>
      <c r="AX210" s="111"/>
      <c r="AY210" s="111"/>
      <c r="AZ210" s="111"/>
      <c r="BA210" s="111"/>
      <c r="BB210" s="111"/>
    </row>
    <row r="211">
      <c r="AI211" s="111"/>
      <c r="AV211" s="111"/>
      <c r="AW211" s="111"/>
      <c r="AX211" s="111"/>
      <c r="AY211" s="111"/>
      <c r="AZ211" s="111"/>
      <c r="BA211" s="111"/>
      <c r="BB211" s="111"/>
    </row>
    <row r="212">
      <c r="AI212" s="111"/>
      <c r="AV212" s="111"/>
      <c r="AW212" s="111"/>
      <c r="AX212" s="111"/>
      <c r="AY212" s="111"/>
      <c r="AZ212" s="111"/>
      <c r="BA212" s="111"/>
      <c r="BB212" s="111"/>
    </row>
    <row r="213">
      <c r="AI213" s="111"/>
      <c r="AV213" s="111"/>
      <c r="AW213" s="111"/>
      <c r="AX213" s="111"/>
      <c r="AY213" s="111"/>
      <c r="AZ213" s="111"/>
      <c r="BA213" s="111"/>
      <c r="BB213" s="111"/>
    </row>
    <row r="214">
      <c r="AI214" s="111"/>
      <c r="AV214" s="111"/>
      <c r="AW214" s="111"/>
      <c r="AX214" s="111"/>
      <c r="AY214" s="111"/>
      <c r="AZ214" s="111"/>
      <c r="BA214" s="111"/>
      <c r="BB214" s="111"/>
    </row>
    <row r="215">
      <c r="AI215" s="111"/>
      <c r="AV215" s="111"/>
      <c r="AW215" s="111"/>
      <c r="AX215" s="111"/>
      <c r="AY215" s="111"/>
      <c r="AZ215" s="111"/>
      <c r="BA215" s="111"/>
      <c r="BB215" s="111"/>
    </row>
    <row r="216">
      <c r="AI216" s="111"/>
      <c r="AV216" s="111"/>
      <c r="AW216" s="111"/>
      <c r="AX216" s="111"/>
      <c r="AY216" s="111"/>
      <c r="AZ216" s="111"/>
      <c r="BA216" s="111"/>
      <c r="BB216" s="111"/>
    </row>
    <row r="217">
      <c r="AI217" s="111"/>
      <c r="AV217" s="111"/>
      <c r="AW217" s="111"/>
      <c r="AX217" s="111"/>
      <c r="AY217" s="111"/>
      <c r="AZ217" s="111"/>
      <c r="BA217" s="111"/>
      <c r="BB217" s="111"/>
    </row>
    <row r="218">
      <c r="AI218" s="111"/>
      <c r="AV218" s="111"/>
      <c r="AW218" s="111"/>
      <c r="AX218" s="111"/>
      <c r="AY218" s="111"/>
      <c r="AZ218" s="111"/>
      <c r="BA218" s="111"/>
      <c r="BB218" s="111"/>
    </row>
    <row r="219">
      <c r="AI219" s="111"/>
      <c r="AV219" s="111"/>
      <c r="AW219" s="111"/>
      <c r="AX219" s="111"/>
      <c r="AY219" s="111"/>
      <c r="AZ219" s="111"/>
      <c r="BA219" s="111"/>
      <c r="BB219" s="111"/>
    </row>
    <row r="220">
      <c r="AI220" s="111"/>
      <c r="AV220" s="111"/>
      <c r="AW220" s="111"/>
      <c r="AX220" s="111"/>
      <c r="AY220" s="111"/>
      <c r="AZ220" s="111"/>
      <c r="BA220" s="111"/>
      <c r="BB220" s="111"/>
    </row>
    <row r="221">
      <c r="AI221" s="111"/>
      <c r="AV221" s="111"/>
      <c r="AW221" s="111"/>
      <c r="AX221" s="111"/>
      <c r="AY221" s="111"/>
      <c r="AZ221" s="111"/>
      <c r="BA221" s="111"/>
      <c r="BB221" s="111"/>
    </row>
    <row r="222">
      <c r="AI222" s="111"/>
      <c r="AV222" s="111"/>
      <c r="AW222" s="111"/>
      <c r="AX222" s="111"/>
      <c r="AY222" s="111"/>
      <c r="AZ222" s="111"/>
      <c r="BA222" s="111"/>
      <c r="BB222" s="111"/>
    </row>
    <row r="223">
      <c r="AI223" s="111"/>
      <c r="AV223" s="111"/>
      <c r="AW223" s="111"/>
      <c r="AX223" s="111"/>
      <c r="AY223" s="111"/>
      <c r="AZ223" s="111"/>
      <c r="BA223" s="111"/>
      <c r="BB223" s="111"/>
    </row>
    <row r="224">
      <c r="AI224" s="111"/>
      <c r="AV224" s="111"/>
      <c r="AW224" s="111"/>
      <c r="AX224" s="111"/>
      <c r="AY224" s="111"/>
      <c r="AZ224" s="111"/>
      <c r="BA224" s="111"/>
      <c r="BB224" s="111"/>
    </row>
    <row r="225">
      <c r="AI225" s="111"/>
      <c r="AV225" s="111"/>
      <c r="AW225" s="111"/>
      <c r="AX225" s="111"/>
      <c r="AY225" s="111"/>
      <c r="AZ225" s="111"/>
      <c r="BA225" s="111"/>
      <c r="BB225" s="111"/>
    </row>
    <row r="226">
      <c r="AI226" s="111"/>
      <c r="AV226" s="111"/>
      <c r="AW226" s="111"/>
      <c r="AX226" s="111"/>
      <c r="AY226" s="111"/>
      <c r="AZ226" s="111"/>
      <c r="BA226" s="111"/>
      <c r="BB226" s="111"/>
    </row>
    <row r="227">
      <c r="AI227" s="111"/>
      <c r="AV227" s="111"/>
      <c r="AW227" s="111"/>
      <c r="AX227" s="111"/>
      <c r="AY227" s="111"/>
      <c r="AZ227" s="111"/>
      <c r="BA227" s="111"/>
      <c r="BB227" s="111"/>
    </row>
    <row r="228">
      <c r="AI228" s="111"/>
      <c r="AV228" s="111"/>
      <c r="AW228" s="111"/>
      <c r="AX228" s="111"/>
      <c r="AY228" s="111"/>
      <c r="AZ228" s="111"/>
      <c r="BA228" s="111"/>
      <c r="BB228" s="111"/>
    </row>
    <row r="229">
      <c r="AI229" s="111"/>
      <c r="AV229" s="111"/>
      <c r="AW229" s="111"/>
      <c r="AX229" s="111"/>
      <c r="AY229" s="111"/>
      <c r="AZ229" s="111"/>
      <c r="BA229" s="111"/>
      <c r="BB229" s="111"/>
    </row>
    <row r="230">
      <c r="AI230" s="111"/>
      <c r="AV230" s="111"/>
      <c r="AW230" s="111"/>
      <c r="AX230" s="111"/>
      <c r="AY230" s="111"/>
      <c r="AZ230" s="111"/>
      <c r="BA230" s="111"/>
      <c r="BB230" s="111"/>
    </row>
    <row r="231">
      <c r="AI231" s="111"/>
      <c r="AV231" s="111"/>
      <c r="AW231" s="111"/>
      <c r="AX231" s="111"/>
      <c r="AY231" s="111"/>
      <c r="AZ231" s="111"/>
      <c r="BA231" s="111"/>
      <c r="BB231" s="111"/>
    </row>
    <row r="232">
      <c r="AI232" s="111"/>
      <c r="AV232" s="111"/>
      <c r="AW232" s="111"/>
      <c r="AX232" s="111"/>
      <c r="AY232" s="111"/>
      <c r="AZ232" s="111"/>
      <c r="BA232" s="111"/>
      <c r="BB232" s="111"/>
    </row>
    <row r="233">
      <c r="AI233" s="111"/>
      <c r="AV233" s="111"/>
      <c r="AW233" s="111"/>
      <c r="AX233" s="111"/>
      <c r="AY233" s="111"/>
      <c r="AZ233" s="111"/>
      <c r="BA233" s="111"/>
      <c r="BB233" s="111"/>
    </row>
    <row r="234">
      <c r="AI234" s="111"/>
      <c r="AV234" s="111"/>
      <c r="AW234" s="111"/>
      <c r="AX234" s="111"/>
      <c r="AY234" s="111"/>
      <c r="AZ234" s="111"/>
      <c r="BA234" s="111"/>
      <c r="BB234" s="111"/>
    </row>
    <row r="235">
      <c r="AI235" s="111"/>
      <c r="AV235" s="111"/>
      <c r="AW235" s="111"/>
      <c r="AX235" s="111"/>
      <c r="AY235" s="111"/>
      <c r="AZ235" s="111"/>
      <c r="BA235" s="111"/>
      <c r="BB235" s="111"/>
    </row>
    <row r="236">
      <c r="AI236" s="111"/>
      <c r="AV236" s="111"/>
      <c r="AW236" s="111"/>
      <c r="AX236" s="111"/>
      <c r="AY236" s="111"/>
      <c r="AZ236" s="111"/>
      <c r="BA236" s="111"/>
      <c r="BB236" s="111"/>
    </row>
    <row r="237">
      <c r="AI237" s="111"/>
      <c r="AV237" s="111"/>
      <c r="AW237" s="111"/>
      <c r="AX237" s="111"/>
      <c r="AY237" s="111"/>
      <c r="AZ237" s="111"/>
      <c r="BA237" s="111"/>
      <c r="BB237" s="111"/>
    </row>
    <row r="238">
      <c r="AI238" s="111"/>
      <c r="AV238" s="111"/>
      <c r="AW238" s="111"/>
      <c r="AX238" s="111"/>
      <c r="AY238" s="111"/>
      <c r="AZ238" s="111"/>
      <c r="BA238" s="111"/>
      <c r="BB238" s="111"/>
    </row>
    <row r="239">
      <c r="AI239" s="111"/>
      <c r="AV239" s="111"/>
      <c r="AW239" s="111"/>
      <c r="AX239" s="111"/>
      <c r="AY239" s="111"/>
      <c r="AZ239" s="111"/>
      <c r="BA239" s="111"/>
      <c r="BB239" s="111"/>
    </row>
    <row r="240">
      <c r="AI240" s="111"/>
      <c r="AV240" s="111"/>
      <c r="AW240" s="111"/>
      <c r="AX240" s="111"/>
      <c r="AY240" s="111"/>
      <c r="AZ240" s="111"/>
      <c r="BA240" s="111"/>
      <c r="BB240" s="111"/>
    </row>
    <row r="241">
      <c r="AI241" s="111"/>
      <c r="AV241" s="111"/>
      <c r="AW241" s="111"/>
      <c r="AX241" s="111"/>
      <c r="AY241" s="111"/>
      <c r="AZ241" s="111"/>
      <c r="BA241" s="111"/>
      <c r="BB241" s="111"/>
    </row>
    <row r="242">
      <c r="AI242" s="111"/>
      <c r="AV242" s="111"/>
      <c r="AW242" s="111"/>
      <c r="AX242" s="111"/>
      <c r="AY242" s="111"/>
      <c r="AZ242" s="111"/>
      <c r="BA242" s="111"/>
      <c r="BB242" s="111"/>
    </row>
    <row r="243">
      <c r="AI243" s="111"/>
      <c r="AV243" s="111"/>
      <c r="AW243" s="111"/>
      <c r="AX243" s="111"/>
      <c r="AY243" s="111"/>
      <c r="AZ243" s="111"/>
      <c r="BA243" s="111"/>
      <c r="BB243" s="111"/>
    </row>
    <row r="244">
      <c r="AI244" s="111"/>
      <c r="AV244" s="111"/>
      <c r="AW244" s="111"/>
      <c r="AX244" s="111"/>
      <c r="AY244" s="111"/>
      <c r="AZ244" s="111"/>
      <c r="BA244" s="111"/>
      <c r="BB244" s="111"/>
    </row>
    <row r="245">
      <c r="AI245" s="111"/>
      <c r="AV245" s="111"/>
      <c r="AW245" s="111"/>
      <c r="AX245" s="111"/>
      <c r="AY245" s="111"/>
      <c r="AZ245" s="111"/>
      <c r="BA245" s="111"/>
      <c r="BB245" s="111"/>
    </row>
    <row r="246">
      <c r="AI246" s="111"/>
      <c r="AV246" s="111"/>
      <c r="AW246" s="111"/>
      <c r="AX246" s="111"/>
      <c r="AY246" s="111"/>
      <c r="AZ246" s="111"/>
      <c r="BA246" s="111"/>
      <c r="BB246" s="111"/>
    </row>
    <row r="247">
      <c r="AI247" s="111"/>
      <c r="AV247" s="111"/>
      <c r="AW247" s="111"/>
      <c r="AX247" s="111"/>
      <c r="AY247" s="111"/>
      <c r="AZ247" s="111"/>
      <c r="BA247" s="111"/>
      <c r="BB247" s="111"/>
    </row>
    <row r="248">
      <c r="AI248" s="111"/>
      <c r="AV248" s="111"/>
      <c r="AW248" s="111"/>
      <c r="AX248" s="111"/>
      <c r="AY248" s="111"/>
      <c r="AZ248" s="111"/>
      <c r="BA248" s="111"/>
      <c r="BB248" s="111"/>
    </row>
    <row r="249">
      <c r="AI249" s="111"/>
      <c r="AV249" s="111"/>
      <c r="AW249" s="111"/>
      <c r="AX249" s="111"/>
      <c r="AY249" s="111"/>
      <c r="AZ249" s="111"/>
      <c r="BA249" s="111"/>
      <c r="BB249" s="111"/>
    </row>
    <row r="250">
      <c r="AI250" s="111"/>
      <c r="AV250" s="111"/>
      <c r="AW250" s="111"/>
      <c r="AX250" s="111"/>
      <c r="AY250" s="111"/>
      <c r="AZ250" s="111"/>
      <c r="BA250" s="111"/>
      <c r="BB250" s="111"/>
    </row>
    <row r="251">
      <c r="AI251" s="111"/>
      <c r="AV251" s="111"/>
      <c r="AW251" s="111"/>
      <c r="AX251" s="111"/>
      <c r="AY251" s="111"/>
      <c r="AZ251" s="111"/>
      <c r="BA251" s="111"/>
      <c r="BB251" s="111"/>
    </row>
    <row r="252">
      <c r="AI252" s="111"/>
      <c r="AV252" s="111"/>
      <c r="AW252" s="111"/>
      <c r="AX252" s="111"/>
      <c r="AY252" s="111"/>
      <c r="AZ252" s="111"/>
      <c r="BA252" s="111"/>
      <c r="BB252" s="111"/>
    </row>
    <row r="253">
      <c r="AI253" s="111"/>
      <c r="AV253" s="111"/>
      <c r="AW253" s="111"/>
      <c r="AX253" s="111"/>
      <c r="AY253" s="111"/>
      <c r="AZ253" s="111"/>
      <c r="BA253" s="111"/>
      <c r="BB253" s="111"/>
    </row>
    <row r="254">
      <c r="AI254" s="111"/>
      <c r="AV254" s="111"/>
      <c r="AW254" s="111"/>
      <c r="AX254" s="111"/>
      <c r="AY254" s="111"/>
      <c r="AZ254" s="111"/>
      <c r="BA254" s="111"/>
      <c r="BB254" s="111"/>
    </row>
    <row r="255">
      <c r="AI255" s="111"/>
      <c r="AV255" s="111"/>
      <c r="AW255" s="111"/>
      <c r="AX255" s="111"/>
      <c r="AY255" s="111"/>
      <c r="AZ255" s="111"/>
      <c r="BA255" s="111"/>
      <c r="BB255" s="111"/>
    </row>
    <row r="256">
      <c r="AI256" s="111"/>
      <c r="AV256" s="111"/>
      <c r="AW256" s="111"/>
      <c r="AX256" s="111"/>
      <c r="AY256" s="111"/>
      <c r="AZ256" s="111"/>
      <c r="BA256" s="111"/>
      <c r="BB256" s="111"/>
    </row>
    <row r="257">
      <c r="AI257" s="111"/>
      <c r="AV257" s="111"/>
      <c r="AW257" s="111"/>
      <c r="AX257" s="111"/>
      <c r="AY257" s="111"/>
      <c r="AZ257" s="111"/>
      <c r="BA257" s="111"/>
      <c r="BB257" s="111"/>
    </row>
    <row r="258">
      <c r="AI258" s="111"/>
      <c r="AV258" s="111"/>
      <c r="AW258" s="111"/>
      <c r="AX258" s="111"/>
      <c r="AY258" s="111"/>
      <c r="AZ258" s="111"/>
      <c r="BA258" s="111"/>
      <c r="BB258" s="111"/>
    </row>
    <row r="259">
      <c r="AI259" s="111"/>
      <c r="AV259" s="111"/>
      <c r="AW259" s="111"/>
      <c r="AX259" s="111"/>
      <c r="AY259" s="111"/>
      <c r="AZ259" s="111"/>
      <c r="BA259" s="111"/>
      <c r="BB259" s="111"/>
    </row>
    <row r="260">
      <c r="AI260" s="111"/>
      <c r="AV260" s="111"/>
      <c r="AW260" s="111"/>
      <c r="AX260" s="111"/>
      <c r="AY260" s="111"/>
      <c r="AZ260" s="111"/>
      <c r="BA260" s="111"/>
      <c r="BB260" s="111"/>
    </row>
    <row r="261">
      <c r="AI261" s="111"/>
      <c r="AV261" s="111"/>
      <c r="AW261" s="111"/>
      <c r="AX261" s="111"/>
      <c r="AY261" s="111"/>
      <c r="AZ261" s="111"/>
      <c r="BA261" s="111"/>
      <c r="BB261" s="111"/>
    </row>
    <row r="262">
      <c r="AI262" s="111"/>
      <c r="AV262" s="111"/>
      <c r="AW262" s="111"/>
      <c r="AX262" s="111"/>
      <c r="AY262" s="111"/>
      <c r="AZ262" s="111"/>
      <c r="BA262" s="111"/>
      <c r="BB262" s="111"/>
    </row>
    <row r="263">
      <c r="AI263" s="111"/>
      <c r="AV263" s="111"/>
      <c r="AW263" s="111"/>
      <c r="AX263" s="111"/>
      <c r="AY263" s="111"/>
      <c r="AZ263" s="111"/>
      <c r="BA263" s="111"/>
      <c r="BB263" s="111"/>
    </row>
    <row r="264">
      <c r="AI264" s="111"/>
      <c r="AV264" s="111"/>
      <c r="AW264" s="111"/>
      <c r="AX264" s="111"/>
      <c r="AY264" s="111"/>
      <c r="AZ264" s="111"/>
      <c r="BA264" s="111"/>
      <c r="BB264" s="111"/>
    </row>
    <row r="265">
      <c r="AI265" s="111"/>
      <c r="AV265" s="111"/>
      <c r="AW265" s="111"/>
      <c r="AX265" s="111"/>
      <c r="AY265" s="111"/>
      <c r="AZ265" s="111"/>
      <c r="BA265" s="111"/>
      <c r="BB265" s="111"/>
    </row>
    <row r="266">
      <c r="AI266" s="111"/>
      <c r="AV266" s="111"/>
      <c r="AW266" s="111"/>
      <c r="AX266" s="111"/>
      <c r="AY266" s="111"/>
      <c r="AZ266" s="111"/>
      <c r="BA266" s="111"/>
      <c r="BB266" s="111"/>
    </row>
    <row r="267">
      <c r="AI267" s="111"/>
      <c r="AV267" s="111"/>
      <c r="AW267" s="111"/>
      <c r="AX267" s="111"/>
      <c r="AY267" s="111"/>
      <c r="AZ267" s="111"/>
      <c r="BA267" s="111"/>
      <c r="BB267" s="111"/>
    </row>
    <row r="268">
      <c r="AI268" s="111"/>
      <c r="AV268" s="111"/>
      <c r="AW268" s="111"/>
      <c r="AX268" s="111"/>
      <c r="AY268" s="111"/>
      <c r="AZ268" s="111"/>
      <c r="BA268" s="111"/>
      <c r="BB268" s="111"/>
    </row>
    <row r="269">
      <c r="AI269" s="111"/>
      <c r="AV269" s="111"/>
      <c r="AW269" s="111"/>
      <c r="AX269" s="111"/>
      <c r="AY269" s="111"/>
      <c r="AZ269" s="111"/>
      <c r="BA269" s="111"/>
      <c r="BB269" s="111"/>
    </row>
    <row r="270">
      <c r="AI270" s="111"/>
      <c r="AV270" s="111"/>
      <c r="AW270" s="111"/>
      <c r="AX270" s="111"/>
      <c r="AY270" s="111"/>
      <c r="AZ270" s="111"/>
      <c r="BA270" s="111"/>
      <c r="BB270" s="111"/>
    </row>
    <row r="271">
      <c r="AI271" s="111"/>
      <c r="AV271" s="111"/>
      <c r="AW271" s="111"/>
      <c r="AX271" s="111"/>
      <c r="AY271" s="111"/>
      <c r="AZ271" s="111"/>
      <c r="BA271" s="111"/>
      <c r="BB271" s="111"/>
    </row>
    <row r="272">
      <c r="AI272" s="111"/>
      <c r="AV272" s="111"/>
      <c r="AW272" s="111"/>
      <c r="AX272" s="111"/>
      <c r="AY272" s="111"/>
      <c r="AZ272" s="111"/>
      <c r="BA272" s="111"/>
      <c r="BB272" s="111"/>
    </row>
    <row r="273">
      <c r="AI273" s="111"/>
      <c r="AV273" s="111"/>
      <c r="AW273" s="111"/>
      <c r="AX273" s="111"/>
      <c r="AY273" s="111"/>
      <c r="AZ273" s="111"/>
      <c r="BA273" s="111"/>
      <c r="BB273" s="111"/>
    </row>
    <row r="274">
      <c r="AI274" s="111"/>
      <c r="AV274" s="111"/>
      <c r="AW274" s="111"/>
      <c r="AX274" s="111"/>
      <c r="AY274" s="111"/>
      <c r="AZ274" s="111"/>
      <c r="BA274" s="111"/>
      <c r="BB274" s="111"/>
    </row>
    <row r="275">
      <c r="AI275" s="111"/>
      <c r="AV275" s="111"/>
      <c r="AW275" s="111"/>
      <c r="AX275" s="111"/>
      <c r="AY275" s="111"/>
      <c r="AZ275" s="111"/>
      <c r="BA275" s="111"/>
      <c r="BB275" s="111"/>
    </row>
    <row r="276">
      <c r="AI276" s="111"/>
      <c r="AV276" s="111"/>
      <c r="AW276" s="111"/>
      <c r="AX276" s="111"/>
      <c r="AY276" s="111"/>
      <c r="AZ276" s="111"/>
      <c r="BA276" s="111"/>
      <c r="BB276" s="111"/>
    </row>
    <row r="277">
      <c r="AI277" s="111"/>
      <c r="AV277" s="111"/>
      <c r="AW277" s="111"/>
      <c r="AX277" s="111"/>
      <c r="AY277" s="111"/>
      <c r="AZ277" s="111"/>
      <c r="BA277" s="111"/>
      <c r="BB277" s="111"/>
    </row>
    <row r="278">
      <c r="AI278" s="111"/>
      <c r="AV278" s="111"/>
      <c r="AW278" s="111"/>
      <c r="AX278" s="111"/>
      <c r="AY278" s="111"/>
      <c r="AZ278" s="111"/>
      <c r="BA278" s="111"/>
      <c r="BB278" s="111"/>
    </row>
    <row r="279">
      <c r="AI279" s="111"/>
      <c r="AV279" s="111"/>
      <c r="AW279" s="111"/>
      <c r="AX279" s="111"/>
      <c r="AY279" s="111"/>
      <c r="AZ279" s="111"/>
      <c r="BA279" s="111"/>
      <c r="BB279" s="111"/>
    </row>
    <row r="280">
      <c r="AI280" s="111"/>
      <c r="AV280" s="111"/>
      <c r="AW280" s="111"/>
      <c r="AX280" s="111"/>
      <c r="AY280" s="111"/>
      <c r="AZ280" s="111"/>
      <c r="BA280" s="111"/>
      <c r="BB280" s="111"/>
    </row>
    <row r="281">
      <c r="AI281" s="111"/>
      <c r="AV281" s="111"/>
      <c r="AW281" s="111"/>
      <c r="AX281" s="111"/>
      <c r="AY281" s="111"/>
      <c r="AZ281" s="111"/>
      <c r="BA281" s="111"/>
      <c r="BB281" s="111"/>
    </row>
    <row r="282">
      <c r="AI282" s="111"/>
      <c r="AV282" s="111"/>
      <c r="AW282" s="111"/>
      <c r="AX282" s="111"/>
      <c r="AY282" s="111"/>
      <c r="AZ282" s="111"/>
      <c r="BA282" s="111"/>
      <c r="BB282" s="111"/>
    </row>
    <row r="283">
      <c r="AI283" s="111"/>
      <c r="AV283" s="111"/>
      <c r="AW283" s="111"/>
      <c r="AX283" s="111"/>
      <c r="AY283" s="111"/>
      <c r="AZ283" s="111"/>
      <c r="BA283" s="111"/>
      <c r="BB283" s="111"/>
    </row>
    <row r="284">
      <c r="AI284" s="111"/>
      <c r="AV284" s="111"/>
      <c r="AW284" s="111"/>
      <c r="AX284" s="111"/>
      <c r="AY284" s="111"/>
      <c r="AZ284" s="111"/>
      <c r="BA284" s="111"/>
      <c r="BB284" s="111"/>
    </row>
    <row r="285">
      <c r="AI285" s="111"/>
      <c r="AV285" s="111"/>
      <c r="AW285" s="111"/>
      <c r="AX285" s="111"/>
      <c r="AY285" s="111"/>
      <c r="AZ285" s="111"/>
      <c r="BA285" s="111"/>
      <c r="BB285" s="111"/>
    </row>
    <row r="286">
      <c r="AI286" s="111"/>
      <c r="AV286" s="111"/>
      <c r="AW286" s="111"/>
      <c r="AX286" s="111"/>
      <c r="AY286" s="111"/>
      <c r="AZ286" s="111"/>
      <c r="BA286" s="111"/>
      <c r="BB286" s="111"/>
    </row>
    <row r="287">
      <c r="AI287" s="111"/>
      <c r="AV287" s="111"/>
      <c r="AW287" s="111"/>
      <c r="AX287" s="111"/>
      <c r="AY287" s="111"/>
      <c r="AZ287" s="111"/>
      <c r="BA287" s="111"/>
      <c r="BB287" s="111"/>
    </row>
    <row r="288">
      <c r="AI288" s="111"/>
      <c r="AV288" s="111"/>
      <c r="AW288" s="111"/>
      <c r="AX288" s="111"/>
      <c r="AY288" s="111"/>
      <c r="AZ288" s="111"/>
      <c r="BA288" s="111"/>
      <c r="BB288" s="111"/>
    </row>
    <row r="289">
      <c r="AI289" s="111"/>
      <c r="AV289" s="111"/>
      <c r="AW289" s="111"/>
      <c r="AX289" s="111"/>
      <c r="AY289" s="111"/>
      <c r="AZ289" s="111"/>
      <c r="BA289" s="111"/>
      <c r="BB289" s="111"/>
    </row>
    <row r="290">
      <c r="AI290" s="111"/>
      <c r="AV290" s="111"/>
      <c r="AW290" s="111"/>
      <c r="AX290" s="111"/>
      <c r="AY290" s="111"/>
      <c r="AZ290" s="111"/>
      <c r="BA290" s="111"/>
      <c r="BB290" s="111"/>
    </row>
    <row r="291">
      <c r="AI291" s="111"/>
      <c r="AV291" s="111"/>
      <c r="AW291" s="111"/>
      <c r="AX291" s="111"/>
      <c r="AY291" s="111"/>
      <c r="AZ291" s="111"/>
      <c r="BA291" s="111"/>
      <c r="BB291" s="111"/>
    </row>
    <row r="292">
      <c r="AI292" s="111"/>
      <c r="AV292" s="111"/>
      <c r="AW292" s="111"/>
      <c r="AX292" s="111"/>
      <c r="AY292" s="111"/>
      <c r="AZ292" s="111"/>
      <c r="BA292" s="111"/>
      <c r="BB292" s="111"/>
    </row>
    <row r="293">
      <c r="AI293" s="111"/>
      <c r="AV293" s="111"/>
      <c r="AW293" s="111"/>
      <c r="AX293" s="111"/>
      <c r="AY293" s="111"/>
      <c r="AZ293" s="111"/>
      <c r="BA293" s="111"/>
      <c r="BB293" s="111"/>
    </row>
    <row r="294">
      <c r="AI294" s="111"/>
      <c r="AV294" s="111"/>
      <c r="AW294" s="111"/>
      <c r="AX294" s="111"/>
      <c r="AY294" s="111"/>
      <c r="AZ294" s="111"/>
      <c r="BA294" s="111"/>
      <c r="BB294" s="111"/>
    </row>
    <row r="295">
      <c r="AI295" s="111"/>
      <c r="AV295" s="111"/>
      <c r="AW295" s="111"/>
      <c r="AX295" s="111"/>
      <c r="AY295" s="111"/>
      <c r="AZ295" s="111"/>
      <c r="BA295" s="111"/>
      <c r="BB295" s="111"/>
    </row>
    <row r="296">
      <c r="AI296" s="111"/>
      <c r="AV296" s="111"/>
      <c r="AW296" s="111"/>
      <c r="AX296" s="111"/>
      <c r="AY296" s="111"/>
      <c r="AZ296" s="111"/>
      <c r="BA296" s="111"/>
      <c r="BB296" s="111"/>
    </row>
    <row r="297">
      <c r="AI297" s="111"/>
      <c r="AV297" s="111"/>
      <c r="AW297" s="111"/>
      <c r="AX297" s="111"/>
      <c r="AY297" s="111"/>
      <c r="AZ297" s="111"/>
      <c r="BA297" s="111"/>
      <c r="BB297" s="111"/>
    </row>
    <row r="298">
      <c r="AI298" s="111"/>
      <c r="AV298" s="111"/>
      <c r="AW298" s="111"/>
      <c r="AX298" s="111"/>
      <c r="AY298" s="111"/>
      <c r="AZ298" s="111"/>
      <c r="BA298" s="111"/>
      <c r="BB298" s="111"/>
    </row>
    <row r="299">
      <c r="AI299" s="111"/>
      <c r="AV299" s="111"/>
      <c r="AW299" s="111"/>
      <c r="AX299" s="111"/>
      <c r="AY299" s="111"/>
      <c r="AZ299" s="111"/>
      <c r="BA299" s="111"/>
      <c r="BB299" s="111"/>
    </row>
    <row r="300">
      <c r="AI300" s="111"/>
      <c r="AV300" s="111"/>
      <c r="AW300" s="111"/>
      <c r="AX300" s="111"/>
      <c r="AY300" s="111"/>
      <c r="AZ300" s="111"/>
      <c r="BA300" s="111"/>
      <c r="BB300" s="111"/>
    </row>
    <row r="301">
      <c r="AI301" s="111"/>
      <c r="AV301" s="111"/>
      <c r="AW301" s="111"/>
      <c r="AX301" s="111"/>
      <c r="AY301" s="111"/>
      <c r="AZ301" s="111"/>
      <c r="BA301" s="111"/>
      <c r="BB301" s="111"/>
    </row>
    <row r="302">
      <c r="AI302" s="111"/>
      <c r="AV302" s="111"/>
      <c r="AW302" s="111"/>
      <c r="AX302" s="111"/>
      <c r="AY302" s="111"/>
      <c r="AZ302" s="111"/>
      <c r="BA302" s="111"/>
      <c r="BB302" s="111"/>
    </row>
    <row r="303">
      <c r="AI303" s="111"/>
      <c r="AV303" s="111"/>
      <c r="AW303" s="111"/>
      <c r="AX303" s="111"/>
      <c r="AY303" s="111"/>
      <c r="AZ303" s="111"/>
      <c r="BA303" s="111"/>
      <c r="BB303" s="111"/>
    </row>
    <row r="304">
      <c r="AI304" s="111"/>
      <c r="AV304" s="111"/>
      <c r="AW304" s="111"/>
      <c r="AX304" s="111"/>
      <c r="AY304" s="111"/>
      <c r="AZ304" s="111"/>
      <c r="BA304" s="111"/>
      <c r="BB304" s="111"/>
    </row>
    <row r="305">
      <c r="AI305" s="111"/>
      <c r="AV305" s="111"/>
      <c r="AW305" s="111"/>
      <c r="AX305" s="111"/>
      <c r="AY305" s="111"/>
      <c r="AZ305" s="111"/>
      <c r="BA305" s="111"/>
      <c r="BB305" s="111"/>
    </row>
    <row r="306">
      <c r="AI306" s="111"/>
      <c r="AV306" s="111"/>
      <c r="AW306" s="111"/>
      <c r="AX306" s="111"/>
      <c r="AY306" s="111"/>
      <c r="AZ306" s="111"/>
      <c r="BA306" s="111"/>
      <c r="BB306" s="111"/>
    </row>
    <row r="307">
      <c r="AI307" s="111"/>
      <c r="AV307" s="111"/>
      <c r="AW307" s="111"/>
      <c r="AX307" s="111"/>
      <c r="AY307" s="111"/>
      <c r="AZ307" s="111"/>
      <c r="BA307" s="111"/>
      <c r="BB307" s="111"/>
    </row>
    <row r="308">
      <c r="AI308" s="111"/>
      <c r="AV308" s="111"/>
      <c r="AW308" s="111"/>
      <c r="AX308" s="111"/>
      <c r="AY308" s="111"/>
      <c r="AZ308" s="111"/>
      <c r="BA308" s="111"/>
      <c r="BB308" s="111"/>
    </row>
    <row r="309">
      <c r="AI309" s="111"/>
      <c r="AV309" s="111"/>
      <c r="AW309" s="111"/>
      <c r="AX309" s="111"/>
      <c r="AY309" s="111"/>
      <c r="AZ309" s="111"/>
      <c r="BA309" s="111"/>
      <c r="BB309" s="111"/>
    </row>
    <row r="310">
      <c r="AI310" s="111"/>
      <c r="AV310" s="111"/>
      <c r="AW310" s="111"/>
      <c r="AX310" s="111"/>
      <c r="AY310" s="111"/>
      <c r="AZ310" s="111"/>
      <c r="BA310" s="111"/>
      <c r="BB310" s="111"/>
    </row>
    <row r="311">
      <c r="AI311" s="111"/>
      <c r="AV311" s="111"/>
      <c r="AW311" s="111"/>
      <c r="AX311" s="111"/>
      <c r="AY311" s="111"/>
      <c r="AZ311" s="111"/>
      <c r="BA311" s="111"/>
      <c r="BB311" s="111"/>
    </row>
    <row r="312">
      <c r="AI312" s="111"/>
      <c r="AV312" s="111"/>
      <c r="AW312" s="111"/>
      <c r="AX312" s="111"/>
      <c r="AY312" s="111"/>
      <c r="AZ312" s="111"/>
      <c r="BA312" s="111"/>
      <c r="BB312" s="111"/>
    </row>
    <row r="313">
      <c r="AI313" s="111"/>
      <c r="AV313" s="111"/>
      <c r="AW313" s="111"/>
      <c r="AX313" s="111"/>
      <c r="AY313" s="111"/>
      <c r="AZ313" s="111"/>
      <c r="BA313" s="111"/>
      <c r="BB313" s="111"/>
    </row>
    <row r="314">
      <c r="AI314" s="111"/>
      <c r="AV314" s="111"/>
      <c r="AW314" s="111"/>
      <c r="AX314" s="111"/>
      <c r="AY314" s="111"/>
      <c r="AZ314" s="111"/>
      <c r="BA314" s="111"/>
      <c r="BB314" s="111"/>
    </row>
    <row r="315">
      <c r="AI315" s="111"/>
      <c r="AV315" s="111"/>
      <c r="AW315" s="111"/>
      <c r="AX315" s="111"/>
      <c r="AY315" s="111"/>
      <c r="AZ315" s="111"/>
      <c r="BA315" s="111"/>
      <c r="BB315" s="111"/>
    </row>
    <row r="316">
      <c r="AI316" s="111"/>
      <c r="AV316" s="111"/>
      <c r="AW316" s="111"/>
      <c r="AX316" s="111"/>
      <c r="AY316" s="111"/>
      <c r="AZ316" s="111"/>
      <c r="BA316" s="111"/>
      <c r="BB316" s="111"/>
    </row>
    <row r="317">
      <c r="AI317" s="111"/>
      <c r="AV317" s="111"/>
      <c r="AW317" s="111"/>
      <c r="AX317" s="111"/>
      <c r="AY317" s="111"/>
      <c r="AZ317" s="111"/>
      <c r="BA317" s="111"/>
      <c r="BB317" s="111"/>
    </row>
    <row r="318">
      <c r="AI318" s="111"/>
      <c r="AV318" s="111"/>
      <c r="AW318" s="111"/>
      <c r="AX318" s="111"/>
      <c r="AY318" s="111"/>
      <c r="AZ318" s="111"/>
      <c r="BA318" s="111"/>
      <c r="BB318" s="111"/>
    </row>
    <row r="319">
      <c r="AI319" s="111"/>
      <c r="AV319" s="111"/>
      <c r="AW319" s="111"/>
      <c r="AX319" s="111"/>
      <c r="AY319" s="111"/>
      <c r="AZ319" s="111"/>
      <c r="BA319" s="111"/>
      <c r="BB319" s="111"/>
    </row>
    <row r="320">
      <c r="AI320" s="111"/>
      <c r="AV320" s="111"/>
      <c r="AW320" s="111"/>
      <c r="AX320" s="111"/>
      <c r="AY320" s="111"/>
      <c r="AZ320" s="111"/>
      <c r="BA320" s="111"/>
      <c r="BB320" s="111"/>
    </row>
    <row r="321">
      <c r="AI321" s="111"/>
      <c r="AV321" s="111"/>
      <c r="AW321" s="111"/>
      <c r="AX321" s="111"/>
      <c r="AY321" s="111"/>
      <c r="AZ321" s="111"/>
      <c r="BA321" s="111"/>
      <c r="BB321" s="111"/>
    </row>
    <row r="322">
      <c r="AI322" s="111"/>
      <c r="AV322" s="111"/>
      <c r="AW322" s="111"/>
      <c r="AX322" s="111"/>
      <c r="AY322" s="111"/>
      <c r="AZ322" s="111"/>
      <c r="BA322" s="111"/>
      <c r="BB322" s="111"/>
    </row>
    <row r="323">
      <c r="AI323" s="111"/>
      <c r="AV323" s="111"/>
      <c r="AW323" s="111"/>
      <c r="AX323" s="111"/>
      <c r="AY323" s="111"/>
      <c r="AZ323" s="111"/>
      <c r="BA323" s="111"/>
      <c r="BB323" s="111"/>
    </row>
    <row r="324">
      <c r="AI324" s="111"/>
      <c r="AV324" s="111"/>
      <c r="AW324" s="111"/>
      <c r="AX324" s="111"/>
      <c r="AY324" s="111"/>
      <c r="AZ324" s="111"/>
      <c r="BA324" s="111"/>
      <c r="BB324" s="111"/>
    </row>
    <row r="325">
      <c r="AI325" s="111"/>
      <c r="AV325" s="111"/>
      <c r="AW325" s="111"/>
      <c r="AX325" s="111"/>
      <c r="AY325" s="111"/>
      <c r="AZ325" s="111"/>
      <c r="BA325" s="111"/>
      <c r="BB325" s="111"/>
    </row>
    <row r="326">
      <c r="AI326" s="111"/>
      <c r="AV326" s="111"/>
      <c r="AW326" s="111"/>
      <c r="AX326" s="111"/>
      <c r="AY326" s="111"/>
      <c r="AZ326" s="111"/>
      <c r="BA326" s="111"/>
      <c r="BB326" s="111"/>
    </row>
    <row r="327">
      <c r="AI327" s="111"/>
      <c r="AV327" s="111"/>
      <c r="AW327" s="111"/>
      <c r="AX327" s="111"/>
      <c r="AY327" s="111"/>
      <c r="AZ327" s="111"/>
      <c r="BA327" s="111"/>
      <c r="BB327" s="111"/>
    </row>
    <row r="328">
      <c r="AI328" s="111"/>
      <c r="AV328" s="111"/>
      <c r="AW328" s="111"/>
      <c r="AX328" s="111"/>
      <c r="AY328" s="111"/>
      <c r="AZ328" s="111"/>
      <c r="BA328" s="111"/>
      <c r="BB328" s="111"/>
    </row>
    <row r="329">
      <c r="AI329" s="111"/>
      <c r="AV329" s="111"/>
      <c r="AW329" s="111"/>
      <c r="AX329" s="111"/>
      <c r="AY329" s="111"/>
      <c r="AZ329" s="111"/>
      <c r="BA329" s="111"/>
      <c r="BB329" s="111"/>
    </row>
    <row r="330">
      <c r="AI330" s="111"/>
      <c r="AV330" s="111"/>
      <c r="AW330" s="111"/>
      <c r="AX330" s="111"/>
      <c r="AY330" s="111"/>
      <c r="AZ330" s="111"/>
      <c r="BA330" s="111"/>
      <c r="BB330" s="111"/>
    </row>
    <row r="331">
      <c r="AI331" s="111"/>
      <c r="AV331" s="111"/>
      <c r="AW331" s="111"/>
      <c r="AX331" s="111"/>
      <c r="AY331" s="111"/>
      <c r="AZ331" s="111"/>
      <c r="BA331" s="111"/>
      <c r="BB331" s="111"/>
    </row>
    <row r="332">
      <c r="AI332" s="111"/>
      <c r="AV332" s="111"/>
      <c r="AW332" s="111"/>
      <c r="AX332" s="111"/>
      <c r="AY332" s="111"/>
      <c r="AZ332" s="111"/>
      <c r="BA332" s="111"/>
      <c r="BB332" s="111"/>
    </row>
    <row r="333">
      <c r="AI333" s="111"/>
      <c r="AV333" s="111"/>
      <c r="AW333" s="111"/>
      <c r="AX333" s="111"/>
      <c r="AY333" s="111"/>
      <c r="AZ333" s="111"/>
      <c r="BA333" s="111"/>
      <c r="BB333" s="111"/>
    </row>
    <row r="334">
      <c r="AI334" s="111"/>
      <c r="AV334" s="111"/>
      <c r="AW334" s="111"/>
      <c r="AX334" s="111"/>
      <c r="AY334" s="111"/>
      <c r="AZ334" s="111"/>
      <c r="BA334" s="111"/>
      <c r="BB334" s="111"/>
    </row>
    <row r="335">
      <c r="AI335" s="111"/>
      <c r="AV335" s="111"/>
      <c r="AW335" s="111"/>
      <c r="AX335" s="111"/>
      <c r="AY335" s="111"/>
      <c r="AZ335" s="111"/>
      <c r="BA335" s="111"/>
      <c r="BB335" s="111"/>
    </row>
    <row r="336">
      <c r="AI336" s="111"/>
      <c r="AV336" s="111"/>
      <c r="AW336" s="111"/>
      <c r="AX336" s="111"/>
      <c r="AY336" s="111"/>
      <c r="AZ336" s="111"/>
      <c r="BA336" s="111"/>
      <c r="BB336" s="111"/>
    </row>
    <row r="337">
      <c r="AI337" s="111"/>
      <c r="AV337" s="111"/>
      <c r="AW337" s="111"/>
      <c r="AX337" s="111"/>
      <c r="AY337" s="111"/>
      <c r="AZ337" s="111"/>
      <c r="BA337" s="111"/>
      <c r="BB337" s="111"/>
    </row>
    <row r="338">
      <c r="AI338" s="111"/>
      <c r="AV338" s="111"/>
      <c r="AW338" s="111"/>
      <c r="AX338" s="111"/>
      <c r="AY338" s="111"/>
      <c r="AZ338" s="111"/>
      <c r="BA338" s="111"/>
      <c r="BB338" s="111"/>
    </row>
    <row r="339">
      <c r="AI339" s="111"/>
      <c r="AV339" s="111"/>
      <c r="AW339" s="111"/>
      <c r="AX339" s="111"/>
      <c r="AY339" s="111"/>
      <c r="AZ339" s="111"/>
      <c r="BA339" s="111"/>
      <c r="BB339" s="111"/>
    </row>
    <row r="340">
      <c r="AI340" s="111"/>
      <c r="AV340" s="111"/>
      <c r="AW340" s="111"/>
      <c r="AX340" s="111"/>
      <c r="AY340" s="111"/>
      <c r="AZ340" s="111"/>
      <c r="BA340" s="111"/>
      <c r="BB340" s="111"/>
    </row>
    <row r="341">
      <c r="AI341" s="111"/>
      <c r="AV341" s="111"/>
      <c r="AW341" s="111"/>
      <c r="AX341" s="111"/>
      <c r="AY341" s="111"/>
      <c r="AZ341" s="111"/>
      <c r="BA341" s="111"/>
      <c r="BB341" s="111"/>
    </row>
    <row r="342">
      <c r="AI342" s="111"/>
      <c r="AV342" s="111"/>
      <c r="AW342" s="111"/>
      <c r="AX342" s="111"/>
      <c r="AY342" s="111"/>
      <c r="AZ342" s="111"/>
      <c r="BA342" s="111"/>
      <c r="BB342" s="111"/>
    </row>
    <row r="343">
      <c r="AI343" s="111"/>
      <c r="AV343" s="111"/>
      <c r="AW343" s="111"/>
      <c r="AX343" s="111"/>
      <c r="AY343" s="111"/>
      <c r="AZ343" s="111"/>
      <c r="BA343" s="111"/>
      <c r="BB343" s="111"/>
    </row>
    <row r="344">
      <c r="AI344" s="111"/>
      <c r="AV344" s="111"/>
      <c r="AW344" s="111"/>
      <c r="AX344" s="111"/>
      <c r="AY344" s="111"/>
      <c r="AZ344" s="111"/>
      <c r="BA344" s="111"/>
      <c r="BB344" s="111"/>
    </row>
    <row r="345">
      <c r="AI345" s="111"/>
      <c r="AV345" s="111"/>
      <c r="AW345" s="111"/>
      <c r="AX345" s="111"/>
      <c r="AY345" s="111"/>
      <c r="AZ345" s="111"/>
      <c r="BA345" s="111"/>
      <c r="BB345" s="111"/>
    </row>
    <row r="346">
      <c r="AI346" s="111"/>
      <c r="AV346" s="111"/>
      <c r="AW346" s="111"/>
      <c r="AX346" s="111"/>
      <c r="AY346" s="111"/>
      <c r="AZ346" s="111"/>
      <c r="BA346" s="111"/>
      <c r="BB346" s="111"/>
    </row>
    <row r="347">
      <c r="AI347" s="111"/>
      <c r="AV347" s="111"/>
      <c r="AW347" s="111"/>
      <c r="AX347" s="111"/>
      <c r="AY347" s="111"/>
      <c r="AZ347" s="111"/>
      <c r="BA347" s="111"/>
      <c r="BB347" s="111"/>
    </row>
    <row r="348">
      <c r="AI348" s="111"/>
      <c r="AV348" s="111"/>
      <c r="AW348" s="111"/>
      <c r="AX348" s="111"/>
      <c r="AY348" s="111"/>
      <c r="AZ348" s="111"/>
      <c r="BA348" s="111"/>
      <c r="BB348" s="111"/>
    </row>
    <row r="349">
      <c r="AI349" s="111"/>
      <c r="AV349" s="111"/>
      <c r="AW349" s="111"/>
      <c r="AX349" s="111"/>
      <c r="AY349" s="111"/>
      <c r="AZ349" s="111"/>
      <c r="BA349" s="111"/>
      <c r="BB349" s="111"/>
    </row>
    <row r="350">
      <c r="AI350" s="111"/>
      <c r="AV350" s="111"/>
      <c r="AW350" s="111"/>
      <c r="AX350" s="111"/>
      <c r="AY350" s="111"/>
      <c r="AZ350" s="111"/>
      <c r="BA350" s="111"/>
      <c r="BB350" s="111"/>
    </row>
    <row r="351">
      <c r="AI351" s="111"/>
      <c r="AV351" s="111"/>
      <c r="AW351" s="111"/>
      <c r="AX351" s="111"/>
      <c r="AY351" s="111"/>
      <c r="AZ351" s="111"/>
      <c r="BA351" s="111"/>
      <c r="BB351" s="111"/>
    </row>
    <row r="352">
      <c r="AI352" s="111"/>
      <c r="AV352" s="111"/>
      <c r="AW352" s="111"/>
      <c r="AX352" s="111"/>
      <c r="AY352" s="111"/>
      <c r="AZ352" s="111"/>
      <c r="BA352" s="111"/>
      <c r="BB352" s="111"/>
    </row>
    <row r="353">
      <c r="AI353" s="111"/>
      <c r="AV353" s="111"/>
      <c r="AW353" s="111"/>
      <c r="AX353" s="111"/>
      <c r="AY353" s="111"/>
      <c r="AZ353" s="111"/>
      <c r="BA353" s="111"/>
      <c r="BB353" s="111"/>
    </row>
    <row r="354">
      <c r="AI354" s="111"/>
      <c r="AV354" s="111"/>
      <c r="AW354" s="111"/>
      <c r="AX354" s="111"/>
      <c r="AY354" s="111"/>
      <c r="AZ354" s="111"/>
      <c r="BA354" s="111"/>
      <c r="BB354" s="111"/>
    </row>
    <row r="355">
      <c r="AI355" s="111"/>
      <c r="AV355" s="111"/>
      <c r="AW355" s="111"/>
      <c r="AX355" s="111"/>
      <c r="AY355" s="111"/>
      <c r="AZ355" s="111"/>
      <c r="BA355" s="111"/>
      <c r="BB355" s="111"/>
    </row>
    <row r="356">
      <c r="AI356" s="111"/>
      <c r="AV356" s="111"/>
      <c r="AW356" s="111"/>
      <c r="AX356" s="111"/>
      <c r="AY356" s="111"/>
      <c r="AZ356" s="111"/>
      <c r="BA356" s="111"/>
      <c r="BB356" s="111"/>
    </row>
    <row r="357">
      <c r="AI357" s="111"/>
      <c r="AV357" s="111"/>
      <c r="AW357" s="111"/>
      <c r="AX357" s="111"/>
      <c r="AY357" s="111"/>
      <c r="AZ357" s="111"/>
      <c r="BA357" s="111"/>
      <c r="BB357" s="111"/>
    </row>
    <row r="358">
      <c r="AI358" s="111"/>
      <c r="AV358" s="111"/>
      <c r="AW358" s="111"/>
      <c r="AX358" s="111"/>
      <c r="AY358" s="111"/>
      <c r="AZ358" s="111"/>
      <c r="BA358" s="111"/>
      <c r="BB358" s="111"/>
    </row>
    <row r="359">
      <c r="AI359" s="111"/>
      <c r="AV359" s="111"/>
      <c r="AW359" s="111"/>
      <c r="AX359" s="111"/>
      <c r="AY359" s="111"/>
      <c r="AZ359" s="111"/>
      <c r="BA359" s="111"/>
      <c r="BB359" s="111"/>
    </row>
    <row r="360">
      <c r="AI360" s="111"/>
      <c r="AV360" s="111"/>
      <c r="AW360" s="111"/>
      <c r="AX360" s="111"/>
      <c r="AY360" s="111"/>
      <c r="AZ360" s="111"/>
      <c r="BA360" s="111"/>
      <c r="BB360" s="111"/>
    </row>
    <row r="361">
      <c r="AI361" s="111"/>
      <c r="AV361" s="111"/>
      <c r="AW361" s="111"/>
      <c r="AX361" s="111"/>
      <c r="AY361" s="111"/>
      <c r="AZ361" s="111"/>
      <c r="BA361" s="111"/>
      <c r="BB361" s="111"/>
    </row>
    <row r="362">
      <c r="AI362" s="111"/>
      <c r="AV362" s="111"/>
      <c r="AW362" s="111"/>
      <c r="AX362" s="111"/>
      <c r="AY362" s="111"/>
      <c r="AZ362" s="111"/>
      <c r="BA362" s="111"/>
      <c r="BB362" s="111"/>
    </row>
    <row r="363">
      <c r="AI363" s="111"/>
      <c r="AV363" s="111"/>
      <c r="AW363" s="111"/>
      <c r="AX363" s="111"/>
      <c r="AY363" s="111"/>
      <c r="AZ363" s="111"/>
      <c r="BA363" s="111"/>
      <c r="BB363" s="111"/>
    </row>
    <row r="364">
      <c r="AI364" s="111"/>
      <c r="AV364" s="111"/>
      <c r="AW364" s="111"/>
      <c r="AX364" s="111"/>
      <c r="AY364" s="111"/>
      <c r="AZ364" s="111"/>
      <c r="BA364" s="111"/>
      <c r="BB364" s="111"/>
    </row>
    <row r="365">
      <c r="AI365" s="111"/>
      <c r="AV365" s="111"/>
      <c r="AW365" s="111"/>
      <c r="AX365" s="111"/>
      <c r="AY365" s="111"/>
      <c r="AZ365" s="111"/>
      <c r="BA365" s="111"/>
      <c r="BB365" s="111"/>
    </row>
    <row r="366">
      <c r="AI366" s="111"/>
      <c r="AV366" s="111"/>
      <c r="AW366" s="111"/>
      <c r="AX366" s="111"/>
      <c r="AY366" s="111"/>
      <c r="AZ366" s="111"/>
      <c r="BA366" s="111"/>
      <c r="BB366" s="111"/>
    </row>
    <row r="367">
      <c r="AI367" s="111"/>
      <c r="AV367" s="111"/>
      <c r="AW367" s="111"/>
      <c r="AX367" s="111"/>
      <c r="AY367" s="111"/>
      <c r="AZ367" s="111"/>
      <c r="BA367" s="111"/>
      <c r="BB367" s="111"/>
    </row>
    <row r="368">
      <c r="AI368" s="111"/>
      <c r="AV368" s="111"/>
      <c r="AW368" s="111"/>
      <c r="AX368" s="111"/>
      <c r="AY368" s="111"/>
      <c r="AZ368" s="111"/>
      <c r="BA368" s="111"/>
      <c r="BB368" s="111"/>
    </row>
    <row r="369">
      <c r="AI369" s="111"/>
      <c r="AV369" s="111"/>
      <c r="AW369" s="111"/>
      <c r="AX369" s="111"/>
      <c r="AY369" s="111"/>
      <c r="AZ369" s="111"/>
      <c r="BA369" s="111"/>
      <c r="BB369" s="111"/>
    </row>
    <row r="370">
      <c r="AI370" s="111"/>
      <c r="AV370" s="111"/>
      <c r="AW370" s="111"/>
      <c r="AX370" s="111"/>
      <c r="AY370" s="111"/>
      <c r="AZ370" s="111"/>
      <c r="BA370" s="111"/>
      <c r="BB370" s="111"/>
    </row>
    <row r="371">
      <c r="AI371" s="111"/>
      <c r="AV371" s="111"/>
      <c r="AW371" s="111"/>
      <c r="AX371" s="111"/>
      <c r="AY371" s="111"/>
      <c r="AZ371" s="111"/>
      <c r="BA371" s="111"/>
      <c r="BB371" s="111"/>
    </row>
    <row r="372">
      <c r="AI372" s="111"/>
      <c r="AV372" s="111"/>
      <c r="AW372" s="111"/>
      <c r="AX372" s="111"/>
      <c r="AY372" s="111"/>
      <c r="AZ372" s="111"/>
      <c r="BA372" s="111"/>
      <c r="BB372" s="111"/>
    </row>
    <row r="373">
      <c r="AI373" s="111"/>
      <c r="AV373" s="111"/>
      <c r="AW373" s="111"/>
      <c r="AX373" s="111"/>
      <c r="AY373" s="111"/>
      <c r="AZ373" s="111"/>
      <c r="BA373" s="111"/>
      <c r="BB373" s="111"/>
    </row>
    <row r="374">
      <c r="AI374" s="111"/>
      <c r="AV374" s="111"/>
      <c r="AW374" s="111"/>
      <c r="AX374" s="111"/>
      <c r="AY374" s="111"/>
      <c r="AZ374" s="111"/>
      <c r="BA374" s="111"/>
      <c r="BB374" s="111"/>
    </row>
    <row r="375">
      <c r="AI375" s="111"/>
      <c r="AV375" s="111"/>
      <c r="AW375" s="111"/>
      <c r="AX375" s="111"/>
      <c r="AY375" s="111"/>
      <c r="AZ375" s="111"/>
      <c r="BA375" s="111"/>
      <c r="BB375" s="111"/>
    </row>
    <row r="376">
      <c r="AI376" s="111"/>
      <c r="AV376" s="111"/>
      <c r="AW376" s="111"/>
      <c r="AX376" s="111"/>
      <c r="AY376" s="111"/>
      <c r="AZ376" s="111"/>
      <c r="BA376" s="111"/>
      <c r="BB376" s="111"/>
    </row>
    <row r="377">
      <c r="AI377" s="111"/>
      <c r="AV377" s="111"/>
      <c r="AW377" s="111"/>
      <c r="AX377" s="111"/>
      <c r="AY377" s="111"/>
      <c r="AZ377" s="111"/>
      <c r="BA377" s="111"/>
      <c r="BB377" s="111"/>
    </row>
    <row r="378">
      <c r="AI378" s="111"/>
      <c r="AV378" s="111"/>
      <c r="AW378" s="111"/>
      <c r="AX378" s="111"/>
      <c r="AY378" s="111"/>
      <c r="AZ378" s="111"/>
      <c r="BA378" s="111"/>
      <c r="BB378" s="111"/>
    </row>
    <row r="379">
      <c r="AI379" s="111"/>
      <c r="AV379" s="111"/>
      <c r="AW379" s="111"/>
      <c r="AX379" s="111"/>
      <c r="AY379" s="111"/>
      <c r="AZ379" s="111"/>
      <c r="BA379" s="111"/>
      <c r="BB379" s="111"/>
    </row>
    <row r="380">
      <c r="AI380" s="111"/>
      <c r="AV380" s="111"/>
      <c r="AW380" s="111"/>
      <c r="AX380" s="111"/>
      <c r="AY380" s="111"/>
      <c r="AZ380" s="111"/>
      <c r="BA380" s="111"/>
      <c r="BB380" s="111"/>
    </row>
    <row r="381">
      <c r="AI381" s="111"/>
      <c r="AV381" s="111"/>
      <c r="AW381" s="111"/>
      <c r="AX381" s="111"/>
      <c r="AY381" s="111"/>
      <c r="AZ381" s="111"/>
      <c r="BA381" s="111"/>
      <c r="BB381" s="111"/>
    </row>
    <row r="382">
      <c r="AI382" s="111"/>
      <c r="AV382" s="111"/>
      <c r="AW382" s="111"/>
      <c r="AX382" s="111"/>
      <c r="AY382" s="111"/>
      <c r="AZ382" s="111"/>
      <c r="BA382" s="111"/>
      <c r="BB382" s="111"/>
    </row>
    <row r="383">
      <c r="AI383" s="111"/>
      <c r="AV383" s="111"/>
      <c r="AW383" s="111"/>
      <c r="AX383" s="111"/>
      <c r="AY383" s="111"/>
      <c r="AZ383" s="111"/>
      <c r="BA383" s="111"/>
      <c r="BB383" s="111"/>
    </row>
    <row r="384">
      <c r="AI384" s="111"/>
      <c r="AV384" s="111"/>
      <c r="AW384" s="111"/>
      <c r="AX384" s="111"/>
      <c r="AY384" s="111"/>
      <c r="AZ384" s="111"/>
      <c r="BA384" s="111"/>
      <c r="BB384" s="111"/>
    </row>
    <row r="385">
      <c r="AI385" s="111"/>
      <c r="AV385" s="111"/>
      <c r="AW385" s="111"/>
      <c r="AX385" s="111"/>
      <c r="AY385" s="111"/>
      <c r="AZ385" s="111"/>
      <c r="BA385" s="111"/>
      <c r="BB385" s="111"/>
    </row>
    <row r="386">
      <c r="AI386" s="111"/>
      <c r="AV386" s="111"/>
      <c r="AW386" s="111"/>
      <c r="AX386" s="111"/>
      <c r="AY386" s="111"/>
      <c r="AZ386" s="111"/>
      <c r="BA386" s="111"/>
      <c r="BB386" s="111"/>
    </row>
    <row r="387">
      <c r="AI387" s="111"/>
      <c r="AV387" s="111"/>
      <c r="AW387" s="111"/>
      <c r="AX387" s="111"/>
      <c r="AY387" s="111"/>
      <c r="AZ387" s="111"/>
      <c r="BA387" s="111"/>
      <c r="BB387" s="111"/>
    </row>
    <row r="388">
      <c r="AI388" s="111"/>
      <c r="AV388" s="111"/>
      <c r="AW388" s="111"/>
      <c r="AX388" s="111"/>
      <c r="AY388" s="111"/>
      <c r="AZ388" s="111"/>
      <c r="BA388" s="111"/>
      <c r="BB388" s="111"/>
    </row>
    <row r="389">
      <c r="AI389" s="111"/>
      <c r="AV389" s="111"/>
      <c r="AW389" s="111"/>
      <c r="AX389" s="111"/>
      <c r="AY389" s="111"/>
      <c r="AZ389" s="111"/>
      <c r="BA389" s="111"/>
      <c r="BB389" s="111"/>
    </row>
    <row r="390">
      <c r="AI390" s="111"/>
      <c r="AV390" s="111"/>
      <c r="AW390" s="111"/>
      <c r="AX390" s="111"/>
      <c r="AY390" s="111"/>
      <c r="AZ390" s="111"/>
      <c r="BA390" s="111"/>
      <c r="BB390" s="111"/>
    </row>
    <row r="391">
      <c r="AI391" s="111"/>
      <c r="AV391" s="111"/>
      <c r="AW391" s="111"/>
      <c r="AX391" s="111"/>
      <c r="AY391" s="111"/>
      <c r="AZ391" s="111"/>
      <c r="BA391" s="111"/>
      <c r="BB391" s="111"/>
    </row>
    <row r="392">
      <c r="AI392" s="111"/>
      <c r="AV392" s="111"/>
      <c r="AW392" s="111"/>
      <c r="AX392" s="111"/>
      <c r="AY392" s="111"/>
      <c r="AZ392" s="111"/>
      <c r="BA392" s="111"/>
      <c r="BB392" s="111"/>
    </row>
    <row r="393">
      <c r="AI393" s="111"/>
      <c r="AV393" s="111"/>
      <c r="AW393" s="111"/>
      <c r="AX393" s="111"/>
      <c r="AY393" s="111"/>
      <c r="AZ393" s="111"/>
      <c r="BA393" s="111"/>
      <c r="BB393" s="111"/>
    </row>
    <row r="394">
      <c r="AI394" s="111"/>
      <c r="AV394" s="111"/>
      <c r="AW394" s="111"/>
      <c r="AX394" s="111"/>
      <c r="AY394" s="111"/>
      <c r="AZ394" s="111"/>
      <c r="BA394" s="111"/>
      <c r="BB394" s="111"/>
    </row>
    <row r="395">
      <c r="AI395" s="111"/>
      <c r="AV395" s="111"/>
      <c r="AW395" s="111"/>
      <c r="AX395" s="111"/>
      <c r="AY395" s="111"/>
      <c r="AZ395" s="111"/>
      <c r="BA395" s="111"/>
      <c r="BB395" s="111"/>
    </row>
    <row r="396">
      <c r="AI396" s="111"/>
      <c r="AV396" s="111"/>
      <c r="AW396" s="111"/>
      <c r="AX396" s="111"/>
      <c r="AY396" s="111"/>
      <c r="AZ396" s="111"/>
      <c r="BA396" s="111"/>
      <c r="BB396" s="111"/>
    </row>
    <row r="397">
      <c r="AI397" s="111"/>
      <c r="AV397" s="111"/>
      <c r="AW397" s="111"/>
      <c r="AX397" s="111"/>
      <c r="AY397" s="111"/>
      <c r="AZ397" s="111"/>
      <c r="BA397" s="111"/>
      <c r="BB397" s="111"/>
    </row>
    <row r="398">
      <c r="AI398" s="111"/>
      <c r="AV398" s="111"/>
      <c r="AW398" s="111"/>
      <c r="AX398" s="111"/>
      <c r="AY398" s="111"/>
      <c r="AZ398" s="111"/>
      <c r="BA398" s="111"/>
      <c r="BB398" s="111"/>
    </row>
    <row r="399">
      <c r="AI399" s="111"/>
      <c r="AV399" s="111"/>
      <c r="AW399" s="111"/>
      <c r="AX399" s="111"/>
      <c r="AY399" s="111"/>
      <c r="AZ399" s="111"/>
      <c r="BA399" s="111"/>
      <c r="BB399" s="111"/>
    </row>
    <row r="400">
      <c r="AI400" s="111"/>
      <c r="AV400" s="111"/>
      <c r="AW400" s="111"/>
      <c r="AX400" s="111"/>
      <c r="AY400" s="111"/>
      <c r="AZ400" s="111"/>
      <c r="BA400" s="111"/>
      <c r="BB400" s="111"/>
    </row>
    <row r="401">
      <c r="AI401" s="111"/>
      <c r="AV401" s="111"/>
      <c r="AW401" s="111"/>
      <c r="AX401" s="111"/>
      <c r="AY401" s="111"/>
      <c r="AZ401" s="111"/>
      <c r="BA401" s="111"/>
      <c r="BB401" s="111"/>
    </row>
    <row r="402">
      <c r="AI402" s="111"/>
      <c r="AV402" s="111"/>
      <c r="AW402" s="111"/>
      <c r="AX402" s="111"/>
      <c r="AY402" s="111"/>
      <c r="AZ402" s="111"/>
      <c r="BA402" s="111"/>
      <c r="BB402" s="111"/>
    </row>
    <row r="403">
      <c r="AI403" s="111"/>
      <c r="AV403" s="111"/>
      <c r="AW403" s="111"/>
      <c r="AX403" s="111"/>
      <c r="AY403" s="111"/>
      <c r="AZ403" s="111"/>
      <c r="BA403" s="111"/>
      <c r="BB403" s="111"/>
    </row>
    <row r="404">
      <c r="AI404" s="111"/>
      <c r="AV404" s="111"/>
      <c r="AW404" s="111"/>
      <c r="AX404" s="111"/>
      <c r="AY404" s="111"/>
      <c r="AZ404" s="111"/>
      <c r="BA404" s="111"/>
      <c r="BB404" s="111"/>
    </row>
    <row r="405">
      <c r="AI405" s="111"/>
      <c r="AV405" s="111"/>
      <c r="AW405" s="111"/>
      <c r="AX405" s="111"/>
      <c r="AY405" s="111"/>
      <c r="AZ405" s="111"/>
      <c r="BA405" s="111"/>
      <c r="BB405" s="111"/>
    </row>
    <row r="406">
      <c r="AI406" s="111"/>
      <c r="AV406" s="111"/>
      <c r="AW406" s="111"/>
      <c r="AX406" s="111"/>
      <c r="AY406" s="111"/>
      <c r="AZ406" s="111"/>
      <c r="BA406" s="111"/>
      <c r="BB406" s="111"/>
    </row>
    <row r="407">
      <c r="AI407" s="111"/>
      <c r="AV407" s="111"/>
      <c r="AW407" s="111"/>
      <c r="AX407" s="111"/>
      <c r="AY407" s="111"/>
      <c r="AZ407" s="111"/>
      <c r="BA407" s="111"/>
      <c r="BB407" s="111"/>
    </row>
    <row r="408">
      <c r="AI408" s="111"/>
      <c r="AV408" s="111"/>
      <c r="AW408" s="111"/>
      <c r="AX408" s="111"/>
      <c r="AY408" s="111"/>
      <c r="AZ408" s="111"/>
      <c r="BA408" s="111"/>
      <c r="BB408" s="111"/>
    </row>
    <row r="409">
      <c r="AI409" s="111"/>
      <c r="AV409" s="111"/>
      <c r="AW409" s="111"/>
      <c r="AX409" s="111"/>
      <c r="AY409" s="111"/>
      <c r="AZ409" s="111"/>
      <c r="BA409" s="111"/>
      <c r="BB409" s="111"/>
    </row>
    <row r="410">
      <c r="AI410" s="111"/>
      <c r="AV410" s="111"/>
      <c r="AW410" s="111"/>
      <c r="AX410" s="111"/>
      <c r="AY410" s="111"/>
      <c r="AZ410" s="111"/>
      <c r="BA410" s="111"/>
      <c r="BB410" s="111"/>
    </row>
    <row r="411">
      <c r="AI411" s="111"/>
      <c r="AV411" s="111"/>
      <c r="AW411" s="111"/>
      <c r="AX411" s="111"/>
      <c r="AY411" s="111"/>
      <c r="AZ411" s="111"/>
      <c r="BA411" s="111"/>
      <c r="BB411" s="111"/>
    </row>
    <row r="412">
      <c r="AI412" s="111"/>
      <c r="AV412" s="111"/>
      <c r="AW412" s="111"/>
      <c r="AX412" s="111"/>
      <c r="AY412" s="111"/>
      <c r="AZ412" s="111"/>
      <c r="BA412" s="111"/>
      <c r="BB412" s="111"/>
    </row>
    <row r="413">
      <c r="AI413" s="111"/>
      <c r="AV413" s="111"/>
      <c r="AW413" s="111"/>
      <c r="AX413" s="111"/>
      <c r="AY413" s="111"/>
      <c r="AZ413" s="111"/>
      <c r="BA413" s="111"/>
      <c r="BB413" s="111"/>
    </row>
    <row r="414">
      <c r="AI414" s="111"/>
      <c r="AV414" s="111"/>
      <c r="AW414" s="111"/>
      <c r="AX414" s="111"/>
      <c r="AY414" s="111"/>
      <c r="AZ414" s="111"/>
      <c r="BA414" s="111"/>
      <c r="BB414" s="111"/>
    </row>
    <row r="415">
      <c r="AI415" s="111"/>
      <c r="AV415" s="111"/>
      <c r="AW415" s="111"/>
      <c r="AX415" s="111"/>
      <c r="AY415" s="111"/>
      <c r="AZ415" s="111"/>
      <c r="BA415" s="111"/>
      <c r="BB415" s="111"/>
    </row>
    <row r="416">
      <c r="AI416" s="111"/>
      <c r="AV416" s="111"/>
      <c r="AW416" s="111"/>
      <c r="AX416" s="111"/>
      <c r="AY416" s="111"/>
      <c r="AZ416" s="111"/>
      <c r="BA416" s="111"/>
      <c r="BB416" s="111"/>
    </row>
    <row r="417">
      <c r="AI417" s="111"/>
      <c r="AV417" s="111"/>
      <c r="AW417" s="111"/>
      <c r="AX417" s="111"/>
      <c r="AY417" s="111"/>
      <c r="AZ417" s="111"/>
      <c r="BA417" s="111"/>
      <c r="BB417" s="111"/>
    </row>
    <row r="418">
      <c r="AI418" s="111"/>
      <c r="AV418" s="111"/>
      <c r="AW418" s="111"/>
      <c r="AX418" s="111"/>
      <c r="AY418" s="111"/>
      <c r="AZ418" s="111"/>
      <c r="BA418" s="111"/>
      <c r="BB418" s="111"/>
    </row>
    <row r="419">
      <c r="AI419" s="111"/>
      <c r="AV419" s="111"/>
      <c r="AW419" s="111"/>
      <c r="AX419" s="111"/>
      <c r="AY419" s="111"/>
      <c r="AZ419" s="111"/>
      <c r="BA419" s="111"/>
      <c r="BB419" s="111"/>
    </row>
    <row r="420">
      <c r="AI420" s="111"/>
      <c r="AV420" s="111"/>
      <c r="AW420" s="111"/>
      <c r="AX420" s="111"/>
      <c r="AY420" s="111"/>
      <c r="AZ420" s="111"/>
      <c r="BA420" s="111"/>
      <c r="BB420" s="111"/>
    </row>
    <row r="421">
      <c r="AI421" s="111"/>
      <c r="AV421" s="111"/>
      <c r="AW421" s="111"/>
      <c r="AX421" s="111"/>
      <c r="AY421" s="111"/>
      <c r="AZ421" s="111"/>
      <c r="BA421" s="111"/>
      <c r="BB421" s="111"/>
    </row>
    <row r="422">
      <c r="AI422" s="111"/>
      <c r="AV422" s="111"/>
      <c r="AW422" s="111"/>
      <c r="AX422" s="111"/>
      <c r="AY422" s="111"/>
      <c r="AZ422" s="111"/>
      <c r="BA422" s="111"/>
      <c r="BB422" s="111"/>
    </row>
    <row r="423">
      <c r="AI423" s="111"/>
      <c r="AV423" s="111"/>
      <c r="AW423" s="111"/>
      <c r="AX423" s="111"/>
      <c r="AY423" s="111"/>
      <c r="AZ423" s="111"/>
      <c r="BA423" s="111"/>
      <c r="BB423" s="111"/>
    </row>
    <row r="424">
      <c r="AI424" s="111"/>
      <c r="AV424" s="111"/>
      <c r="AW424" s="111"/>
      <c r="AX424" s="111"/>
      <c r="AY424" s="111"/>
      <c r="AZ424" s="111"/>
      <c r="BA424" s="111"/>
      <c r="BB424" s="111"/>
    </row>
    <row r="425">
      <c r="AI425" s="111"/>
      <c r="AV425" s="111"/>
      <c r="AW425" s="111"/>
      <c r="AX425" s="111"/>
      <c r="AY425" s="111"/>
      <c r="AZ425" s="111"/>
      <c r="BA425" s="111"/>
      <c r="BB425" s="111"/>
    </row>
    <row r="426">
      <c r="AI426" s="111"/>
      <c r="AV426" s="111"/>
      <c r="AW426" s="111"/>
      <c r="AX426" s="111"/>
      <c r="AY426" s="111"/>
      <c r="AZ426" s="111"/>
      <c r="BA426" s="111"/>
      <c r="BB426" s="111"/>
    </row>
    <row r="427">
      <c r="AI427" s="111"/>
      <c r="AV427" s="111"/>
      <c r="AW427" s="111"/>
      <c r="AX427" s="111"/>
      <c r="AY427" s="111"/>
      <c r="AZ427" s="111"/>
      <c r="BA427" s="111"/>
      <c r="BB427" s="111"/>
    </row>
    <row r="428">
      <c r="AI428" s="111"/>
      <c r="AV428" s="111"/>
      <c r="AW428" s="111"/>
      <c r="AX428" s="111"/>
      <c r="AY428" s="111"/>
      <c r="AZ428" s="111"/>
      <c r="BA428" s="111"/>
      <c r="BB428" s="111"/>
    </row>
    <row r="429">
      <c r="AI429" s="111"/>
      <c r="AV429" s="111"/>
      <c r="AW429" s="111"/>
      <c r="AX429" s="111"/>
      <c r="AY429" s="111"/>
      <c r="AZ429" s="111"/>
      <c r="BA429" s="111"/>
      <c r="BB429" s="111"/>
    </row>
    <row r="430">
      <c r="AI430" s="111"/>
      <c r="AV430" s="111"/>
      <c r="AW430" s="111"/>
      <c r="AX430" s="111"/>
      <c r="AY430" s="111"/>
      <c r="AZ430" s="111"/>
      <c r="BA430" s="111"/>
      <c r="BB430" s="111"/>
    </row>
    <row r="431">
      <c r="AI431" s="111"/>
      <c r="AV431" s="111"/>
      <c r="AW431" s="111"/>
      <c r="AX431" s="111"/>
      <c r="AY431" s="111"/>
      <c r="AZ431" s="111"/>
      <c r="BA431" s="111"/>
      <c r="BB431" s="111"/>
    </row>
    <row r="432">
      <c r="AI432" s="111"/>
      <c r="AV432" s="111"/>
      <c r="AW432" s="111"/>
      <c r="AX432" s="111"/>
      <c r="AY432" s="111"/>
      <c r="AZ432" s="111"/>
      <c r="BA432" s="111"/>
      <c r="BB432" s="111"/>
    </row>
    <row r="433">
      <c r="AI433" s="111"/>
      <c r="AV433" s="111"/>
      <c r="AW433" s="111"/>
      <c r="AX433" s="111"/>
      <c r="AY433" s="111"/>
      <c r="AZ433" s="111"/>
      <c r="BA433" s="111"/>
      <c r="BB433" s="111"/>
    </row>
    <row r="434">
      <c r="AI434" s="111"/>
      <c r="AV434" s="111"/>
      <c r="AW434" s="111"/>
      <c r="AX434" s="111"/>
      <c r="AY434" s="111"/>
      <c r="AZ434" s="111"/>
      <c r="BA434" s="111"/>
      <c r="BB434" s="111"/>
    </row>
    <row r="435">
      <c r="AI435" s="111"/>
      <c r="AV435" s="111"/>
      <c r="AW435" s="111"/>
      <c r="AX435" s="111"/>
      <c r="AY435" s="111"/>
      <c r="AZ435" s="111"/>
      <c r="BA435" s="111"/>
      <c r="BB435" s="111"/>
    </row>
    <row r="436">
      <c r="AI436" s="111"/>
      <c r="AV436" s="111"/>
      <c r="AW436" s="111"/>
      <c r="AX436" s="111"/>
      <c r="AY436" s="111"/>
      <c r="AZ436" s="111"/>
      <c r="BA436" s="111"/>
      <c r="BB436" s="111"/>
    </row>
    <row r="437">
      <c r="AI437" s="111"/>
      <c r="AV437" s="111"/>
      <c r="AW437" s="111"/>
      <c r="AX437" s="111"/>
      <c r="AY437" s="111"/>
      <c r="AZ437" s="111"/>
      <c r="BA437" s="111"/>
      <c r="BB437" s="111"/>
    </row>
    <row r="438">
      <c r="AI438" s="111"/>
      <c r="AV438" s="111"/>
      <c r="AW438" s="111"/>
      <c r="AX438" s="111"/>
      <c r="AY438" s="111"/>
      <c r="AZ438" s="111"/>
      <c r="BA438" s="111"/>
      <c r="BB438" s="111"/>
    </row>
    <row r="439">
      <c r="AI439" s="111"/>
      <c r="AV439" s="111"/>
      <c r="AW439" s="111"/>
      <c r="AX439" s="111"/>
      <c r="AY439" s="111"/>
      <c r="AZ439" s="111"/>
      <c r="BA439" s="111"/>
      <c r="BB439" s="111"/>
    </row>
    <row r="440">
      <c r="AI440" s="111"/>
      <c r="AV440" s="111"/>
      <c r="AW440" s="111"/>
      <c r="AX440" s="111"/>
      <c r="AY440" s="111"/>
      <c r="AZ440" s="111"/>
      <c r="BA440" s="111"/>
      <c r="BB440" s="111"/>
    </row>
    <row r="441">
      <c r="AI441" s="111"/>
      <c r="AV441" s="111"/>
      <c r="AW441" s="111"/>
      <c r="AX441" s="111"/>
      <c r="AY441" s="111"/>
      <c r="AZ441" s="111"/>
      <c r="BA441" s="111"/>
      <c r="BB441" s="111"/>
    </row>
    <row r="442">
      <c r="AI442" s="111"/>
      <c r="AV442" s="111"/>
      <c r="AW442" s="111"/>
      <c r="AX442" s="111"/>
      <c r="AY442" s="111"/>
      <c r="AZ442" s="111"/>
      <c r="BA442" s="111"/>
      <c r="BB442" s="111"/>
    </row>
    <row r="443">
      <c r="AI443" s="111"/>
      <c r="AV443" s="111"/>
      <c r="AW443" s="111"/>
      <c r="AX443" s="111"/>
      <c r="AY443" s="111"/>
      <c r="AZ443" s="111"/>
      <c r="BA443" s="111"/>
      <c r="BB443" s="111"/>
    </row>
    <row r="444">
      <c r="AI444" s="111"/>
      <c r="AV444" s="111"/>
      <c r="AW444" s="111"/>
      <c r="AX444" s="111"/>
      <c r="AY444" s="111"/>
      <c r="AZ444" s="111"/>
      <c r="BA444" s="111"/>
      <c r="BB444" s="111"/>
    </row>
    <row r="445">
      <c r="AI445" s="111"/>
      <c r="AV445" s="111"/>
      <c r="AW445" s="111"/>
      <c r="AX445" s="111"/>
      <c r="AY445" s="111"/>
      <c r="AZ445" s="111"/>
      <c r="BA445" s="111"/>
      <c r="BB445" s="111"/>
    </row>
    <row r="446">
      <c r="AI446" s="111"/>
      <c r="AV446" s="111"/>
      <c r="AW446" s="111"/>
      <c r="AX446" s="111"/>
      <c r="AY446" s="111"/>
      <c r="AZ446" s="111"/>
      <c r="BA446" s="111"/>
      <c r="BB446" s="111"/>
    </row>
    <row r="447">
      <c r="AI447" s="111"/>
      <c r="AV447" s="111"/>
      <c r="AW447" s="111"/>
      <c r="AX447" s="111"/>
      <c r="AY447" s="111"/>
      <c r="AZ447" s="111"/>
      <c r="BA447" s="111"/>
      <c r="BB447" s="111"/>
    </row>
    <row r="448">
      <c r="AI448" s="111"/>
      <c r="AV448" s="111"/>
      <c r="AW448" s="111"/>
      <c r="AX448" s="111"/>
      <c r="AY448" s="111"/>
      <c r="AZ448" s="111"/>
      <c r="BA448" s="111"/>
      <c r="BB448" s="111"/>
    </row>
    <row r="449">
      <c r="AI449" s="111"/>
      <c r="AV449" s="111"/>
      <c r="AW449" s="111"/>
      <c r="AX449" s="111"/>
      <c r="AY449" s="111"/>
      <c r="AZ449" s="111"/>
      <c r="BA449" s="111"/>
      <c r="BB449" s="111"/>
    </row>
    <row r="450">
      <c r="AI450" s="111"/>
      <c r="AV450" s="111"/>
      <c r="AW450" s="111"/>
      <c r="AX450" s="111"/>
      <c r="AY450" s="111"/>
      <c r="AZ450" s="111"/>
      <c r="BA450" s="111"/>
      <c r="BB450" s="111"/>
    </row>
    <row r="451">
      <c r="AI451" s="111"/>
      <c r="AV451" s="111"/>
      <c r="AW451" s="111"/>
      <c r="AX451" s="111"/>
      <c r="AY451" s="111"/>
      <c r="AZ451" s="111"/>
      <c r="BA451" s="111"/>
      <c r="BB451" s="111"/>
    </row>
    <row r="452">
      <c r="AI452" s="111"/>
      <c r="AV452" s="111"/>
      <c r="AW452" s="111"/>
      <c r="AX452" s="111"/>
      <c r="AY452" s="111"/>
      <c r="AZ452" s="111"/>
      <c r="BA452" s="111"/>
      <c r="BB452" s="111"/>
    </row>
    <row r="453">
      <c r="AI453" s="111"/>
      <c r="AV453" s="111"/>
      <c r="AW453" s="111"/>
      <c r="AX453" s="111"/>
      <c r="AY453" s="111"/>
      <c r="AZ453" s="111"/>
      <c r="BA453" s="111"/>
      <c r="BB453" s="111"/>
    </row>
    <row r="454">
      <c r="AI454" s="111"/>
      <c r="AV454" s="111"/>
      <c r="AW454" s="111"/>
      <c r="AX454" s="111"/>
      <c r="AY454" s="111"/>
      <c r="AZ454" s="111"/>
      <c r="BA454" s="111"/>
      <c r="BB454" s="111"/>
    </row>
    <row r="455">
      <c r="AI455" s="111"/>
      <c r="AV455" s="111"/>
      <c r="AW455" s="111"/>
      <c r="AX455" s="111"/>
      <c r="AY455" s="111"/>
      <c r="AZ455" s="111"/>
      <c r="BA455" s="111"/>
      <c r="BB455" s="111"/>
    </row>
    <row r="456">
      <c r="AI456" s="111"/>
      <c r="AV456" s="111"/>
      <c r="AW456" s="111"/>
      <c r="AX456" s="111"/>
      <c r="AY456" s="111"/>
      <c r="AZ456" s="111"/>
      <c r="BA456" s="111"/>
      <c r="BB456" s="111"/>
    </row>
    <row r="457">
      <c r="AI457" s="111"/>
      <c r="AV457" s="111"/>
      <c r="AW457" s="111"/>
      <c r="AX457" s="111"/>
      <c r="AY457" s="111"/>
      <c r="AZ457" s="111"/>
      <c r="BA457" s="111"/>
      <c r="BB457" s="111"/>
    </row>
    <row r="458">
      <c r="AI458" s="111"/>
      <c r="AV458" s="111"/>
      <c r="AW458" s="111"/>
      <c r="AX458" s="111"/>
      <c r="AY458" s="111"/>
      <c r="AZ458" s="111"/>
      <c r="BA458" s="111"/>
      <c r="BB458" s="111"/>
    </row>
    <row r="459">
      <c r="AI459" s="111"/>
      <c r="AV459" s="111"/>
      <c r="AW459" s="111"/>
      <c r="AX459" s="111"/>
      <c r="AY459" s="111"/>
      <c r="AZ459" s="111"/>
      <c r="BA459" s="111"/>
      <c r="BB459" s="111"/>
    </row>
    <row r="460">
      <c r="AI460" s="111"/>
      <c r="AV460" s="111"/>
      <c r="AW460" s="111"/>
      <c r="AX460" s="111"/>
      <c r="AY460" s="111"/>
      <c r="AZ460" s="111"/>
      <c r="BA460" s="111"/>
      <c r="BB460" s="111"/>
    </row>
    <row r="461">
      <c r="AI461" s="111"/>
      <c r="AV461" s="111"/>
      <c r="AW461" s="111"/>
      <c r="AX461" s="111"/>
      <c r="AY461" s="111"/>
      <c r="AZ461" s="111"/>
      <c r="BA461" s="111"/>
      <c r="BB461" s="111"/>
    </row>
    <row r="462">
      <c r="AI462" s="111"/>
      <c r="AV462" s="111"/>
      <c r="AW462" s="111"/>
      <c r="AX462" s="111"/>
      <c r="AY462" s="111"/>
      <c r="AZ462" s="111"/>
      <c r="BA462" s="111"/>
      <c r="BB462" s="111"/>
    </row>
    <row r="463">
      <c r="AI463" s="111"/>
      <c r="AV463" s="111"/>
      <c r="AW463" s="111"/>
      <c r="AX463" s="111"/>
      <c r="AY463" s="111"/>
      <c r="AZ463" s="111"/>
      <c r="BA463" s="111"/>
      <c r="BB463" s="111"/>
    </row>
    <row r="464">
      <c r="AI464" s="111"/>
      <c r="AV464" s="111"/>
      <c r="AW464" s="111"/>
      <c r="AX464" s="111"/>
      <c r="AY464" s="111"/>
      <c r="AZ464" s="111"/>
      <c r="BA464" s="111"/>
      <c r="BB464" s="111"/>
    </row>
    <row r="465">
      <c r="AI465" s="111"/>
      <c r="AV465" s="111"/>
      <c r="AW465" s="111"/>
      <c r="AX465" s="111"/>
      <c r="AY465" s="111"/>
      <c r="AZ465" s="111"/>
      <c r="BA465" s="111"/>
      <c r="BB465" s="111"/>
    </row>
    <row r="466">
      <c r="AI466" s="111"/>
      <c r="AV466" s="111"/>
      <c r="AW466" s="111"/>
      <c r="AX466" s="111"/>
      <c r="AY466" s="111"/>
      <c r="AZ466" s="111"/>
      <c r="BA466" s="111"/>
      <c r="BB466" s="111"/>
    </row>
    <row r="467">
      <c r="AI467" s="111"/>
      <c r="AV467" s="111"/>
      <c r="AW467" s="111"/>
      <c r="AX467" s="111"/>
      <c r="AY467" s="111"/>
      <c r="AZ467" s="111"/>
      <c r="BA467" s="111"/>
      <c r="BB467" s="111"/>
    </row>
    <row r="468">
      <c r="AI468" s="111"/>
      <c r="AV468" s="111"/>
      <c r="AW468" s="111"/>
      <c r="AX468" s="111"/>
      <c r="AY468" s="111"/>
      <c r="AZ468" s="111"/>
      <c r="BA468" s="111"/>
      <c r="BB468" s="111"/>
    </row>
    <row r="469">
      <c r="AI469" s="111"/>
      <c r="AV469" s="111"/>
      <c r="AW469" s="111"/>
      <c r="AX469" s="111"/>
      <c r="AY469" s="111"/>
      <c r="AZ469" s="111"/>
      <c r="BA469" s="111"/>
      <c r="BB469" s="111"/>
    </row>
    <row r="470">
      <c r="AI470" s="111"/>
      <c r="AV470" s="111"/>
      <c r="AW470" s="111"/>
      <c r="AX470" s="111"/>
      <c r="AY470" s="111"/>
      <c r="AZ470" s="111"/>
      <c r="BA470" s="111"/>
      <c r="BB470" s="111"/>
    </row>
    <row r="471">
      <c r="AI471" s="111"/>
      <c r="AV471" s="111"/>
      <c r="AW471" s="111"/>
      <c r="AX471" s="111"/>
      <c r="AY471" s="111"/>
      <c r="AZ471" s="111"/>
      <c r="BA471" s="111"/>
      <c r="BB471" s="111"/>
    </row>
    <row r="472">
      <c r="AI472" s="111"/>
      <c r="AV472" s="111"/>
      <c r="AW472" s="111"/>
      <c r="AX472" s="111"/>
      <c r="AY472" s="111"/>
      <c r="AZ472" s="111"/>
      <c r="BA472" s="111"/>
      <c r="BB472" s="111"/>
    </row>
    <row r="473">
      <c r="AI473" s="111"/>
      <c r="AV473" s="111"/>
      <c r="AW473" s="111"/>
      <c r="AX473" s="111"/>
      <c r="AY473" s="111"/>
      <c r="AZ473" s="111"/>
      <c r="BA473" s="111"/>
      <c r="BB473" s="111"/>
    </row>
    <row r="474">
      <c r="AI474" s="111"/>
      <c r="AV474" s="111"/>
      <c r="AW474" s="111"/>
      <c r="AX474" s="111"/>
      <c r="AY474" s="111"/>
      <c r="AZ474" s="111"/>
      <c r="BA474" s="111"/>
      <c r="BB474" s="111"/>
    </row>
    <row r="475">
      <c r="AI475" s="111"/>
      <c r="AV475" s="111"/>
      <c r="AW475" s="111"/>
      <c r="AX475" s="111"/>
      <c r="AY475" s="111"/>
      <c r="AZ475" s="111"/>
      <c r="BA475" s="111"/>
      <c r="BB475" s="111"/>
    </row>
    <row r="476">
      <c r="AI476" s="111"/>
      <c r="AV476" s="111"/>
      <c r="AW476" s="111"/>
      <c r="AX476" s="111"/>
      <c r="AY476" s="111"/>
      <c r="AZ476" s="111"/>
      <c r="BA476" s="111"/>
      <c r="BB476" s="111"/>
    </row>
    <row r="477">
      <c r="AI477" s="111"/>
      <c r="AV477" s="111"/>
      <c r="AW477" s="111"/>
      <c r="AX477" s="111"/>
      <c r="AY477" s="111"/>
      <c r="AZ477" s="111"/>
      <c r="BA477" s="111"/>
      <c r="BB477" s="111"/>
    </row>
    <row r="478">
      <c r="AI478" s="111"/>
      <c r="AV478" s="111"/>
      <c r="AW478" s="111"/>
      <c r="AX478" s="111"/>
      <c r="AY478" s="111"/>
      <c r="AZ478" s="111"/>
      <c r="BA478" s="111"/>
      <c r="BB478" s="111"/>
    </row>
    <row r="479">
      <c r="AI479" s="111"/>
      <c r="AV479" s="111"/>
      <c r="AW479" s="111"/>
      <c r="AX479" s="111"/>
      <c r="AY479" s="111"/>
      <c r="AZ479" s="111"/>
      <c r="BA479" s="111"/>
      <c r="BB479" s="111"/>
    </row>
    <row r="480">
      <c r="AI480" s="111"/>
      <c r="AV480" s="111"/>
      <c r="AW480" s="111"/>
      <c r="AX480" s="111"/>
      <c r="AY480" s="111"/>
      <c r="AZ480" s="111"/>
      <c r="BA480" s="111"/>
      <c r="BB480" s="111"/>
    </row>
    <row r="481">
      <c r="AI481" s="111"/>
      <c r="AV481" s="111"/>
      <c r="AW481" s="111"/>
      <c r="AX481" s="111"/>
      <c r="AY481" s="111"/>
      <c r="AZ481" s="111"/>
      <c r="BA481" s="111"/>
      <c r="BB481" s="111"/>
    </row>
    <row r="482">
      <c r="AI482" s="111"/>
      <c r="AV482" s="111"/>
      <c r="AW482" s="111"/>
      <c r="AX482" s="111"/>
      <c r="AY482" s="111"/>
      <c r="AZ482" s="111"/>
      <c r="BA482" s="111"/>
      <c r="BB482" s="111"/>
    </row>
    <row r="483">
      <c r="AI483" s="111"/>
      <c r="AV483" s="111"/>
      <c r="AW483" s="111"/>
      <c r="AX483" s="111"/>
      <c r="AY483" s="111"/>
      <c r="AZ483" s="111"/>
      <c r="BA483" s="111"/>
      <c r="BB483" s="111"/>
    </row>
    <row r="484">
      <c r="AI484" s="111"/>
      <c r="AV484" s="111"/>
      <c r="AW484" s="111"/>
      <c r="AX484" s="111"/>
      <c r="AY484" s="111"/>
      <c r="AZ484" s="111"/>
      <c r="BA484" s="111"/>
      <c r="BB484" s="111"/>
    </row>
    <row r="485">
      <c r="AI485" s="111"/>
      <c r="AV485" s="111"/>
      <c r="AW485" s="111"/>
      <c r="AX485" s="111"/>
      <c r="AY485" s="111"/>
      <c r="AZ485" s="111"/>
      <c r="BA485" s="111"/>
      <c r="BB485" s="111"/>
    </row>
    <row r="486">
      <c r="AI486" s="111"/>
      <c r="AV486" s="111"/>
      <c r="AW486" s="111"/>
      <c r="AX486" s="111"/>
      <c r="AY486" s="111"/>
      <c r="AZ486" s="111"/>
      <c r="BA486" s="111"/>
      <c r="BB486" s="111"/>
    </row>
    <row r="487">
      <c r="AI487" s="111"/>
      <c r="AV487" s="111"/>
      <c r="AW487" s="111"/>
      <c r="AX487" s="111"/>
      <c r="AY487" s="111"/>
      <c r="AZ487" s="111"/>
      <c r="BA487" s="111"/>
      <c r="BB487" s="111"/>
    </row>
    <row r="488">
      <c r="AI488" s="111"/>
      <c r="AV488" s="111"/>
      <c r="AW488" s="111"/>
      <c r="AX488" s="111"/>
      <c r="AY488" s="111"/>
      <c r="AZ488" s="111"/>
      <c r="BA488" s="111"/>
      <c r="BB488" s="111"/>
    </row>
    <row r="489">
      <c r="AI489" s="111"/>
      <c r="AV489" s="111"/>
      <c r="AW489" s="111"/>
      <c r="AX489" s="111"/>
      <c r="AY489" s="111"/>
      <c r="AZ489" s="111"/>
      <c r="BA489" s="111"/>
      <c r="BB489" s="111"/>
    </row>
    <row r="490">
      <c r="AI490" s="111"/>
      <c r="AV490" s="111"/>
      <c r="AW490" s="111"/>
      <c r="AX490" s="111"/>
      <c r="AY490" s="111"/>
      <c r="AZ490" s="111"/>
      <c r="BA490" s="111"/>
      <c r="BB490" s="111"/>
    </row>
    <row r="491">
      <c r="AI491" s="111"/>
      <c r="AV491" s="111"/>
      <c r="AW491" s="111"/>
      <c r="AX491" s="111"/>
      <c r="AY491" s="111"/>
      <c r="AZ491" s="111"/>
      <c r="BA491" s="111"/>
      <c r="BB491" s="111"/>
    </row>
    <row r="492">
      <c r="AI492" s="111"/>
      <c r="AV492" s="111"/>
      <c r="AW492" s="111"/>
      <c r="AX492" s="111"/>
      <c r="AY492" s="111"/>
      <c r="AZ492" s="111"/>
      <c r="BA492" s="111"/>
      <c r="BB492" s="111"/>
    </row>
    <row r="493">
      <c r="AI493" s="111"/>
      <c r="AV493" s="111"/>
      <c r="AW493" s="111"/>
      <c r="AX493" s="111"/>
      <c r="AY493" s="111"/>
      <c r="AZ493" s="111"/>
      <c r="BA493" s="111"/>
      <c r="BB493" s="111"/>
    </row>
    <row r="494">
      <c r="AI494" s="111"/>
      <c r="AV494" s="111"/>
      <c r="AW494" s="111"/>
      <c r="AX494" s="111"/>
      <c r="AY494" s="111"/>
      <c r="AZ494" s="111"/>
      <c r="BA494" s="111"/>
      <c r="BB494" s="111"/>
    </row>
    <row r="495">
      <c r="AI495" s="111"/>
      <c r="AV495" s="111"/>
      <c r="AW495" s="111"/>
      <c r="AX495" s="111"/>
      <c r="AY495" s="111"/>
      <c r="AZ495" s="111"/>
      <c r="BA495" s="111"/>
      <c r="BB495" s="111"/>
    </row>
    <row r="496">
      <c r="AI496" s="111"/>
      <c r="AV496" s="111"/>
      <c r="AW496" s="111"/>
      <c r="AX496" s="111"/>
      <c r="AY496" s="111"/>
      <c r="AZ496" s="111"/>
      <c r="BA496" s="111"/>
      <c r="BB496" s="111"/>
    </row>
    <row r="497">
      <c r="AI497" s="111"/>
      <c r="AV497" s="111"/>
      <c r="AW497" s="111"/>
      <c r="AX497" s="111"/>
      <c r="AY497" s="111"/>
      <c r="AZ497" s="111"/>
      <c r="BA497" s="111"/>
      <c r="BB497" s="111"/>
    </row>
    <row r="498">
      <c r="AI498" s="111"/>
      <c r="AV498" s="111"/>
      <c r="AW498" s="111"/>
      <c r="AX498" s="111"/>
      <c r="AY498" s="111"/>
      <c r="AZ498" s="111"/>
      <c r="BA498" s="111"/>
      <c r="BB498" s="111"/>
    </row>
    <row r="499">
      <c r="AI499" s="111"/>
      <c r="AV499" s="111"/>
      <c r="AW499" s="111"/>
      <c r="AX499" s="111"/>
      <c r="AY499" s="111"/>
      <c r="AZ499" s="111"/>
      <c r="BA499" s="111"/>
      <c r="BB499" s="111"/>
    </row>
    <row r="500">
      <c r="AI500" s="111"/>
      <c r="AV500" s="111"/>
      <c r="AW500" s="111"/>
      <c r="AX500" s="111"/>
      <c r="AY500" s="111"/>
      <c r="AZ500" s="111"/>
      <c r="BA500" s="111"/>
      <c r="BB500" s="111"/>
    </row>
    <row r="501">
      <c r="AI501" s="111"/>
      <c r="AV501" s="111"/>
      <c r="AW501" s="111"/>
      <c r="AX501" s="111"/>
      <c r="AY501" s="111"/>
      <c r="AZ501" s="111"/>
      <c r="BA501" s="111"/>
      <c r="BB501" s="111"/>
    </row>
    <row r="502">
      <c r="AI502" s="111"/>
      <c r="AV502" s="111"/>
      <c r="AW502" s="111"/>
      <c r="AX502" s="111"/>
      <c r="AY502" s="111"/>
      <c r="AZ502" s="111"/>
      <c r="BA502" s="111"/>
      <c r="BB502" s="111"/>
    </row>
    <row r="503">
      <c r="AI503" s="111"/>
      <c r="AV503" s="111"/>
      <c r="AW503" s="111"/>
      <c r="AX503" s="111"/>
      <c r="AY503" s="111"/>
      <c r="AZ503" s="111"/>
      <c r="BA503" s="111"/>
      <c r="BB503" s="111"/>
    </row>
    <row r="504">
      <c r="AI504" s="111"/>
      <c r="AV504" s="111"/>
      <c r="AW504" s="111"/>
      <c r="AX504" s="111"/>
      <c r="AY504" s="111"/>
      <c r="AZ504" s="111"/>
      <c r="BA504" s="111"/>
      <c r="BB504" s="111"/>
    </row>
    <row r="505">
      <c r="AI505" s="111"/>
      <c r="AV505" s="111"/>
      <c r="AW505" s="111"/>
      <c r="AX505" s="111"/>
      <c r="AY505" s="111"/>
      <c r="AZ505" s="111"/>
      <c r="BA505" s="111"/>
      <c r="BB505" s="111"/>
    </row>
    <row r="506">
      <c r="AI506" s="111"/>
      <c r="AV506" s="111"/>
      <c r="AW506" s="111"/>
      <c r="AX506" s="111"/>
      <c r="AY506" s="111"/>
      <c r="AZ506" s="111"/>
      <c r="BA506" s="111"/>
      <c r="BB506" s="111"/>
    </row>
    <row r="507">
      <c r="AI507" s="111"/>
      <c r="AV507" s="111"/>
      <c r="AW507" s="111"/>
      <c r="AX507" s="111"/>
      <c r="AY507" s="111"/>
      <c r="AZ507" s="111"/>
      <c r="BA507" s="111"/>
      <c r="BB507" s="111"/>
    </row>
    <row r="508">
      <c r="AI508" s="111"/>
      <c r="AV508" s="111"/>
      <c r="AW508" s="111"/>
      <c r="AX508" s="111"/>
      <c r="AY508" s="111"/>
      <c r="AZ508" s="111"/>
      <c r="BA508" s="111"/>
      <c r="BB508" s="111"/>
    </row>
    <row r="509">
      <c r="AI509" s="111"/>
      <c r="AV509" s="111"/>
      <c r="AW509" s="111"/>
      <c r="AX509" s="111"/>
      <c r="AY509" s="111"/>
      <c r="AZ509" s="111"/>
      <c r="BA509" s="111"/>
      <c r="BB509" s="111"/>
    </row>
    <row r="510">
      <c r="AI510" s="111"/>
      <c r="AV510" s="111"/>
      <c r="AW510" s="111"/>
      <c r="AX510" s="111"/>
      <c r="AY510" s="111"/>
      <c r="AZ510" s="111"/>
      <c r="BA510" s="111"/>
      <c r="BB510" s="111"/>
    </row>
    <row r="511">
      <c r="AI511" s="111"/>
      <c r="AV511" s="111"/>
      <c r="AW511" s="111"/>
      <c r="AX511" s="111"/>
      <c r="AY511" s="111"/>
      <c r="AZ511" s="111"/>
      <c r="BA511" s="111"/>
      <c r="BB511" s="111"/>
    </row>
    <row r="512">
      <c r="AI512" s="111"/>
      <c r="AV512" s="111"/>
      <c r="AW512" s="111"/>
      <c r="AX512" s="111"/>
      <c r="AY512" s="111"/>
      <c r="AZ512" s="111"/>
      <c r="BA512" s="111"/>
      <c r="BB512" s="111"/>
    </row>
    <row r="513">
      <c r="AI513" s="111"/>
      <c r="AV513" s="111"/>
      <c r="AW513" s="111"/>
      <c r="AX513" s="111"/>
      <c r="AY513" s="111"/>
      <c r="AZ513" s="111"/>
      <c r="BA513" s="111"/>
      <c r="BB513" s="111"/>
    </row>
    <row r="514">
      <c r="AI514" s="111"/>
      <c r="AV514" s="111"/>
      <c r="AW514" s="111"/>
      <c r="AX514" s="111"/>
      <c r="AY514" s="111"/>
      <c r="AZ514" s="111"/>
      <c r="BA514" s="111"/>
      <c r="BB514" s="111"/>
    </row>
    <row r="515">
      <c r="AI515" s="111"/>
      <c r="AV515" s="111"/>
      <c r="AW515" s="111"/>
      <c r="AX515" s="111"/>
      <c r="AY515" s="111"/>
      <c r="AZ515" s="111"/>
      <c r="BA515" s="111"/>
      <c r="BB515" s="111"/>
    </row>
    <row r="516">
      <c r="AI516" s="111"/>
      <c r="AV516" s="111"/>
      <c r="AW516" s="111"/>
      <c r="AX516" s="111"/>
      <c r="AY516" s="111"/>
      <c r="AZ516" s="111"/>
      <c r="BA516" s="111"/>
      <c r="BB516" s="111"/>
    </row>
    <row r="517">
      <c r="AI517" s="111"/>
      <c r="AV517" s="111"/>
      <c r="AW517" s="111"/>
      <c r="AX517" s="111"/>
      <c r="AY517" s="111"/>
      <c r="AZ517" s="111"/>
      <c r="BA517" s="111"/>
      <c r="BB517" s="111"/>
    </row>
    <row r="518">
      <c r="AI518" s="111"/>
      <c r="AV518" s="111"/>
      <c r="AW518" s="111"/>
      <c r="AX518" s="111"/>
      <c r="AY518" s="111"/>
      <c r="AZ518" s="111"/>
      <c r="BA518" s="111"/>
      <c r="BB518" s="111"/>
    </row>
    <row r="519">
      <c r="AI519" s="111"/>
      <c r="AV519" s="111"/>
      <c r="AW519" s="111"/>
      <c r="AX519" s="111"/>
      <c r="AY519" s="111"/>
      <c r="AZ519" s="111"/>
      <c r="BA519" s="111"/>
      <c r="BB519" s="111"/>
    </row>
    <row r="520">
      <c r="AI520" s="111"/>
      <c r="AV520" s="111"/>
      <c r="AW520" s="111"/>
      <c r="AX520" s="111"/>
      <c r="AY520" s="111"/>
      <c r="AZ520" s="111"/>
      <c r="BA520" s="111"/>
      <c r="BB520" s="111"/>
    </row>
    <row r="521">
      <c r="AI521" s="111"/>
      <c r="AV521" s="111"/>
      <c r="AW521" s="111"/>
      <c r="AX521" s="111"/>
      <c r="AY521" s="111"/>
      <c r="AZ521" s="111"/>
      <c r="BA521" s="111"/>
      <c r="BB521" s="111"/>
    </row>
    <row r="522">
      <c r="AI522" s="111"/>
      <c r="AV522" s="111"/>
      <c r="AW522" s="111"/>
      <c r="AX522" s="111"/>
      <c r="AY522" s="111"/>
      <c r="AZ522" s="111"/>
      <c r="BA522" s="111"/>
      <c r="BB522" s="111"/>
    </row>
    <row r="523">
      <c r="AI523" s="111"/>
      <c r="AV523" s="111"/>
      <c r="AW523" s="111"/>
      <c r="AX523" s="111"/>
      <c r="AY523" s="111"/>
      <c r="AZ523" s="111"/>
      <c r="BA523" s="111"/>
      <c r="BB523" s="111"/>
    </row>
    <row r="524">
      <c r="AI524" s="111"/>
      <c r="AV524" s="111"/>
      <c r="AW524" s="111"/>
      <c r="AX524" s="111"/>
      <c r="AY524" s="111"/>
      <c r="AZ524" s="111"/>
      <c r="BA524" s="111"/>
      <c r="BB524" s="111"/>
    </row>
    <row r="525">
      <c r="AI525" s="111"/>
      <c r="AV525" s="111"/>
      <c r="AW525" s="111"/>
      <c r="AX525" s="111"/>
      <c r="AY525" s="111"/>
      <c r="AZ525" s="111"/>
      <c r="BA525" s="111"/>
      <c r="BB525" s="111"/>
    </row>
    <row r="526">
      <c r="AI526" s="111"/>
      <c r="AV526" s="111"/>
      <c r="AW526" s="111"/>
      <c r="AX526" s="111"/>
      <c r="AY526" s="111"/>
      <c r="AZ526" s="111"/>
      <c r="BA526" s="111"/>
      <c r="BB526" s="111"/>
    </row>
    <row r="527">
      <c r="AI527" s="111"/>
      <c r="AV527" s="111"/>
      <c r="AW527" s="111"/>
      <c r="AX527" s="111"/>
      <c r="AY527" s="111"/>
      <c r="AZ527" s="111"/>
      <c r="BA527" s="111"/>
      <c r="BB527" s="111"/>
    </row>
    <row r="528">
      <c r="AI528" s="111"/>
      <c r="AV528" s="111"/>
      <c r="AW528" s="111"/>
      <c r="AX528" s="111"/>
      <c r="AY528" s="111"/>
      <c r="AZ528" s="111"/>
      <c r="BA528" s="111"/>
      <c r="BB528" s="111"/>
    </row>
    <row r="529">
      <c r="AI529" s="111"/>
      <c r="AV529" s="111"/>
      <c r="AW529" s="111"/>
      <c r="AX529" s="111"/>
      <c r="AY529" s="111"/>
      <c r="AZ529" s="111"/>
      <c r="BA529" s="111"/>
      <c r="BB529" s="111"/>
    </row>
    <row r="530">
      <c r="AI530" s="111"/>
      <c r="AV530" s="111"/>
      <c r="AW530" s="111"/>
      <c r="AX530" s="111"/>
      <c r="AY530" s="111"/>
      <c r="AZ530" s="111"/>
      <c r="BA530" s="111"/>
      <c r="BB530" s="111"/>
    </row>
    <row r="531">
      <c r="AI531" s="111"/>
      <c r="AV531" s="111"/>
      <c r="AW531" s="111"/>
      <c r="AX531" s="111"/>
      <c r="AY531" s="111"/>
      <c r="AZ531" s="111"/>
      <c r="BA531" s="111"/>
      <c r="BB531" s="111"/>
    </row>
    <row r="532">
      <c r="AI532" s="111"/>
      <c r="AV532" s="111"/>
      <c r="AW532" s="111"/>
      <c r="AX532" s="111"/>
      <c r="AY532" s="111"/>
      <c r="AZ532" s="111"/>
      <c r="BA532" s="111"/>
      <c r="BB532" s="111"/>
    </row>
    <row r="533">
      <c r="AI533" s="111"/>
      <c r="AV533" s="111"/>
      <c r="AW533" s="111"/>
      <c r="AX533" s="111"/>
      <c r="AY533" s="111"/>
      <c r="AZ533" s="111"/>
      <c r="BA533" s="111"/>
      <c r="BB533" s="111"/>
    </row>
    <row r="534">
      <c r="AI534" s="111"/>
      <c r="AV534" s="111"/>
      <c r="AW534" s="111"/>
      <c r="AX534" s="111"/>
      <c r="AY534" s="111"/>
      <c r="AZ534" s="111"/>
      <c r="BA534" s="111"/>
      <c r="BB534" s="111"/>
    </row>
    <row r="535">
      <c r="AI535" s="111"/>
      <c r="AV535" s="111"/>
      <c r="AW535" s="111"/>
      <c r="AX535" s="111"/>
      <c r="AY535" s="111"/>
      <c r="AZ535" s="111"/>
      <c r="BA535" s="111"/>
      <c r="BB535" s="111"/>
    </row>
    <row r="536">
      <c r="AI536" s="111"/>
      <c r="AV536" s="111"/>
      <c r="AW536" s="111"/>
      <c r="AX536" s="111"/>
      <c r="AY536" s="111"/>
      <c r="AZ536" s="111"/>
      <c r="BA536" s="111"/>
      <c r="BB536" s="111"/>
    </row>
    <row r="537">
      <c r="AI537" s="111"/>
      <c r="AV537" s="111"/>
      <c r="AW537" s="111"/>
      <c r="AX537" s="111"/>
      <c r="AY537" s="111"/>
      <c r="AZ537" s="111"/>
      <c r="BA537" s="111"/>
      <c r="BB537" s="111"/>
    </row>
    <row r="538">
      <c r="AI538" s="111"/>
      <c r="AV538" s="111"/>
      <c r="AW538" s="111"/>
      <c r="AX538" s="111"/>
      <c r="AY538" s="111"/>
      <c r="AZ538" s="111"/>
      <c r="BA538" s="111"/>
      <c r="BB538" s="111"/>
    </row>
    <row r="539">
      <c r="AI539" s="111"/>
      <c r="AV539" s="111"/>
      <c r="AW539" s="111"/>
      <c r="AX539" s="111"/>
      <c r="AY539" s="111"/>
      <c r="AZ539" s="111"/>
      <c r="BA539" s="111"/>
      <c r="BB539" s="111"/>
    </row>
    <row r="540">
      <c r="AI540" s="111"/>
      <c r="AV540" s="111"/>
      <c r="AW540" s="111"/>
      <c r="AX540" s="111"/>
      <c r="AY540" s="111"/>
      <c r="AZ540" s="111"/>
      <c r="BA540" s="111"/>
      <c r="BB540" s="111"/>
    </row>
    <row r="541">
      <c r="AI541" s="111"/>
      <c r="AV541" s="111"/>
      <c r="AW541" s="111"/>
      <c r="AX541" s="111"/>
      <c r="AY541" s="111"/>
      <c r="AZ541" s="111"/>
      <c r="BA541" s="111"/>
      <c r="BB541" s="111"/>
    </row>
    <row r="542">
      <c r="AI542" s="111"/>
      <c r="AV542" s="111"/>
      <c r="AW542" s="111"/>
      <c r="AX542" s="111"/>
      <c r="AY542" s="111"/>
      <c r="AZ542" s="111"/>
      <c r="BA542" s="111"/>
      <c r="BB542" s="111"/>
    </row>
    <row r="543">
      <c r="AI543" s="111"/>
      <c r="AV543" s="111"/>
      <c r="AW543" s="111"/>
      <c r="AX543" s="111"/>
      <c r="AY543" s="111"/>
      <c r="AZ543" s="111"/>
      <c r="BA543" s="111"/>
      <c r="BB543" s="111"/>
    </row>
    <row r="544">
      <c r="AI544" s="111"/>
      <c r="AV544" s="111"/>
      <c r="AW544" s="111"/>
      <c r="AX544" s="111"/>
      <c r="AY544" s="111"/>
      <c r="AZ544" s="111"/>
      <c r="BA544" s="111"/>
      <c r="BB544" s="111"/>
    </row>
    <row r="545">
      <c r="AI545" s="111"/>
      <c r="AV545" s="111"/>
      <c r="AW545" s="111"/>
      <c r="AX545" s="111"/>
      <c r="AY545" s="111"/>
      <c r="AZ545" s="111"/>
      <c r="BA545" s="111"/>
      <c r="BB545" s="111"/>
    </row>
    <row r="546">
      <c r="AI546" s="111"/>
      <c r="AV546" s="111"/>
      <c r="AW546" s="111"/>
      <c r="AX546" s="111"/>
      <c r="AY546" s="111"/>
      <c r="AZ546" s="111"/>
      <c r="BA546" s="111"/>
      <c r="BB546" s="111"/>
    </row>
    <row r="547">
      <c r="AI547" s="111"/>
      <c r="AV547" s="111"/>
      <c r="AW547" s="111"/>
      <c r="AX547" s="111"/>
      <c r="AY547" s="111"/>
      <c r="AZ547" s="111"/>
      <c r="BA547" s="111"/>
      <c r="BB547" s="111"/>
    </row>
    <row r="548">
      <c r="AI548" s="111"/>
      <c r="AV548" s="111"/>
      <c r="AW548" s="111"/>
      <c r="AX548" s="111"/>
      <c r="AY548" s="111"/>
      <c r="AZ548" s="111"/>
      <c r="BA548" s="111"/>
      <c r="BB548" s="111"/>
    </row>
    <row r="549">
      <c r="AI549" s="111"/>
      <c r="AV549" s="111"/>
      <c r="AW549" s="111"/>
      <c r="AX549" s="111"/>
      <c r="AY549" s="111"/>
      <c r="AZ549" s="111"/>
      <c r="BA549" s="111"/>
      <c r="BB549" s="111"/>
    </row>
    <row r="550">
      <c r="AI550" s="111"/>
      <c r="AV550" s="111"/>
      <c r="AW550" s="111"/>
      <c r="AX550" s="111"/>
      <c r="AY550" s="111"/>
      <c r="AZ550" s="111"/>
      <c r="BA550" s="111"/>
      <c r="BB550" s="111"/>
    </row>
    <row r="551">
      <c r="AI551" s="111"/>
      <c r="AV551" s="111"/>
      <c r="AW551" s="111"/>
      <c r="AX551" s="111"/>
      <c r="AY551" s="111"/>
      <c r="AZ551" s="111"/>
      <c r="BA551" s="111"/>
      <c r="BB551" s="111"/>
    </row>
    <row r="552">
      <c r="AI552" s="111"/>
      <c r="AV552" s="111"/>
      <c r="AW552" s="111"/>
      <c r="AX552" s="111"/>
      <c r="AY552" s="111"/>
      <c r="AZ552" s="111"/>
      <c r="BA552" s="111"/>
      <c r="BB552" s="111"/>
    </row>
    <row r="553">
      <c r="AI553" s="111"/>
      <c r="AV553" s="111"/>
      <c r="AW553" s="111"/>
      <c r="AX553" s="111"/>
      <c r="AY553" s="111"/>
      <c r="AZ553" s="111"/>
      <c r="BA553" s="111"/>
      <c r="BB553" s="111"/>
    </row>
    <row r="554">
      <c r="AI554" s="111"/>
      <c r="AV554" s="111"/>
      <c r="AW554" s="111"/>
      <c r="AX554" s="111"/>
      <c r="AY554" s="111"/>
      <c r="AZ554" s="111"/>
      <c r="BA554" s="111"/>
      <c r="BB554" s="111"/>
    </row>
    <row r="555">
      <c r="AI555" s="111"/>
      <c r="AV555" s="111"/>
      <c r="AW555" s="111"/>
      <c r="AX555" s="111"/>
      <c r="AY555" s="111"/>
      <c r="AZ555" s="111"/>
      <c r="BA555" s="111"/>
      <c r="BB555" s="111"/>
    </row>
    <row r="556">
      <c r="AI556" s="111"/>
      <c r="AV556" s="111"/>
      <c r="AW556" s="111"/>
      <c r="AX556" s="111"/>
      <c r="AY556" s="111"/>
      <c r="AZ556" s="111"/>
      <c r="BA556" s="111"/>
      <c r="BB556" s="111"/>
    </row>
    <row r="557">
      <c r="AI557" s="111"/>
      <c r="AV557" s="111"/>
      <c r="AW557" s="111"/>
      <c r="AX557" s="111"/>
      <c r="AY557" s="111"/>
      <c r="AZ557" s="111"/>
      <c r="BA557" s="111"/>
      <c r="BB557" s="111"/>
    </row>
    <row r="558">
      <c r="AI558" s="111"/>
      <c r="AV558" s="111"/>
      <c r="AW558" s="111"/>
      <c r="AX558" s="111"/>
      <c r="AY558" s="111"/>
      <c r="AZ558" s="111"/>
      <c r="BA558" s="111"/>
      <c r="BB558" s="111"/>
    </row>
    <row r="559">
      <c r="AI559" s="111"/>
      <c r="AV559" s="111"/>
      <c r="AW559" s="111"/>
      <c r="AX559" s="111"/>
      <c r="AY559" s="111"/>
      <c r="AZ559" s="111"/>
      <c r="BA559" s="111"/>
      <c r="BB559" s="111"/>
    </row>
    <row r="560">
      <c r="AI560" s="111"/>
      <c r="AV560" s="111"/>
      <c r="AW560" s="111"/>
      <c r="AX560" s="111"/>
      <c r="AY560" s="111"/>
      <c r="AZ560" s="111"/>
      <c r="BA560" s="111"/>
      <c r="BB560" s="111"/>
    </row>
    <row r="561">
      <c r="AI561" s="111"/>
      <c r="AV561" s="111"/>
      <c r="AW561" s="111"/>
      <c r="AX561" s="111"/>
      <c r="AY561" s="111"/>
      <c r="AZ561" s="111"/>
      <c r="BA561" s="111"/>
      <c r="BB561" s="111"/>
    </row>
    <row r="562">
      <c r="AI562" s="111"/>
      <c r="AV562" s="111"/>
      <c r="AW562" s="111"/>
      <c r="AX562" s="111"/>
      <c r="AY562" s="111"/>
      <c r="AZ562" s="111"/>
      <c r="BA562" s="111"/>
      <c r="BB562" s="111"/>
    </row>
    <row r="563">
      <c r="AI563" s="111"/>
      <c r="AV563" s="111"/>
      <c r="AW563" s="111"/>
      <c r="AX563" s="111"/>
      <c r="AY563" s="111"/>
      <c r="AZ563" s="111"/>
      <c r="BA563" s="111"/>
      <c r="BB563" s="111"/>
    </row>
    <row r="564">
      <c r="AI564" s="111"/>
      <c r="AV564" s="111"/>
      <c r="AW564" s="111"/>
      <c r="AX564" s="111"/>
      <c r="AY564" s="111"/>
      <c r="AZ564" s="111"/>
      <c r="BA564" s="111"/>
      <c r="BB564" s="111"/>
    </row>
    <row r="565">
      <c r="AI565" s="111"/>
      <c r="AV565" s="111"/>
      <c r="AW565" s="111"/>
      <c r="AX565" s="111"/>
      <c r="AY565" s="111"/>
      <c r="AZ565" s="111"/>
      <c r="BA565" s="111"/>
      <c r="BB565" s="111"/>
    </row>
    <row r="566">
      <c r="AI566" s="111"/>
      <c r="AV566" s="111"/>
      <c r="AW566" s="111"/>
      <c r="AX566" s="111"/>
      <c r="AY566" s="111"/>
      <c r="AZ566" s="111"/>
      <c r="BA566" s="111"/>
      <c r="BB566" s="111"/>
    </row>
    <row r="567">
      <c r="AI567" s="111"/>
      <c r="AV567" s="111"/>
      <c r="AW567" s="111"/>
      <c r="AX567" s="111"/>
      <c r="AY567" s="111"/>
      <c r="AZ567" s="111"/>
      <c r="BA567" s="111"/>
      <c r="BB567" s="111"/>
    </row>
    <row r="568">
      <c r="AI568" s="111"/>
      <c r="AV568" s="111"/>
      <c r="AW568" s="111"/>
      <c r="AX568" s="111"/>
      <c r="AY568" s="111"/>
      <c r="AZ568" s="111"/>
      <c r="BA568" s="111"/>
      <c r="BB568" s="111"/>
    </row>
    <row r="569">
      <c r="AI569" s="111"/>
      <c r="AV569" s="111"/>
      <c r="AW569" s="111"/>
      <c r="AX569" s="111"/>
      <c r="AY569" s="111"/>
      <c r="AZ569" s="111"/>
      <c r="BA569" s="111"/>
      <c r="BB569" s="111"/>
    </row>
    <row r="570">
      <c r="AI570" s="111"/>
      <c r="AV570" s="111"/>
      <c r="AW570" s="111"/>
      <c r="AX570" s="111"/>
      <c r="AY570" s="111"/>
      <c r="AZ570" s="111"/>
      <c r="BA570" s="111"/>
      <c r="BB570" s="111"/>
    </row>
    <row r="571">
      <c r="AI571" s="111"/>
      <c r="AV571" s="111"/>
      <c r="AW571" s="111"/>
      <c r="AX571" s="111"/>
      <c r="AY571" s="111"/>
      <c r="AZ571" s="111"/>
      <c r="BA571" s="111"/>
      <c r="BB571" s="111"/>
    </row>
    <row r="572">
      <c r="AI572" s="111"/>
      <c r="AV572" s="111"/>
      <c r="AW572" s="111"/>
      <c r="AX572" s="111"/>
      <c r="AY572" s="111"/>
      <c r="AZ572" s="111"/>
      <c r="BA572" s="111"/>
      <c r="BB572" s="111"/>
    </row>
    <row r="573">
      <c r="AI573" s="111"/>
      <c r="AV573" s="111"/>
      <c r="AW573" s="111"/>
      <c r="AX573" s="111"/>
      <c r="AY573" s="111"/>
      <c r="AZ573" s="111"/>
      <c r="BA573" s="111"/>
      <c r="BB573" s="111"/>
    </row>
    <row r="574">
      <c r="AI574" s="111"/>
      <c r="AV574" s="111"/>
      <c r="AW574" s="111"/>
      <c r="AX574" s="111"/>
      <c r="AY574" s="111"/>
      <c r="AZ574" s="111"/>
      <c r="BA574" s="111"/>
      <c r="BB574" s="111"/>
    </row>
    <row r="575">
      <c r="AI575" s="111"/>
      <c r="AV575" s="111"/>
      <c r="AW575" s="111"/>
      <c r="AX575" s="111"/>
      <c r="AY575" s="111"/>
      <c r="AZ575" s="111"/>
      <c r="BA575" s="111"/>
      <c r="BB575" s="111"/>
    </row>
    <row r="576">
      <c r="AI576" s="111"/>
      <c r="AV576" s="111"/>
      <c r="AW576" s="111"/>
      <c r="AX576" s="111"/>
      <c r="AY576" s="111"/>
      <c r="AZ576" s="111"/>
      <c r="BA576" s="111"/>
      <c r="BB576" s="111"/>
    </row>
    <row r="577">
      <c r="AI577" s="111"/>
      <c r="AV577" s="111"/>
      <c r="AW577" s="111"/>
      <c r="AX577" s="111"/>
      <c r="AY577" s="111"/>
      <c r="AZ577" s="111"/>
      <c r="BA577" s="111"/>
      <c r="BB577" s="111"/>
    </row>
    <row r="578">
      <c r="AI578" s="111"/>
      <c r="AV578" s="111"/>
      <c r="AW578" s="111"/>
      <c r="AX578" s="111"/>
      <c r="AY578" s="111"/>
      <c r="AZ578" s="111"/>
      <c r="BA578" s="111"/>
      <c r="BB578" s="111"/>
    </row>
    <row r="579">
      <c r="AI579" s="111"/>
      <c r="AV579" s="111"/>
      <c r="AW579" s="111"/>
      <c r="AX579" s="111"/>
      <c r="AY579" s="111"/>
      <c r="AZ579" s="111"/>
      <c r="BA579" s="111"/>
      <c r="BB579" s="111"/>
    </row>
    <row r="580">
      <c r="AI580" s="111"/>
      <c r="AV580" s="111"/>
      <c r="AW580" s="111"/>
      <c r="AX580" s="111"/>
      <c r="AY580" s="111"/>
      <c r="AZ580" s="111"/>
      <c r="BA580" s="111"/>
      <c r="BB580" s="111"/>
    </row>
    <row r="581">
      <c r="AI581" s="111"/>
      <c r="AV581" s="111"/>
      <c r="AW581" s="111"/>
      <c r="AX581" s="111"/>
      <c r="AY581" s="111"/>
      <c r="AZ581" s="111"/>
      <c r="BA581" s="111"/>
      <c r="BB581" s="111"/>
    </row>
    <row r="582">
      <c r="AI582" s="111"/>
      <c r="AV582" s="111"/>
      <c r="AW582" s="111"/>
      <c r="AX582" s="111"/>
      <c r="AY582" s="111"/>
      <c r="AZ582" s="111"/>
      <c r="BA582" s="111"/>
      <c r="BB582" s="111"/>
    </row>
    <row r="583">
      <c r="AI583" s="111"/>
      <c r="AV583" s="111"/>
      <c r="AW583" s="111"/>
      <c r="AX583" s="111"/>
      <c r="AY583" s="111"/>
      <c r="AZ583" s="111"/>
      <c r="BA583" s="111"/>
      <c r="BB583" s="111"/>
    </row>
    <row r="584">
      <c r="AI584" s="111"/>
      <c r="AV584" s="111"/>
      <c r="AW584" s="111"/>
      <c r="AX584" s="111"/>
      <c r="AY584" s="111"/>
      <c r="AZ584" s="111"/>
      <c r="BA584" s="111"/>
      <c r="BB584" s="111"/>
    </row>
    <row r="585">
      <c r="AI585" s="111"/>
      <c r="AV585" s="111"/>
      <c r="AW585" s="111"/>
      <c r="AX585" s="111"/>
      <c r="AY585" s="111"/>
      <c r="AZ585" s="111"/>
      <c r="BA585" s="111"/>
      <c r="BB585" s="111"/>
    </row>
    <row r="586">
      <c r="AI586" s="111"/>
      <c r="AV586" s="111"/>
      <c r="AW586" s="111"/>
      <c r="AX586" s="111"/>
      <c r="AY586" s="111"/>
      <c r="AZ586" s="111"/>
      <c r="BA586" s="111"/>
      <c r="BB586" s="111"/>
    </row>
    <row r="587">
      <c r="AI587" s="111"/>
      <c r="AV587" s="111"/>
      <c r="AW587" s="111"/>
      <c r="AX587" s="111"/>
      <c r="AY587" s="111"/>
      <c r="AZ587" s="111"/>
      <c r="BA587" s="111"/>
      <c r="BB587" s="111"/>
    </row>
    <row r="588">
      <c r="AI588" s="111"/>
      <c r="AV588" s="111"/>
      <c r="AW588" s="111"/>
      <c r="AX588" s="111"/>
      <c r="AY588" s="111"/>
      <c r="AZ588" s="111"/>
      <c r="BA588" s="111"/>
      <c r="BB588" s="111"/>
    </row>
    <row r="589">
      <c r="AI589" s="111"/>
      <c r="AV589" s="111"/>
      <c r="AW589" s="111"/>
      <c r="AX589" s="111"/>
      <c r="AY589" s="111"/>
      <c r="AZ589" s="111"/>
      <c r="BA589" s="111"/>
      <c r="BB589" s="111"/>
    </row>
    <row r="590">
      <c r="AI590" s="111"/>
      <c r="AV590" s="111"/>
      <c r="AW590" s="111"/>
      <c r="AX590" s="111"/>
      <c r="AY590" s="111"/>
      <c r="AZ590" s="111"/>
      <c r="BA590" s="111"/>
      <c r="BB590" s="111"/>
    </row>
    <row r="591">
      <c r="AI591" s="111"/>
      <c r="AV591" s="111"/>
      <c r="AW591" s="111"/>
      <c r="AX591" s="111"/>
      <c r="AY591" s="111"/>
      <c r="AZ591" s="111"/>
      <c r="BA591" s="111"/>
      <c r="BB591" s="111"/>
    </row>
    <row r="592">
      <c r="AI592" s="111"/>
      <c r="AV592" s="111"/>
      <c r="AW592" s="111"/>
      <c r="AX592" s="111"/>
      <c r="AY592" s="111"/>
      <c r="AZ592" s="111"/>
      <c r="BA592" s="111"/>
      <c r="BB592" s="111"/>
    </row>
    <row r="593">
      <c r="AI593" s="111"/>
      <c r="AV593" s="111"/>
      <c r="AW593" s="111"/>
      <c r="AX593" s="111"/>
      <c r="AY593" s="111"/>
      <c r="AZ593" s="111"/>
      <c r="BA593" s="111"/>
      <c r="BB593" s="111"/>
    </row>
    <row r="594">
      <c r="AI594" s="111"/>
      <c r="AV594" s="111"/>
      <c r="AW594" s="111"/>
      <c r="AX594" s="111"/>
      <c r="AY594" s="111"/>
      <c r="AZ594" s="111"/>
      <c r="BA594" s="111"/>
      <c r="BB594" s="111"/>
    </row>
    <row r="595">
      <c r="AI595" s="111"/>
      <c r="AV595" s="111"/>
      <c r="AW595" s="111"/>
      <c r="AX595" s="111"/>
      <c r="AY595" s="111"/>
      <c r="AZ595" s="111"/>
      <c r="BA595" s="111"/>
      <c r="BB595" s="111"/>
    </row>
    <row r="596">
      <c r="AI596" s="111"/>
      <c r="AV596" s="111"/>
      <c r="AW596" s="111"/>
      <c r="AX596" s="111"/>
      <c r="AY596" s="111"/>
      <c r="AZ596" s="111"/>
      <c r="BA596" s="111"/>
      <c r="BB596" s="111"/>
    </row>
    <row r="597">
      <c r="AI597" s="111"/>
      <c r="AV597" s="111"/>
      <c r="AW597" s="111"/>
      <c r="AX597" s="111"/>
      <c r="AY597" s="111"/>
      <c r="AZ597" s="111"/>
      <c r="BA597" s="111"/>
      <c r="BB597" s="111"/>
    </row>
    <row r="598">
      <c r="AI598" s="111"/>
      <c r="AV598" s="111"/>
      <c r="AW598" s="111"/>
      <c r="AX598" s="111"/>
      <c r="AY598" s="111"/>
      <c r="AZ598" s="111"/>
      <c r="BA598" s="111"/>
      <c r="BB598" s="111"/>
    </row>
    <row r="599">
      <c r="AI599" s="111"/>
      <c r="AV599" s="111"/>
      <c r="AW599" s="111"/>
      <c r="AX599" s="111"/>
      <c r="AY599" s="111"/>
      <c r="AZ599" s="111"/>
      <c r="BA599" s="111"/>
      <c r="BB599" s="111"/>
    </row>
    <row r="600">
      <c r="AI600" s="111"/>
      <c r="AV600" s="111"/>
      <c r="AW600" s="111"/>
      <c r="AX600" s="111"/>
      <c r="AY600" s="111"/>
      <c r="AZ600" s="111"/>
      <c r="BA600" s="111"/>
      <c r="BB600" s="111"/>
    </row>
    <row r="601">
      <c r="AI601" s="111"/>
      <c r="AV601" s="111"/>
      <c r="AW601" s="111"/>
      <c r="AX601" s="111"/>
      <c r="AY601" s="111"/>
      <c r="AZ601" s="111"/>
      <c r="BA601" s="111"/>
      <c r="BB601" s="111"/>
    </row>
    <row r="602">
      <c r="AI602" s="111"/>
      <c r="AV602" s="111"/>
      <c r="AW602" s="111"/>
      <c r="AX602" s="111"/>
      <c r="AY602" s="111"/>
      <c r="AZ602" s="111"/>
      <c r="BA602" s="111"/>
      <c r="BB602" s="111"/>
    </row>
    <row r="603">
      <c r="AI603" s="111"/>
      <c r="AV603" s="111"/>
      <c r="AW603" s="111"/>
      <c r="AX603" s="111"/>
      <c r="AY603" s="111"/>
      <c r="AZ603" s="111"/>
      <c r="BA603" s="111"/>
      <c r="BB603" s="111"/>
    </row>
    <row r="604">
      <c r="AI604" s="111"/>
      <c r="AV604" s="111"/>
      <c r="AW604" s="111"/>
      <c r="AX604" s="111"/>
      <c r="AY604" s="111"/>
      <c r="AZ604" s="111"/>
      <c r="BA604" s="111"/>
      <c r="BB604" s="111"/>
    </row>
    <row r="605">
      <c r="AI605" s="111"/>
      <c r="AV605" s="111"/>
      <c r="AW605" s="111"/>
      <c r="AX605" s="111"/>
      <c r="AY605" s="111"/>
      <c r="AZ605" s="111"/>
      <c r="BA605" s="111"/>
      <c r="BB605" s="111"/>
    </row>
    <row r="606">
      <c r="AI606" s="111"/>
      <c r="AV606" s="111"/>
      <c r="AW606" s="111"/>
      <c r="AX606" s="111"/>
      <c r="AY606" s="111"/>
      <c r="AZ606" s="111"/>
      <c r="BA606" s="111"/>
      <c r="BB606" s="111"/>
    </row>
    <row r="607">
      <c r="AI607" s="111"/>
      <c r="AV607" s="111"/>
      <c r="AW607" s="111"/>
      <c r="AX607" s="111"/>
      <c r="AY607" s="111"/>
      <c r="AZ607" s="111"/>
      <c r="BA607" s="111"/>
      <c r="BB607" s="111"/>
    </row>
    <row r="608">
      <c r="AI608" s="111"/>
      <c r="AV608" s="111"/>
      <c r="AW608" s="111"/>
      <c r="AX608" s="111"/>
      <c r="AY608" s="111"/>
      <c r="AZ608" s="111"/>
      <c r="BA608" s="111"/>
      <c r="BB608" s="111"/>
    </row>
    <row r="609">
      <c r="AI609" s="111"/>
      <c r="AV609" s="111"/>
      <c r="AW609" s="111"/>
      <c r="AX609" s="111"/>
      <c r="AY609" s="111"/>
      <c r="AZ609" s="111"/>
      <c r="BA609" s="111"/>
      <c r="BB609" s="111"/>
    </row>
    <row r="610">
      <c r="AI610" s="111"/>
      <c r="AV610" s="111"/>
      <c r="AW610" s="111"/>
      <c r="AX610" s="111"/>
      <c r="AY610" s="111"/>
      <c r="AZ610" s="111"/>
      <c r="BA610" s="111"/>
      <c r="BB610" s="111"/>
    </row>
    <row r="611">
      <c r="AI611" s="111"/>
      <c r="AV611" s="111"/>
      <c r="AW611" s="111"/>
      <c r="AX611" s="111"/>
      <c r="AY611" s="111"/>
      <c r="AZ611" s="111"/>
      <c r="BA611" s="111"/>
      <c r="BB611" s="111"/>
    </row>
    <row r="612">
      <c r="AI612" s="111"/>
      <c r="AV612" s="111"/>
      <c r="AW612" s="111"/>
      <c r="AX612" s="111"/>
      <c r="AY612" s="111"/>
      <c r="AZ612" s="111"/>
      <c r="BA612" s="111"/>
      <c r="BB612" s="111"/>
    </row>
    <row r="613">
      <c r="AI613" s="111"/>
      <c r="AV613" s="111"/>
      <c r="AW613" s="111"/>
      <c r="AX613" s="111"/>
      <c r="AY613" s="111"/>
      <c r="AZ613" s="111"/>
      <c r="BA613" s="111"/>
      <c r="BB613" s="111"/>
    </row>
    <row r="614">
      <c r="AI614" s="111"/>
      <c r="AV614" s="111"/>
      <c r="AW614" s="111"/>
      <c r="AX614" s="111"/>
      <c r="AY614" s="111"/>
      <c r="AZ614" s="111"/>
      <c r="BA614" s="111"/>
      <c r="BB614" s="111"/>
    </row>
    <row r="615">
      <c r="AI615" s="111"/>
      <c r="AV615" s="111"/>
      <c r="AW615" s="111"/>
      <c r="AX615" s="111"/>
      <c r="AY615" s="111"/>
      <c r="AZ615" s="111"/>
      <c r="BA615" s="111"/>
      <c r="BB615" s="111"/>
    </row>
    <row r="616">
      <c r="AI616" s="111"/>
      <c r="AV616" s="111"/>
      <c r="AW616" s="111"/>
      <c r="AX616" s="111"/>
      <c r="AY616" s="111"/>
      <c r="AZ616" s="111"/>
      <c r="BA616" s="111"/>
      <c r="BB616" s="111"/>
    </row>
    <row r="617">
      <c r="AI617" s="111"/>
      <c r="AV617" s="111"/>
      <c r="AW617" s="111"/>
      <c r="AX617" s="111"/>
      <c r="AY617" s="111"/>
      <c r="AZ617" s="111"/>
      <c r="BA617" s="111"/>
      <c r="BB617" s="111"/>
    </row>
    <row r="618">
      <c r="AI618" s="111"/>
      <c r="AV618" s="111"/>
      <c r="AW618" s="111"/>
      <c r="AX618" s="111"/>
      <c r="AY618" s="111"/>
      <c r="AZ618" s="111"/>
      <c r="BA618" s="111"/>
      <c r="BB618" s="111"/>
    </row>
    <row r="619">
      <c r="AI619" s="111"/>
      <c r="AV619" s="111"/>
      <c r="AW619" s="111"/>
      <c r="AX619" s="111"/>
      <c r="AY619" s="111"/>
      <c r="AZ619" s="111"/>
      <c r="BA619" s="111"/>
      <c r="BB619" s="111"/>
    </row>
    <row r="620">
      <c r="AI620" s="111"/>
      <c r="AV620" s="111"/>
      <c r="AW620" s="111"/>
      <c r="AX620" s="111"/>
      <c r="AY620" s="111"/>
      <c r="AZ620" s="111"/>
      <c r="BA620" s="111"/>
      <c r="BB620" s="111"/>
    </row>
    <row r="621">
      <c r="AI621" s="111"/>
      <c r="AV621" s="111"/>
      <c r="AW621" s="111"/>
      <c r="AX621" s="111"/>
      <c r="AY621" s="111"/>
      <c r="AZ621" s="111"/>
      <c r="BA621" s="111"/>
      <c r="BB621" s="111"/>
    </row>
    <row r="622">
      <c r="AI622" s="111"/>
      <c r="AV622" s="111"/>
      <c r="AW622" s="111"/>
      <c r="AX622" s="111"/>
      <c r="AY622" s="111"/>
      <c r="AZ622" s="111"/>
      <c r="BA622" s="111"/>
      <c r="BB622" s="111"/>
    </row>
    <row r="623">
      <c r="AI623" s="111"/>
      <c r="AV623" s="111"/>
      <c r="AW623" s="111"/>
      <c r="AX623" s="111"/>
      <c r="AY623" s="111"/>
      <c r="AZ623" s="111"/>
      <c r="BA623" s="111"/>
      <c r="BB623" s="111"/>
    </row>
    <row r="624">
      <c r="AI624" s="111"/>
      <c r="AV624" s="111"/>
      <c r="AW624" s="111"/>
      <c r="AX624" s="111"/>
      <c r="AY624" s="111"/>
      <c r="AZ624" s="111"/>
      <c r="BA624" s="111"/>
      <c r="BB624" s="111"/>
    </row>
    <row r="625">
      <c r="AI625" s="111"/>
      <c r="AV625" s="111"/>
      <c r="AW625" s="111"/>
      <c r="AX625" s="111"/>
      <c r="AY625" s="111"/>
      <c r="AZ625" s="111"/>
      <c r="BA625" s="111"/>
      <c r="BB625" s="111"/>
    </row>
    <row r="626">
      <c r="AI626" s="111"/>
      <c r="AV626" s="111"/>
      <c r="AW626" s="111"/>
      <c r="AX626" s="111"/>
      <c r="AY626" s="111"/>
      <c r="AZ626" s="111"/>
      <c r="BA626" s="111"/>
      <c r="BB626" s="111"/>
    </row>
    <row r="627">
      <c r="AI627" s="111"/>
      <c r="AV627" s="111"/>
      <c r="AW627" s="111"/>
      <c r="AX627" s="111"/>
      <c r="AY627" s="111"/>
      <c r="AZ627" s="111"/>
      <c r="BA627" s="111"/>
      <c r="BB627" s="111"/>
    </row>
    <row r="628">
      <c r="AI628" s="111"/>
      <c r="AV628" s="111"/>
      <c r="AW628" s="111"/>
      <c r="AX628" s="111"/>
      <c r="AY628" s="111"/>
      <c r="AZ628" s="111"/>
      <c r="BA628" s="111"/>
      <c r="BB628" s="111"/>
    </row>
    <row r="629">
      <c r="AI629" s="111"/>
      <c r="AV629" s="111"/>
      <c r="AW629" s="111"/>
      <c r="AX629" s="111"/>
      <c r="AY629" s="111"/>
      <c r="AZ629" s="111"/>
      <c r="BA629" s="111"/>
      <c r="BB629" s="111"/>
    </row>
    <row r="630">
      <c r="AI630" s="111"/>
      <c r="AV630" s="111"/>
      <c r="AW630" s="111"/>
      <c r="AX630" s="111"/>
      <c r="AY630" s="111"/>
      <c r="AZ630" s="111"/>
      <c r="BA630" s="111"/>
      <c r="BB630" s="111"/>
    </row>
    <row r="631">
      <c r="AI631" s="111"/>
      <c r="AV631" s="111"/>
      <c r="AW631" s="111"/>
      <c r="AX631" s="111"/>
      <c r="AY631" s="111"/>
      <c r="AZ631" s="111"/>
      <c r="BA631" s="111"/>
      <c r="BB631" s="111"/>
    </row>
    <row r="632">
      <c r="AI632" s="111"/>
      <c r="AV632" s="111"/>
      <c r="AW632" s="111"/>
      <c r="AX632" s="111"/>
      <c r="AY632" s="111"/>
      <c r="AZ632" s="111"/>
      <c r="BA632" s="111"/>
      <c r="BB632" s="111"/>
    </row>
    <row r="633">
      <c r="AI633" s="111"/>
      <c r="AV633" s="111"/>
      <c r="AW633" s="111"/>
      <c r="AX633" s="111"/>
      <c r="AY633" s="111"/>
      <c r="AZ633" s="111"/>
      <c r="BA633" s="111"/>
      <c r="BB633" s="111"/>
    </row>
    <row r="634">
      <c r="AI634" s="111"/>
      <c r="AV634" s="111"/>
      <c r="AW634" s="111"/>
      <c r="AX634" s="111"/>
      <c r="AY634" s="111"/>
      <c r="AZ634" s="111"/>
      <c r="BA634" s="111"/>
      <c r="BB634" s="111"/>
    </row>
    <row r="635">
      <c r="AI635" s="111"/>
      <c r="AV635" s="111"/>
      <c r="AW635" s="111"/>
      <c r="AX635" s="111"/>
      <c r="AY635" s="111"/>
      <c r="AZ635" s="111"/>
      <c r="BA635" s="111"/>
      <c r="BB635" s="111"/>
    </row>
    <row r="636">
      <c r="AI636" s="111"/>
      <c r="AV636" s="111"/>
      <c r="AW636" s="111"/>
      <c r="AX636" s="111"/>
      <c r="AY636" s="111"/>
      <c r="AZ636" s="111"/>
      <c r="BA636" s="111"/>
      <c r="BB636" s="111"/>
    </row>
    <row r="637">
      <c r="AI637" s="111"/>
      <c r="AV637" s="111"/>
      <c r="AW637" s="111"/>
      <c r="AX637" s="111"/>
      <c r="AY637" s="111"/>
      <c r="AZ637" s="111"/>
      <c r="BA637" s="111"/>
      <c r="BB637" s="111"/>
    </row>
    <row r="638">
      <c r="AI638" s="111"/>
      <c r="AV638" s="111"/>
      <c r="AW638" s="111"/>
      <c r="AX638" s="111"/>
      <c r="AY638" s="111"/>
      <c r="AZ638" s="111"/>
      <c r="BA638" s="111"/>
      <c r="BB638" s="111"/>
    </row>
    <row r="639">
      <c r="AI639" s="111"/>
      <c r="AV639" s="111"/>
      <c r="AW639" s="111"/>
      <c r="AX639" s="111"/>
      <c r="AY639" s="111"/>
      <c r="AZ639" s="111"/>
      <c r="BA639" s="111"/>
      <c r="BB639" s="111"/>
    </row>
    <row r="640">
      <c r="AI640" s="111"/>
      <c r="AV640" s="111"/>
      <c r="AW640" s="111"/>
      <c r="AX640" s="111"/>
      <c r="AY640" s="111"/>
      <c r="AZ640" s="111"/>
      <c r="BA640" s="111"/>
      <c r="BB640" s="111"/>
    </row>
    <row r="641">
      <c r="AI641" s="111"/>
      <c r="AV641" s="111"/>
      <c r="AW641" s="111"/>
      <c r="AX641" s="111"/>
      <c r="AY641" s="111"/>
      <c r="AZ641" s="111"/>
      <c r="BA641" s="111"/>
      <c r="BB641" s="111"/>
    </row>
    <row r="642">
      <c r="AI642" s="111"/>
      <c r="AV642" s="111"/>
      <c r="AW642" s="111"/>
      <c r="AX642" s="111"/>
      <c r="AY642" s="111"/>
      <c r="AZ642" s="111"/>
      <c r="BA642" s="111"/>
      <c r="BB642" s="111"/>
    </row>
    <row r="643">
      <c r="AI643" s="111"/>
      <c r="AV643" s="111"/>
      <c r="AW643" s="111"/>
      <c r="AX643" s="111"/>
      <c r="AY643" s="111"/>
      <c r="AZ643" s="111"/>
      <c r="BA643" s="111"/>
      <c r="BB643" s="111"/>
    </row>
    <row r="644">
      <c r="AI644" s="111"/>
      <c r="AV644" s="111"/>
      <c r="AW644" s="111"/>
      <c r="AX644" s="111"/>
      <c r="AY644" s="111"/>
      <c r="AZ644" s="111"/>
      <c r="BA644" s="111"/>
      <c r="BB644" s="111"/>
    </row>
    <row r="645">
      <c r="AI645" s="111"/>
      <c r="AV645" s="111"/>
      <c r="AW645" s="111"/>
      <c r="AX645" s="111"/>
      <c r="AY645" s="111"/>
      <c r="AZ645" s="111"/>
      <c r="BA645" s="111"/>
      <c r="BB645" s="111"/>
    </row>
    <row r="646">
      <c r="AI646" s="111"/>
      <c r="AV646" s="111"/>
      <c r="AW646" s="111"/>
      <c r="AX646" s="111"/>
      <c r="AY646" s="111"/>
      <c r="AZ646" s="111"/>
      <c r="BA646" s="111"/>
      <c r="BB646" s="111"/>
    </row>
    <row r="647">
      <c r="AI647" s="111"/>
      <c r="AV647" s="111"/>
      <c r="AW647" s="111"/>
      <c r="AX647" s="111"/>
      <c r="AY647" s="111"/>
      <c r="AZ647" s="111"/>
      <c r="BA647" s="111"/>
      <c r="BB647" s="111"/>
    </row>
    <row r="648">
      <c r="AI648" s="111"/>
      <c r="AV648" s="111"/>
      <c r="AW648" s="111"/>
      <c r="AX648" s="111"/>
      <c r="AY648" s="111"/>
      <c r="AZ648" s="111"/>
      <c r="BA648" s="111"/>
      <c r="BB648" s="111"/>
    </row>
    <row r="649">
      <c r="AI649" s="111"/>
      <c r="AV649" s="111"/>
      <c r="AW649" s="111"/>
      <c r="AX649" s="111"/>
      <c r="AY649" s="111"/>
      <c r="AZ649" s="111"/>
      <c r="BA649" s="111"/>
      <c r="BB649" s="111"/>
    </row>
    <row r="650">
      <c r="AI650" s="111"/>
      <c r="AV650" s="111"/>
      <c r="AW650" s="111"/>
      <c r="AX650" s="111"/>
      <c r="AY650" s="111"/>
      <c r="AZ650" s="111"/>
      <c r="BA650" s="111"/>
      <c r="BB650" s="111"/>
    </row>
    <row r="651">
      <c r="AI651" s="111"/>
      <c r="AV651" s="111"/>
      <c r="AW651" s="111"/>
      <c r="AX651" s="111"/>
      <c r="AY651" s="111"/>
      <c r="AZ651" s="111"/>
      <c r="BA651" s="111"/>
      <c r="BB651" s="111"/>
    </row>
    <row r="652">
      <c r="AI652" s="111"/>
      <c r="AV652" s="111"/>
      <c r="AW652" s="111"/>
      <c r="AX652" s="111"/>
      <c r="AY652" s="111"/>
      <c r="AZ652" s="111"/>
      <c r="BA652" s="111"/>
      <c r="BB652" s="111"/>
    </row>
    <row r="653">
      <c r="AI653" s="111"/>
      <c r="AV653" s="111"/>
      <c r="AW653" s="111"/>
      <c r="AX653" s="111"/>
      <c r="AY653" s="111"/>
      <c r="AZ653" s="111"/>
      <c r="BA653" s="111"/>
      <c r="BB653" s="111"/>
    </row>
    <row r="654">
      <c r="AI654" s="111"/>
      <c r="AV654" s="111"/>
      <c r="AW654" s="111"/>
      <c r="AX654" s="111"/>
      <c r="AY654" s="111"/>
      <c r="AZ654" s="111"/>
      <c r="BA654" s="111"/>
      <c r="BB654" s="111"/>
    </row>
    <row r="655">
      <c r="AI655" s="111"/>
      <c r="AV655" s="111"/>
      <c r="AW655" s="111"/>
      <c r="AX655" s="111"/>
      <c r="AY655" s="111"/>
      <c r="AZ655" s="111"/>
      <c r="BA655" s="111"/>
      <c r="BB655" s="111"/>
    </row>
    <row r="656">
      <c r="AI656" s="111"/>
      <c r="AV656" s="111"/>
      <c r="AW656" s="111"/>
      <c r="AX656" s="111"/>
      <c r="AY656" s="111"/>
      <c r="AZ656" s="111"/>
      <c r="BA656" s="111"/>
      <c r="BB656" s="111"/>
    </row>
    <row r="657">
      <c r="AI657" s="111"/>
      <c r="AV657" s="111"/>
      <c r="AW657" s="111"/>
      <c r="AX657" s="111"/>
      <c r="AY657" s="111"/>
      <c r="AZ657" s="111"/>
      <c r="BA657" s="111"/>
      <c r="BB657" s="111"/>
    </row>
    <row r="658">
      <c r="AI658" s="111"/>
      <c r="AV658" s="111"/>
      <c r="AW658" s="111"/>
      <c r="AX658" s="111"/>
      <c r="AY658" s="111"/>
      <c r="AZ658" s="111"/>
      <c r="BA658" s="111"/>
      <c r="BB658" s="111"/>
    </row>
    <row r="659">
      <c r="AI659" s="111"/>
      <c r="AV659" s="111"/>
      <c r="AW659" s="111"/>
      <c r="AX659" s="111"/>
      <c r="AY659" s="111"/>
      <c r="AZ659" s="111"/>
      <c r="BA659" s="111"/>
      <c r="BB659" s="111"/>
    </row>
    <row r="660">
      <c r="AI660" s="111"/>
      <c r="AV660" s="111"/>
      <c r="AW660" s="111"/>
      <c r="AX660" s="111"/>
      <c r="AY660" s="111"/>
      <c r="AZ660" s="111"/>
      <c r="BA660" s="111"/>
      <c r="BB660" s="111"/>
    </row>
    <row r="661">
      <c r="AI661" s="111"/>
      <c r="AV661" s="111"/>
      <c r="AW661" s="111"/>
      <c r="AX661" s="111"/>
      <c r="AY661" s="111"/>
      <c r="AZ661" s="111"/>
      <c r="BA661" s="111"/>
      <c r="BB661" s="111"/>
    </row>
    <row r="662">
      <c r="AI662" s="111"/>
      <c r="AV662" s="111"/>
      <c r="AW662" s="111"/>
      <c r="AX662" s="111"/>
      <c r="AY662" s="111"/>
      <c r="AZ662" s="111"/>
      <c r="BA662" s="111"/>
      <c r="BB662" s="111"/>
    </row>
    <row r="663">
      <c r="AI663" s="111"/>
      <c r="AV663" s="111"/>
      <c r="AW663" s="111"/>
      <c r="AX663" s="111"/>
      <c r="AY663" s="111"/>
      <c r="AZ663" s="111"/>
      <c r="BA663" s="111"/>
      <c r="BB663" s="111"/>
    </row>
    <row r="664">
      <c r="AI664" s="111"/>
      <c r="AV664" s="111"/>
      <c r="AW664" s="111"/>
      <c r="AX664" s="111"/>
      <c r="AY664" s="111"/>
      <c r="AZ664" s="111"/>
      <c r="BA664" s="111"/>
      <c r="BB664" s="111"/>
    </row>
    <row r="665">
      <c r="AI665" s="111"/>
      <c r="AV665" s="111"/>
      <c r="AW665" s="111"/>
      <c r="AX665" s="111"/>
      <c r="AY665" s="111"/>
      <c r="AZ665" s="111"/>
      <c r="BA665" s="111"/>
      <c r="BB665" s="111"/>
    </row>
    <row r="666">
      <c r="AI666" s="111"/>
      <c r="AV666" s="111"/>
      <c r="AW666" s="111"/>
      <c r="AX666" s="111"/>
      <c r="AY666" s="111"/>
      <c r="AZ666" s="111"/>
      <c r="BA666" s="111"/>
      <c r="BB666" s="111"/>
    </row>
    <row r="667">
      <c r="AI667" s="111"/>
      <c r="AV667" s="111"/>
      <c r="AW667" s="111"/>
      <c r="AX667" s="111"/>
      <c r="AY667" s="111"/>
      <c r="AZ667" s="111"/>
      <c r="BA667" s="111"/>
      <c r="BB667" s="111"/>
    </row>
    <row r="668">
      <c r="AI668" s="111"/>
      <c r="AV668" s="111"/>
      <c r="AW668" s="111"/>
      <c r="AX668" s="111"/>
      <c r="AY668" s="111"/>
      <c r="AZ668" s="111"/>
      <c r="BA668" s="111"/>
      <c r="BB668" s="111"/>
    </row>
    <row r="669">
      <c r="AI669" s="111"/>
      <c r="AV669" s="111"/>
      <c r="AW669" s="111"/>
      <c r="AX669" s="111"/>
      <c r="AY669" s="111"/>
      <c r="AZ669" s="111"/>
      <c r="BA669" s="111"/>
      <c r="BB669" s="111"/>
    </row>
    <row r="670">
      <c r="AI670" s="111"/>
      <c r="AV670" s="111"/>
      <c r="AW670" s="111"/>
      <c r="AX670" s="111"/>
      <c r="AY670" s="111"/>
      <c r="AZ670" s="111"/>
      <c r="BA670" s="111"/>
      <c r="BB670" s="111"/>
    </row>
    <row r="671">
      <c r="AI671" s="111"/>
      <c r="AV671" s="111"/>
      <c r="AW671" s="111"/>
      <c r="AX671" s="111"/>
      <c r="AY671" s="111"/>
      <c r="AZ671" s="111"/>
      <c r="BA671" s="111"/>
      <c r="BB671" s="111"/>
    </row>
    <row r="672">
      <c r="AI672" s="111"/>
      <c r="AV672" s="111"/>
      <c r="AW672" s="111"/>
      <c r="AX672" s="111"/>
      <c r="AY672" s="111"/>
      <c r="AZ672" s="111"/>
      <c r="BA672" s="111"/>
      <c r="BB672" s="111"/>
    </row>
    <row r="673">
      <c r="AI673" s="111"/>
      <c r="AV673" s="111"/>
      <c r="AW673" s="111"/>
      <c r="AX673" s="111"/>
      <c r="AY673" s="111"/>
      <c r="AZ673" s="111"/>
      <c r="BA673" s="111"/>
      <c r="BB673" s="111"/>
    </row>
    <row r="674">
      <c r="AI674" s="111"/>
      <c r="AV674" s="111"/>
      <c r="AW674" s="111"/>
      <c r="AX674" s="111"/>
      <c r="AY674" s="111"/>
      <c r="AZ674" s="111"/>
      <c r="BA674" s="111"/>
      <c r="BB674" s="111"/>
    </row>
    <row r="675">
      <c r="AI675" s="111"/>
      <c r="AV675" s="111"/>
      <c r="AW675" s="111"/>
      <c r="AX675" s="111"/>
      <c r="AY675" s="111"/>
      <c r="AZ675" s="111"/>
      <c r="BA675" s="111"/>
      <c r="BB675" s="111"/>
    </row>
    <row r="676">
      <c r="AI676" s="111"/>
      <c r="AV676" s="111"/>
      <c r="AW676" s="111"/>
      <c r="AX676" s="111"/>
      <c r="AY676" s="111"/>
      <c r="AZ676" s="111"/>
      <c r="BA676" s="111"/>
      <c r="BB676" s="111"/>
    </row>
    <row r="677">
      <c r="AI677" s="111"/>
      <c r="AV677" s="111"/>
      <c r="AW677" s="111"/>
      <c r="AX677" s="111"/>
      <c r="AY677" s="111"/>
      <c r="AZ677" s="111"/>
      <c r="BA677" s="111"/>
      <c r="BB677" s="111"/>
    </row>
    <row r="678">
      <c r="AI678" s="111"/>
      <c r="AV678" s="111"/>
      <c r="AW678" s="111"/>
      <c r="AX678" s="111"/>
      <c r="AY678" s="111"/>
      <c r="AZ678" s="111"/>
      <c r="BA678" s="111"/>
      <c r="BB678" s="111"/>
    </row>
    <row r="679">
      <c r="AI679" s="111"/>
      <c r="AV679" s="111"/>
      <c r="AW679" s="111"/>
      <c r="AX679" s="111"/>
      <c r="AY679" s="111"/>
      <c r="AZ679" s="111"/>
      <c r="BA679" s="111"/>
      <c r="BB679" s="111"/>
    </row>
    <row r="680">
      <c r="AI680" s="111"/>
      <c r="AV680" s="111"/>
      <c r="AW680" s="111"/>
      <c r="AX680" s="111"/>
      <c r="AY680" s="111"/>
      <c r="AZ680" s="111"/>
      <c r="BA680" s="111"/>
      <c r="BB680" s="111"/>
    </row>
    <row r="681">
      <c r="AI681" s="111"/>
      <c r="AV681" s="111"/>
      <c r="AW681" s="111"/>
      <c r="AX681" s="111"/>
      <c r="AY681" s="111"/>
      <c r="AZ681" s="111"/>
      <c r="BA681" s="111"/>
      <c r="BB681" s="111"/>
    </row>
    <row r="682">
      <c r="AI682" s="111"/>
      <c r="AV682" s="111"/>
      <c r="AW682" s="111"/>
      <c r="AX682" s="111"/>
      <c r="AY682" s="111"/>
      <c r="AZ682" s="111"/>
      <c r="BA682" s="111"/>
      <c r="BB682" s="111"/>
    </row>
    <row r="683">
      <c r="AI683" s="111"/>
      <c r="AV683" s="111"/>
      <c r="AW683" s="111"/>
      <c r="AX683" s="111"/>
      <c r="AY683" s="111"/>
      <c r="AZ683" s="111"/>
      <c r="BA683" s="111"/>
      <c r="BB683" s="111"/>
    </row>
    <row r="684">
      <c r="AI684" s="111"/>
      <c r="AV684" s="111"/>
      <c r="AW684" s="111"/>
      <c r="AX684" s="111"/>
      <c r="AY684" s="111"/>
      <c r="AZ684" s="111"/>
      <c r="BA684" s="111"/>
      <c r="BB684" s="111"/>
    </row>
    <row r="685">
      <c r="AI685" s="111"/>
      <c r="AV685" s="111"/>
      <c r="AW685" s="111"/>
      <c r="AX685" s="111"/>
      <c r="AY685" s="111"/>
      <c r="AZ685" s="111"/>
      <c r="BA685" s="111"/>
      <c r="BB685" s="111"/>
    </row>
    <row r="686">
      <c r="AI686" s="111"/>
      <c r="AV686" s="111"/>
      <c r="AW686" s="111"/>
      <c r="AX686" s="111"/>
      <c r="AY686" s="111"/>
      <c r="AZ686" s="111"/>
      <c r="BA686" s="111"/>
      <c r="BB686" s="111"/>
    </row>
    <row r="687">
      <c r="AI687" s="111"/>
      <c r="AV687" s="111"/>
      <c r="AW687" s="111"/>
      <c r="AX687" s="111"/>
      <c r="AY687" s="111"/>
      <c r="AZ687" s="111"/>
      <c r="BA687" s="111"/>
      <c r="BB687" s="111"/>
    </row>
    <row r="688">
      <c r="AI688" s="111"/>
      <c r="AV688" s="111"/>
      <c r="AW688" s="111"/>
      <c r="AX688" s="111"/>
      <c r="AY688" s="111"/>
      <c r="AZ688" s="111"/>
      <c r="BA688" s="111"/>
      <c r="BB688" s="111"/>
    </row>
    <row r="689">
      <c r="AI689" s="111"/>
      <c r="AV689" s="111"/>
      <c r="AW689" s="111"/>
      <c r="AX689" s="111"/>
      <c r="AY689" s="111"/>
      <c r="AZ689" s="111"/>
      <c r="BA689" s="111"/>
      <c r="BB689" s="111"/>
    </row>
    <row r="690">
      <c r="AI690" s="111"/>
      <c r="AV690" s="111"/>
      <c r="AW690" s="111"/>
      <c r="AX690" s="111"/>
      <c r="AY690" s="111"/>
      <c r="AZ690" s="111"/>
      <c r="BA690" s="111"/>
      <c r="BB690" s="111"/>
    </row>
    <row r="691">
      <c r="AI691" s="111"/>
      <c r="AV691" s="111"/>
      <c r="AW691" s="111"/>
      <c r="AX691" s="111"/>
      <c r="AY691" s="111"/>
      <c r="AZ691" s="111"/>
      <c r="BA691" s="111"/>
      <c r="BB691" s="111"/>
    </row>
    <row r="692">
      <c r="AI692" s="111"/>
      <c r="AV692" s="111"/>
      <c r="AW692" s="111"/>
      <c r="AX692" s="111"/>
      <c r="AY692" s="111"/>
      <c r="AZ692" s="111"/>
      <c r="BA692" s="111"/>
      <c r="BB692" s="111"/>
    </row>
    <row r="693">
      <c r="AI693" s="111"/>
      <c r="AV693" s="111"/>
      <c r="AW693" s="111"/>
      <c r="AX693" s="111"/>
      <c r="AY693" s="111"/>
      <c r="AZ693" s="111"/>
      <c r="BA693" s="111"/>
      <c r="BB693" s="111"/>
    </row>
    <row r="694">
      <c r="AI694" s="111"/>
      <c r="AV694" s="111"/>
      <c r="AW694" s="111"/>
      <c r="AX694" s="111"/>
      <c r="AY694" s="111"/>
      <c r="AZ694" s="111"/>
      <c r="BA694" s="111"/>
      <c r="BB694" s="111"/>
    </row>
    <row r="695">
      <c r="AI695" s="111"/>
      <c r="AV695" s="111"/>
      <c r="AW695" s="111"/>
      <c r="AX695" s="111"/>
      <c r="AY695" s="111"/>
      <c r="AZ695" s="111"/>
      <c r="BA695" s="111"/>
      <c r="BB695" s="111"/>
    </row>
    <row r="696">
      <c r="AI696" s="111"/>
      <c r="AV696" s="111"/>
      <c r="AW696" s="111"/>
      <c r="AX696" s="111"/>
      <c r="AY696" s="111"/>
      <c r="AZ696" s="111"/>
      <c r="BA696" s="111"/>
      <c r="BB696" s="111"/>
    </row>
    <row r="697">
      <c r="AI697" s="111"/>
      <c r="AV697" s="111"/>
      <c r="AW697" s="111"/>
      <c r="AX697" s="111"/>
      <c r="AY697" s="111"/>
      <c r="AZ697" s="111"/>
      <c r="BA697" s="111"/>
      <c r="BB697" s="111"/>
    </row>
    <row r="698">
      <c r="AI698" s="111"/>
      <c r="AV698" s="111"/>
      <c r="AW698" s="111"/>
      <c r="AX698" s="111"/>
      <c r="AY698" s="111"/>
      <c r="AZ698" s="111"/>
      <c r="BA698" s="111"/>
      <c r="BB698" s="111"/>
    </row>
    <row r="699">
      <c r="AI699" s="111"/>
      <c r="AV699" s="111"/>
      <c r="AW699" s="111"/>
      <c r="AX699" s="111"/>
      <c r="AY699" s="111"/>
      <c r="AZ699" s="111"/>
      <c r="BA699" s="111"/>
      <c r="BB699" s="111"/>
    </row>
    <row r="700">
      <c r="AI700" s="111"/>
      <c r="AV700" s="111"/>
      <c r="AW700" s="111"/>
      <c r="AX700" s="111"/>
      <c r="AY700" s="111"/>
      <c r="AZ700" s="111"/>
      <c r="BA700" s="111"/>
      <c r="BB700" s="111"/>
    </row>
    <row r="701">
      <c r="AI701" s="111"/>
      <c r="AV701" s="111"/>
      <c r="AW701" s="111"/>
      <c r="AX701" s="111"/>
      <c r="AY701" s="111"/>
      <c r="AZ701" s="111"/>
      <c r="BA701" s="111"/>
      <c r="BB701" s="111"/>
    </row>
    <row r="702">
      <c r="AI702" s="111"/>
      <c r="AV702" s="111"/>
      <c r="AW702" s="111"/>
      <c r="AX702" s="111"/>
      <c r="AY702" s="111"/>
      <c r="AZ702" s="111"/>
      <c r="BA702" s="111"/>
      <c r="BB702" s="111"/>
    </row>
    <row r="703">
      <c r="AI703" s="111"/>
      <c r="AV703" s="111"/>
      <c r="AW703" s="111"/>
      <c r="AX703" s="111"/>
      <c r="AY703" s="111"/>
      <c r="AZ703" s="111"/>
      <c r="BA703" s="111"/>
      <c r="BB703" s="111"/>
    </row>
    <row r="704">
      <c r="AI704" s="111"/>
      <c r="AV704" s="111"/>
      <c r="AW704" s="111"/>
      <c r="AX704" s="111"/>
      <c r="AY704" s="111"/>
      <c r="AZ704" s="111"/>
      <c r="BA704" s="111"/>
      <c r="BB704" s="111"/>
    </row>
    <row r="705">
      <c r="AI705" s="111"/>
      <c r="AV705" s="111"/>
      <c r="AW705" s="111"/>
      <c r="AX705" s="111"/>
      <c r="AY705" s="111"/>
      <c r="AZ705" s="111"/>
      <c r="BA705" s="111"/>
      <c r="BB705" s="111"/>
    </row>
    <row r="706">
      <c r="AI706" s="111"/>
      <c r="AV706" s="111"/>
      <c r="AW706" s="111"/>
      <c r="AX706" s="111"/>
      <c r="AY706" s="111"/>
      <c r="AZ706" s="111"/>
      <c r="BA706" s="111"/>
      <c r="BB706" s="111"/>
    </row>
    <row r="707">
      <c r="AI707" s="111"/>
      <c r="AV707" s="111"/>
      <c r="AW707" s="111"/>
      <c r="AX707" s="111"/>
      <c r="AY707" s="111"/>
      <c r="AZ707" s="111"/>
      <c r="BA707" s="111"/>
      <c r="BB707" s="111"/>
    </row>
    <row r="708">
      <c r="AI708" s="111"/>
      <c r="AV708" s="111"/>
      <c r="AW708" s="111"/>
      <c r="AX708" s="111"/>
      <c r="AY708" s="111"/>
      <c r="AZ708" s="111"/>
      <c r="BA708" s="111"/>
      <c r="BB708" s="111"/>
    </row>
    <row r="709">
      <c r="AI709" s="111"/>
      <c r="AV709" s="111"/>
      <c r="AW709" s="111"/>
      <c r="AX709" s="111"/>
      <c r="AY709" s="111"/>
      <c r="AZ709" s="111"/>
      <c r="BA709" s="111"/>
      <c r="BB709" s="111"/>
    </row>
    <row r="710">
      <c r="AI710" s="111"/>
      <c r="AV710" s="111"/>
      <c r="AW710" s="111"/>
      <c r="AX710" s="111"/>
      <c r="AY710" s="111"/>
      <c r="AZ710" s="111"/>
      <c r="BA710" s="111"/>
      <c r="BB710" s="111"/>
    </row>
    <row r="711">
      <c r="AI711" s="111"/>
      <c r="AV711" s="111"/>
      <c r="AW711" s="111"/>
      <c r="AX711" s="111"/>
      <c r="AY711" s="111"/>
      <c r="AZ711" s="111"/>
      <c r="BA711" s="111"/>
      <c r="BB711" s="111"/>
    </row>
    <row r="712">
      <c r="AI712" s="111"/>
      <c r="AV712" s="111"/>
      <c r="AW712" s="111"/>
      <c r="AX712" s="111"/>
      <c r="AY712" s="111"/>
      <c r="AZ712" s="111"/>
      <c r="BA712" s="111"/>
      <c r="BB712" s="111"/>
    </row>
    <row r="713">
      <c r="AI713" s="111"/>
      <c r="AV713" s="111"/>
      <c r="AW713" s="111"/>
      <c r="AX713" s="111"/>
      <c r="AY713" s="111"/>
      <c r="AZ713" s="111"/>
      <c r="BA713" s="111"/>
      <c r="BB713" s="111"/>
    </row>
    <row r="714">
      <c r="AI714" s="111"/>
      <c r="AV714" s="111"/>
      <c r="AW714" s="111"/>
      <c r="AX714" s="111"/>
      <c r="AY714" s="111"/>
      <c r="AZ714" s="111"/>
      <c r="BA714" s="111"/>
      <c r="BB714" s="111"/>
    </row>
    <row r="715">
      <c r="AI715" s="111"/>
      <c r="AV715" s="111"/>
      <c r="AW715" s="111"/>
      <c r="AX715" s="111"/>
      <c r="AY715" s="111"/>
      <c r="AZ715" s="111"/>
      <c r="BA715" s="111"/>
      <c r="BB715" s="111"/>
    </row>
    <row r="716">
      <c r="AI716" s="111"/>
      <c r="AV716" s="111"/>
      <c r="AW716" s="111"/>
      <c r="AX716" s="111"/>
      <c r="AY716" s="111"/>
      <c r="AZ716" s="111"/>
      <c r="BA716" s="111"/>
      <c r="BB716" s="111"/>
    </row>
    <row r="717">
      <c r="AI717" s="111"/>
      <c r="AV717" s="111"/>
      <c r="AW717" s="111"/>
      <c r="AX717" s="111"/>
      <c r="AY717" s="111"/>
      <c r="AZ717" s="111"/>
      <c r="BA717" s="111"/>
      <c r="BB717" s="111"/>
    </row>
    <row r="718">
      <c r="AI718" s="111"/>
      <c r="AV718" s="111"/>
      <c r="AW718" s="111"/>
      <c r="AX718" s="111"/>
      <c r="AY718" s="111"/>
      <c r="AZ718" s="111"/>
      <c r="BA718" s="111"/>
      <c r="BB718" s="111"/>
    </row>
    <row r="719">
      <c r="AI719" s="111"/>
      <c r="AV719" s="111"/>
      <c r="AW719" s="111"/>
      <c r="AX719" s="111"/>
      <c r="AY719" s="111"/>
      <c r="AZ719" s="111"/>
      <c r="BA719" s="111"/>
      <c r="BB719" s="111"/>
    </row>
    <row r="720">
      <c r="AI720" s="111"/>
      <c r="AV720" s="111"/>
      <c r="AW720" s="111"/>
      <c r="AX720" s="111"/>
      <c r="AY720" s="111"/>
      <c r="AZ720" s="111"/>
      <c r="BA720" s="111"/>
      <c r="BB720" s="111"/>
    </row>
    <row r="721">
      <c r="AI721" s="111"/>
      <c r="AV721" s="111"/>
      <c r="AW721" s="111"/>
      <c r="AX721" s="111"/>
      <c r="AY721" s="111"/>
      <c r="AZ721" s="111"/>
      <c r="BA721" s="111"/>
      <c r="BB721" s="111"/>
    </row>
    <row r="722">
      <c r="AI722" s="111"/>
      <c r="AV722" s="111"/>
      <c r="AW722" s="111"/>
      <c r="AX722" s="111"/>
      <c r="AY722" s="111"/>
      <c r="AZ722" s="111"/>
      <c r="BA722" s="111"/>
      <c r="BB722" s="111"/>
    </row>
    <row r="723">
      <c r="AI723" s="111"/>
      <c r="AV723" s="111"/>
      <c r="AW723" s="111"/>
      <c r="AX723" s="111"/>
      <c r="AY723" s="111"/>
      <c r="AZ723" s="111"/>
      <c r="BA723" s="111"/>
      <c r="BB723" s="111"/>
    </row>
    <row r="724">
      <c r="AI724" s="111"/>
      <c r="AV724" s="111"/>
      <c r="AW724" s="111"/>
      <c r="AX724" s="111"/>
      <c r="AY724" s="111"/>
      <c r="AZ724" s="111"/>
      <c r="BA724" s="111"/>
      <c r="BB724" s="111"/>
    </row>
    <row r="725">
      <c r="AI725" s="111"/>
      <c r="AV725" s="111"/>
      <c r="AW725" s="111"/>
      <c r="AX725" s="111"/>
      <c r="AY725" s="111"/>
      <c r="AZ725" s="111"/>
      <c r="BA725" s="111"/>
      <c r="BB725" s="111"/>
    </row>
    <row r="726">
      <c r="AI726" s="111"/>
      <c r="AV726" s="111"/>
      <c r="AW726" s="111"/>
      <c r="AX726" s="111"/>
      <c r="AY726" s="111"/>
      <c r="AZ726" s="111"/>
      <c r="BA726" s="111"/>
      <c r="BB726" s="111"/>
    </row>
    <row r="727">
      <c r="AI727" s="111"/>
      <c r="AV727" s="111"/>
      <c r="AW727" s="111"/>
      <c r="AX727" s="111"/>
      <c r="AY727" s="111"/>
      <c r="AZ727" s="111"/>
      <c r="BA727" s="111"/>
      <c r="BB727" s="111"/>
    </row>
    <row r="728">
      <c r="AI728" s="111"/>
      <c r="AV728" s="111"/>
      <c r="AW728" s="111"/>
      <c r="AX728" s="111"/>
      <c r="AY728" s="111"/>
      <c r="AZ728" s="111"/>
      <c r="BA728" s="111"/>
      <c r="BB728" s="111"/>
    </row>
    <row r="729">
      <c r="AI729" s="111"/>
      <c r="AV729" s="111"/>
      <c r="AW729" s="111"/>
      <c r="AX729" s="111"/>
      <c r="AY729" s="111"/>
      <c r="AZ729" s="111"/>
      <c r="BA729" s="111"/>
      <c r="BB729" s="111"/>
    </row>
    <row r="730">
      <c r="AI730" s="111"/>
      <c r="AV730" s="111"/>
      <c r="AW730" s="111"/>
      <c r="AX730" s="111"/>
      <c r="AY730" s="111"/>
      <c r="AZ730" s="111"/>
      <c r="BA730" s="111"/>
      <c r="BB730" s="111"/>
    </row>
    <row r="731">
      <c r="AI731" s="111"/>
      <c r="AV731" s="111"/>
      <c r="AW731" s="111"/>
      <c r="AX731" s="111"/>
      <c r="AY731" s="111"/>
      <c r="AZ731" s="111"/>
      <c r="BA731" s="111"/>
      <c r="BB731" s="111"/>
    </row>
    <row r="732">
      <c r="AI732" s="111"/>
      <c r="AV732" s="111"/>
      <c r="AW732" s="111"/>
      <c r="AX732" s="111"/>
      <c r="AY732" s="111"/>
      <c r="AZ732" s="111"/>
      <c r="BA732" s="111"/>
      <c r="BB732" s="111"/>
    </row>
    <row r="733">
      <c r="AI733" s="111"/>
      <c r="AV733" s="111"/>
      <c r="AW733" s="111"/>
      <c r="AX733" s="111"/>
      <c r="AY733" s="111"/>
      <c r="AZ733" s="111"/>
      <c r="BA733" s="111"/>
      <c r="BB733" s="111"/>
    </row>
    <row r="734">
      <c r="AI734" s="111"/>
      <c r="AV734" s="111"/>
      <c r="AW734" s="111"/>
      <c r="AX734" s="111"/>
      <c r="AY734" s="111"/>
      <c r="AZ734" s="111"/>
      <c r="BA734" s="111"/>
      <c r="BB734" s="111"/>
    </row>
    <row r="735">
      <c r="AI735" s="111"/>
      <c r="AV735" s="111"/>
      <c r="AW735" s="111"/>
      <c r="AX735" s="111"/>
      <c r="AY735" s="111"/>
      <c r="AZ735" s="111"/>
      <c r="BA735" s="111"/>
      <c r="BB735" s="111"/>
    </row>
    <row r="736">
      <c r="AI736" s="111"/>
      <c r="AV736" s="111"/>
      <c r="AW736" s="111"/>
      <c r="AX736" s="111"/>
      <c r="AY736" s="111"/>
      <c r="AZ736" s="111"/>
      <c r="BA736" s="111"/>
      <c r="BB736" s="111"/>
    </row>
    <row r="737">
      <c r="AI737" s="111"/>
      <c r="AV737" s="111"/>
      <c r="AW737" s="111"/>
      <c r="AX737" s="111"/>
      <c r="AY737" s="111"/>
      <c r="AZ737" s="111"/>
      <c r="BA737" s="111"/>
      <c r="BB737" s="111"/>
    </row>
    <row r="738">
      <c r="AI738" s="111"/>
      <c r="AV738" s="111"/>
      <c r="AW738" s="111"/>
      <c r="AX738" s="111"/>
      <c r="AY738" s="111"/>
      <c r="AZ738" s="111"/>
      <c r="BA738" s="111"/>
      <c r="BB738" s="111"/>
    </row>
    <row r="739">
      <c r="AI739" s="111"/>
      <c r="AV739" s="111"/>
      <c r="AW739" s="111"/>
      <c r="AX739" s="111"/>
      <c r="AY739" s="111"/>
      <c r="AZ739" s="111"/>
      <c r="BA739" s="111"/>
      <c r="BB739" s="111"/>
    </row>
    <row r="740">
      <c r="AI740" s="111"/>
      <c r="AV740" s="111"/>
      <c r="AW740" s="111"/>
      <c r="AX740" s="111"/>
      <c r="AY740" s="111"/>
      <c r="AZ740" s="111"/>
      <c r="BA740" s="111"/>
      <c r="BB740" s="111"/>
    </row>
    <row r="741">
      <c r="AI741" s="111"/>
      <c r="AV741" s="111"/>
      <c r="AW741" s="111"/>
      <c r="AX741" s="111"/>
      <c r="AY741" s="111"/>
      <c r="AZ741" s="111"/>
      <c r="BA741" s="111"/>
      <c r="BB741" s="111"/>
    </row>
    <row r="742">
      <c r="AI742" s="111"/>
      <c r="AV742" s="111"/>
      <c r="AW742" s="111"/>
      <c r="AX742" s="111"/>
      <c r="AY742" s="111"/>
      <c r="AZ742" s="111"/>
      <c r="BA742" s="111"/>
      <c r="BB742" s="111"/>
    </row>
    <row r="743">
      <c r="AI743" s="111"/>
      <c r="AV743" s="111"/>
      <c r="AW743" s="111"/>
      <c r="AX743" s="111"/>
      <c r="AY743" s="111"/>
      <c r="AZ743" s="111"/>
      <c r="BA743" s="111"/>
      <c r="BB743" s="111"/>
    </row>
    <row r="744">
      <c r="AI744" s="111"/>
      <c r="AV744" s="111"/>
      <c r="AW744" s="111"/>
      <c r="AX744" s="111"/>
      <c r="AY744" s="111"/>
      <c r="AZ744" s="111"/>
      <c r="BA744" s="111"/>
      <c r="BB744" s="111"/>
    </row>
    <row r="745">
      <c r="AI745" s="111"/>
      <c r="AV745" s="111"/>
      <c r="AW745" s="111"/>
      <c r="AX745" s="111"/>
      <c r="AY745" s="111"/>
      <c r="AZ745" s="111"/>
      <c r="BA745" s="111"/>
      <c r="BB745" s="111"/>
    </row>
    <row r="746">
      <c r="AI746" s="111"/>
      <c r="AV746" s="111"/>
      <c r="AW746" s="111"/>
      <c r="AX746" s="111"/>
      <c r="AY746" s="111"/>
      <c r="AZ746" s="111"/>
      <c r="BA746" s="111"/>
      <c r="BB746" s="111"/>
    </row>
    <row r="747">
      <c r="AI747" s="111"/>
      <c r="AV747" s="111"/>
      <c r="AW747" s="111"/>
      <c r="AX747" s="111"/>
      <c r="AY747" s="111"/>
      <c r="AZ747" s="111"/>
      <c r="BA747" s="111"/>
      <c r="BB747" s="111"/>
    </row>
    <row r="748">
      <c r="AI748" s="111"/>
      <c r="AV748" s="111"/>
      <c r="AW748" s="111"/>
      <c r="AX748" s="111"/>
      <c r="AY748" s="111"/>
      <c r="AZ748" s="111"/>
      <c r="BA748" s="111"/>
      <c r="BB748" s="111"/>
    </row>
    <row r="749">
      <c r="AI749" s="111"/>
      <c r="AV749" s="111"/>
      <c r="AW749" s="111"/>
      <c r="AX749" s="111"/>
      <c r="AY749" s="111"/>
      <c r="AZ749" s="111"/>
      <c r="BA749" s="111"/>
      <c r="BB749" s="111"/>
    </row>
    <row r="750">
      <c r="AI750" s="111"/>
      <c r="AV750" s="111"/>
      <c r="AW750" s="111"/>
      <c r="AX750" s="111"/>
      <c r="AY750" s="111"/>
      <c r="AZ750" s="111"/>
      <c r="BA750" s="111"/>
      <c r="BB750" s="111"/>
    </row>
    <row r="751">
      <c r="AI751" s="111"/>
      <c r="AV751" s="111"/>
      <c r="AW751" s="111"/>
      <c r="AX751" s="111"/>
      <c r="AY751" s="111"/>
      <c r="AZ751" s="111"/>
      <c r="BA751" s="111"/>
      <c r="BB751" s="111"/>
    </row>
    <row r="752">
      <c r="AI752" s="111"/>
      <c r="AV752" s="111"/>
      <c r="AW752" s="111"/>
      <c r="AX752" s="111"/>
      <c r="AY752" s="111"/>
      <c r="AZ752" s="111"/>
      <c r="BA752" s="111"/>
      <c r="BB752" s="111"/>
    </row>
    <row r="753">
      <c r="AI753" s="111"/>
      <c r="AV753" s="111"/>
      <c r="AW753" s="111"/>
      <c r="AX753" s="111"/>
      <c r="AY753" s="111"/>
      <c r="AZ753" s="111"/>
      <c r="BA753" s="111"/>
      <c r="BB753" s="111"/>
    </row>
    <row r="754">
      <c r="AI754" s="111"/>
      <c r="AV754" s="111"/>
      <c r="AW754" s="111"/>
      <c r="AX754" s="111"/>
      <c r="AY754" s="111"/>
      <c r="AZ754" s="111"/>
      <c r="BA754" s="111"/>
      <c r="BB754" s="111"/>
    </row>
    <row r="755">
      <c r="AI755" s="111"/>
      <c r="AV755" s="111"/>
      <c r="AW755" s="111"/>
      <c r="AX755" s="111"/>
      <c r="AY755" s="111"/>
      <c r="AZ755" s="111"/>
      <c r="BA755" s="111"/>
      <c r="BB755" s="111"/>
    </row>
    <row r="756">
      <c r="AI756" s="111"/>
      <c r="AV756" s="111"/>
      <c r="AW756" s="111"/>
      <c r="AX756" s="111"/>
      <c r="AY756" s="111"/>
      <c r="AZ756" s="111"/>
      <c r="BA756" s="111"/>
      <c r="BB756" s="111"/>
    </row>
    <row r="757">
      <c r="AI757" s="111"/>
      <c r="AV757" s="111"/>
      <c r="AW757" s="111"/>
      <c r="AX757" s="111"/>
      <c r="AY757" s="111"/>
      <c r="AZ757" s="111"/>
      <c r="BA757" s="111"/>
      <c r="BB757" s="111"/>
    </row>
    <row r="758">
      <c r="AI758" s="111"/>
      <c r="AV758" s="111"/>
      <c r="AW758" s="111"/>
      <c r="AX758" s="111"/>
      <c r="AY758" s="111"/>
      <c r="AZ758" s="111"/>
      <c r="BA758" s="111"/>
      <c r="BB758" s="111"/>
    </row>
    <row r="759">
      <c r="AI759" s="111"/>
      <c r="AV759" s="111"/>
      <c r="AW759" s="111"/>
      <c r="AX759" s="111"/>
      <c r="AY759" s="111"/>
      <c r="AZ759" s="111"/>
      <c r="BA759" s="111"/>
      <c r="BB759" s="111"/>
    </row>
    <row r="760">
      <c r="AI760" s="111"/>
      <c r="AV760" s="111"/>
      <c r="AW760" s="111"/>
      <c r="AX760" s="111"/>
      <c r="AY760" s="111"/>
      <c r="AZ760" s="111"/>
      <c r="BA760" s="111"/>
      <c r="BB760" s="111"/>
    </row>
    <row r="761">
      <c r="AI761" s="111"/>
      <c r="AV761" s="111"/>
      <c r="AW761" s="111"/>
      <c r="AX761" s="111"/>
      <c r="AY761" s="111"/>
      <c r="AZ761" s="111"/>
      <c r="BA761" s="111"/>
      <c r="BB761" s="111"/>
    </row>
    <row r="762">
      <c r="AI762" s="111"/>
      <c r="AV762" s="111"/>
      <c r="AW762" s="111"/>
      <c r="AX762" s="111"/>
      <c r="AY762" s="111"/>
      <c r="AZ762" s="111"/>
      <c r="BA762" s="111"/>
      <c r="BB762" s="111"/>
    </row>
    <row r="763">
      <c r="AI763" s="111"/>
      <c r="AV763" s="111"/>
      <c r="AW763" s="111"/>
      <c r="AX763" s="111"/>
      <c r="AY763" s="111"/>
      <c r="AZ763" s="111"/>
      <c r="BA763" s="111"/>
      <c r="BB763" s="111"/>
    </row>
    <row r="764">
      <c r="AI764" s="111"/>
      <c r="AV764" s="111"/>
      <c r="AW764" s="111"/>
      <c r="AX764" s="111"/>
      <c r="AY764" s="111"/>
      <c r="AZ764" s="111"/>
      <c r="BA764" s="111"/>
      <c r="BB764" s="111"/>
    </row>
    <row r="765">
      <c r="AI765" s="111"/>
      <c r="AV765" s="111"/>
      <c r="AW765" s="111"/>
      <c r="AX765" s="111"/>
      <c r="AY765" s="111"/>
      <c r="AZ765" s="111"/>
      <c r="BA765" s="111"/>
      <c r="BB765" s="111"/>
    </row>
    <row r="766">
      <c r="AI766" s="111"/>
      <c r="AV766" s="111"/>
      <c r="AW766" s="111"/>
      <c r="AX766" s="111"/>
      <c r="AY766" s="111"/>
      <c r="AZ766" s="111"/>
      <c r="BA766" s="111"/>
      <c r="BB766" s="111"/>
    </row>
    <row r="767">
      <c r="AI767" s="111"/>
      <c r="AV767" s="111"/>
      <c r="AW767" s="111"/>
      <c r="AX767" s="111"/>
      <c r="AY767" s="111"/>
      <c r="AZ767" s="111"/>
      <c r="BA767" s="111"/>
      <c r="BB767" s="111"/>
    </row>
    <row r="768">
      <c r="AI768" s="111"/>
      <c r="AV768" s="111"/>
      <c r="AW768" s="111"/>
      <c r="AX768" s="111"/>
      <c r="AY768" s="111"/>
      <c r="AZ768" s="111"/>
      <c r="BA768" s="111"/>
      <c r="BB768" s="111"/>
    </row>
    <row r="769">
      <c r="AI769" s="111"/>
      <c r="AV769" s="111"/>
      <c r="AW769" s="111"/>
      <c r="AX769" s="111"/>
      <c r="AY769" s="111"/>
      <c r="AZ769" s="111"/>
      <c r="BA769" s="111"/>
      <c r="BB769" s="111"/>
    </row>
    <row r="770">
      <c r="AI770" s="111"/>
      <c r="AV770" s="111"/>
      <c r="AW770" s="111"/>
      <c r="AX770" s="111"/>
      <c r="AY770" s="111"/>
      <c r="AZ770" s="111"/>
      <c r="BA770" s="111"/>
      <c r="BB770" s="111"/>
    </row>
    <row r="771">
      <c r="AI771" s="111"/>
      <c r="AV771" s="111"/>
      <c r="AW771" s="111"/>
      <c r="AX771" s="111"/>
      <c r="AY771" s="111"/>
      <c r="AZ771" s="111"/>
      <c r="BA771" s="111"/>
      <c r="BB771" s="111"/>
    </row>
    <row r="772">
      <c r="AI772" s="111"/>
      <c r="AV772" s="111"/>
      <c r="AW772" s="111"/>
      <c r="AX772" s="111"/>
      <c r="AY772" s="111"/>
      <c r="AZ772" s="111"/>
      <c r="BA772" s="111"/>
      <c r="BB772" s="111"/>
    </row>
    <row r="773">
      <c r="AI773" s="111"/>
      <c r="AV773" s="111"/>
      <c r="AW773" s="111"/>
      <c r="AX773" s="111"/>
      <c r="AY773" s="111"/>
      <c r="AZ773" s="111"/>
      <c r="BA773" s="111"/>
      <c r="BB773" s="111"/>
    </row>
    <row r="774">
      <c r="AI774" s="111"/>
      <c r="AV774" s="111"/>
      <c r="AW774" s="111"/>
      <c r="AX774" s="111"/>
      <c r="AY774" s="111"/>
      <c r="AZ774" s="111"/>
      <c r="BA774" s="111"/>
      <c r="BB774" s="111"/>
    </row>
    <row r="775">
      <c r="AI775" s="111"/>
      <c r="AV775" s="111"/>
      <c r="AW775" s="111"/>
      <c r="AX775" s="111"/>
      <c r="AY775" s="111"/>
      <c r="AZ775" s="111"/>
      <c r="BA775" s="111"/>
      <c r="BB775" s="111"/>
    </row>
    <row r="776">
      <c r="AI776" s="111"/>
      <c r="AV776" s="111"/>
      <c r="AW776" s="111"/>
      <c r="AX776" s="111"/>
      <c r="AY776" s="111"/>
      <c r="AZ776" s="111"/>
      <c r="BA776" s="111"/>
      <c r="BB776" s="111"/>
    </row>
    <row r="777">
      <c r="AI777" s="111"/>
      <c r="AV777" s="111"/>
      <c r="AW777" s="111"/>
      <c r="AX777" s="111"/>
      <c r="AY777" s="111"/>
      <c r="AZ777" s="111"/>
      <c r="BA777" s="111"/>
      <c r="BB777" s="111"/>
    </row>
    <row r="778">
      <c r="AI778" s="111"/>
      <c r="AV778" s="111"/>
      <c r="AW778" s="111"/>
      <c r="AX778" s="111"/>
      <c r="AY778" s="111"/>
      <c r="AZ778" s="111"/>
      <c r="BA778" s="111"/>
      <c r="BB778" s="111"/>
    </row>
    <row r="779">
      <c r="AI779" s="111"/>
      <c r="AV779" s="111"/>
      <c r="AW779" s="111"/>
      <c r="AX779" s="111"/>
      <c r="AY779" s="111"/>
      <c r="AZ779" s="111"/>
      <c r="BA779" s="111"/>
      <c r="BB779" s="111"/>
    </row>
    <row r="780">
      <c r="AI780" s="111"/>
      <c r="AV780" s="111"/>
      <c r="AW780" s="111"/>
      <c r="AX780" s="111"/>
      <c r="AY780" s="111"/>
      <c r="AZ780" s="111"/>
      <c r="BA780" s="111"/>
      <c r="BB780" s="111"/>
    </row>
    <row r="781">
      <c r="AI781" s="111"/>
      <c r="AV781" s="111"/>
      <c r="AW781" s="111"/>
      <c r="AX781" s="111"/>
      <c r="AY781" s="111"/>
      <c r="AZ781" s="111"/>
      <c r="BA781" s="111"/>
      <c r="BB781" s="111"/>
    </row>
    <row r="782">
      <c r="AI782" s="111"/>
      <c r="AV782" s="111"/>
      <c r="AW782" s="111"/>
      <c r="AX782" s="111"/>
      <c r="AY782" s="111"/>
      <c r="AZ782" s="111"/>
      <c r="BA782" s="111"/>
      <c r="BB782" s="111"/>
    </row>
    <row r="783">
      <c r="AI783" s="111"/>
      <c r="AV783" s="111"/>
      <c r="AW783" s="111"/>
      <c r="AX783" s="111"/>
      <c r="AY783" s="111"/>
      <c r="AZ783" s="111"/>
      <c r="BA783" s="111"/>
      <c r="BB783" s="111"/>
    </row>
    <row r="784">
      <c r="AI784" s="111"/>
      <c r="AV784" s="111"/>
      <c r="AW784" s="111"/>
      <c r="AX784" s="111"/>
      <c r="AY784" s="111"/>
      <c r="AZ784" s="111"/>
      <c r="BA784" s="111"/>
      <c r="BB784" s="111"/>
    </row>
    <row r="785">
      <c r="AI785" s="111"/>
      <c r="AV785" s="111"/>
      <c r="AW785" s="111"/>
      <c r="AX785" s="111"/>
      <c r="AY785" s="111"/>
      <c r="AZ785" s="111"/>
      <c r="BA785" s="111"/>
      <c r="BB785" s="111"/>
    </row>
    <row r="786">
      <c r="AI786" s="111"/>
      <c r="AV786" s="111"/>
      <c r="AW786" s="111"/>
      <c r="AX786" s="111"/>
      <c r="AY786" s="111"/>
      <c r="AZ786" s="111"/>
      <c r="BA786" s="111"/>
      <c r="BB786" s="111"/>
    </row>
    <row r="787">
      <c r="AI787" s="111"/>
      <c r="AV787" s="111"/>
      <c r="AW787" s="111"/>
      <c r="AX787" s="111"/>
      <c r="AY787" s="111"/>
      <c r="AZ787" s="111"/>
      <c r="BA787" s="111"/>
      <c r="BB787" s="111"/>
    </row>
    <row r="788">
      <c r="AI788" s="111"/>
      <c r="AV788" s="111"/>
      <c r="AW788" s="111"/>
      <c r="AX788" s="111"/>
      <c r="AY788" s="111"/>
      <c r="AZ788" s="111"/>
      <c r="BA788" s="111"/>
      <c r="BB788" s="111"/>
    </row>
    <row r="789">
      <c r="AI789" s="111"/>
      <c r="AV789" s="111"/>
      <c r="AW789" s="111"/>
      <c r="AX789" s="111"/>
      <c r="AY789" s="111"/>
      <c r="AZ789" s="111"/>
      <c r="BA789" s="111"/>
      <c r="BB789" s="111"/>
    </row>
    <row r="790">
      <c r="AI790" s="111"/>
      <c r="AV790" s="111"/>
      <c r="AW790" s="111"/>
      <c r="AX790" s="111"/>
      <c r="AY790" s="111"/>
      <c r="AZ790" s="111"/>
      <c r="BA790" s="111"/>
      <c r="BB790" s="111"/>
    </row>
    <row r="791">
      <c r="AI791" s="111"/>
      <c r="AV791" s="111"/>
      <c r="AW791" s="111"/>
      <c r="AX791" s="111"/>
      <c r="AY791" s="111"/>
      <c r="AZ791" s="111"/>
      <c r="BA791" s="111"/>
      <c r="BB791" s="111"/>
    </row>
    <row r="792">
      <c r="AI792" s="111"/>
      <c r="AV792" s="111"/>
      <c r="AW792" s="111"/>
      <c r="AX792" s="111"/>
      <c r="AY792" s="111"/>
      <c r="AZ792" s="111"/>
      <c r="BA792" s="111"/>
      <c r="BB792" s="111"/>
    </row>
    <row r="793">
      <c r="AI793" s="111"/>
      <c r="AV793" s="111"/>
      <c r="AW793" s="111"/>
      <c r="AX793" s="111"/>
      <c r="AY793" s="111"/>
      <c r="AZ793" s="111"/>
      <c r="BA793" s="111"/>
      <c r="BB793" s="111"/>
    </row>
    <row r="794">
      <c r="AI794" s="111"/>
      <c r="AV794" s="111"/>
      <c r="AW794" s="111"/>
      <c r="AX794" s="111"/>
      <c r="AY794" s="111"/>
      <c r="AZ794" s="111"/>
      <c r="BA794" s="111"/>
      <c r="BB794" s="111"/>
    </row>
    <row r="795">
      <c r="AI795" s="111"/>
      <c r="AV795" s="111"/>
      <c r="AW795" s="111"/>
      <c r="AX795" s="111"/>
      <c r="AY795" s="111"/>
      <c r="AZ795" s="111"/>
      <c r="BA795" s="111"/>
      <c r="BB795" s="111"/>
    </row>
    <row r="796">
      <c r="AI796" s="111"/>
      <c r="AV796" s="111"/>
      <c r="AW796" s="111"/>
      <c r="AX796" s="111"/>
      <c r="AY796" s="111"/>
      <c r="AZ796" s="111"/>
      <c r="BA796" s="111"/>
      <c r="BB796" s="111"/>
    </row>
    <row r="797">
      <c r="AI797" s="111"/>
      <c r="AV797" s="111"/>
      <c r="AW797" s="111"/>
      <c r="AX797" s="111"/>
      <c r="AY797" s="111"/>
      <c r="AZ797" s="111"/>
      <c r="BA797" s="111"/>
      <c r="BB797" s="111"/>
    </row>
    <row r="798">
      <c r="AI798" s="111"/>
      <c r="AV798" s="111"/>
      <c r="AW798" s="111"/>
      <c r="AX798" s="111"/>
      <c r="AY798" s="111"/>
      <c r="AZ798" s="111"/>
      <c r="BA798" s="111"/>
      <c r="BB798" s="111"/>
    </row>
    <row r="799">
      <c r="AI799" s="111"/>
      <c r="AV799" s="111"/>
      <c r="AW799" s="111"/>
      <c r="AX799" s="111"/>
      <c r="AY799" s="111"/>
      <c r="AZ799" s="111"/>
      <c r="BA799" s="111"/>
      <c r="BB799" s="111"/>
    </row>
    <row r="800">
      <c r="AI800" s="111"/>
      <c r="AV800" s="111"/>
      <c r="AW800" s="111"/>
      <c r="AX800" s="111"/>
      <c r="AY800" s="111"/>
      <c r="AZ800" s="111"/>
      <c r="BA800" s="111"/>
      <c r="BB800" s="111"/>
    </row>
    <row r="801">
      <c r="AI801" s="111"/>
      <c r="AV801" s="111"/>
      <c r="AW801" s="111"/>
      <c r="AX801" s="111"/>
      <c r="AY801" s="111"/>
      <c r="AZ801" s="111"/>
      <c r="BA801" s="111"/>
      <c r="BB801" s="111"/>
    </row>
    <row r="802">
      <c r="AI802" s="111"/>
      <c r="AV802" s="111"/>
      <c r="AW802" s="111"/>
      <c r="AX802" s="111"/>
      <c r="AY802" s="111"/>
      <c r="AZ802" s="111"/>
      <c r="BA802" s="111"/>
      <c r="BB802" s="111"/>
    </row>
    <row r="803">
      <c r="AI803" s="111"/>
      <c r="AV803" s="111"/>
      <c r="AW803" s="111"/>
      <c r="AX803" s="111"/>
      <c r="AY803" s="111"/>
      <c r="AZ803" s="111"/>
      <c r="BA803" s="111"/>
      <c r="BB803" s="111"/>
    </row>
    <row r="804">
      <c r="AI804" s="111"/>
      <c r="AV804" s="111"/>
      <c r="AW804" s="111"/>
      <c r="AX804" s="111"/>
      <c r="AY804" s="111"/>
      <c r="AZ804" s="111"/>
      <c r="BA804" s="111"/>
      <c r="BB804" s="111"/>
    </row>
    <row r="805">
      <c r="AI805" s="111"/>
      <c r="AV805" s="111"/>
      <c r="AW805" s="111"/>
      <c r="AX805" s="111"/>
      <c r="AY805" s="111"/>
      <c r="AZ805" s="111"/>
      <c r="BA805" s="111"/>
      <c r="BB805" s="111"/>
    </row>
    <row r="806">
      <c r="AI806" s="111"/>
      <c r="AV806" s="111"/>
      <c r="AW806" s="111"/>
      <c r="AX806" s="111"/>
      <c r="AY806" s="111"/>
      <c r="AZ806" s="111"/>
      <c r="BA806" s="111"/>
      <c r="BB806" s="111"/>
    </row>
    <row r="807">
      <c r="AI807" s="111"/>
      <c r="AV807" s="111"/>
      <c r="AW807" s="111"/>
      <c r="AX807" s="111"/>
      <c r="AY807" s="111"/>
      <c r="AZ807" s="111"/>
      <c r="BA807" s="111"/>
      <c r="BB807" s="111"/>
    </row>
    <row r="808">
      <c r="AI808" s="111"/>
      <c r="AV808" s="111"/>
      <c r="AW808" s="111"/>
      <c r="AX808" s="111"/>
      <c r="AY808" s="111"/>
      <c r="AZ808" s="111"/>
      <c r="BA808" s="111"/>
      <c r="BB808" s="111"/>
    </row>
    <row r="809">
      <c r="AI809" s="111"/>
      <c r="AV809" s="111"/>
      <c r="AW809" s="111"/>
      <c r="AX809" s="111"/>
      <c r="AY809" s="111"/>
      <c r="AZ809" s="111"/>
      <c r="BA809" s="111"/>
      <c r="BB809" s="111"/>
    </row>
    <row r="810">
      <c r="AI810" s="111"/>
      <c r="AV810" s="111"/>
      <c r="AW810" s="111"/>
      <c r="AX810" s="111"/>
      <c r="AY810" s="111"/>
      <c r="AZ810" s="111"/>
      <c r="BA810" s="111"/>
      <c r="BB810" s="111"/>
    </row>
    <row r="811">
      <c r="AI811" s="111"/>
      <c r="AV811" s="111"/>
      <c r="AW811" s="111"/>
      <c r="AX811" s="111"/>
      <c r="AY811" s="111"/>
      <c r="AZ811" s="111"/>
      <c r="BA811" s="111"/>
      <c r="BB811" s="111"/>
    </row>
    <row r="812">
      <c r="AI812" s="111"/>
      <c r="AV812" s="111"/>
      <c r="AW812" s="111"/>
      <c r="AX812" s="111"/>
      <c r="AY812" s="111"/>
      <c r="AZ812" s="111"/>
      <c r="BA812" s="111"/>
      <c r="BB812" s="111"/>
    </row>
    <row r="813">
      <c r="AI813" s="111"/>
      <c r="AV813" s="111"/>
      <c r="AW813" s="111"/>
      <c r="AX813" s="111"/>
      <c r="AY813" s="111"/>
      <c r="AZ813" s="111"/>
      <c r="BA813" s="111"/>
      <c r="BB813" s="111"/>
    </row>
    <row r="814">
      <c r="AI814" s="111"/>
      <c r="AV814" s="111"/>
      <c r="AW814" s="111"/>
      <c r="AX814" s="111"/>
      <c r="AY814" s="111"/>
      <c r="AZ814" s="111"/>
      <c r="BA814" s="111"/>
      <c r="BB814" s="111"/>
    </row>
    <row r="815">
      <c r="AI815" s="111"/>
      <c r="AV815" s="111"/>
      <c r="AW815" s="111"/>
      <c r="AX815" s="111"/>
      <c r="AY815" s="111"/>
      <c r="AZ815" s="111"/>
      <c r="BA815" s="111"/>
      <c r="BB815" s="111"/>
    </row>
    <row r="816">
      <c r="AI816" s="111"/>
      <c r="AV816" s="111"/>
      <c r="AW816" s="111"/>
      <c r="AX816" s="111"/>
      <c r="AY816" s="111"/>
      <c r="AZ816" s="111"/>
      <c r="BA816" s="111"/>
      <c r="BB816" s="111"/>
    </row>
    <row r="817">
      <c r="AI817" s="111"/>
      <c r="AV817" s="111"/>
      <c r="AW817" s="111"/>
      <c r="AX817" s="111"/>
      <c r="AY817" s="111"/>
      <c r="AZ817" s="111"/>
      <c r="BA817" s="111"/>
      <c r="BB817" s="111"/>
    </row>
    <row r="818">
      <c r="AI818" s="111"/>
      <c r="AV818" s="111"/>
      <c r="AW818" s="111"/>
      <c r="AX818" s="111"/>
      <c r="AY818" s="111"/>
      <c r="AZ818" s="111"/>
      <c r="BA818" s="111"/>
      <c r="BB818" s="111"/>
    </row>
    <row r="819">
      <c r="AI819" s="111"/>
      <c r="AV819" s="111"/>
      <c r="AW819" s="111"/>
      <c r="AX819" s="111"/>
      <c r="AY819" s="111"/>
      <c r="AZ819" s="111"/>
      <c r="BA819" s="111"/>
      <c r="BB819" s="111"/>
    </row>
    <row r="820">
      <c r="AI820" s="111"/>
      <c r="AV820" s="111"/>
      <c r="AW820" s="111"/>
      <c r="AX820" s="111"/>
      <c r="AY820" s="111"/>
      <c r="AZ820" s="111"/>
      <c r="BA820" s="111"/>
      <c r="BB820" s="111"/>
    </row>
    <row r="821">
      <c r="AI821" s="111"/>
      <c r="AV821" s="111"/>
      <c r="AW821" s="111"/>
      <c r="AX821" s="111"/>
      <c r="AY821" s="111"/>
      <c r="AZ821" s="111"/>
      <c r="BA821" s="111"/>
      <c r="BB821" s="111"/>
    </row>
    <row r="822">
      <c r="AI822" s="111"/>
      <c r="AV822" s="111"/>
      <c r="AW822" s="111"/>
      <c r="AX822" s="111"/>
      <c r="AY822" s="111"/>
      <c r="AZ822" s="111"/>
      <c r="BA822" s="111"/>
      <c r="BB822" s="111"/>
    </row>
    <row r="823">
      <c r="AI823" s="111"/>
      <c r="AV823" s="111"/>
      <c r="AW823" s="111"/>
      <c r="AX823" s="111"/>
      <c r="AY823" s="111"/>
      <c r="AZ823" s="111"/>
      <c r="BA823" s="111"/>
      <c r="BB823" s="111"/>
    </row>
    <row r="824">
      <c r="AI824" s="111"/>
      <c r="AV824" s="111"/>
      <c r="AW824" s="111"/>
      <c r="AX824" s="111"/>
      <c r="AY824" s="111"/>
      <c r="AZ824" s="111"/>
      <c r="BA824" s="111"/>
      <c r="BB824" s="111"/>
    </row>
    <row r="825">
      <c r="AI825" s="111"/>
      <c r="AV825" s="111"/>
      <c r="AW825" s="111"/>
      <c r="AX825" s="111"/>
      <c r="AY825" s="111"/>
      <c r="AZ825" s="111"/>
      <c r="BA825" s="111"/>
      <c r="BB825" s="111"/>
    </row>
    <row r="826">
      <c r="AI826" s="111"/>
      <c r="AV826" s="111"/>
      <c r="AW826" s="111"/>
      <c r="AX826" s="111"/>
      <c r="AY826" s="111"/>
      <c r="AZ826" s="111"/>
      <c r="BA826" s="111"/>
      <c r="BB826" s="111"/>
    </row>
    <row r="827">
      <c r="AI827" s="111"/>
      <c r="AV827" s="111"/>
      <c r="AW827" s="111"/>
      <c r="AX827" s="111"/>
      <c r="AY827" s="111"/>
      <c r="AZ827" s="111"/>
      <c r="BA827" s="111"/>
      <c r="BB827" s="111"/>
    </row>
    <row r="828">
      <c r="AI828" s="111"/>
      <c r="AV828" s="111"/>
      <c r="AW828" s="111"/>
      <c r="AX828" s="111"/>
      <c r="AY828" s="111"/>
      <c r="AZ828" s="111"/>
      <c r="BA828" s="111"/>
      <c r="BB828" s="111"/>
    </row>
    <row r="829">
      <c r="AI829" s="111"/>
      <c r="AV829" s="111"/>
      <c r="AW829" s="111"/>
      <c r="AX829" s="111"/>
      <c r="AY829" s="111"/>
      <c r="AZ829" s="111"/>
      <c r="BA829" s="111"/>
      <c r="BB829" s="111"/>
    </row>
    <row r="830">
      <c r="AI830" s="111"/>
      <c r="AV830" s="111"/>
      <c r="AW830" s="111"/>
      <c r="AX830" s="111"/>
      <c r="AY830" s="111"/>
      <c r="AZ830" s="111"/>
      <c r="BA830" s="111"/>
      <c r="BB830" s="111"/>
    </row>
    <row r="831">
      <c r="AI831" s="111"/>
      <c r="AV831" s="111"/>
      <c r="AW831" s="111"/>
      <c r="AX831" s="111"/>
      <c r="AY831" s="111"/>
      <c r="AZ831" s="111"/>
      <c r="BA831" s="111"/>
      <c r="BB831" s="111"/>
    </row>
    <row r="832">
      <c r="AI832" s="111"/>
      <c r="AV832" s="111"/>
      <c r="AW832" s="111"/>
      <c r="AX832" s="111"/>
      <c r="AY832" s="111"/>
      <c r="AZ832" s="111"/>
      <c r="BA832" s="111"/>
      <c r="BB832" s="111"/>
    </row>
    <row r="833">
      <c r="AI833" s="111"/>
      <c r="AV833" s="111"/>
      <c r="AW833" s="111"/>
      <c r="AX833" s="111"/>
      <c r="AY833" s="111"/>
      <c r="AZ833" s="111"/>
      <c r="BA833" s="111"/>
      <c r="BB833" s="111"/>
    </row>
    <row r="834">
      <c r="AI834" s="111"/>
      <c r="AV834" s="111"/>
      <c r="AW834" s="111"/>
      <c r="AX834" s="111"/>
      <c r="AY834" s="111"/>
      <c r="AZ834" s="111"/>
      <c r="BA834" s="111"/>
      <c r="BB834" s="111"/>
    </row>
    <row r="835">
      <c r="AI835" s="111"/>
      <c r="AV835" s="111"/>
      <c r="AW835" s="111"/>
      <c r="AX835" s="111"/>
      <c r="AY835" s="111"/>
      <c r="AZ835" s="111"/>
      <c r="BA835" s="111"/>
      <c r="BB835" s="111"/>
    </row>
    <row r="836">
      <c r="AI836" s="111"/>
      <c r="AV836" s="111"/>
      <c r="AW836" s="111"/>
      <c r="AX836" s="111"/>
      <c r="AY836" s="111"/>
      <c r="AZ836" s="111"/>
      <c r="BA836" s="111"/>
      <c r="BB836" s="111"/>
    </row>
    <row r="837">
      <c r="AI837" s="111"/>
      <c r="AV837" s="111"/>
      <c r="AW837" s="111"/>
      <c r="AX837" s="111"/>
      <c r="AY837" s="111"/>
      <c r="AZ837" s="111"/>
      <c r="BA837" s="111"/>
      <c r="BB837" s="111"/>
    </row>
    <row r="838">
      <c r="AI838" s="111"/>
      <c r="AV838" s="111"/>
      <c r="AW838" s="111"/>
      <c r="AX838" s="111"/>
      <c r="AY838" s="111"/>
      <c r="AZ838" s="111"/>
      <c r="BA838" s="111"/>
      <c r="BB838" s="111"/>
    </row>
    <row r="839">
      <c r="AI839" s="111"/>
      <c r="AV839" s="111"/>
      <c r="AW839" s="111"/>
      <c r="AX839" s="111"/>
      <c r="AY839" s="111"/>
      <c r="AZ839" s="111"/>
      <c r="BA839" s="111"/>
      <c r="BB839" s="111"/>
    </row>
    <row r="840">
      <c r="AI840" s="111"/>
      <c r="AV840" s="111"/>
      <c r="AW840" s="111"/>
      <c r="AX840" s="111"/>
      <c r="AY840" s="111"/>
      <c r="AZ840" s="111"/>
      <c r="BA840" s="111"/>
      <c r="BB840" s="111"/>
    </row>
    <row r="841">
      <c r="AI841" s="111"/>
      <c r="AV841" s="111"/>
      <c r="AW841" s="111"/>
      <c r="AX841" s="111"/>
      <c r="AY841" s="111"/>
      <c r="AZ841" s="111"/>
      <c r="BA841" s="111"/>
      <c r="BB841" s="111"/>
    </row>
    <row r="842">
      <c r="AI842" s="111"/>
      <c r="AV842" s="111"/>
      <c r="AW842" s="111"/>
      <c r="AX842" s="111"/>
      <c r="AY842" s="111"/>
      <c r="AZ842" s="111"/>
      <c r="BA842" s="111"/>
      <c r="BB842" s="111"/>
    </row>
    <row r="843">
      <c r="AI843" s="111"/>
      <c r="AV843" s="111"/>
      <c r="AW843" s="111"/>
      <c r="AX843" s="111"/>
      <c r="AY843" s="111"/>
      <c r="AZ843" s="111"/>
      <c r="BA843" s="111"/>
      <c r="BB843" s="111"/>
    </row>
    <row r="844">
      <c r="AI844" s="111"/>
      <c r="AV844" s="111"/>
      <c r="AW844" s="111"/>
      <c r="AX844" s="111"/>
      <c r="AY844" s="111"/>
      <c r="AZ844" s="111"/>
      <c r="BA844" s="111"/>
      <c r="BB844" s="111"/>
    </row>
    <row r="845">
      <c r="AI845" s="111"/>
      <c r="AV845" s="111"/>
      <c r="AW845" s="111"/>
      <c r="AX845" s="111"/>
      <c r="AY845" s="111"/>
      <c r="AZ845" s="111"/>
      <c r="BA845" s="111"/>
      <c r="BB845" s="111"/>
    </row>
    <row r="846">
      <c r="AI846" s="111"/>
      <c r="AV846" s="111"/>
      <c r="AW846" s="111"/>
      <c r="AX846" s="111"/>
      <c r="AY846" s="111"/>
      <c r="AZ846" s="111"/>
      <c r="BA846" s="111"/>
      <c r="BB846" s="111"/>
    </row>
    <row r="847">
      <c r="AI847" s="111"/>
      <c r="AV847" s="111"/>
      <c r="AW847" s="111"/>
      <c r="AX847" s="111"/>
      <c r="AY847" s="111"/>
      <c r="AZ847" s="111"/>
      <c r="BA847" s="111"/>
      <c r="BB847" s="111"/>
    </row>
    <row r="848">
      <c r="AI848" s="111"/>
      <c r="AV848" s="111"/>
      <c r="AW848" s="111"/>
      <c r="AX848" s="111"/>
      <c r="AY848" s="111"/>
      <c r="AZ848" s="111"/>
      <c r="BA848" s="111"/>
      <c r="BB848" s="111"/>
    </row>
    <row r="849">
      <c r="AI849" s="111"/>
      <c r="AV849" s="111"/>
      <c r="AW849" s="111"/>
      <c r="AX849" s="111"/>
      <c r="AY849" s="111"/>
      <c r="AZ849" s="111"/>
      <c r="BA849" s="111"/>
      <c r="BB849" s="111"/>
    </row>
    <row r="850">
      <c r="AI850" s="111"/>
      <c r="AV850" s="111"/>
      <c r="AW850" s="111"/>
      <c r="AX850" s="111"/>
      <c r="AY850" s="111"/>
      <c r="AZ850" s="111"/>
      <c r="BA850" s="111"/>
      <c r="BB850" s="111"/>
    </row>
    <row r="851">
      <c r="AI851" s="111"/>
      <c r="AV851" s="111"/>
      <c r="AW851" s="111"/>
      <c r="AX851" s="111"/>
      <c r="AY851" s="111"/>
      <c r="AZ851" s="111"/>
      <c r="BA851" s="111"/>
      <c r="BB851" s="111"/>
    </row>
    <row r="852">
      <c r="AI852" s="111"/>
      <c r="AV852" s="111"/>
      <c r="AW852" s="111"/>
      <c r="AX852" s="111"/>
      <c r="AY852" s="111"/>
      <c r="AZ852" s="111"/>
      <c r="BA852" s="111"/>
      <c r="BB852" s="111"/>
    </row>
    <row r="853">
      <c r="AI853" s="111"/>
      <c r="AV853" s="111"/>
      <c r="AW853" s="111"/>
      <c r="AX853" s="111"/>
      <c r="AY853" s="111"/>
      <c r="AZ853" s="111"/>
      <c r="BA853" s="111"/>
      <c r="BB853" s="111"/>
    </row>
    <row r="854">
      <c r="AI854" s="111"/>
      <c r="AV854" s="111"/>
      <c r="AW854" s="111"/>
      <c r="AX854" s="111"/>
      <c r="AY854" s="111"/>
      <c r="AZ854" s="111"/>
      <c r="BA854" s="111"/>
      <c r="BB854" s="111"/>
    </row>
    <row r="855">
      <c r="AI855" s="111"/>
      <c r="AV855" s="111"/>
      <c r="AW855" s="111"/>
      <c r="AX855" s="111"/>
      <c r="AY855" s="111"/>
      <c r="AZ855" s="111"/>
      <c r="BA855" s="111"/>
      <c r="BB855" s="111"/>
    </row>
    <row r="856">
      <c r="AI856" s="111"/>
      <c r="AV856" s="111"/>
      <c r="AW856" s="111"/>
      <c r="AX856" s="111"/>
      <c r="AY856" s="111"/>
      <c r="AZ856" s="111"/>
      <c r="BA856" s="111"/>
      <c r="BB856" s="111"/>
    </row>
    <row r="857">
      <c r="AI857" s="111"/>
      <c r="AV857" s="111"/>
      <c r="AW857" s="111"/>
      <c r="AX857" s="111"/>
      <c r="AY857" s="111"/>
      <c r="AZ857" s="111"/>
      <c r="BA857" s="111"/>
      <c r="BB857" s="111"/>
    </row>
    <row r="858">
      <c r="AI858" s="111"/>
      <c r="AV858" s="111"/>
      <c r="AW858" s="111"/>
      <c r="AX858" s="111"/>
      <c r="AY858" s="111"/>
      <c r="AZ858" s="111"/>
      <c r="BA858" s="111"/>
      <c r="BB858" s="111"/>
    </row>
    <row r="859">
      <c r="AI859" s="111"/>
      <c r="AV859" s="111"/>
      <c r="AW859" s="111"/>
      <c r="AX859" s="111"/>
      <c r="AY859" s="111"/>
      <c r="AZ859" s="111"/>
      <c r="BA859" s="111"/>
      <c r="BB859" s="111"/>
    </row>
    <row r="860">
      <c r="AI860" s="111"/>
      <c r="AV860" s="111"/>
      <c r="AW860" s="111"/>
      <c r="AX860" s="111"/>
      <c r="AY860" s="111"/>
      <c r="AZ860" s="111"/>
      <c r="BA860" s="111"/>
      <c r="BB860" s="111"/>
    </row>
    <row r="861">
      <c r="AI861" s="111"/>
      <c r="AV861" s="111"/>
      <c r="AW861" s="111"/>
      <c r="AX861" s="111"/>
      <c r="AY861" s="111"/>
      <c r="AZ861" s="111"/>
      <c r="BA861" s="111"/>
      <c r="BB861" s="111"/>
    </row>
    <row r="862">
      <c r="AI862" s="111"/>
      <c r="AV862" s="111"/>
      <c r="AW862" s="111"/>
      <c r="AX862" s="111"/>
      <c r="AY862" s="111"/>
      <c r="AZ862" s="111"/>
      <c r="BA862" s="111"/>
      <c r="BB862" s="111"/>
    </row>
    <row r="863">
      <c r="AI863" s="111"/>
      <c r="AV863" s="111"/>
      <c r="AW863" s="111"/>
      <c r="AX863" s="111"/>
      <c r="AY863" s="111"/>
      <c r="AZ863" s="111"/>
      <c r="BA863" s="111"/>
      <c r="BB863" s="111"/>
    </row>
    <row r="864">
      <c r="AI864" s="111"/>
      <c r="AV864" s="111"/>
      <c r="AW864" s="111"/>
      <c r="AX864" s="111"/>
      <c r="AY864" s="111"/>
      <c r="AZ864" s="111"/>
      <c r="BA864" s="111"/>
      <c r="BB864" s="111"/>
    </row>
    <row r="865">
      <c r="AI865" s="111"/>
      <c r="AV865" s="111"/>
      <c r="AW865" s="111"/>
      <c r="AX865" s="111"/>
      <c r="AY865" s="111"/>
      <c r="AZ865" s="111"/>
      <c r="BA865" s="111"/>
      <c r="BB865" s="111"/>
    </row>
    <row r="866">
      <c r="AI866" s="111"/>
      <c r="AV866" s="111"/>
      <c r="AW866" s="111"/>
      <c r="AX866" s="111"/>
      <c r="AY866" s="111"/>
      <c r="AZ866" s="111"/>
      <c r="BA866" s="111"/>
      <c r="BB866" s="111"/>
    </row>
    <row r="867">
      <c r="AI867" s="111"/>
      <c r="AV867" s="111"/>
      <c r="AW867" s="111"/>
      <c r="AX867" s="111"/>
      <c r="AY867" s="111"/>
      <c r="AZ867" s="111"/>
      <c r="BA867" s="111"/>
      <c r="BB867" s="111"/>
    </row>
    <row r="868">
      <c r="AI868" s="111"/>
      <c r="AV868" s="111"/>
      <c r="AW868" s="111"/>
      <c r="AX868" s="111"/>
      <c r="AY868" s="111"/>
      <c r="AZ868" s="111"/>
      <c r="BA868" s="111"/>
      <c r="BB868" s="111"/>
    </row>
    <row r="869">
      <c r="AI869" s="111"/>
      <c r="AV869" s="111"/>
      <c r="AW869" s="111"/>
      <c r="AX869" s="111"/>
      <c r="AY869" s="111"/>
      <c r="AZ869" s="111"/>
      <c r="BA869" s="111"/>
      <c r="BB869" s="111"/>
    </row>
    <row r="870">
      <c r="AI870" s="111"/>
      <c r="AV870" s="111"/>
      <c r="AW870" s="111"/>
      <c r="AX870" s="111"/>
      <c r="AY870" s="111"/>
      <c r="AZ870" s="111"/>
      <c r="BA870" s="111"/>
      <c r="BB870" s="111"/>
    </row>
    <row r="871">
      <c r="AI871" s="111"/>
      <c r="AV871" s="111"/>
      <c r="AW871" s="111"/>
      <c r="AX871" s="111"/>
      <c r="AY871" s="111"/>
      <c r="AZ871" s="111"/>
      <c r="BA871" s="111"/>
      <c r="BB871" s="111"/>
    </row>
    <row r="872">
      <c r="AI872" s="111"/>
      <c r="AV872" s="111"/>
      <c r="AW872" s="111"/>
      <c r="AX872" s="111"/>
      <c r="AY872" s="111"/>
      <c r="AZ872" s="111"/>
      <c r="BA872" s="111"/>
      <c r="BB872" s="111"/>
    </row>
    <row r="873">
      <c r="AI873" s="111"/>
      <c r="AV873" s="111"/>
      <c r="AW873" s="111"/>
      <c r="AX873" s="111"/>
      <c r="AY873" s="111"/>
      <c r="AZ873" s="111"/>
      <c r="BA873" s="111"/>
      <c r="BB873" s="111"/>
    </row>
    <row r="874">
      <c r="AI874" s="111"/>
      <c r="AV874" s="111"/>
      <c r="AW874" s="111"/>
      <c r="AX874" s="111"/>
      <c r="AY874" s="111"/>
      <c r="AZ874" s="111"/>
      <c r="BA874" s="111"/>
      <c r="BB874" s="111"/>
    </row>
    <row r="875">
      <c r="AI875" s="111"/>
      <c r="AV875" s="111"/>
      <c r="AW875" s="111"/>
      <c r="AX875" s="111"/>
      <c r="AY875" s="111"/>
      <c r="AZ875" s="111"/>
      <c r="BA875" s="111"/>
      <c r="BB875" s="111"/>
    </row>
    <row r="876">
      <c r="AI876" s="111"/>
      <c r="AV876" s="111"/>
      <c r="AW876" s="111"/>
      <c r="AX876" s="111"/>
      <c r="AY876" s="111"/>
      <c r="AZ876" s="111"/>
      <c r="BA876" s="111"/>
      <c r="BB876" s="111"/>
    </row>
    <row r="877">
      <c r="AI877" s="111"/>
      <c r="AV877" s="111"/>
      <c r="AW877" s="111"/>
      <c r="AX877" s="111"/>
      <c r="AY877" s="111"/>
      <c r="AZ877" s="111"/>
      <c r="BA877" s="111"/>
      <c r="BB877" s="111"/>
    </row>
    <row r="878">
      <c r="AI878" s="111"/>
      <c r="AV878" s="111"/>
      <c r="AW878" s="111"/>
      <c r="AX878" s="111"/>
      <c r="AY878" s="111"/>
      <c r="AZ878" s="111"/>
      <c r="BA878" s="111"/>
      <c r="BB878" s="111"/>
    </row>
    <row r="879">
      <c r="AI879" s="111"/>
      <c r="AV879" s="111"/>
      <c r="AW879" s="111"/>
      <c r="AX879" s="111"/>
      <c r="AY879" s="111"/>
      <c r="AZ879" s="111"/>
      <c r="BA879" s="111"/>
      <c r="BB879" s="111"/>
    </row>
    <row r="880">
      <c r="AI880" s="111"/>
      <c r="AV880" s="111"/>
      <c r="AW880" s="111"/>
      <c r="AX880" s="111"/>
      <c r="AY880" s="111"/>
      <c r="AZ880" s="111"/>
      <c r="BA880" s="111"/>
      <c r="BB880" s="111"/>
    </row>
    <row r="881">
      <c r="AI881" s="111"/>
      <c r="AV881" s="111"/>
      <c r="AW881" s="111"/>
      <c r="AX881" s="111"/>
      <c r="AY881" s="111"/>
      <c r="AZ881" s="111"/>
      <c r="BA881" s="111"/>
      <c r="BB881" s="111"/>
    </row>
    <row r="882">
      <c r="AI882" s="111"/>
      <c r="AV882" s="111"/>
      <c r="AW882" s="111"/>
      <c r="AX882" s="111"/>
      <c r="AY882" s="111"/>
      <c r="AZ882" s="111"/>
      <c r="BA882" s="111"/>
      <c r="BB882" s="111"/>
    </row>
    <row r="883">
      <c r="AI883" s="111"/>
      <c r="AV883" s="111"/>
      <c r="AW883" s="111"/>
      <c r="AX883" s="111"/>
      <c r="AY883" s="111"/>
      <c r="AZ883" s="111"/>
      <c r="BA883" s="111"/>
      <c r="BB883" s="111"/>
    </row>
    <row r="884">
      <c r="AI884" s="111"/>
      <c r="AV884" s="111"/>
      <c r="AW884" s="111"/>
      <c r="AX884" s="111"/>
      <c r="AY884" s="111"/>
      <c r="AZ884" s="111"/>
      <c r="BA884" s="111"/>
      <c r="BB884" s="111"/>
    </row>
    <row r="885">
      <c r="AI885" s="111"/>
      <c r="AV885" s="111"/>
      <c r="AW885" s="111"/>
      <c r="AX885" s="111"/>
      <c r="AY885" s="111"/>
      <c r="AZ885" s="111"/>
      <c r="BA885" s="111"/>
      <c r="BB885" s="111"/>
    </row>
    <row r="886">
      <c r="AI886" s="111"/>
      <c r="AV886" s="111"/>
      <c r="AW886" s="111"/>
      <c r="AX886" s="111"/>
      <c r="AY886" s="111"/>
      <c r="AZ886" s="111"/>
      <c r="BA886" s="111"/>
      <c r="BB886" s="111"/>
    </row>
    <row r="887">
      <c r="AI887" s="111"/>
      <c r="AV887" s="111"/>
      <c r="AW887" s="111"/>
      <c r="AX887" s="111"/>
      <c r="AY887" s="111"/>
      <c r="AZ887" s="111"/>
      <c r="BA887" s="111"/>
      <c r="BB887" s="111"/>
    </row>
    <row r="888">
      <c r="AI888" s="111"/>
      <c r="AV888" s="111"/>
      <c r="AW888" s="111"/>
      <c r="AX888" s="111"/>
      <c r="AY888" s="111"/>
      <c r="AZ888" s="111"/>
      <c r="BA888" s="111"/>
      <c r="BB888" s="111"/>
    </row>
    <row r="889">
      <c r="AI889" s="111"/>
      <c r="AV889" s="111"/>
      <c r="AW889" s="111"/>
      <c r="AX889" s="111"/>
      <c r="AY889" s="111"/>
      <c r="AZ889" s="111"/>
      <c r="BA889" s="111"/>
      <c r="BB889" s="111"/>
    </row>
    <row r="890">
      <c r="AI890" s="111"/>
      <c r="AV890" s="111"/>
      <c r="AW890" s="111"/>
      <c r="AX890" s="111"/>
      <c r="AY890" s="111"/>
      <c r="AZ890" s="111"/>
      <c r="BA890" s="111"/>
      <c r="BB890" s="111"/>
    </row>
    <row r="891">
      <c r="AI891" s="111"/>
      <c r="AV891" s="111"/>
      <c r="AW891" s="111"/>
      <c r="AX891" s="111"/>
      <c r="AY891" s="111"/>
      <c r="AZ891" s="111"/>
      <c r="BA891" s="111"/>
      <c r="BB891" s="111"/>
    </row>
    <row r="892">
      <c r="AI892" s="111"/>
      <c r="AV892" s="111"/>
      <c r="AW892" s="111"/>
      <c r="AX892" s="111"/>
      <c r="AY892" s="111"/>
      <c r="AZ892" s="111"/>
      <c r="BA892" s="111"/>
      <c r="BB892" s="111"/>
    </row>
    <row r="893">
      <c r="AI893" s="111"/>
      <c r="AV893" s="111"/>
      <c r="AW893" s="111"/>
      <c r="AX893" s="111"/>
      <c r="AY893" s="111"/>
      <c r="AZ893" s="111"/>
      <c r="BA893" s="111"/>
      <c r="BB893" s="111"/>
    </row>
    <row r="894">
      <c r="AI894" s="111"/>
      <c r="AV894" s="111"/>
      <c r="AW894" s="111"/>
      <c r="AX894" s="111"/>
      <c r="AY894" s="111"/>
      <c r="AZ894" s="111"/>
      <c r="BA894" s="111"/>
      <c r="BB894" s="111"/>
    </row>
    <row r="895">
      <c r="AI895" s="111"/>
      <c r="AV895" s="111"/>
      <c r="AW895" s="111"/>
      <c r="AX895" s="111"/>
      <c r="AY895" s="111"/>
      <c r="AZ895" s="111"/>
      <c r="BA895" s="111"/>
      <c r="BB895" s="111"/>
    </row>
    <row r="896">
      <c r="AI896" s="111"/>
      <c r="AV896" s="111"/>
      <c r="AW896" s="111"/>
      <c r="AX896" s="111"/>
      <c r="AY896" s="111"/>
      <c r="AZ896" s="111"/>
      <c r="BA896" s="111"/>
      <c r="BB896" s="111"/>
    </row>
    <row r="897">
      <c r="AI897" s="111"/>
      <c r="AV897" s="111"/>
      <c r="AW897" s="111"/>
      <c r="AX897" s="111"/>
      <c r="AY897" s="111"/>
      <c r="AZ897" s="111"/>
      <c r="BA897" s="111"/>
      <c r="BB897" s="111"/>
    </row>
    <row r="898">
      <c r="AI898" s="111"/>
      <c r="AV898" s="111"/>
      <c r="AW898" s="111"/>
      <c r="AX898" s="111"/>
      <c r="AY898" s="111"/>
      <c r="AZ898" s="111"/>
      <c r="BA898" s="111"/>
      <c r="BB898" s="111"/>
    </row>
    <row r="899">
      <c r="AI899" s="111"/>
      <c r="AV899" s="111"/>
      <c r="AW899" s="111"/>
      <c r="AX899" s="111"/>
      <c r="AY899" s="111"/>
      <c r="AZ899" s="111"/>
      <c r="BA899" s="111"/>
      <c r="BB899" s="111"/>
    </row>
    <row r="900">
      <c r="AI900" s="111"/>
      <c r="AV900" s="111"/>
      <c r="AW900" s="111"/>
      <c r="AX900" s="111"/>
      <c r="AY900" s="111"/>
      <c r="AZ900" s="111"/>
      <c r="BA900" s="111"/>
      <c r="BB900" s="111"/>
    </row>
    <row r="901">
      <c r="AI901" s="111"/>
      <c r="AV901" s="111"/>
      <c r="AW901" s="111"/>
      <c r="AX901" s="111"/>
      <c r="AY901" s="111"/>
      <c r="AZ901" s="111"/>
      <c r="BA901" s="111"/>
      <c r="BB901" s="111"/>
    </row>
    <row r="902">
      <c r="AI902" s="111"/>
      <c r="AV902" s="111"/>
      <c r="AW902" s="111"/>
      <c r="AX902" s="111"/>
      <c r="AY902" s="111"/>
      <c r="AZ902" s="111"/>
      <c r="BA902" s="111"/>
      <c r="BB902" s="111"/>
    </row>
    <row r="903">
      <c r="AI903" s="111"/>
      <c r="AV903" s="111"/>
      <c r="AW903" s="111"/>
      <c r="AX903" s="111"/>
      <c r="AY903" s="111"/>
      <c r="AZ903" s="111"/>
      <c r="BA903" s="111"/>
      <c r="BB903" s="111"/>
    </row>
    <row r="904">
      <c r="AI904" s="111"/>
      <c r="AV904" s="111"/>
      <c r="AW904" s="111"/>
      <c r="AX904" s="111"/>
      <c r="AY904" s="111"/>
      <c r="AZ904" s="111"/>
      <c r="BA904" s="111"/>
      <c r="BB904" s="111"/>
    </row>
    <row r="905">
      <c r="AI905" s="111"/>
      <c r="AV905" s="111"/>
      <c r="AW905" s="111"/>
      <c r="AX905" s="111"/>
      <c r="AY905" s="111"/>
      <c r="AZ905" s="111"/>
      <c r="BA905" s="111"/>
      <c r="BB905" s="111"/>
    </row>
    <row r="906">
      <c r="AI906" s="111"/>
      <c r="AV906" s="111"/>
      <c r="AW906" s="111"/>
      <c r="AX906" s="111"/>
      <c r="AY906" s="111"/>
      <c r="AZ906" s="111"/>
      <c r="BA906" s="111"/>
      <c r="BB906" s="111"/>
    </row>
    <row r="907">
      <c r="AI907" s="111"/>
      <c r="AV907" s="111"/>
      <c r="AW907" s="111"/>
      <c r="AX907" s="111"/>
      <c r="AY907" s="111"/>
      <c r="AZ907" s="111"/>
      <c r="BA907" s="111"/>
      <c r="BB907" s="111"/>
    </row>
    <row r="908">
      <c r="AI908" s="111"/>
      <c r="AV908" s="111"/>
      <c r="AW908" s="111"/>
      <c r="AX908" s="111"/>
      <c r="AY908" s="111"/>
      <c r="AZ908" s="111"/>
      <c r="BA908" s="111"/>
      <c r="BB908" s="111"/>
    </row>
    <row r="909">
      <c r="AI909" s="111"/>
      <c r="AV909" s="111"/>
      <c r="AW909" s="111"/>
      <c r="AX909" s="111"/>
      <c r="AY909" s="111"/>
      <c r="AZ909" s="111"/>
      <c r="BA909" s="111"/>
      <c r="BB909" s="111"/>
    </row>
    <row r="910">
      <c r="AI910" s="111"/>
      <c r="AV910" s="111"/>
      <c r="AW910" s="111"/>
      <c r="AX910" s="111"/>
      <c r="AY910" s="111"/>
      <c r="AZ910" s="111"/>
      <c r="BA910" s="111"/>
      <c r="BB910" s="111"/>
    </row>
    <row r="911">
      <c r="AI911" s="111"/>
      <c r="AV911" s="111"/>
      <c r="AW911" s="111"/>
      <c r="AX911" s="111"/>
      <c r="AY911" s="111"/>
      <c r="AZ911" s="111"/>
      <c r="BA911" s="111"/>
      <c r="BB911" s="111"/>
    </row>
    <row r="912">
      <c r="AI912" s="111"/>
      <c r="AV912" s="111"/>
      <c r="AW912" s="111"/>
      <c r="AX912" s="111"/>
      <c r="AY912" s="111"/>
      <c r="AZ912" s="111"/>
      <c r="BA912" s="111"/>
      <c r="BB912" s="111"/>
    </row>
    <row r="913">
      <c r="AI913" s="111"/>
      <c r="AV913" s="111"/>
      <c r="AW913" s="111"/>
      <c r="AX913" s="111"/>
      <c r="AY913" s="111"/>
      <c r="AZ913" s="111"/>
      <c r="BA913" s="111"/>
      <c r="BB913" s="111"/>
    </row>
    <row r="914">
      <c r="AI914" s="111"/>
      <c r="AV914" s="111"/>
      <c r="AW914" s="111"/>
      <c r="AX914" s="111"/>
      <c r="AY914" s="111"/>
      <c r="AZ914" s="111"/>
      <c r="BA914" s="111"/>
      <c r="BB914" s="111"/>
    </row>
    <row r="915">
      <c r="AI915" s="111"/>
      <c r="AV915" s="111"/>
      <c r="AW915" s="111"/>
      <c r="AX915" s="111"/>
      <c r="AY915" s="111"/>
      <c r="AZ915" s="111"/>
      <c r="BA915" s="111"/>
      <c r="BB915" s="111"/>
    </row>
    <row r="916">
      <c r="AI916" s="111"/>
      <c r="AV916" s="111"/>
      <c r="AW916" s="111"/>
      <c r="AX916" s="111"/>
      <c r="AY916" s="111"/>
      <c r="AZ916" s="111"/>
      <c r="BA916" s="111"/>
      <c r="BB916" s="111"/>
    </row>
    <row r="917">
      <c r="AI917" s="111"/>
      <c r="AV917" s="111"/>
      <c r="AW917" s="111"/>
      <c r="AX917" s="111"/>
      <c r="AY917" s="111"/>
      <c r="AZ917" s="111"/>
      <c r="BA917" s="111"/>
      <c r="BB917" s="111"/>
    </row>
    <row r="918">
      <c r="AI918" s="111"/>
      <c r="AV918" s="111"/>
      <c r="AW918" s="111"/>
      <c r="AX918" s="111"/>
      <c r="AY918" s="111"/>
      <c r="AZ918" s="111"/>
      <c r="BA918" s="111"/>
      <c r="BB918" s="111"/>
    </row>
    <row r="919">
      <c r="AI919" s="111"/>
      <c r="AV919" s="111"/>
      <c r="AW919" s="111"/>
      <c r="AX919" s="111"/>
      <c r="AY919" s="111"/>
      <c r="AZ919" s="111"/>
      <c r="BA919" s="111"/>
      <c r="BB919" s="111"/>
    </row>
    <row r="920">
      <c r="AI920" s="111"/>
      <c r="AV920" s="111"/>
      <c r="AW920" s="111"/>
      <c r="AX920" s="111"/>
      <c r="AY920" s="111"/>
      <c r="AZ920" s="111"/>
      <c r="BA920" s="111"/>
      <c r="BB920" s="111"/>
    </row>
    <row r="921">
      <c r="AI921" s="111"/>
      <c r="AV921" s="111"/>
      <c r="AW921" s="111"/>
      <c r="AX921" s="111"/>
      <c r="AY921" s="111"/>
      <c r="AZ921" s="111"/>
      <c r="BA921" s="111"/>
      <c r="BB921" s="111"/>
    </row>
    <row r="922">
      <c r="AI922" s="111"/>
      <c r="AV922" s="111"/>
      <c r="AW922" s="111"/>
      <c r="AX922" s="111"/>
      <c r="AY922" s="111"/>
      <c r="AZ922" s="111"/>
      <c r="BA922" s="111"/>
      <c r="BB922" s="111"/>
    </row>
    <row r="923">
      <c r="AI923" s="111"/>
      <c r="AV923" s="111"/>
      <c r="AW923" s="111"/>
      <c r="AX923" s="111"/>
      <c r="AY923" s="111"/>
      <c r="AZ923" s="111"/>
      <c r="BA923" s="111"/>
      <c r="BB923" s="111"/>
    </row>
    <row r="924">
      <c r="AI924" s="111"/>
      <c r="AV924" s="111"/>
      <c r="AW924" s="111"/>
      <c r="AX924" s="111"/>
      <c r="AY924" s="111"/>
      <c r="AZ924" s="111"/>
      <c r="BA924" s="111"/>
      <c r="BB924" s="111"/>
    </row>
    <row r="925">
      <c r="AI925" s="111"/>
      <c r="AV925" s="111"/>
      <c r="AW925" s="111"/>
      <c r="AX925" s="111"/>
      <c r="AY925" s="111"/>
      <c r="AZ925" s="111"/>
      <c r="BA925" s="111"/>
      <c r="BB925" s="111"/>
    </row>
    <row r="926">
      <c r="AI926" s="111"/>
      <c r="AV926" s="111"/>
      <c r="AW926" s="111"/>
      <c r="AX926" s="111"/>
      <c r="AY926" s="111"/>
      <c r="AZ926" s="111"/>
      <c r="BA926" s="111"/>
      <c r="BB926" s="111"/>
    </row>
    <row r="927">
      <c r="AI927" s="111"/>
      <c r="AV927" s="111"/>
      <c r="AW927" s="111"/>
      <c r="AX927" s="111"/>
      <c r="AY927" s="111"/>
      <c r="AZ927" s="111"/>
      <c r="BA927" s="111"/>
      <c r="BB927" s="111"/>
    </row>
    <row r="928">
      <c r="AI928" s="111"/>
      <c r="AV928" s="111"/>
      <c r="AW928" s="111"/>
      <c r="AX928" s="111"/>
      <c r="AY928" s="111"/>
      <c r="AZ928" s="111"/>
      <c r="BA928" s="111"/>
      <c r="BB928" s="111"/>
    </row>
    <row r="929">
      <c r="AI929" s="111"/>
      <c r="AV929" s="111"/>
      <c r="AW929" s="111"/>
      <c r="AX929" s="111"/>
      <c r="AY929" s="111"/>
      <c r="AZ929" s="111"/>
      <c r="BA929" s="111"/>
      <c r="BB929" s="111"/>
    </row>
    <row r="930">
      <c r="AI930" s="111"/>
      <c r="AV930" s="111"/>
      <c r="AW930" s="111"/>
      <c r="AX930" s="111"/>
      <c r="AY930" s="111"/>
      <c r="AZ930" s="111"/>
      <c r="BA930" s="111"/>
      <c r="BB930" s="111"/>
    </row>
    <row r="931">
      <c r="AI931" s="111"/>
      <c r="AV931" s="111"/>
      <c r="AW931" s="111"/>
      <c r="AX931" s="111"/>
      <c r="AY931" s="111"/>
      <c r="AZ931" s="111"/>
      <c r="BA931" s="111"/>
      <c r="BB931" s="111"/>
    </row>
    <row r="932">
      <c r="AI932" s="111"/>
      <c r="AV932" s="111"/>
      <c r="AW932" s="111"/>
      <c r="AX932" s="111"/>
      <c r="AY932" s="111"/>
      <c r="AZ932" s="111"/>
      <c r="BA932" s="111"/>
      <c r="BB932" s="111"/>
    </row>
    <row r="933">
      <c r="AI933" s="111"/>
      <c r="AV933" s="111"/>
      <c r="AW933" s="111"/>
      <c r="AX933" s="111"/>
      <c r="AY933" s="111"/>
      <c r="AZ933" s="111"/>
      <c r="BA933" s="111"/>
      <c r="BB933" s="111"/>
    </row>
    <row r="934">
      <c r="AI934" s="111"/>
      <c r="AV934" s="111"/>
      <c r="AW934" s="111"/>
      <c r="AX934" s="111"/>
      <c r="AY934" s="111"/>
      <c r="AZ934" s="111"/>
      <c r="BA934" s="111"/>
      <c r="BB934" s="111"/>
    </row>
    <row r="935">
      <c r="AI935" s="111"/>
      <c r="AV935" s="111"/>
      <c r="AW935" s="111"/>
      <c r="AX935" s="111"/>
      <c r="AY935" s="111"/>
      <c r="AZ935" s="111"/>
      <c r="BA935" s="111"/>
      <c r="BB935" s="111"/>
    </row>
    <row r="936">
      <c r="AI936" s="111"/>
      <c r="AV936" s="111"/>
      <c r="AW936" s="111"/>
      <c r="AX936" s="111"/>
      <c r="AY936" s="111"/>
      <c r="AZ936" s="111"/>
      <c r="BA936" s="111"/>
      <c r="BB936" s="111"/>
    </row>
    <row r="937">
      <c r="AI937" s="111"/>
      <c r="AV937" s="111"/>
      <c r="AW937" s="111"/>
      <c r="AX937" s="111"/>
      <c r="AY937" s="111"/>
      <c r="AZ937" s="111"/>
      <c r="BA937" s="111"/>
      <c r="BB937" s="111"/>
    </row>
    <row r="938">
      <c r="AI938" s="111"/>
      <c r="AV938" s="111"/>
      <c r="AW938" s="111"/>
      <c r="AX938" s="111"/>
      <c r="AY938" s="111"/>
      <c r="AZ938" s="111"/>
      <c r="BA938" s="111"/>
      <c r="BB938" s="111"/>
    </row>
    <row r="939">
      <c r="AI939" s="111"/>
      <c r="AV939" s="111"/>
      <c r="AW939" s="111"/>
      <c r="AX939" s="111"/>
      <c r="AY939" s="111"/>
      <c r="AZ939" s="111"/>
      <c r="BA939" s="111"/>
      <c r="BB939" s="111"/>
    </row>
    <row r="940">
      <c r="AI940" s="111"/>
      <c r="AV940" s="111"/>
      <c r="AW940" s="111"/>
      <c r="AX940" s="111"/>
      <c r="AY940" s="111"/>
      <c r="AZ940" s="111"/>
      <c r="BA940" s="111"/>
      <c r="BB940" s="111"/>
    </row>
    <row r="941">
      <c r="AI941" s="111"/>
      <c r="AV941" s="111"/>
      <c r="AW941" s="111"/>
      <c r="AX941" s="111"/>
      <c r="AY941" s="111"/>
      <c r="AZ941" s="111"/>
      <c r="BA941" s="111"/>
      <c r="BB941" s="111"/>
    </row>
    <row r="942">
      <c r="AI942" s="111"/>
      <c r="AV942" s="111"/>
      <c r="AW942" s="111"/>
      <c r="AX942" s="111"/>
      <c r="AY942" s="111"/>
      <c r="AZ942" s="111"/>
      <c r="BA942" s="111"/>
      <c r="BB942" s="111"/>
    </row>
    <row r="943">
      <c r="AI943" s="111"/>
      <c r="AV943" s="111"/>
      <c r="AW943" s="111"/>
      <c r="AX943" s="111"/>
      <c r="AY943" s="111"/>
      <c r="AZ943" s="111"/>
      <c r="BA943" s="111"/>
      <c r="BB943" s="111"/>
    </row>
    <row r="944">
      <c r="AI944" s="111"/>
      <c r="AV944" s="111"/>
      <c r="AW944" s="111"/>
      <c r="AX944" s="111"/>
      <c r="AY944" s="111"/>
      <c r="AZ944" s="111"/>
      <c r="BA944" s="111"/>
      <c r="BB944" s="111"/>
    </row>
    <row r="945">
      <c r="AI945" s="111"/>
      <c r="AV945" s="111"/>
      <c r="AW945" s="111"/>
      <c r="AX945" s="111"/>
      <c r="AY945" s="111"/>
      <c r="AZ945" s="111"/>
      <c r="BA945" s="111"/>
      <c r="BB945" s="111"/>
    </row>
    <row r="946">
      <c r="AI946" s="111"/>
      <c r="AV946" s="111"/>
      <c r="AW946" s="111"/>
      <c r="AX946" s="111"/>
      <c r="AY946" s="111"/>
      <c r="AZ946" s="111"/>
      <c r="BA946" s="111"/>
      <c r="BB946" s="111"/>
    </row>
    <row r="947">
      <c r="AI947" s="111"/>
      <c r="AV947" s="111"/>
      <c r="AW947" s="111"/>
      <c r="AX947" s="111"/>
      <c r="AY947" s="111"/>
      <c r="AZ947" s="111"/>
      <c r="BA947" s="111"/>
      <c r="BB947" s="111"/>
    </row>
    <row r="948">
      <c r="AI948" s="111"/>
      <c r="AV948" s="111"/>
      <c r="AW948" s="111"/>
      <c r="AX948" s="111"/>
      <c r="AY948" s="111"/>
      <c r="AZ948" s="111"/>
      <c r="BA948" s="111"/>
      <c r="BB948" s="111"/>
    </row>
    <row r="949">
      <c r="AI949" s="111"/>
      <c r="AV949" s="111"/>
      <c r="AW949" s="111"/>
      <c r="AX949" s="111"/>
      <c r="AY949" s="111"/>
      <c r="AZ949" s="111"/>
      <c r="BA949" s="111"/>
      <c r="BB949" s="111"/>
    </row>
    <row r="950">
      <c r="AI950" s="111"/>
      <c r="AV950" s="111"/>
      <c r="AW950" s="111"/>
      <c r="AX950" s="111"/>
      <c r="AY950" s="111"/>
      <c r="AZ950" s="111"/>
      <c r="BA950" s="111"/>
      <c r="BB950" s="111"/>
    </row>
    <row r="951">
      <c r="AI951" s="111"/>
      <c r="AV951" s="111"/>
      <c r="AW951" s="111"/>
      <c r="AX951" s="111"/>
      <c r="AY951" s="111"/>
      <c r="AZ951" s="111"/>
      <c r="BA951" s="111"/>
      <c r="BB951" s="111"/>
    </row>
    <row r="952">
      <c r="AI952" s="111"/>
      <c r="AV952" s="111"/>
      <c r="AW952" s="111"/>
      <c r="AX952" s="111"/>
      <c r="AY952" s="111"/>
      <c r="AZ952" s="111"/>
      <c r="BA952" s="111"/>
      <c r="BB952" s="111"/>
    </row>
    <row r="953">
      <c r="AI953" s="111"/>
      <c r="AV953" s="111"/>
      <c r="AW953" s="111"/>
      <c r="AX953" s="111"/>
      <c r="AY953" s="111"/>
      <c r="AZ953" s="111"/>
      <c r="BA953" s="111"/>
      <c r="BB953" s="111"/>
    </row>
    <row r="954">
      <c r="AI954" s="111"/>
      <c r="AV954" s="111"/>
      <c r="AW954" s="111"/>
      <c r="AX954" s="111"/>
      <c r="AY954" s="111"/>
      <c r="AZ954" s="111"/>
      <c r="BA954" s="111"/>
      <c r="BB954" s="111"/>
    </row>
    <row r="955">
      <c r="AI955" s="111"/>
      <c r="AV955" s="111"/>
      <c r="AW955" s="111"/>
      <c r="AX955" s="111"/>
      <c r="AY955" s="111"/>
      <c r="AZ955" s="111"/>
      <c r="BA955" s="111"/>
      <c r="BB955" s="111"/>
    </row>
    <row r="956">
      <c r="AI956" s="111"/>
      <c r="AV956" s="111"/>
      <c r="AW956" s="111"/>
      <c r="AX956" s="111"/>
      <c r="AY956" s="111"/>
      <c r="AZ956" s="111"/>
      <c r="BA956" s="111"/>
      <c r="BB956" s="111"/>
    </row>
    <row r="957">
      <c r="AI957" s="111"/>
      <c r="AV957" s="111"/>
      <c r="AW957" s="111"/>
      <c r="AX957" s="111"/>
      <c r="AY957" s="111"/>
      <c r="AZ957" s="111"/>
      <c r="BA957" s="111"/>
      <c r="BB957" s="111"/>
    </row>
    <row r="958">
      <c r="AI958" s="111"/>
      <c r="AV958" s="111"/>
      <c r="AW958" s="111"/>
      <c r="AX958" s="111"/>
      <c r="AY958" s="111"/>
      <c r="AZ958" s="111"/>
      <c r="BA958" s="111"/>
      <c r="BB958" s="111"/>
    </row>
    <row r="959">
      <c r="AI959" s="111"/>
      <c r="AV959" s="111"/>
      <c r="AW959" s="111"/>
      <c r="AX959" s="111"/>
      <c r="AY959" s="111"/>
      <c r="AZ959" s="111"/>
      <c r="BA959" s="111"/>
      <c r="BB959" s="111"/>
    </row>
    <row r="960">
      <c r="AI960" s="111"/>
      <c r="AV960" s="111"/>
      <c r="AW960" s="111"/>
      <c r="AX960" s="111"/>
      <c r="AY960" s="111"/>
      <c r="AZ960" s="111"/>
      <c r="BA960" s="111"/>
      <c r="BB960" s="111"/>
    </row>
    <row r="961">
      <c r="AI961" s="111"/>
      <c r="AV961" s="111"/>
      <c r="AW961" s="111"/>
      <c r="AX961" s="111"/>
      <c r="AY961" s="111"/>
      <c r="AZ961" s="111"/>
      <c r="BA961" s="111"/>
      <c r="BB961" s="111"/>
    </row>
    <row r="962">
      <c r="AI962" s="111"/>
      <c r="AV962" s="111"/>
      <c r="AW962" s="111"/>
      <c r="AX962" s="111"/>
      <c r="AY962" s="111"/>
      <c r="AZ962" s="111"/>
      <c r="BA962" s="111"/>
      <c r="BB962" s="111"/>
    </row>
    <row r="963">
      <c r="AI963" s="111"/>
      <c r="AV963" s="111"/>
      <c r="AW963" s="111"/>
      <c r="AX963" s="111"/>
      <c r="AY963" s="111"/>
      <c r="AZ963" s="111"/>
      <c r="BA963" s="111"/>
      <c r="BB963" s="111"/>
    </row>
    <row r="964">
      <c r="AI964" s="111"/>
      <c r="AV964" s="111"/>
      <c r="AW964" s="111"/>
      <c r="AX964" s="111"/>
      <c r="AY964" s="111"/>
      <c r="AZ964" s="111"/>
      <c r="BA964" s="111"/>
      <c r="BB964" s="111"/>
    </row>
    <row r="965">
      <c r="AI965" s="111"/>
      <c r="AV965" s="111"/>
      <c r="AW965" s="111"/>
      <c r="AX965" s="111"/>
      <c r="AY965" s="111"/>
      <c r="AZ965" s="111"/>
      <c r="BA965" s="111"/>
      <c r="BB965" s="111"/>
    </row>
    <row r="966">
      <c r="AI966" s="111"/>
      <c r="AV966" s="111"/>
      <c r="AW966" s="111"/>
      <c r="AX966" s="111"/>
      <c r="AY966" s="111"/>
      <c r="AZ966" s="111"/>
      <c r="BA966" s="111"/>
      <c r="BB966" s="111"/>
    </row>
    <row r="967">
      <c r="AI967" s="111"/>
      <c r="AV967" s="111"/>
      <c r="AW967" s="111"/>
      <c r="AX967" s="111"/>
      <c r="AY967" s="111"/>
      <c r="AZ967" s="111"/>
      <c r="BA967" s="111"/>
      <c r="BB967" s="111"/>
    </row>
    <row r="968">
      <c r="AI968" s="111"/>
      <c r="AV968" s="111"/>
      <c r="AW968" s="111"/>
      <c r="AX968" s="111"/>
      <c r="AY968" s="111"/>
      <c r="AZ968" s="111"/>
      <c r="BA968" s="111"/>
      <c r="BB968" s="111"/>
    </row>
    <row r="969">
      <c r="AI969" s="111"/>
      <c r="AV969" s="111"/>
      <c r="AW969" s="111"/>
      <c r="AX969" s="111"/>
      <c r="AY969" s="111"/>
      <c r="AZ969" s="111"/>
      <c r="BA969" s="111"/>
      <c r="BB969" s="111"/>
    </row>
    <row r="970">
      <c r="AI970" s="111"/>
      <c r="AV970" s="111"/>
      <c r="AW970" s="111"/>
      <c r="AX970" s="111"/>
      <c r="AY970" s="111"/>
      <c r="AZ970" s="111"/>
      <c r="BA970" s="111"/>
      <c r="BB970" s="111"/>
    </row>
    <row r="971">
      <c r="AI971" s="111"/>
      <c r="AV971" s="111"/>
      <c r="AW971" s="111"/>
      <c r="AX971" s="111"/>
      <c r="AY971" s="111"/>
      <c r="AZ971" s="111"/>
      <c r="BA971" s="111"/>
      <c r="BB971" s="111"/>
    </row>
    <row r="972">
      <c r="AI972" s="111"/>
      <c r="AV972" s="111"/>
      <c r="AW972" s="111"/>
      <c r="AX972" s="111"/>
      <c r="AY972" s="111"/>
      <c r="AZ972" s="111"/>
      <c r="BA972" s="111"/>
      <c r="BB972" s="111"/>
    </row>
    <row r="973">
      <c r="AI973" s="111"/>
      <c r="AV973" s="111"/>
      <c r="AW973" s="111"/>
      <c r="AX973" s="111"/>
      <c r="AY973" s="111"/>
      <c r="AZ973" s="111"/>
      <c r="BA973" s="111"/>
      <c r="BB973" s="111"/>
    </row>
    <row r="974">
      <c r="AI974" s="111"/>
      <c r="AV974" s="111"/>
      <c r="AW974" s="111"/>
      <c r="AX974" s="111"/>
      <c r="AY974" s="111"/>
      <c r="AZ974" s="111"/>
      <c r="BA974" s="111"/>
      <c r="BB974" s="111"/>
    </row>
    <row r="975">
      <c r="AI975" s="111"/>
      <c r="AV975" s="111"/>
      <c r="AW975" s="111"/>
      <c r="AX975" s="111"/>
      <c r="AY975" s="111"/>
      <c r="AZ975" s="111"/>
      <c r="BA975" s="111"/>
      <c r="BB975" s="111"/>
    </row>
    <row r="976">
      <c r="AI976" s="111"/>
      <c r="AV976" s="111"/>
      <c r="AW976" s="111"/>
      <c r="AX976" s="111"/>
      <c r="AY976" s="111"/>
      <c r="AZ976" s="111"/>
      <c r="BA976" s="111"/>
      <c r="BB976" s="111"/>
    </row>
    <row r="977">
      <c r="AI977" s="111"/>
      <c r="AV977" s="111"/>
      <c r="AW977" s="111"/>
      <c r="AX977" s="111"/>
      <c r="AY977" s="111"/>
      <c r="AZ977" s="111"/>
      <c r="BA977" s="111"/>
      <c r="BB977" s="111"/>
    </row>
    <row r="978">
      <c r="AI978" s="111"/>
      <c r="AV978" s="111"/>
      <c r="AW978" s="111"/>
      <c r="AX978" s="111"/>
      <c r="AY978" s="111"/>
      <c r="AZ978" s="111"/>
      <c r="BA978" s="111"/>
      <c r="BB978" s="111"/>
    </row>
    <row r="979">
      <c r="AI979" s="111"/>
      <c r="AV979" s="111"/>
      <c r="AW979" s="111"/>
      <c r="AX979" s="111"/>
      <c r="AY979" s="111"/>
      <c r="AZ979" s="111"/>
      <c r="BA979" s="111"/>
      <c r="BB979" s="111"/>
    </row>
    <row r="980">
      <c r="AI980" s="111"/>
      <c r="AV980" s="111"/>
      <c r="AW980" s="111"/>
      <c r="AX980" s="111"/>
      <c r="AY980" s="111"/>
      <c r="AZ980" s="111"/>
      <c r="BA980" s="111"/>
      <c r="BB980" s="111"/>
    </row>
    <row r="981">
      <c r="AI981" s="111"/>
      <c r="AV981" s="111"/>
      <c r="AW981" s="111"/>
      <c r="AX981" s="111"/>
      <c r="AY981" s="111"/>
      <c r="AZ981" s="111"/>
      <c r="BA981" s="111"/>
      <c r="BB981" s="111"/>
    </row>
    <row r="982">
      <c r="AI982" s="111"/>
      <c r="AV982" s="111"/>
      <c r="AW982" s="111"/>
      <c r="AX982" s="111"/>
      <c r="AY982" s="111"/>
      <c r="AZ982" s="111"/>
      <c r="BA982" s="111"/>
      <c r="BB982" s="111"/>
    </row>
    <row r="983">
      <c r="AI983" s="111"/>
      <c r="AV983" s="111"/>
      <c r="AW983" s="111"/>
      <c r="AX983" s="111"/>
      <c r="AY983" s="111"/>
      <c r="AZ983" s="111"/>
      <c r="BA983" s="111"/>
      <c r="BB983" s="111"/>
    </row>
    <row r="984">
      <c r="AI984" s="111"/>
      <c r="AV984" s="111"/>
      <c r="AW984" s="111"/>
      <c r="AX984" s="111"/>
      <c r="AY984" s="111"/>
      <c r="AZ984" s="111"/>
      <c r="BA984" s="111"/>
      <c r="BB984" s="111"/>
    </row>
    <row r="985">
      <c r="AI985" s="111"/>
      <c r="AV985" s="111"/>
      <c r="AW985" s="111"/>
      <c r="AX985" s="111"/>
      <c r="AY985" s="111"/>
      <c r="AZ985" s="111"/>
      <c r="BA985" s="111"/>
      <c r="BB985" s="111"/>
    </row>
    <row r="986">
      <c r="AI986" s="111"/>
      <c r="AV986" s="111"/>
      <c r="AW986" s="111"/>
      <c r="AX986" s="111"/>
      <c r="AY986" s="111"/>
      <c r="AZ986" s="111"/>
      <c r="BA986" s="111"/>
      <c r="BB986" s="111"/>
    </row>
    <row r="987">
      <c r="AI987" s="111"/>
      <c r="AV987" s="111"/>
      <c r="AW987" s="111"/>
      <c r="AX987" s="111"/>
      <c r="AY987" s="111"/>
      <c r="AZ987" s="111"/>
      <c r="BA987" s="111"/>
      <c r="BB987" s="111"/>
    </row>
    <row r="988">
      <c r="AI988" s="111"/>
      <c r="AV988" s="111"/>
      <c r="AW988" s="111"/>
      <c r="AX988" s="111"/>
      <c r="AY988" s="111"/>
      <c r="AZ988" s="111"/>
      <c r="BA988" s="111"/>
      <c r="BB988" s="111"/>
    </row>
    <row r="989">
      <c r="AI989" s="111"/>
      <c r="AV989" s="111"/>
      <c r="AW989" s="111"/>
      <c r="AX989" s="111"/>
      <c r="AY989" s="111"/>
      <c r="AZ989" s="111"/>
      <c r="BA989" s="111"/>
      <c r="BB989" s="111"/>
    </row>
    <row r="990">
      <c r="AI990" s="111"/>
      <c r="AV990" s="111"/>
      <c r="AW990" s="111"/>
      <c r="AX990" s="111"/>
      <c r="AY990" s="111"/>
      <c r="AZ990" s="111"/>
      <c r="BA990" s="111"/>
      <c r="BB990" s="111"/>
    </row>
    <row r="991">
      <c r="AI991" s="111"/>
      <c r="AV991" s="111"/>
      <c r="AW991" s="111"/>
      <c r="AX991" s="111"/>
      <c r="AY991" s="111"/>
      <c r="AZ991" s="111"/>
      <c r="BA991" s="111"/>
      <c r="BB991" s="111"/>
    </row>
    <row r="992">
      <c r="AI992" s="111"/>
      <c r="AV992" s="111"/>
      <c r="AW992" s="111"/>
      <c r="AX992" s="111"/>
      <c r="AY992" s="111"/>
      <c r="AZ992" s="111"/>
      <c r="BA992" s="111"/>
      <c r="BB992" s="111"/>
    </row>
    <row r="993">
      <c r="AI993" s="111"/>
      <c r="AV993" s="111"/>
      <c r="AW993" s="111"/>
      <c r="AX993" s="111"/>
      <c r="AY993" s="111"/>
      <c r="AZ993" s="111"/>
      <c r="BA993" s="111"/>
      <c r="BB993" s="111"/>
    </row>
    <row r="994">
      <c r="AI994" s="111"/>
      <c r="AV994" s="111"/>
      <c r="AW994" s="111"/>
      <c r="AX994" s="111"/>
      <c r="AY994" s="111"/>
      <c r="AZ994" s="111"/>
      <c r="BA994" s="111"/>
      <c r="BB994" s="111"/>
    </row>
    <row r="995">
      <c r="AI995" s="111"/>
      <c r="AV995" s="111"/>
      <c r="AW995" s="111"/>
      <c r="AX995" s="111"/>
      <c r="AY995" s="111"/>
      <c r="AZ995" s="111"/>
      <c r="BA995" s="111"/>
      <c r="BB995" s="111"/>
    </row>
    <row r="996">
      <c r="AI996" s="111"/>
      <c r="AV996" s="111"/>
      <c r="AW996" s="111"/>
      <c r="AX996" s="111"/>
      <c r="AY996" s="111"/>
      <c r="AZ996" s="111"/>
      <c r="BA996" s="111"/>
      <c r="BB996" s="111"/>
    </row>
    <row r="997">
      <c r="AI997" s="111"/>
      <c r="AV997" s="111"/>
      <c r="AW997" s="111"/>
      <c r="AX997" s="111"/>
      <c r="AY997" s="111"/>
      <c r="AZ997" s="111"/>
      <c r="BA997" s="111"/>
      <c r="BB997" s="111"/>
    </row>
    <row r="998">
      <c r="AI998" s="111"/>
      <c r="AV998" s="111"/>
      <c r="AW998" s="111"/>
      <c r="AX998" s="111"/>
      <c r="AY998" s="111"/>
      <c r="AZ998" s="111"/>
      <c r="BA998" s="111"/>
      <c r="BB998" s="111"/>
    </row>
    <row r="999">
      <c r="AI999" s="111"/>
      <c r="AV999" s="111"/>
      <c r="AW999" s="111"/>
      <c r="AX999" s="111"/>
      <c r="AY999" s="111"/>
      <c r="AZ999" s="111"/>
      <c r="BA999" s="111"/>
      <c r="BB999" s="111"/>
    </row>
    <row r="1000">
      <c r="AI1000" s="111"/>
      <c r="AV1000" s="111"/>
      <c r="AW1000" s="111"/>
      <c r="AX1000" s="111"/>
      <c r="AY1000" s="111"/>
      <c r="AZ1000" s="111"/>
      <c r="BA1000" s="111"/>
      <c r="BB1000" s="111"/>
    </row>
    <row r="1001">
      <c r="AI1001" s="111"/>
      <c r="AV1001" s="111"/>
      <c r="AW1001" s="111"/>
      <c r="AX1001" s="111"/>
      <c r="AY1001" s="111"/>
      <c r="AZ1001" s="111"/>
      <c r="BA1001" s="111"/>
      <c r="BB1001" s="111"/>
    </row>
    <row r="1002">
      <c r="AI1002" s="111"/>
      <c r="AV1002" s="111"/>
      <c r="AW1002" s="111"/>
      <c r="AX1002" s="111"/>
      <c r="AY1002" s="111"/>
      <c r="AZ1002" s="111"/>
      <c r="BA1002" s="111"/>
      <c r="BB1002" s="111"/>
    </row>
    <row r="1003">
      <c r="AI1003" s="111"/>
      <c r="AV1003" s="111"/>
      <c r="AW1003" s="111"/>
      <c r="AX1003" s="111"/>
      <c r="AY1003" s="111"/>
      <c r="AZ1003" s="111"/>
      <c r="BA1003" s="111"/>
      <c r="BB1003" s="111"/>
    </row>
    <row r="1004">
      <c r="AI1004" s="111"/>
      <c r="AV1004" s="111"/>
      <c r="AW1004" s="111"/>
      <c r="AX1004" s="111"/>
      <c r="AY1004" s="111"/>
      <c r="AZ1004" s="111"/>
      <c r="BA1004" s="111"/>
      <c r="BB1004" s="111"/>
    </row>
    <row r="1005">
      <c r="AI1005" s="111"/>
      <c r="AV1005" s="111"/>
      <c r="AW1005" s="111"/>
      <c r="AX1005" s="111"/>
      <c r="AY1005" s="111"/>
      <c r="AZ1005" s="111"/>
      <c r="BA1005" s="111"/>
      <c r="BB1005" s="111"/>
    </row>
    <row r="1006">
      <c r="AI1006" s="111"/>
      <c r="AV1006" s="111"/>
      <c r="AW1006" s="111"/>
      <c r="AX1006" s="111"/>
      <c r="AY1006" s="111"/>
      <c r="AZ1006" s="111"/>
      <c r="BA1006" s="111"/>
      <c r="BB1006" s="111"/>
    </row>
    <row r="1007">
      <c r="AI1007" s="111"/>
      <c r="AV1007" s="111"/>
      <c r="AW1007" s="111"/>
      <c r="AX1007" s="111"/>
      <c r="AY1007" s="111"/>
      <c r="AZ1007" s="111"/>
      <c r="BA1007" s="111"/>
      <c r="BB1007" s="111"/>
    </row>
    <row r="1008">
      <c r="AI1008" s="111"/>
      <c r="AV1008" s="111"/>
      <c r="AW1008" s="111"/>
      <c r="AX1008" s="111"/>
      <c r="AY1008" s="111"/>
      <c r="AZ1008" s="111"/>
      <c r="BA1008" s="111"/>
      <c r="BB1008" s="111"/>
    </row>
    <row r="1009">
      <c r="AI1009" s="111"/>
      <c r="AV1009" s="111"/>
      <c r="AW1009" s="111"/>
      <c r="AX1009" s="111"/>
      <c r="AY1009" s="111"/>
      <c r="AZ1009" s="111"/>
      <c r="BA1009" s="111"/>
      <c r="BB1009" s="111"/>
    </row>
    <row r="1010">
      <c r="AI1010" s="111"/>
      <c r="AV1010" s="111"/>
      <c r="AW1010" s="111"/>
      <c r="AX1010" s="111"/>
      <c r="AY1010" s="111"/>
      <c r="AZ1010" s="111"/>
      <c r="BA1010" s="111"/>
      <c r="BB1010" s="111"/>
    </row>
  </sheetData>
  <mergeCells count="1">
    <mergeCell ref="A40:K40"/>
  </mergeCells>
  <dataValidations>
    <dataValidation type="list" allowBlank="1" showErrorMessage="1" sqref="B4:B31">
      <formula1>"Cafeteria,Aseo"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2.63" defaultRowHeight="15.75"/>
  <cols>
    <col customWidth="1" min="2" max="2" width="24.0"/>
    <col customWidth="1" min="3" max="3" width="22.25"/>
    <col hidden="1" min="4" max="51" width="12.63"/>
  </cols>
  <sheetData>
    <row r="1">
      <c r="A1" s="26"/>
      <c r="B1" s="26"/>
      <c r="C1" s="27"/>
      <c r="D1" s="28" t="s">
        <v>2</v>
      </c>
      <c r="E1" s="28" t="s">
        <v>2</v>
      </c>
      <c r="F1" s="28" t="s">
        <v>2</v>
      </c>
      <c r="G1" s="28" t="s">
        <v>2</v>
      </c>
      <c r="H1" s="28" t="s">
        <v>2</v>
      </c>
      <c r="K1" s="55" t="s">
        <v>126</v>
      </c>
      <c r="L1" s="55" t="s">
        <v>126</v>
      </c>
      <c r="M1" s="55" t="s">
        <v>222</v>
      </c>
      <c r="N1" s="55" t="s">
        <v>222</v>
      </c>
      <c r="O1" s="55" t="s">
        <v>222</v>
      </c>
      <c r="P1" s="55" t="s">
        <v>222</v>
      </c>
      <c r="Q1" s="55" t="s">
        <v>128</v>
      </c>
      <c r="R1" s="55" t="s">
        <v>128</v>
      </c>
      <c r="S1" s="55" t="s">
        <v>128</v>
      </c>
      <c r="T1" s="55" t="s">
        <v>128</v>
      </c>
      <c r="U1" s="55" t="s">
        <v>128</v>
      </c>
      <c r="V1" s="55" t="s">
        <v>129</v>
      </c>
      <c r="W1" s="55" t="s">
        <v>129</v>
      </c>
      <c r="X1" s="55" t="s">
        <v>129</v>
      </c>
      <c r="Y1" s="55" t="s">
        <v>129</v>
      </c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</row>
    <row r="2">
      <c r="A2" s="26"/>
      <c r="B2" s="26"/>
      <c r="C2" s="27"/>
      <c r="D2" s="34">
        <v>45811.0</v>
      </c>
      <c r="E2" s="34">
        <f>D2+6</f>
        <v>45817</v>
      </c>
      <c r="F2" s="34">
        <f t="shared" ref="F2:H2" si="1">E2+7</f>
        <v>45824</v>
      </c>
      <c r="G2" s="34">
        <f t="shared" si="1"/>
        <v>45831</v>
      </c>
      <c r="H2" s="34">
        <f t="shared" si="1"/>
        <v>45838</v>
      </c>
      <c r="I2" s="34">
        <v>45845.0</v>
      </c>
      <c r="J2" s="34">
        <v>45852.0</v>
      </c>
      <c r="K2" s="34">
        <v>45859.0</v>
      </c>
      <c r="L2" s="34">
        <v>45866.0</v>
      </c>
      <c r="M2" s="33">
        <v>45873.0</v>
      </c>
      <c r="N2" s="33">
        <v>45880.0</v>
      </c>
      <c r="O2" s="33">
        <v>45887.0</v>
      </c>
      <c r="P2" s="33">
        <v>45894.0</v>
      </c>
      <c r="Q2" s="33">
        <v>45901.0</v>
      </c>
      <c r="R2" s="33">
        <v>45908.0</v>
      </c>
      <c r="S2" s="33">
        <v>45915.0</v>
      </c>
      <c r="T2" s="33">
        <v>45922.0</v>
      </c>
      <c r="U2" s="33">
        <v>45929.0</v>
      </c>
      <c r="V2" s="33">
        <f t="shared" ref="V2:Z2" si="2">U2+7</f>
        <v>45936</v>
      </c>
      <c r="W2" s="33">
        <f t="shared" si="2"/>
        <v>45943</v>
      </c>
      <c r="X2" s="33">
        <f t="shared" si="2"/>
        <v>45950</v>
      </c>
      <c r="Y2" s="33">
        <f t="shared" si="2"/>
        <v>45957</v>
      </c>
      <c r="Z2" s="33">
        <f t="shared" si="2"/>
        <v>45964</v>
      </c>
      <c r="AA2" s="33">
        <v>45967.0</v>
      </c>
      <c r="AB2" s="33">
        <v>45971.0</v>
      </c>
      <c r="AC2" s="33">
        <v>45979.0</v>
      </c>
      <c r="AD2" s="33">
        <v>45981.0</v>
      </c>
      <c r="AE2" s="33">
        <v>45985.0</v>
      </c>
      <c r="AF2" s="33">
        <v>45992.0</v>
      </c>
      <c r="AG2" s="33">
        <v>45995.0</v>
      </c>
      <c r="AH2" s="33">
        <v>46000.0</v>
      </c>
      <c r="AI2" s="33">
        <v>46006.0</v>
      </c>
      <c r="AJ2" s="33">
        <v>46013.0</v>
      </c>
      <c r="AK2" s="33">
        <v>46020.0</v>
      </c>
      <c r="AL2" s="34">
        <v>46027.0</v>
      </c>
      <c r="AM2" s="33">
        <v>46030.0</v>
      </c>
      <c r="AN2" s="33">
        <v>46034.0</v>
      </c>
      <c r="AO2" s="33">
        <v>46037.0</v>
      </c>
      <c r="AP2" s="33">
        <v>46041.0</v>
      </c>
      <c r="AQ2" s="33">
        <v>46044.0</v>
      </c>
      <c r="AR2" s="33">
        <v>46051.0</v>
      </c>
      <c r="AS2" s="33">
        <v>46055.0</v>
      </c>
      <c r="AT2" s="33">
        <v>46062.0</v>
      </c>
      <c r="AU2" s="33">
        <v>46065.0</v>
      </c>
      <c r="AV2" s="33">
        <v>46069.0</v>
      </c>
      <c r="AW2" s="33">
        <v>46072.0</v>
      </c>
      <c r="AX2" s="33">
        <v>46076.0</v>
      </c>
      <c r="AY2" s="33">
        <v>46079.0</v>
      </c>
      <c r="AZ2" s="33">
        <v>46083.0</v>
      </c>
      <c r="BA2" s="33">
        <v>46085.0</v>
      </c>
      <c r="BB2" s="33">
        <v>46090.0</v>
      </c>
      <c r="BC2" s="33">
        <v>46093.0</v>
      </c>
      <c r="BD2" s="33">
        <v>46097.0</v>
      </c>
      <c r="BE2" s="33">
        <v>46100.0</v>
      </c>
      <c r="BF2" s="33">
        <v>46104.0</v>
      </c>
      <c r="BG2" s="33">
        <v>46107.0</v>
      </c>
      <c r="BH2" s="33"/>
      <c r="BI2" s="33"/>
    </row>
    <row r="3">
      <c r="A3" s="35" t="s">
        <v>8</v>
      </c>
      <c r="B3" s="35" t="s">
        <v>9</v>
      </c>
      <c r="C3" s="35" t="s">
        <v>10</v>
      </c>
      <c r="D3" s="35" t="s">
        <v>11</v>
      </c>
      <c r="E3" s="35" t="s">
        <v>11</v>
      </c>
      <c r="F3" s="35" t="s">
        <v>11</v>
      </c>
      <c r="G3" s="35" t="s">
        <v>11</v>
      </c>
      <c r="H3" s="35" t="s">
        <v>11</v>
      </c>
      <c r="I3" s="35" t="s">
        <v>11</v>
      </c>
      <c r="J3" s="35" t="s">
        <v>11</v>
      </c>
      <c r="K3" s="35" t="s">
        <v>11</v>
      </c>
      <c r="L3" s="35" t="s">
        <v>11</v>
      </c>
      <c r="M3" s="35" t="s">
        <v>11</v>
      </c>
      <c r="N3" s="35" t="s">
        <v>11</v>
      </c>
      <c r="O3" s="35" t="s">
        <v>11</v>
      </c>
      <c r="P3" s="35" t="s">
        <v>11</v>
      </c>
      <c r="Q3" s="35" t="s">
        <v>11</v>
      </c>
      <c r="R3" s="35" t="s">
        <v>11</v>
      </c>
      <c r="S3" s="35" t="s">
        <v>11</v>
      </c>
      <c r="T3" s="35" t="s">
        <v>11</v>
      </c>
      <c r="U3" s="35" t="s">
        <v>11</v>
      </c>
      <c r="V3" s="35" t="s">
        <v>11</v>
      </c>
      <c r="W3" s="35" t="s">
        <v>11</v>
      </c>
      <c r="X3" s="35" t="s">
        <v>11</v>
      </c>
      <c r="Y3" s="35" t="s">
        <v>11</v>
      </c>
      <c r="Z3" s="35" t="s">
        <v>11</v>
      </c>
      <c r="AA3" s="35" t="s">
        <v>11</v>
      </c>
      <c r="AB3" s="35" t="s">
        <v>11</v>
      </c>
      <c r="AC3" s="35" t="s">
        <v>11</v>
      </c>
      <c r="AD3" s="35" t="s">
        <v>11</v>
      </c>
      <c r="AE3" s="35" t="s">
        <v>11</v>
      </c>
      <c r="AF3" s="35" t="s">
        <v>11</v>
      </c>
      <c r="AG3" s="35" t="s">
        <v>11</v>
      </c>
      <c r="AH3" s="35" t="s">
        <v>11</v>
      </c>
      <c r="AI3" s="35" t="s">
        <v>11</v>
      </c>
      <c r="AJ3" s="35" t="s">
        <v>11</v>
      </c>
      <c r="AK3" s="35" t="s">
        <v>11</v>
      </c>
      <c r="AL3" s="35" t="s">
        <v>11</v>
      </c>
      <c r="AM3" s="35" t="s">
        <v>11</v>
      </c>
      <c r="AN3" s="35" t="s">
        <v>11</v>
      </c>
      <c r="AO3" s="35" t="s">
        <v>11</v>
      </c>
      <c r="AP3" s="35" t="s">
        <v>11</v>
      </c>
      <c r="AQ3" s="35" t="s">
        <v>11</v>
      </c>
      <c r="AR3" s="35" t="s">
        <v>11</v>
      </c>
      <c r="AS3" s="35" t="s">
        <v>11</v>
      </c>
      <c r="AT3" s="35" t="s">
        <v>11</v>
      </c>
      <c r="AU3" s="35" t="s">
        <v>11</v>
      </c>
      <c r="AV3" s="35" t="s">
        <v>11</v>
      </c>
      <c r="AW3" s="35" t="s">
        <v>11</v>
      </c>
      <c r="AX3" s="35" t="s">
        <v>11</v>
      </c>
      <c r="AY3" s="35" t="s">
        <v>11</v>
      </c>
      <c r="AZ3" s="35" t="s">
        <v>11</v>
      </c>
      <c r="BA3" s="35" t="s">
        <v>11</v>
      </c>
      <c r="BB3" s="35" t="s">
        <v>11</v>
      </c>
      <c r="BC3" s="35" t="s">
        <v>11</v>
      </c>
      <c r="BD3" s="35" t="s">
        <v>11</v>
      </c>
      <c r="BE3" s="35" t="s">
        <v>11</v>
      </c>
      <c r="BF3" s="35" t="s">
        <v>11</v>
      </c>
      <c r="BG3" s="35" t="s">
        <v>11</v>
      </c>
      <c r="BH3" s="35"/>
      <c r="BI3" s="35"/>
    </row>
    <row r="4">
      <c r="A4" s="36" t="s">
        <v>278</v>
      </c>
      <c r="B4" s="36" t="s">
        <v>15</v>
      </c>
      <c r="C4" s="37" t="s">
        <v>16</v>
      </c>
      <c r="D4" s="60">
        <v>7.0</v>
      </c>
      <c r="E4" s="60">
        <v>7.0</v>
      </c>
      <c r="F4" s="60">
        <v>2.5</v>
      </c>
      <c r="G4" s="60">
        <v>4.5</v>
      </c>
      <c r="H4" s="60">
        <v>1.5</v>
      </c>
      <c r="I4" s="39" t="s">
        <v>35</v>
      </c>
      <c r="J4" s="39" t="s">
        <v>35</v>
      </c>
      <c r="K4" s="39">
        <v>3.0</v>
      </c>
      <c r="L4" s="39">
        <v>2.0</v>
      </c>
      <c r="M4" s="39">
        <v>3.5</v>
      </c>
      <c r="N4" s="39">
        <v>3.0</v>
      </c>
      <c r="O4" s="39">
        <v>2.5</v>
      </c>
      <c r="P4" s="39">
        <v>2.0</v>
      </c>
      <c r="Q4" s="39">
        <v>5.0</v>
      </c>
      <c r="R4" s="31">
        <v>4.5</v>
      </c>
      <c r="S4" s="31">
        <v>4.0</v>
      </c>
      <c r="T4" s="31">
        <v>4.0</v>
      </c>
      <c r="U4" s="31">
        <v>3.0</v>
      </c>
      <c r="V4" s="31">
        <v>2.0</v>
      </c>
      <c r="W4" s="31">
        <v>3.0</v>
      </c>
      <c r="X4" s="31">
        <v>0.5</v>
      </c>
      <c r="Y4" s="31">
        <v>3.0</v>
      </c>
      <c r="Z4" s="31">
        <v>3.0</v>
      </c>
      <c r="AA4" s="31">
        <v>14.0</v>
      </c>
      <c r="AB4" s="31">
        <v>10.0</v>
      </c>
      <c r="AC4" s="31">
        <v>9.0</v>
      </c>
      <c r="AD4" s="31">
        <v>8.0</v>
      </c>
      <c r="AE4" s="31">
        <v>7.0</v>
      </c>
      <c r="AF4" s="31">
        <v>7.0</v>
      </c>
      <c r="AG4" s="31">
        <v>6.0</v>
      </c>
      <c r="AI4" s="31">
        <v>6.0</v>
      </c>
      <c r="AJ4" s="31">
        <v>5.5</v>
      </c>
      <c r="AK4" s="31">
        <v>5.5</v>
      </c>
      <c r="AL4" s="31">
        <v>5.0</v>
      </c>
      <c r="AM4" s="31">
        <v>7.5</v>
      </c>
      <c r="AN4" s="31">
        <v>7.5</v>
      </c>
      <c r="AO4" s="31">
        <v>7.0</v>
      </c>
      <c r="AP4" s="31">
        <v>7.0</v>
      </c>
      <c r="AQ4" s="31">
        <v>7.0</v>
      </c>
      <c r="AR4" s="31">
        <v>6.5</v>
      </c>
      <c r="AS4" s="31">
        <v>6.0</v>
      </c>
      <c r="AT4" s="31">
        <v>5.5</v>
      </c>
      <c r="AU4" s="31">
        <v>5.0</v>
      </c>
      <c r="AV4" s="31">
        <v>5.0</v>
      </c>
      <c r="AW4" s="31">
        <v>5.0</v>
      </c>
      <c r="AX4" s="31">
        <v>5.0</v>
      </c>
      <c r="AY4" s="31">
        <v>4.5</v>
      </c>
      <c r="AZ4" s="31">
        <v>4.0</v>
      </c>
      <c r="BA4" s="31">
        <v>4.0</v>
      </c>
      <c r="BB4" s="31">
        <v>4.0</v>
      </c>
      <c r="BC4" s="31">
        <v>3.0</v>
      </c>
      <c r="BD4" s="31">
        <v>3.0</v>
      </c>
      <c r="BE4" s="31">
        <v>3.0</v>
      </c>
      <c r="BF4" s="31">
        <v>3.0</v>
      </c>
    </row>
    <row r="5">
      <c r="A5" s="36" t="s">
        <v>278</v>
      </c>
      <c r="B5" s="36" t="s">
        <v>15</v>
      </c>
      <c r="C5" s="37" t="s">
        <v>21</v>
      </c>
      <c r="D5" s="60">
        <v>14.0</v>
      </c>
      <c r="E5" s="60">
        <v>12.0</v>
      </c>
      <c r="F5" s="60">
        <v>10.0</v>
      </c>
      <c r="G5" s="60">
        <v>9.0</v>
      </c>
      <c r="H5" s="60">
        <v>7.0</v>
      </c>
      <c r="I5" s="39" t="s">
        <v>35</v>
      </c>
      <c r="J5" s="39" t="s">
        <v>35</v>
      </c>
      <c r="K5" s="39">
        <v>5.0</v>
      </c>
      <c r="L5" s="39">
        <v>4.0</v>
      </c>
      <c r="M5" s="39">
        <v>4.0</v>
      </c>
      <c r="N5" s="39">
        <v>4.0</v>
      </c>
      <c r="O5" s="39">
        <v>3.0</v>
      </c>
      <c r="P5" s="39">
        <v>3.0</v>
      </c>
      <c r="Q5" s="39">
        <v>3.0</v>
      </c>
      <c r="R5" s="31">
        <v>2.0</v>
      </c>
      <c r="S5" s="31">
        <v>2.0</v>
      </c>
      <c r="T5" s="31">
        <v>2.0</v>
      </c>
      <c r="U5" s="31">
        <v>2.0</v>
      </c>
      <c r="V5" s="31">
        <v>14.0</v>
      </c>
      <c r="W5" s="31">
        <v>20.0</v>
      </c>
      <c r="X5" s="31">
        <v>14.0</v>
      </c>
      <c r="Y5" s="31">
        <v>16.0</v>
      </c>
      <c r="Z5" s="31">
        <v>15.0</v>
      </c>
      <c r="AA5" s="31">
        <v>15.0</v>
      </c>
      <c r="AB5" s="31">
        <v>14.0</v>
      </c>
      <c r="AC5" s="31">
        <v>12.0</v>
      </c>
      <c r="AD5" s="31">
        <v>12.0</v>
      </c>
      <c r="AE5" s="31">
        <v>12.0</v>
      </c>
      <c r="AF5" s="31">
        <v>10.0</v>
      </c>
      <c r="AG5" s="31">
        <v>10.0</v>
      </c>
      <c r="AH5" s="31">
        <v>9.0</v>
      </c>
      <c r="AI5" s="31">
        <v>9.0</v>
      </c>
      <c r="AJ5" s="31">
        <v>16.0</v>
      </c>
      <c r="AK5" s="31">
        <v>12.0</v>
      </c>
      <c r="AL5" s="31">
        <v>12.0</v>
      </c>
      <c r="AM5" s="31">
        <v>11.0</v>
      </c>
      <c r="AN5" s="31">
        <v>10.0</v>
      </c>
      <c r="AO5" s="31">
        <v>10.0</v>
      </c>
      <c r="AP5" s="31">
        <v>10.0</v>
      </c>
      <c r="AQ5" s="31">
        <v>10.0</v>
      </c>
      <c r="AR5" s="31">
        <v>10.0</v>
      </c>
      <c r="AS5" s="31">
        <v>8.0</v>
      </c>
      <c r="AT5" s="31">
        <v>7.0</v>
      </c>
      <c r="AU5" s="31">
        <v>7.0</v>
      </c>
      <c r="AV5" s="31">
        <v>6.0</v>
      </c>
      <c r="AW5" s="31">
        <v>6.0</v>
      </c>
      <c r="AX5" s="31">
        <v>6.0</v>
      </c>
      <c r="AY5" s="31">
        <v>6.0</v>
      </c>
      <c r="AZ5" s="31">
        <v>5.0</v>
      </c>
      <c r="BA5" s="31">
        <v>5.0</v>
      </c>
      <c r="BB5" s="31">
        <v>5.0</v>
      </c>
      <c r="BC5" s="31">
        <v>4.0</v>
      </c>
      <c r="BD5" s="31">
        <v>4.0</v>
      </c>
      <c r="BE5" s="31">
        <v>4.0</v>
      </c>
      <c r="BF5" s="31">
        <v>4.0</v>
      </c>
    </row>
    <row r="6">
      <c r="A6" s="36" t="s">
        <v>278</v>
      </c>
      <c r="B6" s="36" t="s">
        <v>15</v>
      </c>
      <c r="C6" s="37" t="s">
        <v>22</v>
      </c>
      <c r="D6" s="60">
        <v>30.0</v>
      </c>
      <c r="E6" s="60">
        <v>16.0</v>
      </c>
      <c r="F6" s="60">
        <v>14.0</v>
      </c>
      <c r="G6" s="60">
        <v>12.0</v>
      </c>
      <c r="H6" s="60">
        <v>10.0</v>
      </c>
      <c r="I6" s="39" t="s">
        <v>35</v>
      </c>
      <c r="J6" s="39" t="s">
        <v>35</v>
      </c>
      <c r="K6" s="39">
        <v>26.0</v>
      </c>
      <c r="L6" s="39">
        <v>24.0</v>
      </c>
      <c r="M6" s="39">
        <v>22.0</v>
      </c>
      <c r="N6" s="39">
        <v>21.0</v>
      </c>
      <c r="O6" s="39">
        <v>19.0</v>
      </c>
      <c r="P6" s="39">
        <v>17.0</v>
      </c>
      <c r="Q6" s="39">
        <v>12.0</v>
      </c>
      <c r="R6" s="31">
        <v>10.0</v>
      </c>
      <c r="S6" s="31">
        <v>8.0</v>
      </c>
      <c r="T6" s="31">
        <v>8.0</v>
      </c>
      <c r="U6" s="31">
        <v>7.0</v>
      </c>
      <c r="V6" s="31">
        <v>25.0</v>
      </c>
      <c r="W6" s="31">
        <v>28.0</v>
      </c>
      <c r="X6" s="31">
        <v>27.0</v>
      </c>
      <c r="Y6" s="31">
        <v>32.0</v>
      </c>
      <c r="Z6" s="31">
        <v>30.0</v>
      </c>
      <c r="AA6" s="31">
        <v>30.0</v>
      </c>
      <c r="AB6" s="31">
        <v>29.0</v>
      </c>
      <c r="AC6" s="31">
        <v>28.0</v>
      </c>
      <c r="AD6" s="31">
        <v>27.0</v>
      </c>
      <c r="AE6" s="31">
        <v>27.0</v>
      </c>
      <c r="AF6" s="31">
        <v>26.0</v>
      </c>
      <c r="AG6" s="31">
        <v>24.0</v>
      </c>
      <c r="AH6" s="31">
        <v>24.0</v>
      </c>
      <c r="AI6" s="31">
        <v>16.0</v>
      </c>
      <c r="AJ6" s="31">
        <v>30.0</v>
      </c>
      <c r="AK6" s="31">
        <v>30.0</v>
      </c>
      <c r="AL6" s="31">
        <v>30.0</v>
      </c>
      <c r="AM6" s="31">
        <v>29.0</v>
      </c>
      <c r="AN6" s="31">
        <v>29.0</v>
      </c>
      <c r="AO6" s="31">
        <v>27.0</v>
      </c>
      <c r="AP6" s="31">
        <v>27.0</v>
      </c>
      <c r="AQ6" s="31">
        <v>27.0</v>
      </c>
      <c r="AR6" s="31">
        <v>26.0</v>
      </c>
      <c r="AS6" s="31">
        <v>30.0</v>
      </c>
      <c r="AT6" s="31">
        <v>30.0</v>
      </c>
      <c r="AU6" s="31">
        <v>29.0</v>
      </c>
      <c r="AV6" s="31">
        <v>29.0</v>
      </c>
      <c r="AW6" s="31">
        <v>29.0</v>
      </c>
      <c r="AX6" s="31">
        <v>29.0</v>
      </c>
      <c r="AY6" s="31">
        <v>29.0</v>
      </c>
      <c r="AZ6" s="31">
        <v>29.0</v>
      </c>
      <c r="BA6" s="31">
        <v>28.0</v>
      </c>
      <c r="BB6" s="31">
        <v>25.0</v>
      </c>
      <c r="BC6" s="31">
        <v>25.0</v>
      </c>
      <c r="BD6" s="31">
        <v>25.0</v>
      </c>
      <c r="BE6" s="31">
        <v>25.0</v>
      </c>
      <c r="BF6" s="31">
        <v>25.0</v>
      </c>
    </row>
    <row r="7">
      <c r="A7" s="36" t="s">
        <v>278</v>
      </c>
      <c r="B7" s="36" t="s">
        <v>15</v>
      </c>
      <c r="C7" s="37" t="s">
        <v>23</v>
      </c>
      <c r="D7" s="60">
        <v>9.0</v>
      </c>
      <c r="E7" s="60">
        <v>9.0</v>
      </c>
      <c r="F7" s="60">
        <v>9.0</v>
      </c>
      <c r="G7" s="60">
        <v>9.0</v>
      </c>
      <c r="H7" s="60">
        <v>9.0</v>
      </c>
      <c r="I7" s="39" t="s">
        <v>35</v>
      </c>
      <c r="J7" s="39" t="s">
        <v>35</v>
      </c>
      <c r="K7" s="39">
        <v>10.0</v>
      </c>
      <c r="L7" s="39">
        <v>9.0</v>
      </c>
      <c r="M7" s="39">
        <v>8.0</v>
      </c>
      <c r="N7" s="39">
        <v>8.0</v>
      </c>
      <c r="O7" s="39">
        <v>8.0</v>
      </c>
      <c r="P7" s="39">
        <v>8.0</v>
      </c>
      <c r="Q7" s="39">
        <v>8.0</v>
      </c>
      <c r="R7" s="31">
        <v>8.0</v>
      </c>
      <c r="S7" s="31">
        <v>7.0</v>
      </c>
      <c r="T7" s="31">
        <v>7.0</v>
      </c>
      <c r="U7" s="31">
        <v>7.0</v>
      </c>
      <c r="V7" s="31">
        <v>7.0</v>
      </c>
      <c r="W7" s="31">
        <v>7.0</v>
      </c>
      <c r="X7" s="31">
        <v>7.0</v>
      </c>
      <c r="Y7" s="31">
        <v>10.0</v>
      </c>
      <c r="Z7" s="31">
        <v>10.0</v>
      </c>
      <c r="AA7" s="31">
        <v>10.0</v>
      </c>
      <c r="AB7" s="31">
        <v>9.0</v>
      </c>
      <c r="AC7" s="31">
        <v>7.0</v>
      </c>
      <c r="AD7" s="31">
        <v>7.0</v>
      </c>
      <c r="AE7" s="31">
        <v>7.0</v>
      </c>
      <c r="AF7" s="31">
        <v>7.0</v>
      </c>
      <c r="AG7" s="31">
        <v>7.0</v>
      </c>
      <c r="AH7" s="31">
        <v>7.0</v>
      </c>
      <c r="AI7" s="31">
        <v>7.0</v>
      </c>
      <c r="AJ7" s="31">
        <v>6.0</v>
      </c>
      <c r="AK7" s="31">
        <v>6.0</v>
      </c>
      <c r="AL7" s="31">
        <v>6.0</v>
      </c>
      <c r="AM7" s="31">
        <v>6.0</v>
      </c>
      <c r="AN7" s="31">
        <v>6.0</v>
      </c>
      <c r="AO7" s="31">
        <v>6.0</v>
      </c>
      <c r="AP7" s="31">
        <v>4.0</v>
      </c>
      <c r="AQ7" s="31">
        <v>4.0</v>
      </c>
      <c r="AR7" s="31">
        <v>4.0</v>
      </c>
      <c r="AS7" s="31">
        <v>3.0</v>
      </c>
      <c r="AT7" s="31">
        <v>2.0</v>
      </c>
      <c r="AU7" s="31">
        <v>2.0</v>
      </c>
      <c r="AV7" s="31">
        <v>1.0</v>
      </c>
      <c r="AW7" s="31">
        <v>1.0</v>
      </c>
      <c r="AX7" s="31">
        <v>1.0</v>
      </c>
      <c r="AY7" s="31">
        <v>1.0</v>
      </c>
      <c r="AZ7" s="31">
        <v>1.0</v>
      </c>
      <c r="BA7" s="31">
        <v>1.0</v>
      </c>
      <c r="BB7" s="31">
        <v>1.0</v>
      </c>
      <c r="BC7" s="31">
        <v>1.0</v>
      </c>
      <c r="BD7" s="31">
        <v>1.0</v>
      </c>
      <c r="BE7" s="31">
        <v>1.0</v>
      </c>
      <c r="BF7" s="31">
        <v>1.0</v>
      </c>
    </row>
    <row r="8">
      <c r="A8" s="36" t="s">
        <v>278</v>
      </c>
      <c r="B8" s="36" t="s">
        <v>15</v>
      </c>
      <c r="C8" s="37" t="s">
        <v>25</v>
      </c>
      <c r="D8" s="60"/>
      <c r="E8" s="60"/>
      <c r="F8" s="60"/>
      <c r="G8" s="60"/>
      <c r="H8" s="60"/>
      <c r="I8" s="39"/>
      <c r="J8" s="39"/>
      <c r="K8" s="39"/>
      <c r="L8" s="39"/>
      <c r="M8" s="39"/>
      <c r="N8" s="39"/>
      <c r="O8" s="39"/>
      <c r="P8" s="39"/>
      <c r="Q8" s="61" t="s">
        <v>35</v>
      </c>
      <c r="R8" s="61" t="s">
        <v>35</v>
      </c>
      <c r="S8" s="61" t="s">
        <v>35</v>
      </c>
      <c r="T8" s="61" t="s">
        <v>35</v>
      </c>
      <c r="U8" s="61" t="s">
        <v>35</v>
      </c>
      <c r="V8" s="61" t="s">
        <v>35</v>
      </c>
      <c r="W8" s="61" t="s">
        <v>35</v>
      </c>
      <c r="X8" s="61" t="s">
        <v>35</v>
      </c>
      <c r="Y8" s="61" t="s">
        <v>35</v>
      </c>
      <c r="Z8" s="31">
        <v>18.0</v>
      </c>
      <c r="AA8" s="31">
        <v>17.0</v>
      </c>
      <c r="AB8" s="31">
        <v>16.0</v>
      </c>
      <c r="AC8" s="31">
        <v>13.0</v>
      </c>
      <c r="AD8" s="31">
        <v>11.0</v>
      </c>
      <c r="AE8" s="31">
        <v>10.0</v>
      </c>
      <c r="AF8" s="31">
        <v>8.0</v>
      </c>
      <c r="AG8" s="31">
        <v>6.0</v>
      </c>
      <c r="AH8" s="31">
        <v>6.0</v>
      </c>
      <c r="AI8" s="31">
        <v>4.0</v>
      </c>
      <c r="AJ8" s="31">
        <v>14.0</v>
      </c>
      <c r="AK8" s="31">
        <v>14.0</v>
      </c>
      <c r="AL8" s="31">
        <v>13.0</v>
      </c>
      <c r="AM8" s="31">
        <v>12.0</v>
      </c>
      <c r="AN8" s="31">
        <v>12.0</v>
      </c>
      <c r="AO8" s="31">
        <v>11.0</v>
      </c>
      <c r="AP8" s="31">
        <v>10.0</v>
      </c>
      <c r="AQ8" s="31">
        <v>9.0</v>
      </c>
      <c r="AR8" s="31">
        <v>6.0</v>
      </c>
      <c r="AS8" s="31">
        <v>4.0</v>
      </c>
      <c r="AT8" s="31">
        <v>4.0</v>
      </c>
      <c r="AU8" s="31">
        <v>3.0</v>
      </c>
      <c r="AV8" s="31">
        <v>3.0</v>
      </c>
      <c r="AW8" s="31">
        <v>3.0</v>
      </c>
      <c r="AX8" s="31">
        <v>2.0</v>
      </c>
      <c r="AY8" s="31">
        <v>1.0</v>
      </c>
      <c r="AZ8" s="31">
        <v>1.0</v>
      </c>
      <c r="BA8" s="31">
        <v>2.0</v>
      </c>
      <c r="BB8" s="31">
        <v>1.0</v>
      </c>
      <c r="BC8" s="31">
        <v>0.0</v>
      </c>
      <c r="BD8" s="31">
        <v>0.0</v>
      </c>
      <c r="BE8" s="31">
        <v>0.0</v>
      </c>
      <c r="BF8" s="31">
        <v>0.0</v>
      </c>
    </row>
    <row r="9">
      <c r="A9" s="36" t="s">
        <v>278</v>
      </c>
      <c r="B9" s="36" t="s">
        <v>15</v>
      </c>
      <c r="C9" s="37" t="s">
        <v>26</v>
      </c>
      <c r="D9" s="60"/>
      <c r="E9" s="60"/>
      <c r="F9" s="60"/>
      <c r="G9" s="60"/>
      <c r="H9" s="60"/>
      <c r="I9" s="39"/>
      <c r="J9" s="39"/>
      <c r="K9" s="39"/>
      <c r="L9" s="39"/>
      <c r="M9" s="39"/>
      <c r="N9" s="39"/>
      <c r="O9" s="39"/>
      <c r="P9" s="39"/>
      <c r="Q9" s="61"/>
      <c r="R9" s="61"/>
      <c r="S9" s="61"/>
      <c r="T9" s="61"/>
      <c r="U9" s="61"/>
      <c r="V9" s="61"/>
      <c r="W9" s="61"/>
      <c r="X9" s="61"/>
      <c r="Y9" s="6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  <c r="AT9" s="31"/>
      <c r="AU9" s="31"/>
      <c r="AV9" s="31"/>
      <c r="AW9" s="31"/>
      <c r="AX9" s="31"/>
      <c r="AY9" s="31"/>
      <c r="AZ9" s="31"/>
      <c r="BA9" s="31"/>
      <c r="BB9" s="31"/>
      <c r="BC9" s="31">
        <v>8.0</v>
      </c>
      <c r="BD9" s="31">
        <v>8.0</v>
      </c>
      <c r="BE9" s="31">
        <v>8.0</v>
      </c>
      <c r="BF9" s="31">
        <v>8.0</v>
      </c>
    </row>
    <row r="10">
      <c r="A10" s="36" t="s">
        <v>278</v>
      </c>
      <c r="B10" s="36" t="s">
        <v>15</v>
      </c>
      <c r="C10" s="37" t="s">
        <v>27</v>
      </c>
      <c r="D10" s="60"/>
      <c r="E10" s="60"/>
      <c r="F10" s="60"/>
      <c r="G10" s="60"/>
      <c r="H10" s="60"/>
      <c r="I10" s="39"/>
      <c r="J10" s="39"/>
      <c r="K10" s="39"/>
      <c r="L10" s="39"/>
      <c r="M10" s="39"/>
      <c r="N10" s="39"/>
      <c r="O10" s="39"/>
      <c r="P10" s="39"/>
      <c r="Q10" s="61"/>
      <c r="R10" s="61"/>
      <c r="S10" s="61"/>
      <c r="T10" s="61"/>
      <c r="U10" s="61"/>
      <c r="V10" s="61"/>
      <c r="W10" s="61"/>
      <c r="X10" s="61"/>
      <c r="Y10" s="61"/>
      <c r="Z10" s="31">
        <v>3.0</v>
      </c>
      <c r="AA10" s="31">
        <v>3.0</v>
      </c>
      <c r="AB10" s="31">
        <v>3.0</v>
      </c>
      <c r="AC10" s="31">
        <v>3.0</v>
      </c>
      <c r="AD10" s="31">
        <v>3.0</v>
      </c>
      <c r="AE10" s="31">
        <v>3.0</v>
      </c>
      <c r="AF10" s="31">
        <v>3.0</v>
      </c>
      <c r="AG10" s="31">
        <v>3.0</v>
      </c>
      <c r="AH10" s="31">
        <v>3.0</v>
      </c>
      <c r="AI10" s="31">
        <v>3.0</v>
      </c>
      <c r="AJ10" s="31">
        <v>2.0</v>
      </c>
      <c r="AK10" s="31">
        <v>3.0</v>
      </c>
      <c r="AL10" s="31">
        <v>3.0</v>
      </c>
      <c r="AM10" s="31">
        <v>3.0</v>
      </c>
      <c r="AN10" s="31">
        <v>3.0</v>
      </c>
      <c r="AO10" s="31">
        <v>3.0</v>
      </c>
      <c r="AP10" s="31">
        <v>3.0</v>
      </c>
      <c r="AQ10" s="31">
        <v>3.0</v>
      </c>
      <c r="AR10" s="31">
        <v>3.0</v>
      </c>
      <c r="AS10" s="31">
        <v>3.0</v>
      </c>
      <c r="AT10" s="31">
        <v>3.0</v>
      </c>
      <c r="AU10" s="31">
        <v>3.0</v>
      </c>
      <c r="AV10" s="31">
        <v>3.0</v>
      </c>
      <c r="AW10" s="31">
        <v>3.0</v>
      </c>
      <c r="AX10" s="31">
        <v>3.0</v>
      </c>
      <c r="AY10" s="31">
        <v>3.0</v>
      </c>
      <c r="AZ10" s="31">
        <v>3.0</v>
      </c>
      <c r="BA10" s="31">
        <v>3.0</v>
      </c>
      <c r="BB10" s="31">
        <v>3.0</v>
      </c>
      <c r="BC10" s="31">
        <v>3.0</v>
      </c>
      <c r="BD10" s="31">
        <v>3.0</v>
      </c>
      <c r="BE10" s="31">
        <v>3.0</v>
      </c>
      <c r="BF10" s="31">
        <v>3.0</v>
      </c>
    </row>
    <row r="11">
      <c r="A11" s="36" t="s">
        <v>278</v>
      </c>
      <c r="B11" s="36" t="s">
        <v>33</v>
      </c>
      <c r="C11" s="37" t="s">
        <v>238</v>
      </c>
      <c r="D11" s="60"/>
      <c r="E11" s="60"/>
      <c r="F11" s="60"/>
      <c r="G11" s="60"/>
      <c r="H11" s="60"/>
      <c r="I11" s="39"/>
      <c r="J11" s="39"/>
      <c r="K11" s="39"/>
      <c r="L11" s="39"/>
      <c r="M11" s="39"/>
      <c r="N11" s="39"/>
      <c r="O11" s="39"/>
      <c r="P11" s="39"/>
      <c r="Q11" s="61"/>
      <c r="R11" s="61"/>
      <c r="S11" s="61"/>
      <c r="T11" s="61"/>
      <c r="U11" s="61" t="s">
        <v>35</v>
      </c>
      <c r="V11" s="61" t="s">
        <v>35</v>
      </c>
      <c r="W11" s="61" t="s">
        <v>35</v>
      </c>
      <c r="X11" s="61" t="s">
        <v>35</v>
      </c>
      <c r="Y11" s="61" t="s">
        <v>35</v>
      </c>
      <c r="Z11" s="61" t="s">
        <v>35</v>
      </c>
      <c r="AA11" s="61" t="s">
        <v>35</v>
      </c>
      <c r="AB11" s="61" t="s">
        <v>35</v>
      </c>
      <c r="AC11" s="31">
        <v>1.0</v>
      </c>
      <c r="AD11" s="31">
        <v>1.0</v>
      </c>
      <c r="AE11" s="31">
        <v>1.0</v>
      </c>
      <c r="AF11" s="31">
        <v>1.0</v>
      </c>
      <c r="AG11" s="31">
        <v>1.0</v>
      </c>
      <c r="AH11" s="31">
        <v>1.0</v>
      </c>
      <c r="AI11" s="31">
        <v>1.0</v>
      </c>
      <c r="AJ11" s="31">
        <v>2.0</v>
      </c>
      <c r="AK11" s="31">
        <v>2.0</v>
      </c>
      <c r="AL11" s="31">
        <v>2.0</v>
      </c>
      <c r="AM11" s="31">
        <v>2.0</v>
      </c>
      <c r="AN11" s="31">
        <v>2.0</v>
      </c>
      <c r="AO11" s="31">
        <v>2.0</v>
      </c>
      <c r="AP11" s="31">
        <v>1.0</v>
      </c>
      <c r="AQ11" s="31">
        <v>1.0</v>
      </c>
      <c r="AR11" s="31">
        <v>1.0</v>
      </c>
      <c r="AS11" s="31">
        <v>1.0</v>
      </c>
      <c r="AT11" s="31">
        <v>1.0</v>
      </c>
      <c r="AU11" s="31">
        <v>1.0</v>
      </c>
      <c r="AV11" s="31">
        <v>1.0</v>
      </c>
      <c r="AW11" s="31">
        <v>1.0</v>
      </c>
      <c r="AX11" s="31">
        <v>1.0</v>
      </c>
      <c r="AY11" s="31">
        <v>1.0</v>
      </c>
      <c r="AZ11" s="31">
        <v>1.0</v>
      </c>
      <c r="BA11" s="31">
        <v>1.0</v>
      </c>
      <c r="BB11" s="31">
        <v>1.0</v>
      </c>
      <c r="BC11" s="31">
        <v>1.0</v>
      </c>
      <c r="BD11" s="31">
        <v>1.0</v>
      </c>
      <c r="BE11" s="31">
        <v>1.0</v>
      </c>
      <c r="BF11" s="31">
        <v>1.0</v>
      </c>
    </row>
    <row r="12">
      <c r="A12" s="36" t="s">
        <v>278</v>
      </c>
      <c r="B12" s="36" t="s">
        <v>33</v>
      </c>
      <c r="C12" s="37" t="s">
        <v>267</v>
      </c>
      <c r="D12" s="60"/>
      <c r="E12" s="60"/>
      <c r="F12" s="60"/>
      <c r="G12" s="60"/>
      <c r="H12" s="60"/>
      <c r="I12" s="39"/>
      <c r="J12" s="39"/>
      <c r="K12" s="39"/>
      <c r="L12" s="39"/>
      <c r="M12" s="39"/>
      <c r="N12" s="39"/>
      <c r="O12" s="39"/>
      <c r="P12" s="39"/>
      <c r="Q12" s="61"/>
      <c r="R12" s="61"/>
      <c r="S12" s="61"/>
      <c r="T12" s="61"/>
      <c r="U12" s="61" t="s">
        <v>35</v>
      </c>
      <c r="V12" s="61" t="s">
        <v>35</v>
      </c>
      <c r="W12" s="61" t="s">
        <v>35</v>
      </c>
      <c r="X12" s="61" t="s">
        <v>35</v>
      </c>
      <c r="Y12" s="61" t="s">
        <v>35</v>
      </c>
      <c r="Z12" s="61" t="s">
        <v>35</v>
      </c>
      <c r="AA12" s="61" t="s">
        <v>35</v>
      </c>
      <c r="AB12" s="61" t="s">
        <v>35</v>
      </c>
      <c r="AC12" s="31">
        <v>0.0</v>
      </c>
      <c r="AD12" s="31">
        <v>0.0</v>
      </c>
      <c r="AE12" s="31">
        <v>0.0</v>
      </c>
      <c r="AF12" s="31">
        <v>0.0</v>
      </c>
      <c r="AG12" s="31">
        <v>0.0</v>
      </c>
      <c r="AH12" s="31">
        <v>0.0</v>
      </c>
      <c r="AI12" s="31">
        <v>0.0</v>
      </c>
      <c r="AJ12" s="31">
        <v>1.0</v>
      </c>
      <c r="AK12" s="31">
        <v>2.0</v>
      </c>
      <c r="AL12" s="31">
        <v>2.0</v>
      </c>
      <c r="AM12" s="31">
        <v>2.0</v>
      </c>
      <c r="AN12" s="31">
        <v>2.0</v>
      </c>
      <c r="AO12" s="31">
        <v>2.0</v>
      </c>
      <c r="AP12" s="31">
        <v>2.0</v>
      </c>
      <c r="AQ12" s="31">
        <v>2.0</v>
      </c>
      <c r="AR12" s="31">
        <v>2.0</v>
      </c>
      <c r="AS12" s="31">
        <v>2.0</v>
      </c>
      <c r="AT12" s="31">
        <v>2.0</v>
      </c>
      <c r="AU12" s="31">
        <v>2.0</v>
      </c>
      <c r="AV12" s="31">
        <v>2.0</v>
      </c>
      <c r="AW12" s="31">
        <v>2.0</v>
      </c>
      <c r="AX12" s="31">
        <v>2.0</v>
      </c>
      <c r="AY12" s="31">
        <v>2.0</v>
      </c>
      <c r="AZ12" s="31">
        <v>2.0</v>
      </c>
      <c r="BA12" s="31">
        <v>1.0</v>
      </c>
      <c r="BB12" s="31">
        <v>1.0</v>
      </c>
      <c r="BC12" s="31">
        <v>1.0</v>
      </c>
      <c r="BD12" s="31">
        <v>1.0</v>
      </c>
      <c r="BE12" s="31">
        <v>1.0</v>
      </c>
      <c r="BF12" s="31">
        <v>1.0</v>
      </c>
    </row>
    <row r="13">
      <c r="A13" s="36" t="s">
        <v>278</v>
      </c>
      <c r="B13" s="36" t="s">
        <v>33</v>
      </c>
      <c r="C13" s="37" t="s">
        <v>37</v>
      </c>
      <c r="D13" s="60"/>
      <c r="E13" s="60"/>
      <c r="F13" s="60"/>
      <c r="G13" s="60"/>
      <c r="H13" s="60"/>
      <c r="I13" s="39"/>
      <c r="J13" s="39"/>
      <c r="K13" s="39"/>
      <c r="L13" s="39"/>
      <c r="M13" s="39"/>
      <c r="N13" s="39"/>
      <c r="O13" s="39"/>
      <c r="P13" s="39"/>
      <c r="Q13" s="61"/>
      <c r="R13" s="61"/>
      <c r="S13" s="61"/>
      <c r="T13" s="61"/>
      <c r="U13" s="61" t="s">
        <v>35</v>
      </c>
      <c r="V13" s="61" t="s">
        <v>35</v>
      </c>
      <c r="W13" s="61" t="s">
        <v>35</v>
      </c>
      <c r="X13" s="61" t="s">
        <v>35</v>
      </c>
      <c r="Y13" s="61" t="s">
        <v>35</v>
      </c>
      <c r="Z13" s="61" t="s">
        <v>35</v>
      </c>
      <c r="AA13" s="61" t="s">
        <v>35</v>
      </c>
      <c r="AB13" s="61" t="s">
        <v>35</v>
      </c>
      <c r="AC13" s="31">
        <v>30.0</v>
      </c>
      <c r="AD13" s="31">
        <v>30.0</v>
      </c>
      <c r="AE13" s="31">
        <v>30.0</v>
      </c>
      <c r="AF13" s="31">
        <v>29.0</v>
      </c>
      <c r="AG13" s="31">
        <v>29.0</v>
      </c>
      <c r="AH13" s="31">
        <v>29.0</v>
      </c>
      <c r="AI13" s="31">
        <v>29.0</v>
      </c>
      <c r="AJ13" s="31">
        <v>27.0</v>
      </c>
      <c r="AK13" s="31">
        <v>27.0</v>
      </c>
      <c r="AL13" s="31">
        <v>27.0</v>
      </c>
      <c r="AM13" s="31">
        <v>27.0</v>
      </c>
      <c r="AN13" s="31">
        <v>26.0</v>
      </c>
      <c r="AO13" s="31">
        <v>26.0</v>
      </c>
      <c r="AP13" s="31">
        <v>26.0</v>
      </c>
      <c r="AQ13" s="31">
        <v>60.0</v>
      </c>
      <c r="AR13" s="31">
        <v>60.0</v>
      </c>
      <c r="AS13" s="31">
        <v>6.0</v>
      </c>
      <c r="AT13" s="31">
        <v>6.0</v>
      </c>
      <c r="AU13" s="31">
        <v>6.0</v>
      </c>
      <c r="AV13" s="31">
        <v>5.0</v>
      </c>
      <c r="AW13" s="31">
        <v>5.0</v>
      </c>
      <c r="AX13" s="31">
        <v>4.0</v>
      </c>
      <c r="AY13" s="31">
        <v>4.0</v>
      </c>
      <c r="AZ13" s="31">
        <v>4.0</v>
      </c>
      <c r="BA13" s="31">
        <v>4.0</v>
      </c>
      <c r="BB13" s="31">
        <v>4.0</v>
      </c>
      <c r="BC13" s="31">
        <v>4.0</v>
      </c>
      <c r="BD13" s="31">
        <v>4.0</v>
      </c>
      <c r="BE13" s="31">
        <v>4.0</v>
      </c>
      <c r="BF13" s="31">
        <v>4.0</v>
      </c>
    </row>
    <row r="14">
      <c r="A14" s="36" t="s">
        <v>278</v>
      </c>
      <c r="B14" s="36" t="s">
        <v>33</v>
      </c>
      <c r="C14" s="37" t="s">
        <v>40</v>
      </c>
      <c r="D14" s="60"/>
      <c r="E14" s="60"/>
      <c r="F14" s="60"/>
      <c r="G14" s="60"/>
      <c r="H14" s="60"/>
      <c r="I14" s="39"/>
      <c r="J14" s="39"/>
      <c r="K14" s="39"/>
      <c r="L14" s="39"/>
      <c r="M14" s="39"/>
      <c r="N14" s="39"/>
      <c r="O14" s="39"/>
      <c r="P14" s="39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31"/>
      <c r="AD14" s="31"/>
      <c r="AE14" s="31"/>
      <c r="AF14" s="31"/>
      <c r="AG14" s="31"/>
      <c r="AH14" s="31"/>
      <c r="AI14" s="31"/>
      <c r="AJ14" s="31">
        <v>0.0</v>
      </c>
      <c r="AK14" s="31">
        <v>0.0</v>
      </c>
      <c r="AL14" s="31">
        <v>0.0</v>
      </c>
      <c r="AM14" s="31">
        <v>0.0</v>
      </c>
      <c r="AN14" s="31">
        <v>0.0</v>
      </c>
      <c r="AO14" s="31">
        <v>0.0</v>
      </c>
      <c r="AP14" s="31">
        <v>0.0</v>
      </c>
      <c r="AQ14" s="31">
        <v>70.0</v>
      </c>
      <c r="AR14" s="31">
        <v>70.0</v>
      </c>
      <c r="AS14" s="31">
        <v>7.0</v>
      </c>
      <c r="AT14" s="31">
        <v>7.0</v>
      </c>
      <c r="AU14" s="31">
        <v>7.0</v>
      </c>
      <c r="AV14" s="31">
        <v>7.0</v>
      </c>
      <c r="AW14" s="31">
        <v>7.0</v>
      </c>
      <c r="AX14" s="31">
        <v>7.0</v>
      </c>
      <c r="AY14" s="31">
        <v>7.0</v>
      </c>
      <c r="AZ14" s="31">
        <v>6.0</v>
      </c>
      <c r="BA14" s="31">
        <v>5.0</v>
      </c>
      <c r="BB14" s="31">
        <v>5.0</v>
      </c>
      <c r="BC14" s="31">
        <v>5.0</v>
      </c>
      <c r="BD14" s="31">
        <v>5.0</v>
      </c>
      <c r="BE14" s="31">
        <v>5.0</v>
      </c>
      <c r="BF14" s="31">
        <v>5.0</v>
      </c>
    </row>
    <row r="15">
      <c r="A15" s="36" t="s">
        <v>278</v>
      </c>
      <c r="B15" s="36" t="s">
        <v>33</v>
      </c>
      <c r="C15" s="37" t="s">
        <v>43</v>
      </c>
      <c r="D15" s="60"/>
      <c r="E15" s="60"/>
      <c r="F15" s="60"/>
      <c r="G15" s="60"/>
      <c r="H15" s="60"/>
      <c r="I15" s="39"/>
      <c r="J15" s="39"/>
      <c r="K15" s="39"/>
      <c r="L15" s="39"/>
      <c r="M15" s="39"/>
      <c r="N15" s="39"/>
      <c r="O15" s="39"/>
      <c r="P15" s="39"/>
      <c r="Q15" s="61"/>
      <c r="R15" s="61"/>
      <c r="S15" s="61"/>
      <c r="T15" s="61"/>
      <c r="U15" s="61"/>
      <c r="V15" s="61"/>
      <c r="W15" s="61"/>
      <c r="X15" s="61"/>
      <c r="Y15" s="61"/>
      <c r="Z15" s="61"/>
      <c r="AA15" s="61"/>
      <c r="AB15" s="61"/>
      <c r="AC15" s="31"/>
      <c r="AD15" s="31"/>
      <c r="AE15" s="31"/>
      <c r="AF15" s="31"/>
      <c r="AG15" s="31"/>
      <c r="AH15" s="31"/>
      <c r="AI15" s="31"/>
      <c r="AJ15" s="31">
        <v>0.0</v>
      </c>
      <c r="AK15" s="31">
        <v>0.0</v>
      </c>
      <c r="AL15" s="31">
        <v>0.0</v>
      </c>
      <c r="AM15" s="31">
        <v>0.0</v>
      </c>
      <c r="AN15" s="31">
        <v>0.0</v>
      </c>
      <c r="AO15" s="31">
        <v>0.0</v>
      </c>
      <c r="AP15" s="31">
        <v>0.0</v>
      </c>
      <c r="AQ15" s="31">
        <v>100.0</v>
      </c>
      <c r="AR15" s="31">
        <v>100.0</v>
      </c>
      <c r="AS15" s="31">
        <v>10.0</v>
      </c>
      <c r="AT15" s="31">
        <v>10.0</v>
      </c>
      <c r="AU15" s="31">
        <v>10.0</v>
      </c>
      <c r="AV15" s="31">
        <v>10.0</v>
      </c>
      <c r="AW15" s="31">
        <v>10.0</v>
      </c>
      <c r="AX15" s="31">
        <v>10.0</v>
      </c>
      <c r="AY15" s="31">
        <v>10.0</v>
      </c>
      <c r="AZ15" s="31">
        <v>10.0</v>
      </c>
      <c r="BA15" s="31">
        <v>10.0</v>
      </c>
      <c r="BB15" s="31">
        <v>10.0</v>
      </c>
      <c r="BC15" s="31">
        <v>11.0</v>
      </c>
      <c r="BD15" s="31">
        <v>11.0</v>
      </c>
      <c r="BE15" s="31">
        <v>11.0</v>
      </c>
      <c r="BF15" s="31">
        <v>11.0</v>
      </c>
    </row>
    <row r="16">
      <c r="A16" s="36" t="s">
        <v>278</v>
      </c>
      <c r="B16" s="36" t="s">
        <v>33</v>
      </c>
      <c r="C16" s="37" t="s">
        <v>252</v>
      </c>
      <c r="D16" s="60"/>
      <c r="E16" s="60"/>
      <c r="F16" s="60"/>
      <c r="G16" s="60"/>
      <c r="H16" s="60"/>
      <c r="I16" s="39"/>
      <c r="J16" s="39"/>
      <c r="K16" s="39"/>
      <c r="L16" s="39"/>
      <c r="M16" s="39"/>
      <c r="N16" s="39"/>
      <c r="O16" s="39"/>
      <c r="P16" s="39"/>
      <c r="Q16" s="61"/>
      <c r="R16" s="61"/>
      <c r="S16" s="61"/>
      <c r="T16" s="61"/>
      <c r="U16" s="61" t="s">
        <v>35</v>
      </c>
      <c r="V16" s="61" t="s">
        <v>35</v>
      </c>
      <c r="W16" s="61" t="s">
        <v>35</v>
      </c>
      <c r="X16" s="61" t="s">
        <v>35</v>
      </c>
      <c r="Y16" s="61" t="s">
        <v>35</v>
      </c>
      <c r="Z16" s="61" t="s">
        <v>35</v>
      </c>
      <c r="AA16" s="61" t="s">
        <v>35</v>
      </c>
      <c r="AB16" s="61" t="s">
        <v>35</v>
      </c>
      <c r="AC16" s="31">
        <v>8.0</v>
      </c>
      <c r="AD16" s="31">
        <v>8.0</v>
      </c>
      <c r="AE16" s="31">
        <v>8.0</v>
      </c>
      <c r="AF16" s="31">
        <v>7.0</v>
      </c>
      <c r="AG16" s="31">
        <v>7.0</v>
      </c>
      <c r="AH16" s="31">
        <v>7.0</v>
      </c>
      <c r="AI16" s="31">
        <v>6.0</v>
      </c>
      <c r="AJ16" s="31">
        <v>5.0</v>
      </c>
      <c r="AK16" s="31">
        <v>12.0</v>
      </c>
      <c r="AL16" s="31">
        <v>12.0</v>
      </c>
      <c r="AM16" s="31">
        <v>12.0</v>
      </c>
      <c r="AN16" s="31">
        <v>12.0</v>
      </c>
      <c r="AO16" s="31">
        <v>12.0</v>
      </c>
      <c r="AP16" s="31">
        <v>11.0</v>
      </c>
      <c r="AQ16" s="31">
        <v>11.0</v>
      </c>
      <c r="AR16" s="31">
        <v>10.0</v>
      </c>
      <c r="AS16" s="31">
        <v>9.0</v>
      </c>
      <c r="AT16" s="31">
        <v>8.0</v>
      </c>
      <c r="AU16" s="31">
        <v>8.0</v>
      </c>
      <c r="AV16" s="31">
        <v>8.0</v>
      </c>
      <c r="AW16" s="31">
        <v>8.0</v>
      </c>
      <c r="AX16" s="31">
        <v>8.0</v>
      </c>
      <c r="AY16" s="31">
        <v>8.0</v>
      </c>
      <c r="AZ16" s="31">
        <v>8.0</v>
      </c>
      <c r="BA16" s="31">
        <v>8.0</v>
      </c>
      <c r="BB16" s="31">
        <v>8.0</v>
      </c>
      <c r="BC16" s="31">
        <v>7.0</v>
      </c>
      <c r="BD16" s="31">
        <v>7.0</v>
      </c>
      <c r="BE16" s="31">
        <v>7.0</v>
      </c>
      <c r="BF16" s="31">
        <v>7.0</v>
      </c>
    </row>
    <row r="17">
      <c r="A17" s="75" t="s">
        <v>278</v>
      </c>
      <c r="B17" s="75" t="s">
        <v>33</v>
      </c>
      <c r="C17" s="113" t="s">
        <v>257</v>
      </c>
      <c r="D17" s="99"/>
      <c r="E17" s="99"/>
      <c r="F17" s="99"/>
      <c r="G17" s="99"/>
      <c r="H17" s="99"/>
      <c r="I17" s="50"/>
      <c r="J17" s="50"/>
      <c r="K17" s="50"/>
      <c r="L17" s="50"/>
      <c r="M17" s="50"/>
      <c r="N17" s="50"/>
      <c r="O17" s="50"/>
      <c r="P17" s="50"/>
      <c r="Q17" s="76"/>
      <c r="R17" s="76"/>
      <c r="S17" s="76"/>
      <c r="T17" s="76"/>
      <c r="U17" s="76" t="s">
        <v>35</v>
      </c>
      <c r="V17" s="76" t="s">
        <v>35</v>
      </c>
      <c r="W17" s="76" t="s">
        <v>35</v>
      </c>
      <c r="X17" s="76" t="s">
        <v>35</v>
      </c>
      <c r="Y17" s="76" t="s">
        <v>35</v>
      </c>
      <c r="Z17" s="76" t="s">
        <v>35</v>
      </c>
      <c r="AA17" s="76" t="s">
        <v>35</v>
      </c>
      <c r="AB17" s="76" t="s">
        <v>35</v>
      </c>
      <c r="AC17" s="49">
        <v>7.0</v>
      </c>
      <c r="AD17" s="49">
        <v>7.0</v>
      </c>
      <c r="AE17" s="49">
        <v>7.0</v>
      </c>
      <c r="AF17" s="49">
        <v>7.0</v>
      </c>
      <c r="AG17" s="49">
        <v>6.0</v>
      </c>
      <c r="AH17" s="49">
        <v>6.0</v>
      </c>
      <c r="AI17" s="49">
        <v>6.0</v>
      </c>
      <c r="AJ17" s="49">
        <v>6.0</v>
      </c>
      <c r="AK17" s="49">
        <v>8.0</v>
      </c>
      <c r="AL17" s="49">
        <v>8.0</v>
      </c>
      <c r="AM17" s="49">
        <v>8.0</v>
      </c>
      <c r="AN17" s="49">
        <v>7.0</v>
      </c>
      <c r="AO17" s="49">
        <v>7.0</v>
      </c>
      <c r="AP17" s="49">
        <v>6.0</v>
      </c>
      <c r="AQ17" s="49">
        <v>6.0</v>
      </c>
      <c r="AR17" s="49">
        <v>6.0</v>
      </c>
      <c r="AS17" s="49">
        <v>5.0</v>
      </c>
      <c r="AT17" s="49">
        <v>5.0</v>
      </c>
      <c r="AU17" s="49">
        <v>5.0</v>
      </c>
      <c r="AV17" s="49">
        <v>5.0</v>
      </c>
      <c r="AW17" s="49">
        <v>5.0</v>
      </c>
      <c r="AX17" s="49">
        <v>5.0</v>
      </c>
      <c r="AY17" s="49">
        <v>5.0</v>
      </c>
      <c r="AZ17" s="49">
        <v>5.0</v>
      </c>
      <c r="BA17" s="49">
        <v>5.0</v>
      </c>
      <c r="BB17" s="49">
        <v>5.0</v>
      </c>
      <c r="BC17" s="49">
        <v>5.0</v>
      </c>
      <c r="BD17" s="49">
        <v>5.0</v>
      </c>
      <c r="BE17" s="49">
        <v>5.0</v>
      </c>
      <c r="BF17" s="49">
        <v>5.0</v>
      </c>
      <c r="BG17" s="46"/>
      <c r="BH17" s="46"/>
      <c r="BI17" s="46"/>
    </row>
    <row r="18">
      <c r="A18" s="36" t="s">
        <v>279</v>
      </c>
      <c r="B18" s="36" t="s">
        <v>15</v>
      </c>
      <c r="C18" s="37" t="s">
        <v>16</v>
      </c>
      <c r="D18" s="60">
        <v>5.0</v>
      </c>
      <c r="E18" s="60">
        <v>4.0</v>
      </c>
      <c r="F18" s="60">
        <v>4.0</v>
      </c>
      <c r="G18" s="60">
        <v>3.5</v>
      </c>
      <c r="H18" s="60">
        <v>3.0</v>
      </c>
      <c r="I18" s="39" t="s">
        <v>35</v>
      </c>
      <c r="J18" s="39" t="s">
        <v>35</v>
      </c>
      <c r="K18" s="39">
        <v>4.5</v>
      </c>
      <c r="L18" s="39">
        <v>4.5</v>
      </c>
      <c r="M18" s="39">
        <v>4.0</v>
      </c>
      <c r="N18" s="39">
        <v>3.5</v>
      </c>
      <c r="O18" s="39">
        <v>3.0</v>
      </c>
      <c r="P18" s="39">
        <v>1.0</v>
      </c>
      <c r="Q18" s="39">
        <v>5.5</v>
      </c>
      <c r="R18" s="31">
        <v>5.0</v>
      </c>
      <c r="S18" s="31">
        <v>3.5</v>
      </c>
      <c r="T18" s="31">
        <v>6.5</v>
      </c>
      <c r="U18" s="31">
        <v>4.5</v>
      </c>
      <c r="V18" s="31">
        <v>3.5</v>
      </c>
      <c r="W18" s="31">
        <v>3.0</v>
      </c>
      <c r="X18" s="31">
        <v>2.0</v>
      </c>
      <c r="Y18" s="31">
        <v>12.0</v>
      </c>
      <c r="Z18" s="31">
        <v>11.0</v>
      </c>
      <c r="AA18" s="31">
        <v>10.0</v>
      </c>
      <c r="AB18" s="31">
        <v>8.0</v>
      </c>
      <c r="AC18" s="31">
        <v>12.0</v>
      </c>
      <c r="AD18" s="31">
        <v>10.0</v>
      </c>
      <c r="AE18" s="31">
        <v>9.0</v>
      </c>
      <c r="AF18" s="31">
        <v>7.5</v>
      </c>
      <c r="AG18" s="31">
        <v>6.5</v>
      </c>
      <c r="AH18" s="31">
        <v>6.5</v>
      </c>
      <c r="AI18" s="31">
        <v>4.5</v>
      </c>
      <c r="AJ18" s="31">
        <v>4.5</v>
      </c>
      <c r="AK18" s="31">
        <v>9.5</v>
      </c>
      <c r="AL18" s="31">
        <v>9.0</v>
      </c>
      <c r="AM18" s="31">
        <v>11.5</v>
      </c>
      <c r="AN18" s="31">
        <v>10.0</v>
      </c>
      <c r="AO18" s="31">
        <v>9.0</v>
      </c>
      <c r="AP18" s="31">
        <v>8.0</v>
      </c>
      <c r="AQ18" s="31">
        <v>7.5</v>
      </c>
      <c r="AR18" s="31">
        <v>7.0</v>
      </c>
      <c r="AS18" s="31">
        <v>5.0</v>
      </c>
      <c r="AT18" s="31">
        <v>2.0</v>
      </c>
      <c r="AU18" s="31">
        <v>2.0</v>
      </c>
      <c r="AV18" s="31">
        <v>1.5</v>
      </c>
      <c r="AW18" s="31">
        <v>1.0</v>
      </c>
      <c r="AX18" s="31">
        <v>1.0</v>
      </c>
      <c r="AY18" s="31">
        <v>1.0</v>
      </c>
      <c r="AZ18" s="31">
        <v>14.0</v>
      </c>
      <c r="BA18" s="31">
        <v>13.5</v>
      </c>
      <c r="BB18" s="31">
        <v>13.0</v>
      </c>
      <c r="BC18" s="31">
        <v>11.5</v>
      </c>
      <c r="BD18" s="31">
        <v>10.5</v>
      </c>
      <c r="BE18" s="31">
        <v>10.0</v>
      </c>
      <c r="BF18" s="31">
        <v>10.0</v>
      </c>
    </row>
    <row r="19">
      <c r="A19" s="36" t="s">
        <v>279</v>
      </c>
      <c r="B19" s="36" t="s">
        <v>15</v>
      </c>
      <c r="C19" s="37" t="s">
        <v>21</v>
      </c>
      <c r="D19" s="60">
        <v>0.0</v>
      </c>
      <c r="E19" s="60">
        <v>0.0</v>
      </c>
      <c r="F19" s="60">
        <v>0.0</v>
      </c>
      <c r="G19" s="60">
        <v>0.0</v>
      </c>
      <c r="H19" s="60">
        <v>0.0</v>
      </c>
      <c r="I19" s="39" t="s">
        <v>35</v>
      </c>
      <c r="J19" s="39" t="s">
        <v>35</v>
      </c>
      <c r="K19" s="39">
        <v>2.0</v>
      </c>
      <c r="L19" s="39">
        <v>6.0</v>
      </c>
      <c r="M19" s="39">
        <v>5.0</v>
      </c>
      <c r="N19" s="39">
        <v>5.0</v>
      </c>
      <c r="O19" s="39">
        <v>4.0</v>
      </c>
      <c r="P19" s="39">
        <v>3.0</v>
      </c>
      <c r="Q19" s="39">
        <v>3.0</v>
      </c>
      <c r="R19" s="31">
        <v>3.0</v>
      </c>
      <c r="S19" s="31">
        <v>2.0</v>
      </c>
      <c r="T19" s="31">
        <v>2.0</v>
      </c>
      <c r="U19" s="31">
        <v>2.0</v>
      </c>
      <c r="V19" s="31">
        <v>3.0</v>
      </c>
      <c r="W19" s="31">
        <v>6.0</v>
      </c>
      <c r="X19" s="31">
        <v>5.0</v>
      </c>
      <c r="Y19" s="31">
        <v>18.0</v>
      </c>
      <c r="Z19" s="31">
        <v>17.0</v>
      </c>
      <c r="AA19" s="31">
        <v>16.0</v>
      </c>
      <c r="AB19" s="31">
        <v>15.0</v>
      </c>
      <c r="AC19" s="31">
        <v>17.0</v>
      </c>
      <c r="AD19" s="31">
        <v>17.0</v>
      </c>
      <c r="AE19" s="31">
        <v>16.0</v>
      </c>
      <c r="AF19" s="31">
        <v>16.0</v>
      </c>
      <c r="AG19" s="31">
        <v>19.0</v>
      </c>
      <c r="AH19" s="31">
        <v>18.0</v>
      </c>
      <c r="AI19" s="31">
        <v>17.0</v>
      </c>
      <c r="AJ19" s="31">
        <v>17.0</v>
      </c>
      <c r="AK19" s="31">
        <v>17.0</v>
      </c>
      <c r="AL19" s="31">
        <v>16.0</v>
      </c>
      <c r="AM19" s="31">
        <v>15.0</v>
      </c>
      <c r="AN19" s="31">
        <v>14.0</v>
      </c>
      <c r="AO19" s="31">
        <v>14.0</v>
      </c>
      <c r="AP19" s="31">
        <v>14.0</v>
      </c>
      <c r="AQ19" s="31">
        <v>22.0</v>
      </c>
      <c r="AR19" s="31">
        <v>18.0</v>
      </c>
      <c r="AS19" s="31">
        <v>16.0</v>
      </c>
      <c r="AT19" s="31">
        <v>16.0</v>
      </c>
      <c r="AU19" s="31">
        <v>16.0</v>
      </c>
      <c r="AV19" s="31">
        <v>15.0</v>
      </c>
      <c r="AW19" s="31">
        <v>15.0</v>
      </c>
      <c r="AX19" s="31">
        <v>14.0</v>
      </c>
      <c r="AY19" s="31">
        <v>14.0</v>
      </c>
      <c r="AZ19" s="31">
        <v>12.0</v>
      </c>
      <c r="BA19" s="31">
        <v>8.0</v>
      </c>
      <c r="BB19" s="31">
        <v>8.0</v>
      </c>
      <c r="BC19" s="31">
        <v>25.0</v>
      </c>
      <c r="BD19" s="31">
        <v>25.0</v>
      </c>
      <c r="BE19" s="31">
        <v>24.0</v>
      </c>
      <c r="BF19" s="31">
        <v>24.0</v>
      </c>
    </row>
    <row r="20">
      <c r="A20" s="36" t="s">
        <v>279</v>
      </c>
      <c r="B20" s="36" t="s">
        <v>15</v>
      </c>
      <c r="C20" s="37" t="s">
        <v>22</v>
      </c>
      <c r="D20" s="60">
        <v>4.0</v>
      </c>
      <c r="E20" s="60">
        <v>3.0</v>
      </c>
      <c r="F20" s="60">
        <v>2.0</v>
      </c>
      <c r="G20" s="60">
        <v>0.0</v>
      </c>
      <c r="H20" s="60">
        <v>4.0</v>
      </c>
      <c r="I20" s="39" t="s">
        <v>35</v>
      </c>
      <c r="J20" s="39" t="s">
        <v>35</v>
      </c>
      <c r="K20" s="39">
        <v>12.0</v>
      </c>
      <c r="L20" s="39">
        <v>14.0</v>
      </c>
      <c r="M20" s="39">
        <v>13.0</v>
      </c>
      <c r="N20" s="39">
        <v>12.0</v>
      </c>
      <c r="O20" s="39">
        <v>10.0</v>
      </c>
      <c r="P20" s="39">
        <v>8.0</v>
      </c>
      <c r="Q20" s="39">
        <v>7.0</v>
      </c>
      <c r="R20" s="31">
        <v>6.0</v>
      </c>
      <c r="S20" s="31">
        <v>4.0</v>
      </c>
      <c r="T20" s="31">
        <v>3.0</v>
      </c>
      <c r="U20" s="31">
        <v>3.0</v>
      </c>
      <c r="V20" s="31">
        <v>7.0</v>
      </c>
      <c r="W20" s="31">
        <v>10.0</v>
      </c>
      <c r="X20" s="31">
        <v>8.0</v>
      </c>
      <c r="Y20" s="31">
        <v>30.0</v>
      </c>
      <c r="Z20" s="31">
        <v>28.0</v>
      </c>
      <c r="AA20" s="31">
        <v>26.0</v>
      </c>
      <c r="AB20" s="31">
        <v>23.0</v>
      </c>
      <c r="AC20" s="31">
        <v>22.0</v>
      </c>
      <c r="AD20" s="31">
        <v>22.0</v>
      </c>
      <c r="AE20" s="31">
        <v>21.0</v>
      </c>
      <c r="AF20" s="31">
        <v>20.0</v>
      </c>
      <c r="AG20" s="31">
        <v>26.0</v>
      </c>
      <c r="AH20" s="31">
        <v>20.0</v>
      </c>
      <c r="AI20" s="31">
        <v>18.0</v>
      </c>
      <c r="AJ20" s="31">
        <v>18.0</v>
      </c>
      <c r="AK20" s="31">
        <v>12.0</v>
      </c>
      <c r="AL20" s="31">
        <v>12.0</v>
      </c>
      <c r="AM20" s="31">
        <v>10.0</v>
      </c>
      <c r="AN20" s="31">
        <v>10.0</v>
      </c>
      <c r="AO20" s="31">
        <v>9.0</v>
      </c>
      <c r="AP20" s="31">
        <v>7.0</v>
      </c>
      <c r="AQ20" s="31">
        <v>34.0</v>
      </c>
      <c r="AR20" s="31">
        <v>33.0</v>
      </c>
      <c r="AS20" s="31">
        <v>27.0</v>
      </c>
      <c r="AT20" s="31">
        <v>19.0</v>
      </c>
      <c r="AU20" s="31">
        <v>19.0</v>
      </c>
      <c r="AV20" s="31">
        <v>19.0</v>
      </c>
      <c r="AW20" s="31">
        <v>17.0</v>
      </c>
      <c r="AX20" s="31">
        <v>17.0</v>
      </c>
      <c r="AY20" s="31">
        <v>16.0</v>
      </c>
      <c r="AZ20" s="31">
        <v>15.0</v>
      </c>
      <c r="BA20" s="31">
        <v>12.0</v>
      </c>
      <c r="BB20" s="31">
        <v>12.0</v>
      </c>
      <c r="BC20" s="31">
        <v>18.0</v>
      </c>
      <c r="BD20" s="31">
        <v>18.0</v>
      </c>
      <c r="BE20" s="31">
        <v>15.0</v>
      </c>
      <c r="BF20" s="31">
        <v>15.0</v>
      </c>
    </row>
    <row r="21">
      <c r="A21" s="36" t="s">
        <v>279</v>
      </c>
      <c r="B21" s="36" t="s">
        <v>15</v>
      </c>
      <c r="C21" s="37" t="s">
        <v>23</v>
      </c>
      <c r="D21" s="60">
        <v>1.0</v>
      </c>
      <c r="E21" s="60">
        <v>1.0</v>
      </c>
      <c r="F21" s="60">
        <v>1.0</v>
      </c>
      <c r="G21" s="60">
        <v>1.0</v>
      </c>
      <c r="H21" s="60">
        <v>1.0</v>
      </c>
      <c r="I21" s="39" t="s">
        <v>35</v>
      </c>
      <c r="J21" s="39" t="s">
        <v>35</v>
      </c>
      <c r="K21" s="39">
        <v>1.0</v>
      </c>
      <c r="L21" s="39">
        <v>3.0</v>
      </c>
      <c r="M21" s="39">
        <v>3.0</v>
      </c>
      <c r="N21" s="39">
        <v>3.0</v>
      </c>
      <c r="O21" s="39">
        <v>3.0</v>
      </c>
      <c r="P21" s="39">
        <v>3.0</v>
      </c>
      <c r="Q21" s="39">
        <v>3.0</v>
      </c>
      <c r="R21" s="31">
        <v>3.0</v>
      </c>
      <c r="S21" s="31">
        <v>2.0</v>
      </c>
      <c r="T21" s="31">
        <v>2.0</v>
      </c>
      <c r="U21" s="31">
        <v>2.0</v>
      </c>
      <c r="V21" s="31">
        <v>3.0</v>
      </c>
      <c r="W21" s="31">
        <v>2.0</v>
      </c>
      <c r="X21" s="31">
        <v>1.0</v>
      </c>
      <c r="Y21" s="31">
        <v>2.0</v>
      </c>
      <c r="Z21" s="31">
        <v>2.0</v>
      </c>
      <c r="AA21" s="31">
        <v>2.0</v>
      </c>
      <c r="AB21" s="31">
        <v>2.0</v>
      </c>
      <c r="AC21" s="31">
        <v>2.0</v>
      </c>
      <c r="AD21" s="31">
        <v>2.0</v>
      </c>
      <c r="AE21" s="31">
        <v>2.0</v>
      </c>
      <c r="AF21" s="31">
        <v>1.0</v>
      </c>
      <c r="AG21" s="31">
        <v>0.0</v>
      </c>
      <c r="AH21" s="31">
        <v>0.0</v>
      </c>
      <c r="AI21" s="31">
        <v>0.0</v>
      </c>
      <c r="AJ21" s="31">
        <v>0.0</v>
      </c>
      <c r="AK21" s="31">
        <v>0.0</v>
      </c>
      <c r="AL21" s="31">
        <v>0.0</v>
      </c>
      <c r="AM21" s="31">
        <v>0.0</v>
      </c>
      <c r="AN21" s="31">
        <v>0.0</v>
      </c>
      <c r="AO21" s="31">
        <v>0.0</v>
      </c>
      <c r="AP21" s="31">
        <v>2.0</v>
      </c>
      <c r="AQ21" s="31">
        <v>2.0</v>
      </c>
      <c r="AR21" s="31">
        <v>1.0</v>
      </c>
      <c r="AS21" s="31">
        <v>0.0</v>
      </c>
      <c r="AT21" s="31">
        <v>0.0</v>
      </c>
      <c r="AU21" s="31">
        <v>0.0</v>
      </c>
      <c r="AV21" s="31">
        <v>0.0</v>
      </c>
      <c r="AW21" s="31">
        <v>1.0</v>
      </c>
      <c r="AX21" s="31">
        <v>1.0</v>
      </c>
      <c r="AY21" s="31">
        <v>1.0</v>
      </c>
      <c r="AZ21" s="31">
        <v>1.0</v>
      </c>
      <c r="BA21" s="31">
        <v>1.0</v>
      </c>
      <c r="BB21" s="31">
        <v>1.0</v>
      </c>
      <c r="BC21" s="31">
        <v>6.0</v>
      </c>
      <c r="BD21" s="31">
        <v>6.0</v>
      </c>
      <c r="BE21" s="31">
        <v>5.0</v>
      </c>
      <c r="BF21" s="31">
        <v>5.0</v>
      </c>
    </row>
    <row r="22">
      <c r="A22" s="36" t="s">
        <v>279</v>
      </c>
      <c r="B22" s="36" t="s">
        <v>15</v>
      </c>
      <c r="C22" s="37" t="s">
        <v>25</v>
      </c>
      <c r="Q22" s="61" t="s">
        <v>35</v>
      </c>
      <c r="R22" s="61" t="s">
        <v>35</v>
      </c>
      <c r="S22" s="61" t="s">
        <v>35</v>
      </c>
      <c r="T22" s="61" t="s">
        <v>35</v>
      </c>
      <c r="U22" s="61" t="s">
        <v>35</v>
      </c>
      <c r="V22" s="61" t="s">
        <v>35</v>
      </c>
      <c r="W22" s="61" t="s">
        <v>35</v>
      </c>
      <c r="X22" s="61" t="s">
        <v>35</v>
      </c>
      <c r="Y22" s="61" t="s">
        <v>35</v>
      </c>
      <c r="Z22" s="31">
        <v>28.0</v>
      </c>
      <c r="AA22" s="31">
        <v>26.0</v>
      </c>
      <c r="AB22" s="31">
        <v>25.0</v>
      </c>
      <c r="AC22" s="31">
        <v>20.0</v>
      </c>
      <c r="AD22" s="31">
        <v>17.0</v>
      </c>
      <c r="AE22" s="31">
        <v>15.0</v>
      </c>
      <c r="AF22" s="31">
        <v>13.0</v>
      </c>
      <c r="AG22" s="31">
        <v>12.0</v>
      </c>
      <c r="AH22" s="31">
        <v>9.0</v>
      </c>
      <c r="AI22" s="31">
        <v>5.0</v>
      </c>
      <c r="AJ22" s="31">
        <v>5.0</v>
      </c>
      <c r="AK22" s="31">
        <v>21.0</v>
      </c>
      <c r="AL22" s="31">
        <v>19.0</v>
      </c>
      <c r="AM22" s="31">
        <v>16.0</v>
      </c>
      <c r="AN22" s="31">
        <v>14.0</v>
      </c>
      <c r="AO22" s="31">
        <v>12.0</v>
      </c>
      <c r="AP22" s="31">
        <v>10.0</v>
      </c>
      <c r="AQ22" s="31">
        <v>22.0</v>
      </c>
      <c r="AR22" s="31">
        <v>22.0</v>
      </c>
      <c r="AS22" s="31">
        <v>10.0</v>
      </c>
      <c r="AT22" s="31">
        <v>25.0</v>
      </c>
      <c r="AU22" s="31">
        <v>22.0</v>
      </c>
      <c r="AV22" s="31">
        <v>20.0</v>
      </c>
      <c r="AW22" s="31">
        <v>22.0</v>
      </c>
      <c r="AX22" s="31">
        <v>20.0</v>
      </c>
      <c r="AY22" s="31">
        <v>17.0</v>
      </c>
      <c r="AZ22" s="31">
        <v>15.0</v>
      </c>
      <c r="BA22" s="31">
        <v>15.0</v>
      </c>
      <c r="BB22" s="31">
        <v>14.0</v>
      </c>
      <c r="BC22" s="31">
        <v>35.0</v>
      </c>
      <c r="BD22" s="31">
        <v>33.0</v>
      </c>
      <c r="BE22" s="31">
        <v>23.0</v>
      </c>
      <c r="BF22" s="31">
        <v>23.0</v>
      </c>
    </row>
    <row r="23">
      <c r="A23" s="36" t="s">
        <v>279</v>
      </c>
      <c r="B23" s="36" t="s">
        <v>15</v>
      </c>
      <c r="C23" s="37" t="s">
        <v>26</v>
      </c>
      <c r="D23" s="114"/>
      <c r="E23" s="115"/>
      <c r="F23" s="114"/>
      <c r="G23" s="114"/>
      <c r="H23" s="114"/>
      <c r="I23" s="64"/>
      <c r="J23" s="64"/>
      <c r="K23" s="64"/>
      <c r="L23" s="64"/>
      <c r="M23" s="64"/>
      <c r="N23" s="64"/>
      <c r="O23" s="64"/>
      <c r="P23" s="64"/>
      <c r="Q23" s="61"/>
      <c r="R23" s="61"/>
      <c r="S23" s="61"/>
      <c r="T23" s="61"/>
      <c r="U23" s="61"/>
      <c r="V23" s="61"/>
      <c r="W23" s="61"/>
      <c r="X23" s="61"/>
      <c r="Y23" s="61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>
        <v>4.0</v>
      </c>
      <c r="BD23" s="32">
        <v>4.0</v>
      </c>
      <c r="BE23" s="32">
        <v>4.0</v>
      </c>
      <c r="BF23" s="32">
        <v>4.0</v>
      </c>
      <c r="BG23" s="64"/>
      <c r="BH23" s="64"/>
      <c r="BI23" s="64"/>
    </row>
    <row r="24">
      <c r="A24" s="36" t="s">
        <v>279</v>
      </c>
      <c r="B24" s="36" t="s">
        <v>15</v>
      </c>
      <c r="C24" s="37" t="s">
        <v>236</v>
      </c>
      <c r="D24" s="114"/>
      <c r="E24" s="115"/>
      <c r="F24" s="114"/>
      <c r="G24" s="114"/>
      <c r="H24" s="114"/>
      <c r="I24" s="64"/>
      <c r="J24" s="64"/>
      <c r="K24" s="64"/>
      <c r="L24" s="64"/>
      <c r="M24" s="64"/>
      <c r="N24" s="64"/>
      <c r="O24" s="64"/>
      <c r="P24" s="64"/>
      <c r="Q24" s="61" t="s">
        <v>35</v>
      </c>
      <c r="R24" s="61" t="s">
        <v>35</v>
      </c>
      <c r="S24" s="61" t="s">
        <v>35</v>
      </c>
      <c r="T24" s="61" t="s">
        <v>35</v>
      </c>
      <c r="U24" s="61" t="s">
        <v>35</v>
      </c>
      <c r="V24" s="61" t="s">
        <v>35</v>
      </c>
      <c r="W24" s="61" t="s">
        <v>35</v>
      </c>
      <c r="X24" s="61" t="s">
        <v>35</v>
      </c>
      <c r="Y24" s="61" t="s">
        <v>35</v>
      </c>
      <c r="Z24" s="32">
        <v>6.0</v>
      </c>
      <c r="AA24" s="32">
        <v>6.0</v>
      </c>
      <c r="AB24" s="32">
        <v>6.0</v>
      </c>
      <c r="AC24" s="32">
        <v>6.0</v>
      </c>
      <c r="AD24" s="32">
        <v>6.0</v>
      </c>
      <c r="AE24" s="32">
        <v>6.0</v>
      </c>
      <c r="AF24" s="32">
        <v>5.0</v>
      </c>
      <c r="AG24" s="32">
        <v>5.0</v>
      </c>
      <c r="AH24" s="32">
        <v>5.0</v>
      </c>
      <c r="AI24" s="32">
        <v>4.0</v>
      </c>
      <c r="AJ24" s="32">
        <v>4.0</v>
      </c>
      <c r="AK24" s="32">
        <v>7.0</v>
      </c>
      <c r="AL24" s="32">
        <v>7.0</v>
      </c>
      <c r="AM24" s="32">
        <v>7.0</v>
      </c>
      <c r="AN24" s="32">
        <v>6.0</v>
      </c>
      <c r="AO24" s="32">
        <v>6.0</v>
      </c>
      <c r="AP24" s="32">
        <v>6.0</v>
      </c>
      <c r="AQ24" s="32">
        <v>6.0</v>
      </c>
      <c r="AR24" s="32">
        <v>6.0</v>
      </c>
      <c r="AS24" s="32">
        <v>5.0</v>
      </c>
      <c r="AT24" s="32">
        <v>5.0</v>
      </c>
      <c r="AU24" s="32">
        <v>5.0</v>
      </c>
      <c r="AV24" s="32">
        <v>5.0</v>
      </c>
      <c r="AW24" s="32">
        <v>5.0</v>
      </c>
      <c r="AX24" s="32">
        <v>5.0</v>
      </c>
      <c r="AY24" s="32">
        <v>5.0</v>
      </c>
      <c r="AZ24" s="32">
        <v>5.0</v>
      </c>
      <c r="BA24" s="32">
        <v>5.0</v>
      </c>
      <c r="BB24" s="32">
        <v>4.0</v>
      </c>
      <c r="BC24" s="32">
        <v>4.0</v>
      </c>
      <c r="BD24" s="32">
        <v>4.0</v>
      </c>
      <c r="BE24" s="32">
        <v>3.0</v>
      </c>
      <c r="BF24" s="32">
        <v>3.0</v>
      </c>
      <c r="BG24" s="64"/>
      <c r="BH24" s="64"/>
      <c r="BI24" s="64"/>
    </row>
    <row r="25">
      <c r="A25" s="36" t="s">
        <v>279</v>
      </c>
      <c r="B25" s="36" t="s">
        <v>33</v>
      </c>
      <c r="C25" s="37" t="s">
        <v>238</v>
      </c>
      <c r="Q25" s="29"/>
      <c r="U25" s="61" t="s">
        <v>35</v>
      </c>
      <c r="V25" s="61" t="s">
        <v>35</v>
      </c>
      <c r="W25" s="61" t="s">
        <v>35</v>
      </c>
      <c r="X25" s="61" t="s">
        <v>35</v>
      </c>
      <c r="Y25" s="61" t="s">
        <v>35</v>
      </c>
      <c r="Z25" s="61" t="s">
        <v>35</v>
      </c>
      <c r="AA25" s="61" t="s">
        <v>35</v>
      </c>
      <c r="AB25" s="61" t="s">
        <v>35</v>
      </c>
      <c r="AC25" s="31">
        <v>2.0</v>
      </c>
      <c r="AD25" s="31">
        <v>2.0</v>
      </c>
      <c r="AE25" s="31">
        <v>2.0</v>
      </c>
      <c r="AF25" s="31">
        <v>2.0</v>
      </c>
      <c r="AG25" s="31">
        <v>3.0</v>
      </c>
      <c r="AH25" s="31">
        <v>3.0</v>
      </c>
      <c r="AI25" s="31">
        <v>3.0</v>
      </c>
      <c r="AJ25" s="31">
        <v>3.0</v>
      </c>
      <c r="AK25" s="31">
        <v>3.0</v>
      </c>
      <c r="AL25" s="31">
        <v>3.0</v>
      </c>
      <c r="AM25" s="31">
        <v>3.0</v>
      </c>
      <c r="AN25" s="31">
        <v>3.0</v>
      </c>
      <c r="AO25" s="31">
        <v>2.0</v>
      </c>
      <c r="AP25" s="31">
        <v>2.0</v>
      </c>
      <c r="AQ25" s="31">
        <v>3.0</v>
      </c>
      <c r="AR25" s="31">
        <v>3.0</v>
      </c>
      <c r="AS25" s="31">
        <v>3.0</v>
      </c>
      <c r="AT25" s="31">
        <v>3.0</v>
      </c>
      <c r="AU25" s="31">
        <v>3.0</v>
      </c>
      <c r="AV25" s="31">
        <v>3.0</v>
      </c>
      <c r="AW25" s="31">
        <v>3.0</v>
      </c>
      <c r="AX25" s="31">
        <v>3.0</v>
      </c>
      <c r="AY25" s="31">
        <v>3.0</v>
      </c>
      <c r="AZ25" s="31">
        <v>3.0</v>
      </c>
      <c r="BA25" s="31">
        <v>3.0</v>
      </c>
      <c r="BB25" s="31">
        <v>3.0</v>
      </c>
      <c r="BC25" s="31">
        <v>2.0</v>
      </c>
      <c r="BD25" s="31">
        <v>2.0</v>
      </c>
      <c r="BE25" s="31">
        <v>2.0</v>
      </c>
      <c r="BF25" s="31">
        <v>2.0</v>
      </c>
    </row>
    <row r="26">
      <c r="A26" s="36" t="s">
        <v>279</v>
      </c>
      <c r="B26" s="36" t="s">
        <v>33</v>
      </c>
      <c r="C26" s="37" t="s">
        <v>267</v>
      </c>
      <c r="Q26" s="29"/>
      <c r="U26" s="61" t="s">
        <v>35</v>
      </c>
      <c r="V26" s="61" t="s">
        <v>35</v>
      </c>
      <c r="W26" s="61" t="s">
        <v>35</v>
      </c>
      <c r="X26" s="61" t="s">
        <v>35</v>
      </c>
      <c r="Y26" s="61" t="s">
        <v>35</v>
      </c>
      <c r="Z26" s="61" t="s">
        <v>35</v>
      </c>
      <c r="AA26" s="61" t="s">
        <v>35</v>
      </c>
      <c r="AB26" s="61" t="s">
        <v>35</v>
      </c>
      <c r="AC26" s="31">
        <v>4.0</v>
      </c>
      <c r="AD26" s="31">
        <v>4.0</v>
      </c>
      <c r="AE26" s="31">
        <v>4.0</v>
      </c>
      <c r="AF26" s="31">
        <v>4.0</v>
      </c>
      <c r="AG26" s="31">
        <v>4.0</v>
      </c>
      <c r="AH26" s="31">
        <v>4.0</v>
      </c>
      <c r="AI26" s="31">
        <v>4.0</v>
      </c>
      <c r="AJ26" s="31">
        <v>4.0</v>
      </c>
      <c r="AK26" s="31">
        <v>4.0</v>
      </c>
      <c r="AL26" s="31">
        <v>4.0</v>
      </c>
      <c r="AM26" s="31">
        <v>4.0</v>
      </c>
      <c r="AN26" s="31">
        <v>4.0</v>
      </c>
      <c r="AO26" s="31">
        <v>3.0</v>
      </c>
      <c r="AP26" s="31">
        <v>3.0</v>
      </c>
      <c r="AQ26" s="31">
        <v>4.0</v>
      </c>
      <c r="AR26" s="31">
        <v>4.0</v>
      </c>
      <c r="AS26" s="31">
        <v>4.0</v>
      </c>
      <c r="AT26" s="31">
        <v>4.0</v>
      </c>
      <c r="AU26" s="31">
        <v>4.0</v>
      </c>
      <c r="AV26" s="31">
        <v>4.0</v>
      </c>
      <c r="AW26" s="31">
        <v>4.0</v>
      </c>
      <c r="AX26" s="31">
        <v>4.0</v>
      </c>
      <c r="AY26" s="31">
        <v>4.0</v>
      </c>
      <c r="AZ26" s="31">
        <v>4.0</v>
      </c>
      <c r="BA26" s="31">
        <v>4.0</v>
      </c>
      <c r="BB26" s="31">
        <v>4.0</v>
      </c>
      <c r="BC26" s="31">
        <v>7.0</v>
      </c>
      <c r="BD26" s="31">
        <v>7.0</v>
      </c>
      <c r="BE26" s="31">
        <v>7.0</v>
      </c>
      <c r="BF26" s="31">
        <v>7.0</v>
      </c>
    </row>
    <row r="27">
      <c r="A27" s="36" t="s">
        <v>279</v>
      </c>
      <c r="B27" s="36" t="s">
        <v>33</v>
      </c>
      <c r="C27" s="37" t="s">
        <v>37</v>
      </c>
      <c r="Q27" s="29"/>
      <c r="U27" s="61" t="s">
        <v>35</v>
      </c>
      <c r="V27" s="61" t="s">
        <v>35</v>
      </c>
      <c r="W27" s="61" t="s">
        <v>35</v>
      </c>
      <c r="X27" s="61" t="s">
        <v>35</v>
      </c>
      <c r="Y27" s="61" t="s">
        <v>35</v>
      </c>
      <c r="Z27" s="61" t="s">
        <v>35</v>
      </c>
      <c r="AA27" s="61" t="s">
        <v>35</v>
      </c>
      <c r="AB27" s="61" t="s">
        <v>35</v>
      </c>
      <c r="AC27" s="31">
        <v>36.0</v>
      </c>
      <c r="AD27" s="31">
        <v>36.0</v>
      </c>
      <c r="AE27" s="31">
        <v>36.0</v>
      </c>
      <c r="AF27" s="31">
        <v>35.0</v>
      </c>
      <c r="AG27" s="31">
        <v>35.0</v>
      </c>
      <c r="AH27" s="31">
        <v>34.0</v>
      </c>
      <c r="AI27" s="31">
        <v>34.0</v>
      </c>
      <c r="AJ27" s="31">
        <v>34.0</v>
      </c>
      <c r="AK27" s="31">
        <v>34.0</v>
      </c>
      <c r="AL27" s="31">
        <v>33.0</v>
      </c>
      <c r="AM27" s="31">
        <v>33.0</v>
      </c>
      <c r="AN27" s="31">
        <v>32.0</v>
      </c>
      <c r="AO27" s="31">
        <v>32.0</v>
      </c>
      <c r="AP27" s="31">
        <v>32.0</v>
      </c>
      <c r="AQ27" s="31">
        <v>50.0</v>
      </c>
      <c r="AS27" s="31">
        <v>10.0</v>
      </c>
      <c r="AT27" s="31">
        <v>10.0</v>
      </c>
      <c r="AU27" s="31">
        <v>10.0</v>
      </c>
      <c r="AV27" s="31">
        <v>10.0</v>
      </c>
      <c r="AW27" s="31">
        <v>10.0</v>
      </c>
      <c r="AX27" s="31">
        <v>9.0</v>
      </c>
      <c r="AY27" s="31">
        <v>9.0</v>
      </c>
      <c r="AZ27" s="31">
        <v>9.0</v>
      </c>
      <c r="BA27" s="31">
        <v>9.0</v>
      </c>
      <c r="BB27" s="31">
        <v>9.0</v>
      </c>
      <c r="BC27" s="31">
        <v>6.0</v>
      </c>
      <c r="BD27" s="31">
        <v>6.0</v>
      </c>
      <c r="BE27" s="31">
        <v>4.0</v>
      </c>
      <c r="BF27" s="31">
        <v>4.0</v>
      </c>
    </row>
    <row r="28">
      <c r="A28" s="36" t="s">
        <v>279</v>
      </c>
      <c r="B28" s="36" t="s">
        <v>33</v>
      </c>
      <c r="C28" s="37" t="s">
        <v>40</v>
      </c>
      <c r="Q28" s="29"/>
      <c r="U28" s="61"/>
      <c r="V28" s="61"/>
      <c r="W28" s="61"/>
      <c r="X28" s="61"/>
      <c r="Y28" s="61"/>
      <c r="Z28" s="61"/>
      <c r="AA28" s="61"/>
      <c r="AB28" s="61"/>
      <c r="AC28" s="31"/>
      <c r="AD28" s="31"/>
      <c r="AE28" s="31"/>
      <c r="AF28" s="31"/>
      <c r="AG28" s="31"/>
      <c r="AH28" s="31"/>
      <c r="AI28" s="31"/>
      <c r="AJ28" s="31">
        <v>0.0</v>
      </c>
      <c r="AK28" s="31">
        <v>0.0</v>
      </c>
      <c r="AL28" s="31">
        <v>0.0</v>
      </c>
      <c r="AM28" s="31">
        <v>0.0</v>
      </c>
      <c r="AN28" s="31">
        <v>0.0</v>
      </c>
      <c r="AO28" s="31">
        <v>0.0</v>
      </c>
      <c r="AP28" s="31">
        <v>0.0</v>
      </c>
      <c r="AQ28" s="31">
        <v>50.0</v>
      </c>
      <c r="AS28" s="31">
        <v>17.0</v>
      </c>
      <c r="AT28" s="31">
        <v>17.0</v>
      </c>
      <c r="AU28" s="31">
        <v>17.0</v>
      </c>
      <c r="AV28" s="31">
        <v>17.0</v>
      </c>
      <c r="AW28" s="31">
        <v>17.0</v>
      </c>
      <c r="AX28" s="31">
        <v>17.0</v>
      </c>
      <c r="AY28" s="31">
        <v>17.0</v>
      </c>
      <c r="AZ28" s="31">
        <v>16.0</v>
      </c>
      <c r="BA28" s="31">
        <v>13.0</v>
      </c>
      <c r="BB28" s="31">
        <v>13.0</v>
      </c>
      <c r="BC28" s="31">
        <v>11.0</v>
      </c>
      <c r="BD28" s="31">
        <v>11.0</v>
      </c>
      <c r="BE28" s="31">
        <v>11.0</v>
      </c>
      <c r="BF28" s="31">
        <v>11.0</v>
      </c>
    </row>
    <row r="29">
      <c r="A29" s="36" t="s">
        <v>279</v>
      </c>
      <c r="B29" s="36" t="s">
        <v>33</v>
      </c>
      <c r="C29" s="37" t="s">
        <v>43</v>
      </c>
      <c r="Q29" s="29"/>
      <c r="U29" s="61"/>
      <c r="V29" s="61"/>
      <c r="W29" s="61"/>
      <c r="X29" s="61"/>
      <c r="Y29" s="61"/>
      <c r="Z29" s="61"/>
      <c r="AA29" s="61"/>
      <c r="AB29" s="61"/>
      <c r="AC29" s="31"/>
      <c r="AD29" s="31"/>
      <c r="AE29" s="31"/>
      <c r="AF29" s="31"/>
      <c r="AG29" s="31"/>
      <c r="AH29" s="31"/>
      <c r="AI29" s="31"/>
      <c r="AJ29" s="31">
        <v>0.0</v>
      </c>
      <c r="AK29" s="31">
        <v>0.0</v>
      </c>
      <c r="AL29" s="31">
        <v>0.0</v>
      </c>
      <c r="AM29" s="31">
        <v>0.0</v>
      </c>
      <c r="AN29" s="31">
        <v>0.0</v>
      </c>
      <c r="AO29" s="31">
        <v>0.0</v>
      </c>
      <c r="AP29" s="31">
        <v>0.0</v>
      </c>
      <c r="AS29" s="31">
        <v>4.0</v>
      </c>
      <c r="AT29" s="31">
        <v>4.0</v>
      </c>
      <c r="AU29" s="31">
        <v>4.0</v>
      </c>
      <c r="AV29" s="31">
        <v>4.0</v>
      </c>
      <c r="AW29" s="31">
        <v>4.0</v>
      </c>
      <c r="AX29" s="31">
        <v>3.0</v>
      </c>
      <c r="AY29" s="31">
        <v>3.0</v>
      </c>
      <c r="AZ29" s="31">
        <v>3.0</v>
      </c>
      <c r="BA29" s="31">
        <v>2.0</v>
      </c>
      <c r="BB29" s="31">
        <v>2.0</v>
      </c>
      <c r="BC29" s="31">
        <v>2.0</v>
      </c>
      <c r="BD29" s="31">
        <v>2.0</v>
      </c>
      <c r="BE29" s="31">
        <v>0.0</v>
      </c>
      <c r="BF29" s="31">
        <v>0.0</v>
      </c>
    </row>
    <row r="30">
      <c r="A30" s="36" t="s">
        <v>279</v>
      </c>
      <c r="B30" s="36" t="s">
        <v>33</v>
      </c>
      <c r="C30" s="37" t="s">
        <v>252</v>
      </c>
      <c r="Q30" s="29"/>
      <c r="U30" s="61" t="s">
        <v>35</v>
      </c>
      <c r="V30" s="61" t="s">
        <v>35</v>
      </c>
      <c r="W30" s="61" t="s">
        <v>35</v>
      </c>
      <c r="X30" s="61" t="s">
        <v>35</v>
      </c>
      <c r="Y30" s="61" t="s">
        <v>35</v>
      </c>
      <c r="Z30" s="61" t="s">
        <v>35</v>
      </c>
      <c r="AA30" s="61" t="s">
        <v>35</v>
      </c>
      <c r="AB30" s="61" t="s">
        <v>35</v>
      </c>
      <c r="AC30" s="31">
        <v>8.0</v>
      </c>
      <c r="AD30" s="31">
        <v>8.0</v>
      </c>
      <c r="AE30" s="31">
        <v>8.0</v>
      </c>
      <c r="AF30" s="31">
        <v>8.0</v>
      </c>
      <c r="AG30" s="31">
        <v>6.0</v>
      </c>
      <c r="AH30" s="31">
        <v>6.0</v>
      </c>
      <c r="AI30" s="31">
        <v>5.0</v>
      </c>
      <c r="AJ30" s="31">
        <v>5.0</v>
      </c>
      <c r="AK30" s="31">
        <v>11.0</v>
      </c>
      <c r="AL30" s="31">
        <v>11.0</v>
      </c>
      <c r="AM30" s="31">
        <v>10.0</v>
      </c>
      <c r="AN30" s="31">
        <v>10.0</v>
      </c>
      <c r="AO30" s="31">
        <v>9.0</v>
      </c>
      <c r="AP30" s="31">
        <v>9.0</v>
      </c>
      <c r="AQ30" s="31">
        <v>20.0</v>
      </c>
      <c r="AR30" s="31">
        <v>20.0</v>
      </c>
      <c r="AS30" s="31">
        <v>16.0</v>
      </c>
      <c r="AT30" s="31">
        <v>16.0</v>
      </c>
      <c r="AU30" s="31">
        <v>16.0</v>
      </c>
      <c r="AV30" s="31">
        <v>15.0</v>
      </c>
      <c r="AW30" s="31">
        <v>15.0</v>
      </c>
      <c r="AX30" s="31">
        <v>15.0</v>
      </c>
      <c r="AY30" s="31">
        <v>15.0</v>
      </c>
      <c r="AZ30" s="31">
        <v>15.0</v>
      </c>
      <c r="BA30" s="31">
        <v>14.0</v>
      </c>
      <c r="BB30" s="31">
        <v>14.0</v>
      </c>
      <c r="BC30" s="31">
        <v>10.0</v>
      </c>
      <c r="BD30" s="31">
        <v>10.0</v>
      </c>
      <c r="BE30" s="31">
        <v>9.0</v>
      </c>
      <c r="BF30" s="31">
        <v>9.0</v>
      </c>
    </row>
    <row r="31">
      <c r="A31" s="36" t="s">
        <v>279</v>
      </c>
      <c r="B31" s="36" t="s">
        <v>33</v>
      </c>
      <c r="C31" s="37" t="s">
        <v>257</v>
      </c>
      <c r="Q31" s="29"/>
      <c r="U31" s="61" t="s">
        <v>35</v>
      </c>
      <c r="V31" s="61" t="s">
        <v>35</v>
      </c>
      <c r="W31" s="61" t="s">
        <v>35</v>
      </c>
      <c r="X31" s="61" t="s">
        <v>35</v>
      </c>
      <c r="Y31" s="61" t="s">
        <v>35</v>
      </c>
      <c r="Z31" s="61" t="s">
        <v>35</v>
      </c>
      <c r="AA31" s="61" t="s">
        <v>35</v>
      </c>
      <c r="AB31" s="61" t="s">
        <v>35</v>
      </c>
      <c r="AC31" s="31">
        <v>8.0</v>
      </c>
      <c r="AD31" s="31">
        <v>8.0</v>
      </c>
      <c r="AE31" s="31">
        <v>8.0</v>
      </c>
      <c r="AF31" s="31">
        <v>8.0</v>
      </c>
      <c r="AG31" s="31">
        <v>8.0</v>
      </c>
      <c r="AH31" s="31">
        <v>7.0</v>
      </c>
      <c r="AI31" s="31">
        <v>6.0</v>
      </c>
      <c r="AJ31" s="31">
        <v>6.0</v>
      </c>
      <c r="AK31" s="31">
        <v>5.0</v>
      </c>
      <c r="AL31" s="31">
        <v>5.0</v>
      </c>
      <c r="AM31" s="31">
        <v>5.0</v>
      </c>
      <c r="AN31" s="31">
        <v>5.0</v>
      </c>
      <c r="AO31" s="31">
        <v>5.0</v>
      </c>
      <c r="AP31" s="31">
        <v>5.0</v>
      </c>
      <c r="AQ31" s="31">
        <v>7.0</v>
      </c>
      <c r="AR31" s="31">
        <v>7.0</v>
      </c>
      <c r="AS31" s="31">
        <v>6.0</v>
      </c>
      <c r="AT31" s="31">
        <v>6.0</v>
      </c>
      <c r="AU31" s="31">
        <v>6.0</v>
      </c>
      <c r="AV31" s="31">
        <v>6.0</v>
      </c>
      <c r="AW31" s="31">
        <v>5.0</v>
      </c>
      <c r="AX31" s="31">
        <v>5.0</v>
      </c>
      <c r="AY31" s="31">
        <v>5.0</v>
      </c>
      <c r="AZ31" s="31">
        <v>5.0</v>
      </c>
      <c r="BA31" s="31">
        <v>5.0</v>
      </c>
      <c r="BB31" s="31">
        <v>5.0</v>
      </c>
      <c r="BC31" s="31">
        <v>5.0</v>
      </c>
      <c r="BD31" s="31">
        <v>5.0</v>
      </c>
      <c r="BE31" s="31">
        <v>5.0</v>
      </c>
      <c r="BF31" s="31">
        <v>5.0</v>
      </c>
    </row>
    <row r="32">
      <c r="A32" s="36"/>
      <c r="B32" s="37"/>
      <c r="C32" s="37"/>
      <c r="Q32" s="29"/>
    </row>
    <row r="33">
      <c r="A33" s="36"/>
      <c r="B33" s="37"/>
      <c r="C33" s="36"/>
      <c r="Q33" s="29"/>
    </row>
    <row r="34">
      <c r="D34" s="29"/>
      <c r="E34" s="29"/>
      <c r="F34" s="29"/>
      <c r="G34" s="29"/>
      <c r="Q34" s="29"/>
    </row>
    <row r="35">
      <c r="A35" s="26"/>
      <c r="B35" s="26"/>
      <c r="C35" s="27"/>
      <c r="D35" s="29"/>
      <c r="E35" s="29"/>
      <c r="F35" s="29"/>
      <c r="G35" s="29"/>
      <c r="Q35" s="29"/>
    </row>
    <row r="36">
      <c r="A36" s="35"/>
      <c r="B36" s="35"/>
      <c r="C36" s="35"/>
      <c r="D36" s="29"/>
      <c r="E36" s="29"/>
      <c r="F36" s="29"/>
      <c r="G36" s="29"/>
      <c r="Q36" s="29"/>
    </row>
    <row r="37">
      <c r="A37" s="36"/>
      <c r="B37" s="37"/>
      <c r="C37" s="37"/>
      <c r="Q37" s="29"/>
    </row>
    <row r="38">
      <c r="A38" s="36"/>
      <c r="B38" s="37"/>
      <c r="C38" s="37"/>
      <c r="Q38" s="29"/>
    </row>
    <row r="39">
      <c r="A39" s="36"/>
      <c r="B39" s="37"/>
      <c r="C39" s="37"/>
      <c r="Q39" s="29"/>
    </row>
    <row r="40">
      <c r="A40" s="36"/>
      <c r="B40" s="37"/>
      <c r="C40" s="36"/>
      <c r="Q40" s="29"/>
    </row>
    <row r="41">
      <c r="Q41" s="29"/>
    </row>
    <row r="42">
      <c r="A42" s="64"/>
      <c r="B42" s="64"/>
      <c r="C42" s="64"/>
      <c r="D42" s="78"/>
      <c r="E42" s="79"/>
      <c r="F42" s="78"/>
      <c r="G42" s="78"/>
      <c r="H42" s="78"/>
      <c r="I42" s="62"/>
      <c r="J42" s="62"/>
      <c r="K42" s="62"/>
      <c r="L42" s="62"/>
      <c r="M42" s="62"/>
      <c r="N42" s="62"/>
      <c r="Q42" s="29"/>
    </row>
    <row r="43">
      <c r="Q43" s="29"/>
    </row>
    <row r="44">
      <c r="C44" s="70"/>
      <c r="Q44" s="29"/>
    </row>
    <row r="45">
      <c r="A45" s="35"/>
      <c r="B45" s="35"/>
      <c r="C45" s="35"/>
      <c r="Q45" s="29"/>
    </row>
    <row r="46">
      <c r="A46" s="36"/>
      <c r="B46" s="37"/>
      <c r="C46" s="37"/>
      <c r="Q46" s="29"/>
    </row>
    <row r="47">
      <c r="A47" s="36"/>
      <c r="B47" s="37"/>
      <c r="C47" s="37"/>
      <c r="Q47" s="29"/>
    </row>
    <row r="48">
      <c r="A48" s="36"/>
      <c r="B48" s="37"/>
      <c r="C48" s="37"/>
      <c r="Q48" s="29"/>
    </row>
    <row r="49">
      <c r="A49" s="36"/>
      <c r="B49" s="37"/>
      <c r="C49" s="36"/>
      <c r="Q49" s="29"/>
    </row>
    <row r="50">
      <c r="D50" s="29"/>
      <c r="E50" s="29"/>
      <c r="F50" s="29"/>
      <c r="G50" s="29"/>
      <c r="Q50" s="29"/>
    </row>
    <row r="51">
      <c r="A51" s="26"/>
      <c r="B51" s="26"/>
      <c r="C51" s="27"/>
      <c r="D51" s="29"/>
      <c r="E51" s="29"/>
      <c r="F51" s="29"/>
      <c r="G51" s="29"/>
      <c r="Q51" s="29"/>
    </row>
    <row r="52">
      <c r="A52" s="35"/>
      <c r="B52" s="35"/>
      <c r="C52" s="35"/>
      <c r="D52" s="29"/>
      <c r="E52" s="29"/>
      <c r="F52" s="29"/>
      <c r="G52" s="29"/>
      <c r="Q52" s="29"/>
    </row>
    <row r="53">
      <c r="A53" s="36"/>
      <c r="B53" s="37"/>
      <c r="C53" s="37"/>
      <c r="Q53" s="29"/>
    </row>
    <row r="54">
      <c r="A54" s="36"/>
      <c r="B54" s="37"/>
      <c r="C54" s="37"/>
      <c r="Q54" s="29"/>
    </row>
    <row r="55">
      <c r="A55" s="36"/>
      <c r="B55" s="37"/>
      <c r="C55" s="37"/>
      <c r="Q55" s="29"/>
    </row>
    <row r="56">
      <c r="A56" s="36"/>
      <c r="B56" s="37"/>
      <c r="C56" s="36"/>
      <c r="Q56" s="29"/>
    </row>
    <row r="57">
      <c r="Q57" s="29"/>
    </row>
    <row r="58">
      <c r="A58" s="62"/>
      <c r="B58" s="62"/>
      <c r="C58" s="62"/>
      <c r="D58" s="78"/>
      <c r="E58" s="79"/>
      <c r="F58" s="78"/>
      <c r="G58" s="78"/>
      <c r="H58" s="78"/>
      <c r="I58" s="62"/>
      <c r="J58" s="62"/>
      <c r="K58" s="62"/>
      <c r="L58" s="62"/>
      <c r="M58" s="62"/>
      <c r="N58" s="62"/>
      <c r="Q58" s="29"/>
    </row>
    <row r="59">
      <c r="Q59" s="29"/>
    </row>
    <row r="60">
      <c r="C60" s="70"/>
      <c r="Q60" s="29"/>
    </row>
    <row r="61">
      <c r="A61" s="35"/>
      <c r="B61" s="35"/>
      <c r="C61" s="35"/>
      <c r="Q61" s="29"/>
    </row>
    <row r="62">
      <c r="A62" s="36"/>
      <c r="B62" s="37"/>
      <c r="C62" s="37"/>
      <c r="D62" s="39"/>
      <c r="E62" s="39"/>
      <c r="F62" s="39"/>
      <c r="G62" s="39"/>
      <c r="Q62" s="29"/>
    </row>
    <row r="63">
      <c r="A63" s="36"/>
      <c r="B63" s="37"/>
      <c r="C63" s="37"/>
      <c r="D63" s="39"/>
      <c r="E63" s="39"/>
      <c r="F63" s="39"/>
      <c r="G63" s="39"/>
      <c r="Q63" s="29"/>
    </row>
    <row r="64">
      <c r="A64" s="36"/>
      <c r="B64" s="37"/>
      <c r="C64" s="37"/>
      <c r="D64" s="39"/>
      <c r="E64" s="39"/>
      <c r="F64" s="39"/>
      <c r="G64" s="39"/>
      <c r="Q64" s="29"/>
    </row>
    <row r="65">
      <c r="A65" s="36"/>
      <c r="B65" s="37"/>
      <c r="C65" s="36"/>
      <c r="D65" s="39"/>
      <c r="E65" s="39"/>
      <c r="F65" s="39"/>
      <c r="G65" s="39"/>
      <c r="Q65" s="29"/>
    </row>
    <row r="66">
      <c r="D66" s="29"/>
      <c r="E66" s="29"/>
      <c r="F66" s="29"/>
      <c r="G66" s="29"/>
      <c r="Q66" s="29"/>
    </row>
    <row r="67">
      <c r="A67" s="26"/>
      <c r="B67" s="26"/>
      <c r="C67" s="27"/>
      <c r="D67" s="29"/>
      <c r="E67" s="29"/>
      <c r="F67" s="29"/>
      <c r="G67" s="29"/>
      <c r="Q67" s="29"/>
    </row>
    <row r="68">
      <c r="A68" s="35"/>
      <c r="B68" s="35"/>
      <c r="C68" s="35"/>
      <c r="D68" s="29"/>
      <c r="E68" s="29"/>
      <c r="F68" s="29"/>
      <c r="G68" s="29"/>
      <c r="Q68" s="29"/>
    </row>
    <row r="69">
      <c r="A69" s="36"/>
      <c r="B69" s="37"/>
      <c r="C69" s="37"/>
      <c r="D69" s="39"/>
      <c r="E69" s="39"/>
      <c r="F69" s="39"/>
      <c r="G69" s="39"/>
      <c r="Q69" s="29"/>
    </row>
    <row r="70">
      <c r="A70" s="36"/>
      <c r="B70" s="37"/>
      <c r="C70" s="37"/>
      <c r="D70" s="39"/>
      <c r="E70" s="39"/>
      <c r="F70" s="39"/>
      <c r="G70" s="39"/>
      <c r="Q70" s="29"/>
    </row>
    <row r="71">
      <c r="A71" s="36"/>
      <c r="B71" s="37"/>
      <c r="C71" s="37"/>
      <c r="D71" s="39"/>
      <c r="E71" s="39"/>
      <c r="F71" s="39"/>
      <c r="G71" s="39"/>
      <c r="Q71" s="29"/>
    </row>
    <row r="72">
      <c r="A72" s="36"/>
      <c r="B72" s="37"/>
      <c r="C72" s="36"/>
      <c r="D72" s="39"/>
      <c r="E72" s="39"/>
      <c r="F72" s="39"/>
      <c r="G72" s="39"/>
      <c r="Q72" s="29"/>
    </row>
    <row r="73">
      <c r="Q73" s="29"/>
    </row>
    <row r="74">
      <c r="Q74" s="29"/>
    </row>
    <row r="75">
      <c r="Q75" s="29"/>
    </row>
    <row r="76">
      <c r="Q76" s="29"/>
    </row>
    <row r="77">
      <c r="Q77" s="29"/>
    </row>
    <row r="78">
      <c r="Q78" s="29"/>
    </row>
    <row r="79">
      <c r="Q79" s="29"/>
    </row>
    <row r="80">
      <c r="Q80" s="29"/>
    </row>
    <row r="81">
      <c r="Q81" s="29"/>
    </row>
    <row r="82">
      <c r="Q82" s="29"/>
    </row>
    <row r="83">
      <c r="Q83" s="29"/>
    </row>
    <row r="84">
      <c r="Q84" s="29"/>
    </row>
    <row r="85">
      <c r="Q85" s="29"/>
    </row>
    <row r="86">
      <c r="Q86" s="29"/>
    </row>
    <row r="87">
      <c r="Q87" s="29"/>
    </row>
    <row r="88">
      <c r="Q88" s="29"/>
    </row>
    <row r="89">
      <c r="Q89" s="29"/>
    </row>
    <row r="90">
      <c r="Q90" s="29"/>
    </row>
    <row r="91">
      <c r="Q91" s="29"/>
    </row>
    <row r="92">
      <c r="Q92" s="29"/>
    </row>
    <row r="93">
      <c r="Q93" s="29"/>
    </row>
    <row r="94">
      <c r="Q94" s="29"/>
    </row>
    <row r="95">
      <c r="Q95" s="29"/>
    </row>
    <row r="96">
      <c r="Q96" s="29"/>
    </row>
    <row r="97">
      <c r="Q97" s="29"/>
    </row>
    <row r="98">
      <c r="Q98" s="29"/>
    </row>
    <row r="99">
      <c r="Q99" s="29"/>
    </row>
    <row r="100">
      <c r="Q100" s="29"/>
    </row>
    <row r="101">
      <c r="Q101" s="29"/>
    </row>
    <row r="102">
      <c r="Q102" s="29"/>
    </row>
    <row r="103">
      <c r="Q103" s="29"/>
    </row>
    <row r="104">
      <c r="Q104" s="29"/>
    </row>
    <row r="105">
      <c r="Q105" s="29"/>
    </row>
    <row r="106">
      <c r="Q106" s="29"/>
    </row>
    <row r="107">
      <c r="Q107" s="29"/>
    </row>
    <row r="108">
      <c r="Q108" s="29"/>
    </row>
    <row r="109">
      <c r="Q109" s="29"/>
    </row>
    <row r="110">
      <c r="Q110" s="29"/>
    </row>
    <row r="111">
      <c r="Q111" s="29"/>
    </row>
    <row r="112">
      <c r="Q112" s="29"/>
    </row>
    <row r="113">
      <c r="Q113" s="29"/>
    </row>
    <row r="114">
      <c r="Q114" s="29"/>
    </row>
    <row r="115">
      <c r="Q115" s="29"/>
    </row>
    <row r="116">
      <c r="Q116" s="29"/>
    </row>
    <row r="117">
      <c r="Q117" s="29"/>
    </row>
    <row r="118">
      <c r="Q118" s="29"/>
    </row>
    <row r="119">
      <c r="Q119" s="29"/>
    </row>
    <row r="120">
      <c r="Q120" s="29"/>
    </row>
    <row r="121">
      <c r="Q121" s="29"/>
    </row>
    <row r="122">
      <c r="Q122" s="29"/>
    </row>
    <row r="123">
      <c r="Q123" s="29"/>
    </row>
    <row r="124">
      <c r="Q124" s="29"/>
    </row>
    <row r="125">
      <c r="Q125" s="29"/>
    </row>
    <row r="126">
      <c r="Q126" s="29"/>
    </row>
    <row r="127">
      <c r="Q127" s="29"/>
    </row>
    <row r="128">
      <c r="Q128" s="29"/>
    </row>
    <row r="129">
      <c r="Q129" s="29"/>
    </row>
    <row r="130">
      <c r="Q130" s="29"/>
    </row>
    <row r="131">
      <c r="Q131" s="29"/>
    </row>
    <row r="132">
      <c r="Q132" s="29"/>
    </row>
    <row r="133">
      <c r="Q133" s="29"/>
    </row>
    <row r="134">
      <c r="Q134" s="29"/>
    </row>
    <row r="135">
      <c r="Q135" s="29"/>
    </row>
    <row r="136">
      <c r="Q136" s="29"/>
    </row>
    <row r="137">
      <c r="Q137" s="29"/>
    </row>
    <row r="138">
      <c r="Q138" s="29"/>
    </row>
    <row r="139">
      <c r="Q139" s="29"/>
    </row>
    <row r="140">
      <c r="Q140" s="29"/>
    </row>
    <row r="141">
      <c r="Q141" s="29"/>
    </row>
    <row r="142">
      <c r="Q142" s="29"/>
    </row>
    <row r="143">
      <c r="Q143" s="29"/>
    </row>
    <row r="144">
      <c r="Q144" s="29"/>
    </row>
    <row r="145">
      <c r="Q145" s="29"/>
    </row>
    <row r="146">
      <c r="Q146" s="29"/>
    </row>
    <row r="147">
      <c r="Q147" s="29"/>
    </row>
    <row r="148">
      <c r="Q148" s="29"/>
    </row>
    <row r="149">
      <c r="Q149" s="29"/>
    </row>
    <row r="150">
      <c r="Q150" s="29"/>
    </row>
    <row r="151">
      <c r="Q151" s="29"/>
    </row>
    <row r="152">
      <c r="Q152" s="29"/>
    </row>
    <row r="153">
      <c r="Q153" s="29"/>
    </row>
    <row r="154">
      <c r="Q154" s="29"/>
    </row>
    <row r="155">
      <c r="Q155" s="29"/>
    </row>
    <row r="156">
      <c r="Q156" s="29"/>
    </row>
    <row r="157">
      <c r="Q157" s="29"/>
    </row>
    <row r="158">
      <c r="Q158" s="29"/>
    </row>
    <row r="159">
      <c r="Q159" s="29"/>
    </row>
    <row r="160">
      <c r="Q160" s="29"/>
    </row>
    <row r="161">
      <c r="Q161" s="29"/>
    </row>
    <row r="162">
      <c r="Q162" s="29"/>
    </row>
    <row r="163">
      <c r="Q163" s="29"/>
    </row>
    <row r="164">
      <c r="Q164" s="29"/>
    </row>
    <row r="165">
      <c r="Q165" s="29"/>
    </row>
    <row r="166">
      <c r="Q166" s="29"/>
    </row>
    <row r="167">
      <c r="Q167" s="29"/>
    </row>
    <row r="168">
      <c r="Q168" s="29"/>
    </row>
    <row r="169">
      <c r="Q169" s="29"/>
    </row>
    <row r="170">
      <c r="Q170" s="29"/>
    </row>
    <row r="171">
      <c r="Q171" s="29"/>
    </row>
    <row r="172">
      <c r="Q172" s="29"/>
    </row>
    <row r="173">
      <c r="Q173" s="29"/>
    </row>
    <row r="174">
      <c r="Q174" s="29"/>
    </row>
    <row r="175">
      <c r="Q175" s="29"/>
    </row>
    <row r="176">
      <c r="Q176" s="29"/>
    </row>
    <row r="177">
      <c r="Q177" s="29"/>
    </row>
    <row r="178">
      <c r="Q178" s="29"/>
    </row>
    <row r="179">
      <c r="Q179" s="29"/>
    </row>
    <row r="180">
      <c r="Q180" s="29"/>
    </row>
    <row r="181">
      <c r="Q181" s="29"/>
    </row>
    <row r="182">
      <c r="Q182" s="29"/>
    </row>
    <row r="183">
      <c r="Q183" s="29"/>
    </row>
    <row r="184">
      <c r="Q184" s="29"/>
    </row>
    <row r="185">
      <c r="Q185" s="29"/>
    </row>
    <row r="186">
      <c r="Q186" s="29"/>
    </row>
    <row r="187">
      <c r="Q187" s="29"/>
    </row>
    <row r="188">
      <c r="Q188" s="29"/>
    </row>
    <row r="189">
      <c r="Q189" s="29"/>
    </row>
    <row r="190">
      <c r="Q190" s="29"/>
    </row>
    <row r="191">
      <c r="Q191" s="29"/>
    </row>
    <row r="192">
      <c r="Q192" s="29"/>
    </row>
    <row r="193">
      <c r="Q193" s="29"/>
    </row>
    <row r="194">
      <c r="Q194" s="29"/>
    </row>
    <row r="195">
      <c r="Q195" s="29"/>
    </row>
    <row r="196">
      <c r="Q196" s="29"/>
    </row>
    <row r="197">
      <c r="Q197" s="29"/>
    </row>
    <row r="198">
      <c r="Q198" s="29"/>
    </row>
    <row r="199">
      <c r="Q199" s="29"/>
    </row>
    <row r="200">
      <c r="Q200" s="29"/>
    </row>
    <row r="201">
      <c r="Q201" s="29"/>
    </row>
    <row r="202">
      <c r="Q202" s="29"/>
    </row>
    <row r="203">
      <c r="Q203" s="29"/>
    </row>
    <row r="204">
      <c r="Q204" s="29"/>
    </row>
    <row r="205">
      <c r="Q205" s="29"/>
    </row>
    <row r="206">
      <c r="Q206" s="29"/>
    </row>
    <row r="207">
      <c r="Q207" s="29"/>
    </row>
    <row r="208">
      <c r="Q208" s="29"/>
    </row>
    <row r="209">
      <c r="Q209" s="29"/>
    </row>
    <row r="210">
      <c r="Q210" s="29"/>
    </row>
    <row r="211">
      <c r="Q211" s="29"/>
    </row>
    <row r="212">
      <c r="Q212" s="29"/>
    </row>
    <row r="213">
      <c r="Q213" s="29"/>
    </row>
    <row r="214">
      <c r="Q214" s="29"/>
    </row>
    <row r="215">
      <c r="Q215" s="29"/>
    </row>
    <row r="216">
      <c r="Q216" s="29"/>
    </row>
    <row r="217">
      <c r="Q217" s="29"/>
    </row>
    <row r="218">
      <c r="Q218" s="29"/>
    </row>
    <row r="219">
      <c r="Q219" s="29"/>
    </row>
    <row r="220">
      <c r="Q220" s="29"/>
    </row>
    <row r="221">
      <c r="Q221" s="29"/>
    </row>
    <row r="222">
      <c r="Q222" s="29"/>
    </row>
    <row r="223">
      <c r="Q223" s="29"/>
    </row>
    <row r="224">
      <c r="Q224" s="29"/>
    </row>
    <row r="225">
      <c r="Q225" s="29"/>
    </row>
    <row r="226">
      <c r="Q226" s="29"/>
    </row>
    <row r="227">
      <c r="Q227" s="29"/>
    </row>
    <row r="228">
      <c r="Q228" s="29"/>
    </row>
    <row r="229">
      <c r="Q229" s="29"/>
    </row>
    <row r="230">
      <c r="Q230" s="29"/>
    </row>
    <row r="231">
      <c r="Q231" s="29"/>
    </row>
    <row r="232">
      <c r="Q232" s="29"/>
    </row>
    <row r="233">
      <c r="Q233" s="29"/>
    </row>
    <row r="234">
      <c r="Q234" s="29"/>
    </row>
    <row r="235">
      <c r="Q235" s="29"/>
    </row>
    <row r="236">
      <c r="Q236" s="29"/>
    </row>
    <row r="237">
      <c r="Q237" s="29"/>
    </row>
    <row r="238">
      <c r="Q238" s="29"/>
    </row>
    <row r="239">
      <c r="Q239" s="29"/>
    </row>
    <row r="240">
      <c r="Q240" s="29"/>
    </row>
    <row r="241">
      <c r="Q241" s="29"/>
    </row>
    <row r="242">
      <c r="Q242" s="29"/>
    </row>
    <row r="243">
      <c r="Q243" s="29"/>
    </row>
    <row r="244">
      <c r="Q244" s="29"/>
    </row>
    <row r="245">
      <c r="Q245" s="29"/>
    </row>
    <row r="246">
      <c r="Q246" s="29"/>
    </row>
    <row r="247">
      <c r="Q247" s="29"/>
    </row>
    <row r="248">
      <c r="Q248" s="29"/>
    </row>
    <row r="249">
      <c r="Q249" s="29"/>
    </row>
    <row r="250">
      <c r="Q250" s="29"/>
    </row>
    <row r="251">
      <c r="Q251" s="29"/>
    </row>
    <row r="252">
      <c r="Q252" s="29"/>
    </row>
    <row r="253">
      <c r="Q253" s="29"/>
    </row>
    <row r="254">
      <c r="Q254" s="29"/>
    </row>
    <row r="255">
      <c r="Q255" s="29"/>
    </row>
    <row r="256">
      <c r="Q256" s="29"/>
    </row>
    <row r="257">
      <c r="Q257" s="29"/>
    </row>
    <row r="258">
      <c r="Q258" s="29"/>
    </row>
    <row r="259">
      <c r="Q259" s="29"/>
    </row>
    <row r="260">
      <c r="Q260" s="29"/>
    </row>
    <row r="261">
      <c r="Q261" s="29"/>
    </row>
    <row r="262">
      <c r="Q262" s="29"/>
    </row>
    <row r="263">
      <c r="Q263" s="29"/>
    </row>
    <row r="264">
      <c r="Q264" s="29"/>
    </row>
    <row r="265">
      <c r="Q265" s="29"/>
    </row>
    <row r="266">
      <c r="Q266" s="29"/>
    </row>
    <row r="267">
      <c r="Q267" s="29"/>
    </row>
    <row r="268">
      <c r="Q268" s="29"/>
    </row>
    <row r="269">
      <c r="Q269" s="29"/>
    </row>
    <row r="270">
      <c r="Q270" s="29"/>
    </row>
    <row r="271">
      <c r="Q271" s="29"/>
    </row>
    <row r="272">
      <c r="Q272" s="29"/>
    </row>
    <row r="273">
      <c r="Q273" s="29"/>
    </row>
    <row r="274">
      <c r="Q274" s="29"/>
    </row>
    <row r="275">
      <c r="Q275" s="29"/>
    </row>
    <row r="276">
      <c r="Q276" s="29"/>
    </row>
    <row r="277">
      <c r="Q277" s="29"/>
    </row>
    <row r="278">
      <c r="Q278" s="29"/>
    </row>
    <row r="279">
      <c r="Q279" s="29"/>
    </row>
    <row r="280">
      <c r="Q280" s="29"/>
    </row>
    <row r="281">
      <c r="Q281" s="29"/>
    </row>
    <row r="282">
      <c r="Q282" s="29"/>
    </row>
    <row r="283">
      <c r="Q283" s="29"/>
    </row>
    <row r="284">
      <c r="Q284" s="29"/>
    </row>
    <row r="285">
      <c r="Q285" s="29"/>
    </row>
    <row r="286">
      <c r="Q286" s="29"/>
    </row>
    <row r="287">
      <c r="Q287" s="29"/>
    </row>
    <row r="288">
      <c r="Q288" s="29"/>
    </row>
    <row r="289">
      <c r="Q289" s="29"/>
    </row>
    <row r="290">
      <c r="Q290" s="29"/>
    </row>
    <row r="291">
      <c r="Q291" s="29"/>
    </row>
    <row r="292">
      <c r="Q292" s="29"/>
    </row>
    <row r="293">
      <c r="Q293" s="29"/>
    </row>
    <row r="294">
      <c r="Q294" s="29"/>
    </row>
    <row r="295">
      <c r="Q295" s="29"/>
    </row>
    <row r="296">
      <c r="Q296" s="29"/>
    </row>
    <row r="297">
      <c r="Q297" s="29"/>
    </row>
    <row r="298">
      <c r="Q298" s="29"/>
    </row>
    <row r="299">
      <c r="Q299" s="29"/>
    </row>
    <row r="300">
      <c r="Q300" s="29"/>
    </row>
    <row r="301">
      <c r="Q301" s="29"/>
    </row>
    <row r="302">
      <c r="Q302" s="29"/>
    </row>
    <row r="303">
      <c r="Q303" s="29"/>
    </row>
    <row r="304">
      <c r="Q304" s="29"/>
    </row>
    <row r="305">
      <c r="Q305" s="29"/>
    </row>
    <row r="306">
      <c r="Q306" s="29"/>
    </row>
    <row r="307">
      <c r="Q307" s="29"/>
    </row>
    <row r="308">
      <c r="Q308" s="29"/>
    </row>
    <row r="309">
      <c r="Q309" s="29"/>
    </row>
    <row r="310">
      <c r="Q310" s="29"/>
    </row>
    <row r="311">
      <c r="Q311" s="29"/>
    </row>
    <row r="312">
      <c r="Q312" s="29"/>
    </row>
    <row r="313">
      <c r="Q313" s="29"/>
    </row>
    <row r="314">
      <c r="Q314" s="29"/>
    </row>
    <row r="315">
      <c r="Q315" s="29"/>
    </row>
    <row r="316">
      <c r="Q316" s="29"/>
    </row>
    <row r="317">
      <c r="Q317" s="29"/>
    </row>
    <row r="318">
      <c r="Q318" s="29"/>
    </row>
    <row r="319">
      <c r="Q319" s="29"/>
    </row>
    <row r="320">
      <c r="Q320" s="29"/>
    </row>
    <row r="321">
      <c r="Q321" s="29"/>
    </row>
    <row r="322">
      <c r="Q322" s="29"/>
    </row>
    <row r="323">
      <c r="Q323" s="29"/>
    </row>
    <row r="324">
      <c r="Q324" s="29"/>
    </row>
    <row r="325">
      <c r="Q325" s="29"/>
    </row>
    <row r="326">
      <c r="Q326" s="29"/>
    </row>
    <row r="327">
      <c r="Q327" s="29"/>
    </row>
    <row r="328">
      <c r="Q328" s="29"/>
    </row>
    <row r="329">
      <c r="Q329" s="29"/>
    </row>
    <row r="330">
      <c r="Q330" s="29"/>
    </row>
    <row r="331">
      <c r="Q331" s="29"/>
    </row>
    <row r="332">
      <c r="Q332" s="29"/>
    </row>
    <row r="333">
      <c r="Q333" s="29"/>
    </row>
    <row r="334">
      <c r="Q334" s="29"/>
    </row>
    <row r="335">
      <c r="Q335" s="29"/>
    </row>
    <row r="336">
      <c r="Q336" s="29"/>
    </row>
    <row r="337">
      <c r="Q337" s="29"/>
    </row>
    <row r="338">
      <c r="Q338" s="29"/>
    </row>
    <row r="339">
      <c r="Q339" s="29"/>
    </row>
    <row r="340">
      <c r="Q340" s="29"/>
    </row>
    <row r="341">
      <c r="Q341" s="29"/>
    </row>
    <row r="342">
      <c r="Q342" s="29"/>
    </row>
    <row r="343">
      <c r="Q343" s="29"/>
    </row>
    <row r="344">
      <c r="Q344" s="29"/>
    </row>
    <row r="345">
      <c r="Q345" s="29"/>
    </row>
    <row r="346">
      <c r="Q346" s="29"/>
    </row>
    <row r="347">
      <c r="Q347" s="29"/>
    </row>
    <row r="348">
      <c r="Q348" s="29"/>
    </row>
    <row r="349">
      <c r="Q349" s="29"/>
    </row>
    <row r="350">
      <c r="Q350" s="29"/>
    </row>
    <row r="351">
      <c r="Q351" s="29"/>
    </row>
    <row r="352">
      <c r="Q352" s="29"/>
    </row>
    <row r="353">
      <c r="Q353" s="29"/>
    </row>
    <row r="354">
      <c r="Q354" s="29"/>
    </row>
    <row r="355">
      <c r="Q355" s="29"/>
    </row>
    <row r="356">
      <c r="Q356" s="29"/>
    </row>
    <row r="357">
      <c r="Q357" s="29"/>
    </row>
    <row r="358">
      <c r="Q358" s="29"/>
    </row>
    <row r="359">
      <c r="Q359" s="29"/>
    </row>
    <row r="360">
      <c r="Q360" s="29"/>
    </row>
    <row r="361">
      <c r="Q361" s="29"/>
    </row>
    <row r="362">
      <c r="Q362" s="29"/>
    </row>
    <row r="363">
      <c r="Q363" s="29"/>
    </row>
    <row r="364">
      <c r="Q364" s="29"/>
    </row>
    <row r="365">
      <c r="Q365" s="29"/>
    </row>
    <row r="366">
      <c r="Q366" s="29"/>
    </row>
    <row r="367">
      <c r="Q367" s="29"/>
    </row>
    <row r="368">
      <c r="Q368" s="29"/>
    </row>
    <row r="369">
      <c r="Q369" s="29"/>
    </row>
    <row r="370">
      <c r="Q370" s="29"/>
    </row>
    <row r="371">
      <c r="Q371" s="29"/>
    </row>
    <row r="372">
      <c r="Q372" s="29"/>
    </row>
    <row r="373">
      <c r="Q373" s="29"/>
    </row>
    <row r="374">
      <c r="Q374" s="29"/>
    </row>
    <row r="375">
      <c r="Q375" s="29"/>
    </row>
    <row r="376">
      <c r="Q376" s="29"/>
    </row>
    <row r="377">
      <c r="Q377" s="29"/>
    </row>
    <row r="378">
      <c r="Q378" s="29"/>
    </row>
    <row r="379">
      <c r="Q379" s="29"/>
    </row>
    <row r="380">
      <c r="Q380" s="29"/>
    </row>
    <row r="381">
      <c r="Q381" s="29"/>
    </row>
    <row r="382">
      <c r="Q382" s="29"/>
    </row>
    <row r="383">
      <c r="Q383" s="29"/>
    </row>
    <row r="384">
      <c r="Q384" s="29"/>
    </row>
    <row r="385">
      <c r="Q385" s="29"/>
    </row>
    <row r="386">
      <c r="Q386" s="29"/>
    </row>
    <row r="387">
      <c r="Q387" s="29"/>
    </row>
    <row r="388">
      <c r="Q388" s="29"/>
    </row>
    <row r="389">
      <c r="Q389" s="29"/>
    </row>
    <row r="390">
      <c r="Q390" s="29"/>
    </row>
    <row r="391">
      <c r="Q391" s="29"/>
    </row>
    <row r="392">
      <c r="Q392" s="29"/>
    </row>
    <row r="393">
      <c r="Q393" s="29"/>
    </row>
    <row r="394">
      <c r="Q394" s="29"/>
    </row>
    <row r="395">
      <c r="Q395" s="29"/>
    </row>
    <row r="396">
      <c r="Q396" s="29"/>
    </row>
    <row r="397">
      <c r="Q397" s="29"/>
    </row>
    <row r="398">
      <c r="Q398" s="29"/>
    </row>
    <row r="399">
      <c r="Q399" s="29"/>
    </row>
    <row r="400">
      <c r="Q400" s="29"/>
    </row>
    <row r="401">
      <c r="Q401" s="29"/>
    </row>
    <row r="402">
      <c r="Q402" s="29"/>
    </row>
    <row r="403">
      <c r="Q403" s="29"/>
    </row>
    <row r="404">
      <c r="Q404" s="29"/>
    </row>
    <row r="405">
      <c r="Q405" s="29"/>
    </row>
    <row r="406">
      <c r="Q406" s="29"/>
    </row>
    <row r="407">
      <c r="Q407" s="29"/>
    </row>
    <row r="408">
      <c r="Q408" s="29"/>
    </row>
    <row r="409">
      <c r="Q409" s="29"/>
    </row>
    <row r="410">
      <c r="Q410" s="29"/>
    </row>
    <row r="411">
      <c r="Q411" s="29"/>
    </row>
    <row r="412">
      <c r="Q412" s="29"/>
    </row>
    <row r="413">
      <c r="Q413" s="29"/>
    </row>
    <row r="414">
      <c r="Q414" s="29"/>
    </row>
    <row r="415">
      <c r="Q415" s="29"/>
    </row>
    <row r="416">
      <c r="Q416" s="29"/>
    </row>
    <row r="417">
      <c r="Q417" s="29"/>
    </row>
    <row r="418">
      <c r="Q418" s="29"/>
    </row>
    <row r="419">
      <c r="Q419" s="29"/>
    </row>
    <row r="420">
      <c r="Q420" s="29"/>
    </row>
    <row r="421">
      <c r="Q421" s="29"/>
    </row>
    <row r="422">
      <c r="Q422" s="29"/>
    </row>
    <row r="423">
      <c r="Q423" s="29"/>
    </row>
    <row r="424">
      <c r="Q424" s="29"/>
    </row>
    <row r="425">
      <c r="Q425" s="29"/>
    </row>
    <row r="426">
      <c r="Q426" s="29"/>
    </row>
    <row r="427">
      <c r="Q427" s="29"/>
    </row>
    <row r="428">
      <c r="Q428" s="29"/>
    </row>
    <row r="429">
      <c r="Q429" s="29"/>
    </row>
    <row r="430">
      <c r="Q430" s="29"/>
    </row>
    <row r="431">
      <c r="Q431" s="29"/>
    </row>
    <row r="432">
      <c r="Q432" s="29"/>
    </row>
    <row r="433">
      <c r="Q433" s="29"/>
    </row>
    <row r="434">
      <c r="Q434" s="29"/>
    </row>
    <row r="435">
      <c r="Q435" s="29"/>
    </row>
    <row r="436">
      <c r="Q436" s="29"/>
    </row>
    <row r="437">
      <c r="Q437" s="29"/>
    </row>
    <row r="438">
      <c r="Q438" s="29"/>
    </row>
    <row r="439">
      <c r="Q439" s="29"/>
    </row>
    <row r="440">
      <c r="Q440" s="29"/>
    </row>
    <row r="441">
      <c r="Q441" s="29"/>
    </row>
    <row r="442">
      <c r="Q442" s="29"/>
    </row>
    <row r="443">
      <c r="Q443" s="29"/>
    </row>
    <row r="444">
      <c r="Q444" s="29"/>
    </row>
    <row r="445">
      <c r="Q445" s="29"/>
    </row>
    <row r="446">
      <c r="Q446" s="29"/>
    </row>
    <row r="447">
      <c r="Q447" s="29"/>
    </row>
    <row r="448">
      <c r="Q448" s="29"/>
    </row>
    <row r="449">
      <c r="Q449" s="29"/>
    </row>
    <row r="450">
      <c r="Q450" s="29"/>
    </row>
    <row r="451">
      <c r="Q451" s="29"/>
    </row>
    <row r="452">
      <c r="Q452" s="29"/>
    </row>
    <row r="453">
      <c r="Q453" s="29"/>
    </row>
    <row r="454">
      <c r="Q454" s="29"/>
    </row>
    <row r="455">
      <c r="Q455" s="29"/>
    </row>
    <row r="456">
      <c r="Q456" s="29"/>
    </row>
    <row r="457">
      <c r="Q457" s="29"/>
    </row>
    <row r="458">
      <c r="Q458" s="29"/>
    </row>
    <row r="459">
      <c r="Q459" s="29"/>
    </row>
    <row r="460">
      <c r="Q460" s="29"/>
    </row>
    <row r="461">
      <c r="Q461" s="29"/>
    </row>
    <row r="462">
      <c r="Q462" s="29"/>
    </row>
    <row r="463">
      <c r="Q463" s="29"/>
    </row>
    <row r="464">
      <c r="Q464" s="29"/>
    </row>
    <row r="465">
      <c r="Q465" s="29"/>
    </row>
    <row r="466">
      <c r="Q466" s="29"/>
    </row>
    <row r="467">
      <c r="Q467" s="29"/>
    </row>
    <row r="468">
      <c r="Q468" s="29"/>
    </row>
    <row r="469">
      <c r="Q469" s="29"/>
    </row>
    <row r="470">
      <c r="Q470" s="29"/>
    </row>
    <row r="471">
      <c r="Q471" s="29"/>
    </row>
    <row r="472">
      <c r="Q472" s="29"/>
    </row>
    <row r="473">
      <c r="Q473" s="29"/>
    </row>
    <row r="474">
      <c r="Q474" s="29"/>
    </row>
    <row r="475">
      <c r="Q475" s="29"/>
    </row>
    <row r="476">
      <c r="Q476" s="29"/>
    </row>
    <row r="477">
      <c r="Q477" s="29"/>
    </row>
    <row r="478">
      <c r="Q478" s="29"/>
    </row>
    <row r="479">
      <c r="Q479" s="29"/>
    </row>
    <row r="480">
      <c r="Q480" s="29"/>
    </row>
    <row r="481">
      <c r="Q481" s="29"/>
    </row>
    <row r="482">
      <c r="Q482" s="29"/>
    </row>
    <row r="483">
      <c r="Q483" s="29"/>
    </row>
    <row r="484">
      <c r="Q484" s="29"/>
    </row>
    <row r="485">
      <c r="Q485" s="29"/>
    </row>
    <row r="486">
      <c r="Q486" s="29"/>
    </row>
    <row r="487">
      <c r="Q487" s="29"/>
    </row>
    <row r="488">
      <c r="Q488" s="29"/>
    </row>
    <row r="489">
      <c r="Q489" s="29"/>
    </row>
    <row r="490">
      <c r="Q490" s="29"/>
    </row>
    <row r="491">
      <c r="Q491" s="29"/>
    </row>
    <row r="492">
      <c r="Q492" s="29"/>
    </row>
    <row r="493">
      <c r="Q493" s="29"/>
    </row>
    <row r="494">
      <c r="Q494" s="29"/>
    </row>
    <row r="495">
      <c r="Q495" s="29"/>
    </row>
    <row r="496">
      <c r="Q496" s="29"/>
    </row>
    <row r="497">
      <c r="Q497" s="29"/>
    </row>
    <row r="498">
      <c r="Q498" s="29"/>
    </row>
    <row r="499">
      <c r="Q499" s="29"/>
    </row>
    <row r="500">
      <c r="Q500" s="29"/>
    </row>
    <row r="501">
      <c r="Q501" s="29"/>
    </row>
    <row r="502">
      <c r="Q502" s="29"/>
    </row>
    <row r="503">
      <c r="Q503" s="29"/>
    </row>
    <row r="504">
      <c r="Q504" s="29"/>
    </row>
    <row r="505">
      <c r="Q505" s="29"/>
    </row>
    <row r="506">
      <c r="Q506" s="29"/>
    </row>
    <row r="507">
      <c r="Q507" s="29"/>
    </row>
    <row r="508">
      <c r="Q508" s="29"/>
    </row>
    <row r="509">
      <c r="Q509" s="29"/>
    </row>
    <row r="510">
      <c r="Q510" s="29"/>
    </row>
    <row r="511">
      <c r="Q511" s="29"/>
    </row>
    <row r="512">
      <c r="Q512" s="29"/>
    </row>
    <row r="513">
      <c r="Q513" s="29"/>
    </row>
    <row r="514">
      <c r="Q514" s="29"/>
    </row>
    <row r="515">
      <c r="Q515" s="29"/>
    </row>
    <row r="516">
      <c r="Q516" s="29"/>
    </row>
    <row r="517">
      <c r="Q517" s="29"/>
    </row>
    <row r="518">
      <c r="Q518" s="29"/>
    </row>
    <row r="519">
      <c r="Q519" s="29"/>
    </row>
    <row r="520">
      <c r="Q520" s="29"/>
    </row>
    <row r="521">
      <c r="Q521" s="29"/>
    </row>
    <row r="522">
      <c r="Q522" s="29"/>
    </row>
    <row r="523">
      <c r="Q523" s="29"/>
    </row>
    <row r="524">
      <c r="Q524" s="29"/>
    </row>
    <row r="525">
      <c r="Q525" s="29"/>
    </row>
    <row r="526">
      <c r="Q526" s="29"/>
    </row>
    <row r="527">
      <c r="Q527" s="29"/>
    </row>
    <row r="528">
      <c r="Q528" s="29"/>
    </row>
    <row r="529">
      <c r="Q529" s="29"/>
    </row>
    <row r="530">
      <c r="Q530" s="29"/>
    </row>
    <row r="531">
      <c r="Q531" s="29"/>
    </row>
    <row r="532">
      <c r="Q532" s="29"/>
    </row>
    <row r="533">
      <c r="Q533" s="29"/>
    </row>
    <row r="534">
      <c r="Q534" s="29"/>
    </row>
    <row r="535">
      <c r="Q535" s="29"/>
    </row>
    <row r="536">
      <c r="Q536" s="29"/>
    </row>
    <row r="537">
      <c r="Q537" s="29"/>
    </row>
    <row r="538">
      <c r="Q538" s="29"/>
    </row>
    <row r="539">
      <c r="Q539" s="29"/>
    </row>
    <row r="540">
      <c r="Q540" s="29"/>
    </row>
    <row r="541">
      <c r="Q541" s="29"/>
    </row>
    <row r="542">
      <c r="Q542" s="29"/>
    </row>
    <row r="543">
      <c r="Q543" s="29"/>
    </row>
    <row r="544">
      <c r="Q544" s="29"/>
    </row>
    <row r="545">
      <c r="Q545" s="29"/>
    </row>
    <row r="546">
      <c r="Q546" s="29"/>
    </row>
    <row r="547">
      <c r="Q547" s="29"/>
    </row>
    <row r="548">
      <c r="Q548" s="29"/>
    </row>
    <row r="549">
      <c r="Q549" s="29"/>
    </row>
    <row r="550">
      <c r="Q550" s="29"/>
    </row>
    <row r="551">
      <c r="Q551" s="29"/>
    </row>
    <row r="552">
      <c r="Q552" s="29"/>
    </row>
    <row r="553">
      <c r="Q553" s="29"/>
    </row>
    <row r="554">
      <c r="Q554" s="29"/>
    </row>
    <row r="555">
      <c r="Q555" s="29"/>
    </row>
    <row r="556">
      <c r="Q556" s="29"/>
    </row>
    <row r="557">
      <c r="Q557" s="29"/>
    </row>
    <row r="558">
      <c r="Q558" s="29"/>
    </row>
    <row r="559">
      <c r="Q559" s="29"/>
    </row>
    <row r="560">
      <c r="Q560" s="29"/>
    </row>
    <row r="561">
      <c r="Q561" s="29"/>
    </row>
    <row r="562">
      <c r="Q562" s="29"/>
    </row>
    <row r="563">
      <c r="Q563" s="29"/>
    </row>
    <row r="564">
      <c r="Q564" s="29"/>
    </row>
    <row r="565">
      <c r="Q565" s="29"/>
    </row>
    <row r="566">
      <c r="Q566" s="29"/>
    </row>
    <row r="567">
      <c r="Q567" s="29"/>
    </row>
    <row r="568">
      <c r="Q568" s="29"/>
    </row>
    <row r="569">
      <c r="Q569" s="29"/>
    </row>
    <row r="570">
      <c r="Q570" s="29"/>
    </row>
    <row r="571">
      <c r="Q571" s="29"/>
    </row>
    <row r="572">
      <c r="Q572" s="29"/>
    </row>
    <row r="573">
      <c r="Q573" s="29"/>
    </row>
    <row r="574">
      <c r="Q574" s="29"/>
    </row>
    <row r="575">
      <c r="Q575" s="29"/>
    </row>
    <row r="576">
      <c r="Q576" s="29"/>
    </row>
    <row r="577">
      <c r="Q577" s="29"/>
    </row>
    <row r="578">
      <c r="Q578" s="29"/>
    </row>
    <row r="579">
      <c r="Q579" s="29"/>
    </row>
    <row r="580">
      <c r="Q580" s="29"/>
    </row>
    <row r="581">
      <c r="Q581" s="29"/>
    </row>
    <row r="582">
      <c r="Q582" s="29"/>
    </row>
    <row r="583">
      <c r="Q583" s="29"/>
    </row>
    <row r="584">
      <c r="Q584" s="29"/>
    </row>
    <row r="585">
      <c r="Q585" s="29"/>
    </row>
    <row r="586">
      <c r="Q586" s="29"/>
    </row>
    <row r="587">
      <c r="Q587" s="29"/>
    </row>
    <row r="588">
      <c r="Q588" s="29"/>
    </row>
    <row r="589">
      <c r="Q589" s="29"/>
    </row>
    <row r="590">
      <c r="Q590" s="29"/>
    </row>
    <row r="591">
      <c r="Q591" s="29"/>
    </row>
    <row r="592">
      <c r="Q592" s="29"/>
    </row>
    <row r="593">
      <c r="Q593" s="29"/>
    </row>
    <row r="594">
      <c r="Q594" s="29"/>
    </row>
    <row r="595">
      <c r="Q595" s="29"/>
    </row>
    <row r="596">
      <c r="Q596" s="29"/>
    </row>
    <row r="597">
      <c r="Q597" s="29"/>
    </row>
    <row r="598">
      <c r="Q598" s="29"/>
    </row>
    <row r="599">
      <c r="Q599" s="29"/>
    </row>
    <row r="600">
      <c r="Q600" s="29"/>
    </row>
    <row r="601">
      <c r="Q601" s="29"/>
    </row>
    <row r="602">
      <c r="Q602" s="29"/>
    </row>
    <row r="603">
      <c r="Q603" s="29"/>
    </row>
    <row r="604">
      <c r="Q604" s="29"/>
    </row>
    <row r="605">
      <c r="Q605" s="29"/>
    </row>
    <row r="606">
      <c r="Q606" s="29"/>
    </row>
    <row r="607">
      <c r="Q607" s="29"/>
    </row>
    <row r="608">
      <c r="Q608" s="29"/>
    </row>
    <row r="609">
      <c r="Q609" s="29"/>
    </row>
    <row r="610">
      <c r="Q610" s="29"/>
    </row>
    <row r="611">
      <c r="Q611" s="29"/>
    </row>
    <row r="612">
      <c r="Q612" s="29"/>
    </row>
    <row r="613">
      <c r="Q613" s="29"/>
    </row>
    <row r="614">
      <c r="Q614" s="29"/>
    </row>
    <row r="615">
      <c r="Q615" s="29"/>
    </row>
    <row r="616">
      <c r="Q616" s="29"/>
    </row>
    <row r="617">
      <c r="Q617" s="29"/>
    </row>
    <row r="618">
      <c r="Q618" s="29"/>
    </row>
    <row r="619">
      <c r="Q619" s="29"/>
    </row>
    <row r="620">
      <c r="Q620" s="29"/>
    </row>
    <row r="621">
      <c r="Q621" s="29"/>
    </row>
    <row r="622">
      <c r="Q622" s="29"/>
    </row>
    <row r="623">
      <c r="Q623" s="29"/>
    </row>
    <row r="624">
      <c r="Q624" s="29"/>
    </row>
    <row r="625">
      <c r="Q625" s="29"/>
    </row>
    <row r="626">
      <c r="Q626" s="29"/>
    </row>
    <row r="627">
      <c r="Q627" s="29"/>
    </row>
    <row r="628">
      <c r="Q628" s="29"/>
    </row>
    <row r="629">
      <c r="Q629" s="29"/>
    </row>
    <row r="630">
      <c r="Q630" s="29"/>
    </row>
    <row r="631">
      <c r="Q631" s="29"/>
    </row>
    <row r="632">
      <c r="Q632" s="29"/>
    </row>
    <row r="633">
      <c r="Q633" s="29"/>
    </row>
    <row r="634">
      <c r="Q634" s="29"/>
    </row>
    <row r="635">
      <c r="Q635" s="29"/>
    </row>
    <row r="636">
      <c r="Q636" s="29"/>
    </row>
    <row r="637">
      <c r="Q637" s="29"/>
    </row>
    <row r="638">
      <c r="Q638" s="29"/>
    </row>
    <row r="639">
      <c r="Q639" s="29"/>
    </row>
    <row r="640">
      <c r="Q640" s="29"/>
    </row>
    <row r="641">
      <c r="Q641" s="29"/>
    </row>
    <row r="642">
      <c r="Q642" s="29"/>
    </row>
    <row r="643">
      <c r="Q643" s="29"/>
    </row>
    <row r="644">
      <c r="Q644" s="29"/>
    </row>
    <row r="645">
      <c r="Q645" s="29"/>
    </row>
    <row r="646">
      <c r="Q646" s="29"/>
    </row>
    <row r="647">
      <c r="Q647" s="29"/>
    </row>
    <row r="648">
      <c r="Q648" s="29"/>
    </row>
    <row r="649">
      <c r="Q649" s="29"/>
    </row>
    <row r="650">
      <c r="Q650" s="29"/>
    </row>
    <row r="651">
      <c r="Q651" s="29"/>
    </row>
    <row r="652">
      <c r="Q652" s="29"/>
    </row>
    <row r="653">
      <c r="Q653" s="29"/>
    </row>
    <row r="654">
      <c r="Q654" s="29"/>
    </row>
    <row r="655">
      <c r="Q655" s="29"/>
    </row>
    <row r="656">
      <c r="Q656" s="29"/>
    </row>
    <row r="657">
      <c r="Q657" s="29"/>
    </row>
    <row r="658">
      <c r="Q658" s="29"/>
    </row>
    <row r="659">
      <c r="Q659" s="29"/>
    </row>
    <row r="660">
      <c r="Q660" s="29"/>
    </row>
    <row r="661">
      <c r="Q661" s="29"/>
    </row>
    <row r="662">
      <c r="Q662" s="29"/>
    </row>
    <row r="663">
      <c r="Q663" s="29"/>
    </row>
    <row r="664">
      <c r="Q664" s="29"/>
    </row>
    <row r="665">
      <c r="Q665" s="29"/>
    </row>
    <row r="666">
      <c r="Q666" s="29"/>
    </row>
    <row r="667">
      <c r="Q667" s="29"/>
    </row>
    <row r="668">
      <c r="Q668" s="29"/>
    </row>
    <row r="669">
      <c r="Q669" s="29"/>
    </row>
    <row r="670">
      <c r="Q670" s="29"/>
    </row>
    <row r="671">
      <c r="Q671" s="29"/>
    </row>
    <row r="672">
      <c r="Q672" s="29"/>
    </row>
    <row r="673">
      <c r="Q673" s="29"/>
    </row>
    <row r="674">
      <c r="Q674" s="29"/>
    </row>
    <row r="675">
      <c r="Q675" s="29"/>
    </row>
    <row r="676">
      <c r="Q676" s="29"/>
    </row>
    <row r="677">
      <c r="Q677" s="29"/>
    </row>
    <row r="678">
      <c r="Q678" s="29"/>
    </row>
    <row r="679">
      <c r="Q679" s="29"/>
    </row>
    <row r="680">
      <c r="Q680" s="29"/>
    </row>
    <row r="681">
      <c r="Q681" s="29"/>
    </row>
    <row r="682">
      <c r="Q682" s="29"/>
    </row>
    <row r="683">
      <c r="Q683" s="29"/>
    </row>
    <row r="684">
      <c r="Q684" s="29"/>
    </row>
    <row r="685">
      <c r="Q685" s="29"/>
    </row>
    <row r="686">
      <c r="Q686" s="29"/>
    </row>
    <row r="687">
      <c r="Q687" s="29"/>
    </row>
    <row r="688">
      <c r="Q688" s="29"/>
    </row>
    <row r="689">
      <c r="Q689" s="29"/>
    </row>
    <row r="690">
      <c r="Q690" s="29"/>
    </row>
    <row r="691">
      <c r="Q691" s="29"/>
    </row>
    <row r="692">
      <c r="Q692" s="29"/>
    </row>
    <row r="693">
      <c r="Q693" s="29"/>
    </row>
    <row r="694">
      <c r="Q694" s="29"/>
    </row>
    <row r="695">
      <c r="Q695" s="29"/>
    </row>
    <row r="696">
      <c r="Q696" s="29"/>
    </row>
    <row r="697">
      <c r="Q697" s="29"/>
    </row>
    <row r="698">
      <c r="Q698" s="29"/>
    </row>
    <row r="699">
      <c r="Q699" s="29"/>
    </row>
    <row r="700">
      <c r="Q700" s="29"/>
    </row>
    <row r="701">
      <c r="Q701" s="29"/>
    </row>
    <row r="702">
      <c r="Q702" s="29"/>
    </row>
    <row r="703">
      <c r="Q703" s="29"/>
    </row>
    <row r="704">
      <c r="Q704" s="29"/>
    </row>
    <row r="705">
      <c r="Q705" s="29"/>
    </row>
    <row r="706">
      <c r="Q706" s="29"/>
    </row>
    <row r="707">
      <c r="Q707" s="29"/>
    </row>
    <row r="708">
      <c r="Q708" s="29"/>
    </row>
    <row r="709">
      <c r="Q709" s="29"/>
    </row>
    <row r="710">
      <c r="Q710" s="29"/>
    </row>
    <row r="711">
      <c r="Q711" s="29"/>
    </row>
    <row r="712">
      <c r="Q712" s="29"/>
    </row>
    <row r="713">
      <c r="Q713" s="29"/>
    </row>
    <row r="714">
      <c r="Q714" s="29"/>
    </row>
    <row r="715">
      <c r="Q715" s="29"/>
    </row>
    <row r="716">
      <c r="Q716" s="29"/>
    </row>
    <row r="717">
      <c r="Q717" s="29"/>
    </row>
    <row r="718">
      <c r="Q718" s="29"/>
    </row>
    <row r="719">
      <c r="Q719" s="29"/>
    </row>
    <row r="720">
      <c r="Q720" s="29"/>
    </row>
    <row r="721">
      <c r="Q721" s="29"/>
    </row>
    <row r="722">
      <c r="Q722" s="29"/>
    </row>
    <row r="723">
      <c r="Q723" s="29"/>
    </row>
    <row r="724">
      <c r="Q724" s="29"/>
    </row>
    <row r="725">
      <c r="Q725" s="29"/>
    </row>
    <row r="726">
      <c r="Q726" s="29"/>
    </row>
    <row r="727">
      <c r="Q727" s="29"/>
    </row>
    <row r="728">
      <c r="Q728" s="29"/>
    </row>
    <row r="729">
      <c r="Q729" s="29"/>
    </row>
    <row r="730">
      <c r="Q730" s="29"/>
    </row>
    <row r="731">
      <c r="Q731" s="29"/>
    </row>
    <row r="732">
      <c r="Q732" s="29"/>
    </row>
    <row r="733">
      <c r="Q733" s="29"/>
    </row>
    <row r="734">
      <c r="Q734" s="29"/>
    </row>
    <row r="735">
      <c r="Q735" s="29"/>
    </row>
    <row r="736">
      <c r="Q736" s="29"/>
    </row>
    <row r="737">
      <c r="Q737" s="29"/>
    </row>
    <row r="738">
      <c r="Q738" s="29"/>
    </row>
    <row r="739">
      <c r="Q739" s="29"/>
    </row>
    <row r="740">
      <c r="Q740" s="29"/>
    </row>
    <row r="741">
      <c r="Q741" s="29"/>
    </row>
    <row r="742">
      <c r="Q742" s="29"/>
    </row>
    <row r="743">
      <c r="Q743" s="29"/>
    </row>
    <row r="744">
      <c r="Q744" s="29"/>
    </row>
    <row r="745">
      <c r="Q745" s="29"/>
    </row>
    <row r="746">
      <c r="Q746" s="29"/>
    </row>
    <row r="747">
      <c r="Q747" s="29"/>
    </row>
    <row r="748">
      <c r="Q748" s="29"/>
    </row>
    <row r="749">
      <c r="Q749" s="29"/>
    </row>
    <row r="750">
      <c r="Q750" s="29"/>
    </row>
    <row r="751">
      <c r="Q751" s="29"/>
    </row>
    <row r="752">
      <c r="Q752" s="29"/>
    </row>
    <row r="753">
      <c r="Q753" s="29"/>
    </row>
    <row r="754">
      <c r="Q754" s="29"/>
    </row>
    <row r="755">
      <c r="Q755" s="29"/>
    </row>
    <row r="756">
      <c r="Q756" s="29"/>
    </row>
    <row r="757">
      <c r="Q757" s="29"/>
    </row>
    <row r="758">
      <c r="Q758" s="29"/>
    </row>
    <row r="759">
      <c r="Q759" s="29"/>
    </row>
    <row r="760">
      <c r="Q760" s="29"/>
    </row>
    <row r="761">
      <c r="Q761" s="29"/>
    </row>
    <row r="762">
      <c r="Q762" s="29"/>
    </row>
    <row r="763">
      <c r="Q763" s="29"/>
    </row>
    <row r="764">
      <c r="Q764" s="29"/>
    </row>
    <row r="765">
      <c r="Q765" s="29"/>
    </row>
    <row r="766">
      <c r="Q766" s="29"/>
    </row>
    <row r="767">
      <c r="Q767" s="29"/>
    </row>
    <row r="768">
      <c r="Q768" s="29"/>
    </row>
    <row r="769">
      <c r="Q769" s="29"/>
    </row>
    <row r="770">
      <c r="Q770" s="29"/>
    </row>
    <row r="771">
      <c r="Q771" s="29"/>
    </row>
    <row r="772">
      <c r="Q772" s="29"/>
    </row>
    <row r="773">
      <c r="Q773" s="29"/>
    </row>
    <row r="774">
      <c r="Q774" s="29"/>
    </row>
    <row r="775">
      <c r="Q775" s="29"/>
    </row>
    <row r="776">
      <c r="Q776" s="29"/>
    </row>
    <row r="777">
      <c r="Q777" s="29"/>
    </row>
    <row r="778">
      <c r="Q778" s="29"/>
    </row>
    <row r="779">
      <c r="Q779" s="29"/>
    </row>
    <row r="780">
      <c r="Q780" s="29"/>
    </row>
    <row r="781">
      <c r="Q781" s="29"/>
    </row>
    <row r="782">
      <c r="Q782" s="29"/>
    </row>
    <row r="783">
      <c r="Q783" s="29"/>
    </row>
    <row r="784">
      <c r="Q784" s="29"/>
    </row>
    <row r="785">
      <c r="Q785" s="29"/>
    </row>
    <row r="786">
      <c r="Q786" s="29"/>
    </row>
    <row r="787">
      <c r="Q787" s="29"/>
    </row>
    <row r="788">
      <c r="Q788" s="29"/>
    </row>
    <row r="789">
      <c r="Q789" s="29"/>
    </row>
    <row r="790">
      <c r="Q790" s="29"/>
    </row>
    <row r="791">
      <c r="Q791" s="29"/>
    </row>
    <row r="792">
      <c r="Q792" s="29"/>
    </row>
    <row r="793">
      <c r="Q793" s="29"/>
    </row>
    <row r="794">
      <c r="Q794" s="29"/>
    </row>
    <row r="795">
      <c r="Q795" s="29"/>
    </row>
    <row r="796">
      <c r="Q796" s="29"/>
    </row>
    <row r="797">
      <c r="Q797" s="29"/>
    </row>
    <row r="798">
      <c r="Q798" s="29"/>
    </row>
    <row r="799">
      <c r="Q799" s="29"/>
    </row>
    <row r="800">
      <c r="Q800" s="29"/>
    </row>
    <row r="801">
      <c r="Q801" s="29"/>
    </row>
    <row r="802">
      <c r="Q802" s="29"/>
    </row>
    <row r="803">
      <c r="Q803" s="29"/>
    </row>
    <row r="804">
      <c r="Q804" s="29"/>
    </row>
    <row r="805">
      <c r="Q805" s="29"/>
    </row>
    <row r="806">
      <c r="Q806" s="29"/>
    </row>
    <row r="807">
      <c r="Q807" s="29"/>
    </row>
    <row r="808">
      <c r="Q808" s="29"/>
    </row>
    <row r="809">
      <c r="Q809" s="29"/>
    </row>
    <row r="810">
      <c r="Q810" s="29"/>
    </row>
    <row r="811">
      <c r="Q811" s="29"/>
    </row>
    <row r="812">
      <c r="Q812" s="29"/>
    </row>
    <row r="813">
      <c r="Q813" s="29"/>
    </row>
    <row r="814">
      <c r="Q814" s="29"/>
    </row>
    <row r="815">
      <c r="Q815" s="29"/>
    </row>
    <row r="816">
      <c r="Q816" s="29"/>
    </row>
    <row r="817">
      <c r="Q817" s="29"/>
    </row>
    <row r="818">
      <c r="Q818" s="29"/>
    </row>
    <row r="819">
      <c r="Q819" s="29"/>
    </row>
    <row r="820">
      <c r="Q820" s="29"/>
    </row>
    <row r="821">
      <c r="Q821" s="29"/>
    </row>
    <row r="822">
      <c r="Q822" s="29"/>
    </row>
    <row r="823">
      <c r="Q823" s="29"/>
    </row>
    <row r="824">
      <c r="Q824" s="29"/>
    </row>
    <row r="825">
      <c r="Q825" s="29"/>
    </row>
    <row r="826">
      <c r="Q826" s="29"/>
    </row>
    <row r="827">
      <c r="Q827" s="29"/>
    </row>
    <row r="828">
      <c r="Q828" s="29"/>
    </row>
    <row r="829">
      <c r="Q829" s="29"/>
    </row>
    <row r="830">
      <c r="Q830" s="29"/>
    </row>
    <row r="831">
      <c r="Q831" s="29"/>
    </row>
    <row r="832">
      <c r="Q832" s="29"/>
    </row>
    <row r="833">
      <c r="Q833" s="29"/>
    </row>
    <row r="834">
      <c r="Q834" s="29"/>
    </row>
    <row r="835">
      <c r="Q835" s="29"/>
    </row>
    <row r="836">
      <c r="Q836" s="29"/>
    </row>
    <row r="837">
      <c r="Q837" s="29"/>
    </row>
    <row r="838">
      <c r="Q838" s="29"/>
    </row>
    <row r="839">
      <c r="Q839" s="29"/>
    </row>
    <row r="840">
      <c r="Q840" s="29"/>
    </row>
    <row r="841">
      <c r="Q841" s="29"/>
    </row>
    <row r="842">
      <c r="Q842" s="29"/>
    </row>
    <row r="843">
      <c r="Q843" s="29"/>
    </row>
    <row r="844">
      <c r="Q844" s="29"/>
    </row>
    <row r="845">
      <c r="Q845" s="29"/>
    </row>
    <row r="846">
      <c r="Q846" s="29"/>
    </row>
    <row r="847">
      <c r="Q847" s="29"/>
    </row>
    <row r="848">
      <c r="Q848" s="29"/>
    </row>
    <row r="849">
      <c r="Q849" s="29"/>
    </row>
    <row r="850">
      <c r="Q850" s="29"/>
    </row>
    <row r="851">
      <c r="Q851" s="29"/>
    </row>
    <row r="852">
      <c r="Q852" s="29"/>
    </row>
    <row r="853">
      <c r="Q853" s="29"/>
    </row>
    <row r="854">
      <c r="Q854" s="29"/>
    </row>
    <row r="855">
      <c r="Q855" s="29"/>
    </row>
    <row r="856">
      <c r="Q856" s="29"/>
    </row>
    <row r="857">
      <c r="Q857" s="29"/>
    </row>
    <row r="858">
      <c r="Q858" s="29"/>
    </row>
    <row r="859">
      <c r="Q859" s="29"/>
    </row>
    <row r="860">
      <c r="Q860" s="29"/>
    </row>
    <row r="861">
      <c r="Q861" s="29"/>
    </row>
    <row r="862">
      <c r="Q862" s="29"/>
    </row>
    <row r="863">
      <c r="Q863" s="29"/>
    </row>
    <row r="864">
      <c r="Q864" s="29"/>
    </row>
    <row r="865">
      <c r="Q865" s="29"/>
    </row>
    <row r="866">
      <c r="Q866" s="29"/>
    </row>
    <row r="867">
      <c r="Q867" s="29"/>
    </row>
    <row r="868">
      <c r="Q868" s="29"/>
    </row>
    <row r="869">
      <c r="Q869" s="29"/>
    </row>
    <row r="870">
      <c r="Q870" s="29"/>
    </row>
    <row r="871">
      <c r="Q871" s="29"/>
    </row>
    <row r="872">
      <c r="Q872" s="29"/>
    </row>
    <row r="873">
      <c r="Q873" s="29"/>
    </row>
    <row r="874">
      <c r="Q874" s="29"/>
    </row>
    <row r="875">
      <c r="Q875" s="29"/>
    </row>
    <row r="876">
      <c r="Q876" s="29"/>
    </row>
    <row r="877">
      <c r="Q877" s="29"/>
    </row>
    <row r="878">
      <c r="Q878" s="29"/>
    </row>
    <row r="879">
      <c r="Q879" s="29"/>
    </row>
    <row r="880">
      <c r="Q880" s="29"/>
    </row>
    <row r="881">
      <c r="Q881" s="29"/>
    </row>
    <row r="882">
      <c r="Q882" s="29"/>
    </row>
    <row r="883">
      <c r="Q883" s="29"/>
    </row>
    <row r="884">
      <c r="Q884" s="29"/>
    </row>
    <row r="885">
      <c r="Q885" s="29"/>
    </row>
    <row r="886">
      <c r="Q886" s="29"/>
    </row>
    <row r="887">
      <c r="Q887" s="29"/>
    </row>
    <row r="888">
      <c r="Q888" s="29"/>
    </row>
    <row r="889">
      <c r="Q889" s="29"/>
    </row>
    <row r="890">
      <c r="Q890" s="29"/>
    </row>
    <row r="891">
      <c r="Q891" s="29"/>
    </row>
    <row r="892">
      <c r="Q892" s="29"/>
    </row>
    <row r="893">
      <c r="Q893" s="29"/>
    </row>
    <row r="894">
      <c r="Q894" s="29"/>
    </row>
    <row r="895">
      <c r="Q895" s="29"/>
    </row>
    <row r="896">
      <c r="Q896" s="29"/>
    </row>
    <row r="897">
      <c r="Q897" s="29"/>
    </row>
    <row r="898">
      <c r="Q898" s="29"/>
    </row>
    <row r="899">
      <c r="Q899" s="29"/>
    </row>
    <row r="900">
      <c r="Q900" s="29"/>
    </row>
    <row r="901">
      <c r="Q901" s="29"/>
    </row>
    <row r="902">
      <c r="Q902" s="29"/>
    </row>
    <row r="903">
      <c r="Q903" s="29"/>
    </row>
    <row r="904">
      <c r="Q904" s="29"/>
    </row>
    <row r="905">
      <c r="Q905" s="29"/>
    </row>
    <row r="906">
      <c r="Q906" s="29"/>
    </row>
    <row r="907">
      <c r="Q907" s="29"/>
    </row>
    <row r="908">
      <c r="Q908" s="29"/>
    </row>
    <row r="909">
      <c r="Q909" s="29"/>
    </row>
    <row r="910">
      <c r="Q910" s="29"/>
    </row>
    <row r="911">
      <c r="Q911" s="29"/>
    </row>
    <row r="912">
      <c r="Q912" s="29"/>
    </row>
    <row r="913">
      <c r="Q913" s="29"/>
    </row>
    <row r="914">
      <c r="Q914" s="29"/>
    </row>
    <row r="915">
      <c r="Q915" s="29"/>
    </row>
    <row r="916">
      <c r="Q916" s="29"/>
    </row>
    <row r="917">
      <c r="Q917" s="29"/>
    </row>
    <row r="918">
      <c r="Q918" s="29"/>
    </row>
    <row r="919">
      <c r="Q919" s="29"/>
    </row>
    <row r="920">
      <c r="Q920" s="29"/>
    </row>
    <row r="921">
      <c r="Q921" s="29"/>
    </row>
    <row r="922">
      <c r="Q922" s="29"/>
    </row>
    <row r="923">
      <c r="Q923" s="29"/>
    </row>
    <row r="924">
      <c r="Q924" s="29"/>
    </row>
    <row r="925">
      <c r="Q925" s="29"/>
    </row>
    <row r="926">
      <c r="Q926" s="29"/>
    </row>
    <row r="927">
      <c r="Q927" s="29"/>
    </row>
    <row r="928">
      <c r="Q928" s="29"/>
    </row>
    <row r="929">
      <c r="Q929" s="29"/>
    </row>
    <row r="930">
      <c r="Q930" s="29"/>
    </row>
    <row r="931">
      <c r="Q931" s="29"/>
    </row>
    <row r="932">
      <c r="Q932" s="29"/>
    </row>
    <row r="933">
      <c r="Q933" s="29"/>
    </row>
    <row r="934">
      <c r="Q934" s="29"/>
    </row>
    <row r="935">
      <c r="Q935" s="29"/>
    </row>
    <row r="936">
      <c r="Q936" s="29"/>
    </row>
    <row r="937">
      <c r="Q937" s="29"/>
    </row>
    <row r="938">
      <c r="Q938" s="29"/>
    </row>
    <row r="939">
      <c r="Q939" s="29"/>
    </row>
    <row r="940">
      <c r="Q940" s="29"/>
    </row>
    <row r="941">
      <c r="Q941" s="29"/>
    </row>
    <row r="942">
      <c r="Q942" s="29"/>
    </row>
    <row r="943">
      <c r="Q943" s="29"/>
    </row>
    <row r="944">
      <c r="Q944" s="29"/>
    </row>
    <row r="945">
      <c r="Q945" s="29"/>
    </row>
    <row r="946">
      <c r="Q946" s="29"/>
    </row>
    <row r="947">
      <c r="Q947" s="29"/>
    </row>
    <row r="948">
      <c r="Q948" s="29"/>
    </row>
    <row r="949">
      <c r="Q949" s="29"/>
    </row>
    <row r="950">
      <c r="Q950" s="29"/>
    </row>
    <row r="951">
      <c r="Q951" s="29"/>
    </row>
    <row r="952">
      <c r="Q952" s="29"/>
    </row>
    <row r="953">
      <c r="Q953" s="29"/>
    </row>
    <row r="954">
      <c r="Q954" s="29"/>
    </row>
    <row r="955">
      <c r="Q955" s="29"/>
    </row>
    <row r="956">
      <c r="Q956" s="29"/>
    </row>
    <row r="957">
      <c r="Q957" s="29"/>
    </row>
    <row r="958">
      <c r="Q958" s="29"/>
    </row>
    <row r="959">
      <c r="Q959" s="29"/>
    </row>
    <row r="960">
      <c r="Q960" s="29"/>
    </row>
    <row r="961">
      <c r="Q961" s="29"/>
    </row>
    <row r="962">
      <c r="Q962" s="29"/>
    </row>
    <row r="963">
      <c r="Q963" s="29"/>
    </row>
    <row r="964">
      <c r="Q964" s="29"/>
    </row>
    <row r="965">
      <c r="Q965" s="29"/>
    </row>
    <row r="966">
      <c r="Q966" s="29"/>
    </row>
    <row r="967">
      <c r="Q967" s="29"/>
    </row>
    <row r="968">
      <c r="Q968" s="29"/>
    </row>
    <row r="969">
      <c r="Q969" s="29"/>
    </row>
    <row r="970">
      <c r="Q970" s="29"/>
    </row>
    <row r="971">
      <c r="Q971" s="29"/>
    </row>
    <row r="972">
      <c r="Q972" s="29"/>
    </row>
    <row r="973">
      <c r="Q973" s="29"/>
    </row>
    <row r="974">
      <c r="Q974" s="29"/>
    </row>
    <row r="975">
      <c r="Q975" s="29"/>
    </row>
    <row r="976">
      <c r="Q976" s="29"/>
    </row>
    <row r="977">
      <c r="Q977" s="29"/>
    </row>
    <row r="978">
      <c r="Q978" s="29"/>
    </row>
    <row r="979">
      <c r="Q979" s="29"/>
    </row>
    <row r="980">
      <c r="Q980" s="29"/>
    </row>
    <row r="981">
      <c r="Q981" s="29"/>
    </row>
    <row r="982">
      <c r="Q982" s="29"/>
    </row>
    <row r="983">
      <c r="Q983" s="29"/>
    </row>
    <row r="984">
      <c r="Q984" s="29"/>
    </row>
    <row r="985">
      <c r="Q985" s="29"/>
    </row>
    <row r="986">
      <c r="Q986" s="29"/>
    </row>
    <row r="987">
      <c r="Q987" s="29"/>
    </row>
    <row r="988">
      <c r="Q988" s="29"/>
    </row>
    <row r="989">
      <c r="Q989" s="29"/>
    </row>
    <row r="990">
      <c r="Q990" s="29"/>
    </row>
    <row r="991">
      <c r="Q991" s="29"/>
    </row>
    <row r="992">
      <c r="Q992" s="29"/>
    </row>
    <row r="993">
      <c r="Q993" s="29"/>
    </row>
    <row r="994">
      <c r="Q994" s="29"/>
    </row>
    <row r="995">
      <c r="Q995" s="29"/>
    </row>
    <row r="996">
      <c r="Q996" s="29"/>
    </row>
    <row r="997">
      <c r="Q997" s="29"/>
    </row>
    <row r="998">
      <c r="Q998" s="29"/>
    </row>
    <row r="999">
      <c r="Q999" s="29"/>
    </row>
    <row r="1000">
      <c r="Q1000" s="29"/>
    </row>
    <row r="1001">
      <c r="Q1001" s="29"/>
    </row>
    <row r="1002">
      <c r="Q1002" s="29"/>
    </row>
    <row r="1003">
      <c r="Q1003" s="29"/>
    </row>
    <row r="1004">
      <c r="Q1004" s="29"/>
    </row>
    <row r="1005">
      <c r="Q1005" s="29"/>
    </row>
    <row r="1006">
      <c r="Q1006" s="29"/>
    </row>
    <row r="1007">
      <c r="Q1007" s="29"/>
    </row>
    <row r="1008">
      <c r="Q1008" s="29"/>
    </row>
    <row r="1009">
      <c r="Q1009" s="29"/>
    </row>
    <row r="1010">
      <c r="Q1010" s="29"/>
    </row>
    <row r="1011">
      <c r="Q1011" s="29"/>
    </row>
  </sheetData>
  <dataValidations>
    <dataValidation type="list" allowBlank="1" showErrorMessage="1" sqref="B4:B31">
      <formula1>"Cafeteria,Aseo"</formula1>
    </dataValidation>
  </dataValidations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2.63" defaultRowHeight="15.75"/>
  <cols>
    <col customWidth="1" min="1" max="1" width="17.5"/>
    <col customWidth="1" min="2" max="2" width="21.5"/>
    <col customWidth="1" min="3" max="3" width="24.63"/>
    <col hidden="1" min="4" max="33" width="12.63"/>
    <col customWidth="1" hidden="1" min="34" max="34" width="13.88"/>
    <col customWidth="1" hidden="1" min="35" max="35" width="15.13"/>
    <col hidden="1" min="36" max="58" width="12.63"/>
  </cols>
  <sheetData>
    <row r="1">
      <c r="A1" s="26"/>
      <c r="B1" s="26"/>
      <c r="C1" s="27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116" t="s">
        <v>280</v>
      </c>
      <c r="AI1" s="116" t="s">
        <v>281</v>
      </c>
      <c r="AJ1" s="28"/>
      <c r="AK1" s="28"/>
      <c r="AL1" s="28"/>
      <c r="AM1" s="28"/>
      <c r="AN1" s="28"/>
      <c r="AO1" s="28"/>
      <c r="AP1" s="117" t="s">
        <v>282</v>
      </c>
      <c r="AQ1" s="117" t="s">
        <v>283</v>
      </c>
      <c r="AR1" s="28"/>
      <c r="AS1" s="117" t="s">
        <v>283</v>
      </c>
      <c r="AT1" s="28"/>
      <c r="AU1" s="28"/>
      <c r="AV1" s="28"/>
      <c r="AW1" s="117" t="s">
        <v>284</v>
      </c>
      <c r="AX1" s="28"/>
      <c r="AY1" s="28"/>
      <c r="AZ1" s="117" t="s">
        <v>285</v>
      </c>
      <c r="BA1" s="28"/>
      <c r="BB1" s="28"/>
      <c r="BC1" s="28"/>
      <c r="BD1" s="117" t="s">
        <v>286</v>
      </c>
      <c r="BE1" s="28"/>
      <c r="BF1" s="117" t="s">
        <v>284</v>
      </c>
      <c r="BG1" s="28"/>
      <c r="BH1" s="28"/>
      <c r="BI1" s="28"/>
      <c r="BJ1" s="28"/>
      <c r="BK1" s="28"/>
      <c r="BL1" s="28"/>
      <c r="BM1" s="28"/>
      <c r="BN1" s="28"/>
    </row>
    <row r="2">
      <c r="A2" s="26"/>
      <c r="B2" s="26"/>
      <c r="C2" s="27"/>
      <c r="D2" s="28" t="s">
        <v>2</v>
      </c>
      <c r="E2" s="28" t="s">
        <v>2</v>
      </c>
      <c r="F2" s="28" t="s">
        <v>2</v>
      </c>
      <c r="G2" s="28" t="s">
        <v>2</v>
      </c>
      <c r="H2" s="28" t="s">
        <v>2</v>
      </c>
      <c r="I2" s="28" t="s">
        <v>126</v>
      </c>
      <c r="J2" s="28" t="s">
        <v>126</v>
      </c>
      <c r="K2" s="28" t="s">
        <v>126</v>
      </c>
      <c r="L2" s="28" t="s">
        <v>126</v>
      </c>
      <c r="M2" s="28" t="s">
        <v>222</v>
      </c>
      <c r="N2" s="28" t="s">
        <v>222</v>
      </c>
      <c r="O2" s="28" t="s">
        <v>222</v>
      </c>
      <c r="P2" s="28" t="s">
        <v>222</v>
      </c>
      <c r="Q2" s="28" t="s">
        <v>128</v>
      </c>
      <c r="R2" s="28" t="s">
        <v>128</v>
      </c>
      <c r="S2" s="28" t="s">
        <v>128</v>
      </c>
      <c r="T2" s="28" t="s">
        <v>128</v>
      </c>
      <c r="U2" s="28" t="s">
        <v>128</v>
      </c>
      <c r="V2" s="28" t="s">
        <v>129</v>
      </c>
      <c r="W2" s="28" t="s">
        <v>129</v>
      </c>
      <c r="X2" s="28" t="s">
        <v>129</v>
      </c>
      <c r="Y2" s="28" t="s">
        <v>129</v>
      </c>
      <c r="Z2" s="28" t="s">
        <v>287</v>
      </c>
      <c r="AA2" s="28" t="s">
        <v>287</v>
      </c>
      <c r="AB2" s="28" t="s">
        <v>287</v>
      </c>
      <c r="AC2" s="28" t="s">
        <v>287</v>
      </c>
      <c r="AD2" s="28" t="s">
        <v>287</v>
      </c>
      <c r="AE2" s="28" t="s">
        <v>131</v>
      </c>
      <c r="AF2" s="28" t="s">
        <v>131</v>
      </c>
      <c r="AG2" s="28" t="s">
        <v>131</v>
      </c>
      <c r="AH2" s="28" t="s">
        <v>131</v>
      </c>
      <c r="AI2" s="28" t="s">
        <v>131</v>
      </c>
      <c r="AJ2" s="28" t="s">
        <v>131</v>
      </c>
      <c r="AK2" s="28" t="s">
        <v>288</v>
      </c>
      <c r="AL2" s="28" t="s">
        <v>288</v>
      </c>
      <c r="AM2" s="28" t="s">
        <v>288</v>
      </c>
      <c r="AN2" s="28" t="s">
        <v>288</v>
      </c>
      <c r="AO2" s="28" t="s">
        <v>288</v>
      </c>
      <c r="AP2" s="28" t="s">
        <v>288</v>
      </c>
      <c r="AQ2" s="28" t="s">
        <v>288</v>
      </c>
      <c r="AR2" s="28" t="s">
        <v>288</v>
      </c>
      <c r="AS2" s="28" t="s">
        <v>288</v>
      </c>
      <c r="AT2" s="28" t="s">
        <v>288</v>
      </c>
      <c r="AU2" s="28" t="s">
        <v>289</v>
      </c>
      <c r="AV2" s="28" t="s">
        <v>289</v>
      </c>
      <c r="AW2" s="28" t="s">
        <v>289</v>
      </c>
      <c r="AX2" s="28" t="s">
        <v>289</v>
      </c>
      <c r="AY2" s="28" t="s">
        <v>289</v>
      </c>
      <c r="AZ2" s="28" t="s">
        <v>289</v>
      </c>
      <c r="BA2" s="28" t="s">
        <v>289</v>
      </c>
      <c r="BB2" s="28" t="s">
        <v>289</v>
      </c>
      <c r="BC2" s="28" t="s">
        <v>290</v>
      </c>
      <c r="BD2" s="28" t="s">
        <v>290</v>
      </c>
      <c r="BE2" s="28" t="s">
        <v>290</v>
      </c>
      <c r="BF2" s="28" t="s">
        <v>290</v>
      </c>
      <c r="BG2" s="28" t="s">
        <v>290</v>
      </c>
      <c r="BH2" s="28" t="s">
        <v>290</v>
      </c>
      <c r="BI2" s="28" t="s">
        <v>290</v>
      </c>
      <c r="BJ2" s="28" t="s">
        <v>290</v>
      </c>
      <c r="BK2" s="28"/>
      <c r="BL2" s="28"/>
      <c r="BM2" s="28"/>
      <c r="BN2" s="28"/>
    </row>
    <row r="3">
      <c r="A3" s="26"/>
      <c r="B3" s="26"/>
      <c r="C3" s="27"/>
      <c r="D3" s="34">
        <v>45811.0</v>
      </c>
      <c r="E3" s="34">
        <f>D3+6</f>
        <v>45817</v>
      </c>
      <c r="F3" s="34">
        <f t="shared" ref="F3:L3" si="1">E3+7</f>
        <v>45824</v>
      </c>
      <c r="G3" s="34">
        <f t="shared" si="1"/>
        <v>45831</v>
      </c>
      <c r="H3" s="34">
        <f t="shared" si="1"/>
        <v>45838</v>
      </c>
      <c r="I3" s="34">
        <f t="shared" si="1"/>
        <v>45845</v>
      </c>
      <c r="J3" s="34">
        <f t="shared" si="1"/>
        <v>45852</v>
      </c>
      <c r="K3" s="34">
        <f t="shared" si="1"/>
        <v>45859</v>
      </c>
      <c r="L3" s="34">
        <f t="shared" si="1"/>
        <v>45866</v>
      </c>
      <c r="M3" s="33">
        <v>45873.0</v>
      </c>
      <c r="N3" s="33">
        <v>45880.0</v>
      </c>
      <c r="O3" s="33">
        <v>45887.0</v>
      </c>
      <c r="P3" s="33">
        <v>45894.0</v>
      </c>
      <c r="Q3" s="33">
        <v>45901.0</v>
      </c>
      <c r="R3" s="33">
        <v>45908.0</v>
      </c>
      <c r="S3" s="33">
        <v>45915.0</v>
      </c>
      <c r="T3" s="33">
        <v>45922.0</v>
      </c>
      <c r="U3" s="33">
        <v>45929.0</v>
      </c>
      <c r="V3" s="33">
        <v>45936.0</v>
      </c>
      <c r="W3" s="33">
        <f t="shared" ref="W3:Z3" si="2">V3+7</f>
        <v>45943</v>
      </c>
      <c r="X3" s="33">
        <f t="shared" si="2"/>
        <v>45950</v>
      </c>
      <c r="Y3" s="33">
        <f t="shared" si="2"/>
        <v>45957</v>
      </c>
      <c r="Z3" s="33">
        <f t="shared" si="2"/>
        <v>45964</v>
      </c>
      <c r="AA3" s="33">
        <v>45971.0</v>
      </c>
      <c r="AB3" s="33">
        <v>45978.0</v>
      </c>
      <c r="AC3" s="33">
        <v>45979.0</v>
      </c>
      <c r="AD3" s="33">
        <v>45987.0</v>
      </c>
      <c r="AE3" s="33">
        <v>45993.0</v>
      </c>
      <c r="AF3" s="33">
        <v>46000.0</v>
      </c>
      <c r="AG3" s="33">
        <v>46006.0</v>
      </c>
      <c r="AH3" s="33">
        <v>46013.0</v>
      </c>
      <c r="AI3" s="33">
        <v>46014.0</v>
      </c>
      <c r="AJ3" s="33">
        <v>46020.0</v>
      </c>
      <c r="AK3" s="34">
        <v>46027.0</v>
      </c>
      <c r="AL3" s="33">
        <v>46030.0</v>
      </c>
      <c r="AM3" s="33">
        <v>46034.0</v>
      </c>
      <c r="AN3" s="34">
        <v>46037.0</v>
      </c>
      <c r="AO3" s="33">
        <v>46041.0</v>
      </c>
      <c r="AP3" s="33">
        <v>46044.0</v>
      </c>
      <c r="AQ3" s="33">
        <v>46045.0</v>
      </c>
      <c r="AR3" s="33">
        <v>46048.0</v>
      </c>
      <c r="AS3" s="33">
        <v>46050.0</v>
      </c>
      <c r="AT3" s="33">
        <v>46051.0</v>
      </c>
      <c r="AU3" s="33">
        <v>46055.0</v>
      </c>
      <c r="AV3" s="33">
        <v>46058.0</v>
      </c>
      <c r="AW3" s="33">
        <v>46062.0</v>
      </c>
      <c r="AX3" s="33">
        <v>46065.0</v>
      </c>
      <c r="AY3" s="33">
        <v>46068.0</v>
      </c>
      <c r="AZ3" s="33">
        <v>46069.0</v>
      </c>
      <c r="BA3" s="33">
        <v>46072.0</v>
      </c>
      <c r="BB3" s="33">
        <v>46076.0</v>
      </c>
      <c r="BC3" s="33">
        <v>46083.0</v>
      </c>
      <c r="BD3" s="33">
        <v>46086.0</v>
      </c>
      <c r="BE3" s="33">
        <v>46090.0</v>
      </c>
      <c r="BF3" s="33">
        <v>46091.0</v>
      </c>
      <c r="BG3" s="33">
        <v>46093.0</v>
      </c>
      <c r="BH3" s="33">
        <v>46097.0</v>
      </c>
      <c r="BI3" s="33">
        <v>46100.0</v>
      </c>
      <c r="BJ3" s="33">
        <v>46104.0</v>
      </c>
      <c r="BK3" s="33"/>
      <c r="BL3" s="33"/>
      <c r="BM3" s="33"/>
      <c r="BN3" s="33"/>
    </row>
    <row r="4">
      <c r="A4" s="35" t="s">
        <v>8</v>
      </c>
      <c r="B4" s="35" t="s">
        <v>9</v>
      </c>
      <c r="C4" s="35" t="s">
        <v>10</v>
      </c>
      <c r="D4" s="35" t="s">
        <v>11</v>
      </c>
      <c r="E4" s="35" t="s">
        <v>11</v>
      </c>
      <c r="F4" s="35" t="s">
        <v>11</v>
      </c>
      <c r="G4" s="35" t="s">
        <v>11</v>
      </c>
      <c r="H4" s="35" t="s">
        <v>11</v>
      </c>
      <c r="I4" s="35" t="s">
        <v>11</v>
      </c>
      <c r="J4" s="35" t="s">
        <v>11</v>
      </c>
      <c r="K4" s="35" t="s">
        <v>11</v>
      </c>
      <c r="L4" s="35" t="s">
        <v>11</v>
      </c>
      <c r="M4" s="35" t="s">
        <v>11</v>
      </c>
      <c r="N4" s="35" t="s">
        <v>11</v>
      </c>
      <c r="O4" s="35" t="s">
        <v>11</v>
      </c>
      <c r="P4" s="35" t="s">
        <v>11</v>
      </c>
      <c r="Q4" s="35" t="s">
        <v>11</v>
      </c>
      <c r="R4" s="35" t="s">
        <v>11</v>
      </c>
      <c r="S4" s="35" t="s">
        <v>11</v>
      </c>
      <c r="T4" s="35" t="s">
        <v>11</v>
      </c>
      <c r="U4" s="35" t="s">
        <v>11</v>
      </c>
      <c r="V4" s="35" t="s">
        <v>11</v>
      </c>
      <c r="W4" s="35" t="s">
        <v>11</v>
      </c>
      <c r="X4" s="35" t="s">
        <v>11</v>
      </c>
      <c r="Y4" s="35" t="s">
        <v>11</v>
      </c>
      <c r="Z4" s="35" t="s">
        <v>11</v>
      </c>
      <c r="AA4" s="35" t="s">
        <v>11</v>
      </c>
      <c r="AB4" s="35" t="s">
        <v>11</v>
      </c>
      <c r="AC4" s="28" t="s">
        <v>11</v>
      </c>
      <c r="AD4" s="35" t="s">
        <v>11</v>
      </c>
      <c r="AE4" s="35" t="s">
        <v>11</v>
      </c>
      <c r="AF4" s="35" t="s">
        <v>11</v>
      </c>
      <c r="AG4" s="35" t="s">
        <v>11</v>
      </c>
      <c r="AH4" s="35" t="s">
        <v>11</v>
      </c>
      <c r="AI4" s="35" t="s">
        <v>11</v>
      </c>
      <c r="AJ4" s="35" t="s">
        <v>11</v>
      </c>
      <c r="AK4" s="35" t="s">
        <v>11</v>
      </c>
      <c r="AL4" s="35" t="s">
        <v>11</v>
      </c>
      <c r="AM4" s="35" t="s">
        <v>11</v>
      </c>
      <c r="AN4" s="35" t="s">
        <v>11</v>
      </c>
      <c r="AO4" s="35" t="s">
        <v>11</v>
      </c>
      <c r="AP4" s="35" t="s">
        <v>11</v>
      </c>
      <c r="AQ4" s="35" t="s">
        <v>11</v>
      </c>
      <c r="AR4" s="35" t="s">
        <v>11</v>
      </c>
      <c r="AS4" s="35" t="s">
        <v>11</v>
      </c>
      <c r="AT4" s="35" t="s">
        <v>11</v>
      </c>
      <c r="AU4" s="35" t="s">
        <v>11</v>
      </c>
      <c r="AV4" s="35" t="s">
        <v>11</v>
      </c>
      <c r="AW4" s="35" t="s">
        <v>11</v>
      </c>
      <c r="AX4" s="35" t="s">
        <v>11</v>
      </c>
      <c r="AY4" s="35" t="s">
        <v>11</v>
      </c>
      <c r="AZ4" s="35" t="s">
        <v>11</v>
      </c>
      <c r="BA4" s="35" t="s">
        <v>11</v>
      </c>
      <c r="BB4" s="35" t="s">
        <v>11</v>
      </c>
      <c r="BC4" s="35" t="s">
        <v>11</v>
      </c>
      <c r="BD4" s="35" t="s">
        <v>11</v>
      </c>
      <c r="BE4" s="35" t="s">
        <v>11</v>
      </c>
      <c r="BF4" s="35" t="s">
        <v>11</v>
      </c>
      <c r="BG4" s="35" t="s">
        <v>11</v>
      </c>
      <c r="BH4" s="35" t="s">
        <v>11</v>
      </c>
      <c r="BI4" s="35" t="s">
        <v>11</v>
      </c>
      <c r="BJ4" s="35" t="s">
        <v>11</v>
      </c>
      <c r="BK4" s="35"/>
      <c r="BL4" s="35"/>
      <c r="BM4" s="35"/>
      <c r="BN4" s="35"/>
    </row>
    <row r="5">
      <c r="A5" s="36" t="s">
        <v>291</v>
      </c>
      <c r="B5" s="36" t="s">
        <v>15</v>
      </c>
      <c r="C5" s="37" t="s">
        <v>16</v>
      </c>
      <c r="D5" s="38">
        <v>1.0</v>
      </c>
      <c r="E5" s="38">
        <v>1.0</v>
      </c>
      <c r="F5" s="38">
        <v>1.0</v>
      </c>
      <c r="G5" s="38">
        <v>1.0</v>
      </c>
      <c r="H5" s="38">
        <v>1.0</v>
      </c>
      <c r="I5" s="39">
        <v>1.0</v>
      </c>
      <c r="J5" s="39">
        <v>2.0</v>
      </c>
      <c r="K5" s="39">
        <v>2.0</v>
      </c>
      <c r="L5" s="39">
        <v>2.0</v>
      </c>
      <c r="M5" s="39">
        <v>1.0</v>
      </c>
      <c r="N5" s="39">
        <v>2.0</v>
      </c>
      <c r="O5" s="39">
        <v>3.0</v>
      </c>
      <c r="P5" s="39">
        <v>3.0</v>
      </c>
      <c r="Q5" s="39">
        <v>3.0</v>
      </c>
      <c r="R5" s="39">
        <v>2.0</v>
      </c>
      <c r="S5" s="39">
        <v>1.0</v>
      </c>
      <c r="T5" s="39">
        <v>1.0</v>
      </c>
      <c r="U5" s="39">
        <v>2.0</v>
      </c>
      <c r="V5" s="39">
        <v>4.0</v>
      </c>
      <c r="W5" s="39">
        <v>4.0</v>
      </c>
      <c r="X5" s="39">
        <v>4.0</v>
      </c>
      <c r="Y5" s="39">
        <v>2.0</v>
      </c>
      <c r="Z5" s="39">
        <v>3.0</v>
      </c>
      <c r="AA5" s="39">
        <v>1.0</v>
      </c>
      <c r="AB5" s="39">
        <v>11.0</v>
      </c>
      <c r="AC5" s="39">
        <v>10.5</v>
      </c>
      <c r="AD5" s="118" t="s">
        <v>292</v>
      </c>
      <c r="AE5" s="118" t="s">
        <v>293</v>
      </c>
      <c r="AF5" s="118" t="s">
        <v>294</v>
      </c>
      <c r="AG5" s="118" t="s">
        <v>295</v>
      </c>
      <c r="AH5" s="118" t="s">
        <v>296</v>
      </c>
      <c r="AI5" s="118" t="s">
        <v>297</v>
      </c>
      <c r="AJ5" s="118" t="s">
        <v>298</v>
      </c>
      <c r="AK5" s="118" t="s">
        <v>299</v>
      </c>
      <c r="AL5" s="118" t="s">
        <v>300</v>
      </c>
      <c r="AM5" s="118" t="s">
        <v>301</v>
      </c>
      <c r="AN5" s="118" t="s">
        <v>302</v>
      </c>
      <c r="AO5" s="118" t="s">
        <v>303</v>
      </c>
      <c r="AP5" s="118" t="s">
        <v>304</v>
      </c>
      <c r="AQ5" s="118" t="s">
        <v>305</v>
      </c>
      <c r="AR5" s="118" t="s">
        <v>306</v>
      </c>
      <c r="AS5" s="118" t="s">
        <v>307</v>
      </c>
      <c r="AT5" s="118" t="s">
        <v>308</v>
      </c>
      <c r="AU5" s="118" t="s">
        <v>309</v>
      </c>
      <c r="AV5" s="118" t="s">
        <v>310</v>
      </c>
      <c r="AW5" s="118" t="s">
        <v>311</v>
      </c>
      <c r="AX5" s="118" t="s">
        <v>312</v>
      </c>
      <c r="AY5" s="118" t="s">
        <v>313</v>
      </c>
      <c r="AZ5" s="118" t="s">
        <v>314</v>
      </c>
      <c r="BA5" s="118" t="s">
        <v>315</v>
      </c>
      <c r="BB5" s="118" t="s">
        <v>316</v>
      </c>
      <c r="BC5" s="118" t="s">
        <v>317</v>
      </c>
      <c r="BD5" s="118" t="s">
        <v>318</v>
      </c>
      <c r="BE5" s="119" t="s">
        <v>319</v>
      </c>
      <c r="BF5" s="119" t="s">
        <v>320</v>
      </c>
      <c r="BG5" s="119" t="s">
        <v>321</v>
      </c>
      <c r="BH5" s="119" t="s">
        <v>322</v>
      </c>
      <c r="BI5" s="119" t="s">
        <v>323</v>
      </c>
      <c r="BJ5" s="119" t="s">
        <v>324</v>
      </c>
      <c r="BK5" s="118"/>
      <c r="BL5" s="118"/>
      <c r="BM5" s="118"/>
      <c r="BN5" s="118"/>
    </row>
    <row r="6">
      <c r="A6" s="36" t="s">
        <v>291</v>
      </c>
      <c r="B6" s="36" t="s">
        <v>15</v>
      </c>
      <c r="C6" s="36" t="s">
        <v>325</v>
      </c>
      <c r="D6" s="38"/>
      <c r="E6" s="38"/>
      <c r="F6" s="38"/>
      <c r="G6" s="38"/>
      <c r="H6" s="38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 t="s">
        <v>35</v>
      </c>
      <c r="Z6" s="39" t="s">
        <v>35</v>
      </c>
      <c r="AA6" s="39" t="s">
        <v>35</v>
      </c>
      <c r="AB6" s="39" t="s">
        <v>35</v>
      </c>
      <c r="AC6" s="39" t="s">
        <v>35</v>
      </c>
      <c r="AD6" s="118" t="s">
        <v>35</v>
      </c>
      <c r="AE6" s="118" t="s">
        <v>35</v>
      </c>
      <c r="AF6" s="118" t="s">
        <v>35</v>
      </c>
      <c r="AG6" s="118" t="s">
        <v>35</v>
      </c>
      <c r="AH6" s="118">
        <v>0.0</v>
      </c>
      <c r="AI6" s="118">
        <v>2.0</v>
      </c>
      <c r="AJ6" s="39">
        <v>2.0</v>
      </c>
      <c r="AK6" s="39">
        <v>2.0</v>
      </c>
      <c r="AL6" s="39">
        <v>2.0</v>
      </c>
      <c r="AM6" s="39">
        <v>2.0</v>
      </c>
      <c r="AN6" s="39">
        <v>2.0</v>
      </c>
      <c r="AO6" s="39">
        <v>1.0</v>
      </c>
      <c r="AP6" s="39">
        <v>2.0</v>
      </c>
      <c r="AQ6" s="39">
        <v>2.0</v>
      </c>
      <c r="AR6" s="39">
        <v>2.0</v>
      </c>
      <c r="AS6" s="39">
        <v>2.0</v>
      </c>
      <c r="AT6" s="39">
        <v>2.0</v>
      </c>
      <c r="AU6" s="39">
        <v>2.0</v>
      </c>
      <c r="AV6" s="39">
        <v>2.0</v>
      </c>
      <c r="AW6" s="39">
        <v>2.0</v>
      </c>
      <c r="AX6" s="39">
        <v>2.0</v>
      </c>
      <c r="AY6" s="39">
        <v>2.0</v>
      </c>
      <c r="AZ6" s="39">
        <v>2.0</v>
      </c>
      <c r="BA6" s="39">
        <v>2.0</v>
      </c>
      <c r="BB6" s="39">
        <v>2.0</v>
      </c>
      <c r="BC6" s="39">
        <v>2.0</v>
      </c>
      <c r="BD6" s="39">
        <v>2.0</v>
      </c>
      <c r="BE6" s="39">
        <v>1.0</v>
      </c>
      <c r="BF6" s="39">
        <v>2.0</v>
      </c>
      <c r="BG6" s="39">
        <v>2.0</v>
      </c>
      <c r="BH6" s="39">
        <v>2.0</v>
      </c>
      <c r="BI6" s="39">
        <v>2.0</v>
      </c>
      <c r="BJ6" s="39">
        <v>2.0</v>
      </c>
      <c r="BK6" s="39"/>
      <c r="BL6" s="39"/>
      <c r="BM6" s="39"/>
      <c r="BN6" s="39"/>
    </row>
    <row r="7">
      <c r="A7" s="36" t="s">
        <v>291</v>
      </c>
      <c r="B7" s="36" t="s">
        <v>15</v>
      </c>
      <c r="C7" s="36" t="s">
        <v>326</v>
      </c>
      <c r="D7" s="38"/>
      <c r="E7" s="38"/>
      <c r="F7" s="38"/>
      <c r="G7" s="38"/>
      <c r="H7" s="38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 t="s">
        <v>35</v>
      </c>
      <c r="Z7" s="39" t="s">
        <v>35</v>
      </c>
      <c r="AA7" s="39" t="s">
        <v>35</v>
      </c>
      <c r="AB7" s="39" t="s">
        <v>35</v>
      </c>
      <c r="AC7" s="39" t="s">
        <v>35</v>
      </c>
      <c r="AD7" s="118" t="s">
        <v>35</v>
      </c>
      <c r="AE7" s="118" t="s">
        <v>35</v>
      </c>
      <c r="AF7" s="118" t="s">
        <v>35</v>
      </c>
      <c r="AG7" s="118" t="s">
        <v>35</v>
      </c>
      <c r="AH7" s="118">
        <v>2.0</v>
      </c>
      <c r="AI7" s="118">
        <v>3.0</v>
      </c>
      <c r="AJ7" s="39">
        <v>3.0</v>
      </c>
      <c r="AK7" s="39">
        <v>3.0</v>
      </c>
      <c r="AL7" s="39">
        <v>3.0</v>
      </c>
      <c r="AM7" s="39">
        <v>3.0</v>
      </c>
      <c r="AN7" s="39">
        <v>3.0</v>
      </c>
      <c r="AO7" s="39">
        <v>3.0</v>
      </c>
      <c r="AP7" s="39">
        <v>4.0</v>
      </c>
      <c r="AQ7" s="39">
        <v>4.0</v>
      </c>
      <c r="AR7" s="39">
        <v>4.0</v>
      </c>
      <c r="AS7" s="39">
        <v>4.0</v>
      </c>
      <c r="AT7" s="39">
        <v>4.0</v>
      </c>
      <c r="AU7" s="39">
        <v>4.0</v>
      </c>
      <c r="AV7" s="39">
        <v>4.0</v>
      </c>
      <c r="AW7" s="39">
        <v>4.0</v>
      </c>
      <c r="AX7" s="39">
        <v>4.0</v>
      </c>
      <c r="AY7" s="39">
        <v>4.0</v>
      </c>
      <c r="AZ7" s="39">
        <v>4.0</v>
      </c>
      <c r="BA7" s="39">
        <v>4.0</v>
      </c>
      <c r="BB7" s="39">
        <v>4.0</v>
      </c>
      <c r="BC7" s="39">
        <v>4.0</v>
      </c>
      <c r="BD7" s="39">
        <v>4.0</v>
      </c>
      <c r="BE7" s="39">
        <v>4.0</v>
      </c>
      <c r="BF7" s="39">
        <v>4.0</v>
      </c>
      <c r="BG7" s="39">
        <v>4.0</v>
      </c>
      <c r="BH7" s="39">
        <v>4.0</v>
      </c>
      <c r="BI7" s="39">
        <v>4.0</v>
      </c>
      <c r="BJ7" s="39">
        <v>4.0</v>
      </c>
      <c r="BK7" s="39"/>
      <c r="BL7" s="39"/>
      <c r="BM7" s="39"/>
      <c r="BN7" s="39"/>
    </row>
    <row r="8">
      <c r="A8" s="36" t="s">
        <v>291</v>
      </c>
      <c r="B8" s="36" t="s">
        <v>15</v>
      </c>
      <c r="C8" s="36" t="s">
        <v>327</v>
      </c>
      <c r="D8" s="38"/>
      <c r="E8" s="38"/>
      <c r="F8" s="38"/>
      <c r="G8" s="38"/>
      <c r="H8" s="38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 t="s">
        <v>35</v>
      </c>
      <c r="Z8" s="39" t="s">
        <v>35</v>
      </c>
      <c r="AA8" s="39" t="s">
        <v>35</v>
      </c>
      <c r="AB8" s="39" t="s">
        <v>35</v>
      </c>
      <c r="AC8" s="39" t="s">
        <v>35</v>
      </c>
      <c r="AD8" s="118" t="s">
        <v>35</v>
      </c>
      <c r="AE8" s="118" t="s">
        <v>35</v>
      </c>
      <c r="AF8" s="118" t="s">
        <v>35</v>
      </c>
      <c r="AG8" s="118" t="s">
        <v>35</v>
      </c>
      <c r="AH8" s="118">
        <v>1.0</v>
      </c>
      <c r="AI8" s="118">
        <v>2.0</v>
      </c>
      <c r="AJ8" s="39">
        <v>2.0</v>
      </c>
      <c r="AK8" s="39">
        <v>1.0</v>
      </c>
      <c r="AL8" s="39">
        <v>1.0</v>
      </c>
      <c r="AM8" s="39">
        <v>1.0</v>
      </c>
      <c r="AN8" s="39">
        <v>1.0</v>
      </c>
      <c r="AO8" s="39">
        <v>1.0</v>
      </c>
      <c r="AP8" s="39">
        <v>2.0</v>
      </c>
      <c r="AQ8" s="39">
        <v>2.0</v>
      </c>
      <c r="AR8" s="39">
        <v>2.0</v>
      </c>
      <c r="AS8" s="39">
        <v>2.0</v>
      </c>
      <c r="AT8" s="39">
        <v>2.0</v>
      </c>
      <c r="AU8" s="39">
        <v>2.0</v>
      </c>
      <c r="AV8" s="39">
        <v>2.0</v>
      </c>
      <c r="AW8" s="39">
        <v>2.0</v>
      </c>
      <c r="AX8" s="39">
        <v>2.0</v>
      </c>
      <c r="AY8" s="39">
        <v>2.0</v>
      </c>
      <c r="AZ8" s="39">
        <v>2.0</v>
      </c>
      <c r="BA8" s="39">
        <v>2.0</v>
      </c>
      <c r="BB8" s="39">
        <v>2.0</v>
      </c>
      <c r="BC8" s="39">
        <v>1.0</v>
      </c>
      <c r="BD8" s="39">
        <v>1.0</v>
      </c>
      <c r="BE8" s="39">
        <v>1.0</v>
      </c>
      <c r="BF8" s="39">
        <v>2.0</v>
      </c>
      <c r="BG8" s="39">
        <v>2.0</v>
      </c>
      <c r="BH8" s="39">
        <v>2.0</v>
      </c>
      <c r="BI8" s="39">
        <v>2.0</v>
      </c>
      <c r="BJ8" s="39">
        <v>2.0</v>
      </c>
      <c r="BK8" s="39"/>
      <c r="BL8" s="39"/>
      <c r="BM8" s="39"/>
      <c r="BN8" s="39"/>
    </row>
    <row r="9">
      <c r="A9" s="36" t="s">
        <v>291</v>
      </c>
      <c r="B9" s="36" t="s">
        <v>15</v>
      </c>
      <c r="C9" s="36" t="s">
        <v>328</v>
      </c>
      <c r="D9" s="38"/>
      <c r="E9" s="38"/>
      <c r="F9" s="38"/>
      <c r="G9" s="38"/>
      <c r="H9" s="38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 t="s">
        <v>35</v>
      </c>
      <c r="Z9" s="39" t="s">
        <v>35</v>
      </c>
      <c r="AA9" s="39" t="s">
        <v>35</v>
      </c>
      <c r="AB9" s="39" t="s">
        <v>35</v>
      </c>
      <c r="AC9" s="39" t="s">
        <v>35</v>
      </c>
      <c r="AD9" s="118" t="s">
        <v>35</v>
      </c>
      <c r="AE9" s="118" t="s">
        <v>35</v>
      </c>
      <c r="AF9" s="118" t="s">
        <v>35</v>
      </c>
      <c r="AG9" s="118" t="s">
        <v>35</v>
      </c>
      <c r="AH9" s="118">
        <v>1.0</v>
      </c>
      <c r="AI9" s="118">
        <v>1.0</v>
      </c>
      <c r="AJ9" s="39">
        <v>0.0</v>
      </c>
      <c r="AK9" s="39">
        <v>0.0</v>
      </c>
      <c r="AL9" s="39">
        <v>0.0</v>
      </c>
      <c r="AM9" s="39">
        <v>0.0</v>
      </c>
      <c r="AN9" s="39">
        <v>0.0</v>
      </c>
      <c r="AO9" s="39">
        <v>0.0</v>
      </c>
      <c r="AP9" s="39">
        <v>1.0</v>
      </c>
      <c r="AQ9" s="39">
        <v>1.0</v>
      </c>
      <c r="AR9" s="39">
        <v>1.0</v>
      </c>
      <c r="AS9" s="39">
        <v>1.0</v>
      </c>
      <c r="AT9" s="39">
        <v>1.0</v>
      </c>
      <c r="AU9" s="39">
        <v>1.0</v>
      </c>
      <c r="AV9" s="39">
        <v>1.0</v>
      </c>
      <c r="AW9" s="39">
        <v>3.0</v>
      </c>
      <c r="AX9" s="39">
        <v>2.0</v>
      </c>
      <c r="AY9" s="39">
        <v>2.0</v>
      </c>
      <c r="AZ9" s="39">
        <v>2.0</v>
      </c>
      <c r="BA9" s="39">
        <v>2.0</v>
      </c>
      <c r="BB9" s="39">
        <v>2.0</v>
      </c>
      <c r="BC9" s="39">
        <v>2.0</v>
      </c>
      <c r="BD9" s="39">
        <v>2.0</v>
      </c>
      <c r="BE9" s="39">
        <v>2.0</v>
      </c>
      <c r="BF9" s="39">
        <v>4.0</v>
      </c>
      <c r="BG9" s="39">
        <v>4.0</v>
      </c>
      <c r="BH9" s="39">
        <v>3.0</v>
      </c>
      <c r="BI9" s="39">
        <v>3.0</v>
      </c>
      <c r="BJ9" s="39">
        <v>3.0</v>
      </c>
      <c r="BK9" s="39"/>
      <c r="BL9" s="39"/>
      <c r="BM9" s="39"/>
      <c r="BN9" s="39"/>
    </row>
    <row r="10">
      <c r="A10" s="36" t="s">
        <v>291</v>
      </c>
      <c r="B10" s="36" t="s">
        <v>15</v>
      </c>
      <c r="C10" s="37" t="s">
        <v>21</v>
      </c>
      <c r="D10" s="38">
        <v>1.0</v>
      </c>
      <c r="E10" s="38">
        <v>1.0</v>
      </c>
      <c r="F10" s="38">
        <v>1.0</v>
      </c>
      <c r="G10" s="38">
        <v>1.0</v>
      </c>
      <c r="H10" s="38">
        <v>1.0</v>
      </c>
      <c r="I10" s="39">
        <v>1.0</v>
      </c>
      <c r="J10" s="39" t="s">
        <v>35</v>
      </c>
      <c r="K10" s="39">
        <v>1.0</v>
      </c>
      <c r="L10" s="39">
        <v>1.0</v>
      </c>
      <c r="M10" s="39">
        <v>1.0</v>
      </c>
      <c r="N10" s="39">
        <v>2.0</v>
      </c>
      <c r="O10" s="39">
        <v>2.0</v>
      </c>
      <c r="P10" s="39">
        <v>2.0</v>
      </c>
      <c r="Q10" s="39">
        <v>2.0</v>
      </c>
      <c r="R10" s="39">
        <v>3.0</v>
      </c>
      <c r="S10" s="39">
        <v>0.0</v>
      </c>
      <c r="T10" s="39">
        <v>2.0</v>
      </c>
      <c r="U10" s="39">
        <v>2.0</v>
      </c>
      <c r="V10" s="39">
        <v>4.0</v>
      </c>
      <c r="W10" s="39">
        <v>4.0</v>
      </c>
      <c r="X10" s="39">
        <v>2.0</v>
      </c>
      <c r="Y10" s="39">
        <v>1.0</v>
      </c>
      <c r="Z10" s="39">
        <v>3.0</v>
      </c>
      <c r="AA10" s="39">
        <v>0.0</v>
      </c>
      <c r="AB10" s="39">
        <v>0.0</v>
      </c>
      <c r="AC10" s="39">
        <v>4.0</v>
      </c>
      <c r="AD10" s="39">
        <v>4.0</v>
      </c>
      <c r="AE10" s="39">
        <v>4.0</v>
      </c>
      <c r="AF10" s="39">
        <v>2.0</v>
      </c>
      <c r="AG10" s="39">
        <v>0.0</v>
      </c>
      <c r="AH10" s="39">
        <v>10.0</v>
      </c>
      <c r="AI10" s="39">
        <v>7.0</v>
      </c>
      <c r="AJ10" s="39">
        <v>6.0</v>
      </c>
      <c r="AK10" s="39">
        <v>6.0</v>
      </c>
      <c r="AL10" s="39">
        <v>5.0</v>
      </c>
      <c r="AM10" s="39">
        <v>5.0</v>
      </c>
      <c r="AN10" s="39">
        <v>3.0</v>
      </c>
      <c r="AO10" s="39">
        <v>2.0</v>
      </c>
      <c r="AP10" s="39">
        <v>0.0</v>
      </c>
      <c r="AQ10" s="39">
        <v>0.0</v>
      </c>
      <c r="AR10" s="39">
        <v>4.0</v>
      </c>
      <c r="AS10" s="39">
        <v>2.0</v>
      </c>
      <c r="AT10" s="39">
        <v>1.0</v>
      </c>
      <c r="AU10" s="39">
        <v>0.0</v>
      </c>
      <c r="AV10" s="39">
        <v>0.0</v>
      </c>
      <c r="AW10" s="39">
        <v>12.0</v>
      </c>
      <c r="AX10" s="39">
        <v>10.0</v>
      </c>
      <c r="AY10" s="39">
        <v>8.0</v>
      </c>
      <c r="AZ10" s="39">
        <v>14.0</v>
      </c>
      <c r="BA10" s="39">
        <v>13.0</v>
      </c>
      <c r="BB10" s="39">
        <v>12.0</v>
      </c>
      <c r="BC10" s="39">
        <v>10.0</v>
      </c>
      <c r="BD10" s="39">
        <v>8.0</v>
      </c>
      <c r="BE10" s="39">
        <v>8.0</v>
      </c>
      <c r="BF10" s="39">
        <v>10.0</v>
      </c>
      <c r="BG10" s="39">
        <v>10.0</v>
      </c>
      <c r="BH10" s="39">
        <v>8.0</v>
      </c>
      <c r="BI10" s="39">
        <v>8.0</v>
      </c>
      <c r="BJ10" s="39">
        <v>7.0</v>
      </c>
      <c r="BK10" s="39"/>
      <c r="BL10" s="39"/>
      <c r="BM10" s="39"/>
      <c r="BN10" s="39"/>
    </row>
    <row r="11">
      <c r="A11" s="36" t="s">
        <v>291</v>
      </c>
      <c r="B11" s="36" t="s">
        <v>15</v>
      </c>
      <c r="C11" s="37" t="s">
        <v>22</v>
      </c>
      <c r="D11" s="38" t="s">
        <v>329</v>
      </c>
      <c r="E11" s="38" t="s">
        <v>35</v>
      </c>
      <c r="F11" s="38" t="s">
        <v>35</v>
      </c>
      <c r="G11" s="38" t="s">
        <v>35</v>
      </c>
      <c r="H11" s="38" t="s">
        <v>35</v>
      </c>
      <c r="I11" s="39" t="s">
        <v>35</v>
      </c>
      <c r="J11" s="39" t="s">
        <v>35</v>
      </c>
      <c r="K11" s="39" t="s">
        <v>35</v>
      </c>
      <c r="L11" s="39" t="s">
        <v>35</v>
      </c>
      <c r="M11" s="39" t="s">
        <v>35</v>
      </c>
      <c r="N11" s="39" t="s">
        <v>35</v>
      </c>
      <c r="O11" s="39" t="s">
        <v>35</v>
      </c>
      <c r="P11" s="39" t="s">
        <v>35</v>
      </c>
      <c r="Q11" s="39" t="s">
        <v>35</v>
      </c>
      <c r="R11" s="39" t="s">
        <v>35</v>
      </c>
      <c r="S11" s="39" t="s">
        <v>35</v>
      </c>
      <c r="T11" s="39" t="s">
        <v>35</v>
      </c>
      <c r="U11" s="39" t="s">
        <v>35</v>
      </c>
      <c r="V11" s="39">
        <v>6.0</v>
      </c>
      <c r="W11" s="39">
        <v>2.0</v>
      </c>
      <c r="X11" s="39">
        <v>3.0</v>
      </c>
      <c r="Y11" s="39">
        <v>3.0</v>
      </c>
      <c r="Z11" s="39">
        <v>4.0</v>
      </c>
      <c r="AA11" s="39">
        <v>0.0</v>
      </c>
      <c r="AB11" s="39">
        <v>0.0</v>
      </c>
      <c r="AC11" s="39">
        <v>0.0</v>
      </c>
      <c r="AD11" s="39" t="s">
        <v>35</v>
      </c>
      <c r="AE11" s="39" t="s">
        <v>35</v>
      </c>
      <c r="AF11" s="39" t="s">
        <v>35</v>
      </c>
      <c r="AG11" s="39" t="s">
        <v>35</v>
      </c>
      <c r="AH11" s="39" t="s">
        <v>35</v>
      </c>
      <c r="AI11" s="39" t="s">
        <v>35</v>
      </c>
      <c r="AJ11" s="39" t="s">
        <v>35</v>
      </c>
      <c r="AK11" s="39" t="s">
        <v>35</v>
      </c>
      <c r="AL11" s="39" t="s">
        <v>35</v>
      </c>
      <c r="AM11" s="39" t="s">
        <v>35</v>
      </c>
      <c r="AN11" s="39" t="s">
        <v>35</v>
      </c>
      <c r="AO11" s="39" t="s">
        <v>35</v>
      </c>
      <c r="AP11" s="39" t="s">
        <v>35</v>
      </c>
      <c r="AQ11" s="39" t="s">
        <v>35</v>
      </c>
      <c r="AR11" s="39" t="s">
        <v>35</v>
      </c>
      <c r="AS11" s="39" t="s">
        <v>35</v>
      </c>
      <c r="AT11" s="39" t="s">
        <v>35</v>
      </c>
      <c r="AU11" s="39" t="s">
        <v>35</v>
      </c>
      <c r="AV11" s="39" t="s">
        <v>35</v>
      </c>
      <c r="AW11" s="39" t="s">
        <v>35</v>
      </c>
      <c r="AX11" s="39" t="s">
        <v>35</v>
      </c>
      <c r="AY11" s="39" t="s">
        <v>35</v>
      </c>
      <c r="AZ11" s="39" t="s">
        <v>35</v>
      </c>
      <c r="BA11" s="39" t="s">
        <v>35</v>
      </c>
      <c r="BB11" s="39" t="s">
        <v>35</v>
      </c>
      <c r="BC11" s="39" t="s">
        <v>35</v>
      </c>
      <c r="BD11" s="39" t="s">
        <v>35</v>
      </c>
      <c r="BE11" s="39" t="s">
        <v>35</v>
      </c>
      <c r="BF11" s="39" t="s">
        <v>35</v>
      </c>
      <c r="BG11" s="39" t="s">
        <v>35</v>
      </c>
      <c r="BH11" s="39" t="s">
        <v>35</v>
      </c>
      <c r="BI11" s="39" t="s">
        <v>35</v>
      </c>
      <c r="BJ11" s="39" t="s">
        <v>35</v>
      </c>
      <c r="BK11" s="39"/>
      <c r="BL11" s="39"/>
      <c r="BM11" s="39"/>
      <c r="BN11" s="39"/>
    </row>
    <row r="12">
      <c r="A12" s="36" t="s">
        <v>291</v>
      </c>
      <c r="B12" s="36" t="s">
        <v>15</v>
      </c>
      <c r="C12" s="36" t="s">
        <v>24</v>
      </c>
      <c r="D12" s="38"/>
      <c r="E12" s="38"/>
      <c r="F12" s="38"/>
      <c r="G12" s="38"/>
      <c r="H12" s="38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 t="s">
        <v>35</v>
      </c>
      <c r="Z12" s="39" t="s">
        <v>35</v>
      </c>
      <c r="AA12" s="39" t="s">
        <v>35</v>
      </c>
      <c r="AB12" s="39" t="s">
        <v>35</v>
      </c>
      <c r="AC12" s="39" t="s">
        <v>35</v>
      </c>
      <c r="AD12" s="39" t="s">
        <v>35</v>
      </c>
      <c r="AE12" s="39" t="s">
        <v>35</v>
      </c>
      <c r="AF12" s="39" t="s">
        <v>35</v>
      </c>
      <c r="AG12" s="39" t="s">
        <v>35</v>
      </c>
      <c r="AH12" s="39">
        <v>7.0</v>
      </c>
      <c r="AI12" s="39">
        <v>12.0</v>
      </c>
      <c r="AJ12" s="39">
        <v>12.0</v>
      </c>
      <c r="AK12" s="39">
        <v>11.0</v>
      </c>
      <c r="AL12" s="39">
        <v>11.0</v>
      </c>
      <c r="AM12" s="39">
        <v>10.0</v>
      </c>
      <c r="AN12" s="39">
        <v>8.0</v>
      </c>
      <c r="AO12" s="39">
        <v>8.0</v>
      </c>
      <c r="AP12" s="39">
        <v>7.0</v>
      </c>
      <c r="AQ12" s="39">
        <v>6.0</v>
      </c>
      <c r="AR12" s="39">
        <v>6.0</v>
      </c>
      <c r="AS12" s="39">
        <v>6.0</v>
      </c>
      <c r="AT12" s="39">
        <v>5.0</v>
      </c>
      <c r="AU12" s="39">
        <v>4.0</v>
      </c>
      <c r="AV12" s="39">
        <v>3.0</v>
      </c>
      <c r="AW12" s="39">
        <v>12.0</v>
      </c>
      <c r="AX12" s="39">
        <v>12.0</v>
      </c>
      <c r="AY12" s="39">
        <v>11.0</v>
      </c>
      <c r="AZ12" s="39">
        <v>11.0</v>
      </c>
      <c r="BA12" s="39">
        <v>10.0</v>
      </c>
      <c r="BB12" s="39">
        <v>9.0</v>
      </c>
      <c r="BC12" s="39">
        <v>7.0</v>
      </c>
      <c r="BD12" s="39">
        <v>7.0</v>
      </c>
      <c r="BE12" s="39">
        <v>6.0</v>
      </c>
      <c r="BF12" s="39">
        <v>16.0</v>
      </c>
      <c r="BG12" s="39">
        <v>15.0</v>
      </c>
      <c r="BH12" s="39">
        <v>14.0</v>
      </c>
      <c r="BI12" s="39">
        <v>14.0</v>
      </c>
      <c r="BJ12" s="39">
        <v>13.0</v>
      </c>
      <c r="BK12" s="39"/>
      <c r="BL12" s="39"/>
      <c r="BM12" s="39"/>
      <c r="BN12" s="39"/>
    </row>
    <row r="13">
      <c r="A13" s="36" t="s">
        <v>291</v>
      </c>
      <c r="B13" s="36" t="s">
        <v>15</v>
      </c>
      <c r="C13" s="36" t="s">
        <v>25</v>
      </c>
      <c r="D13" s="29"/>
      <c r="Q13" s="29"/>
      <c r="R13" s="29"/>
      <c r="S13" s="29"/>
      <c r="T13" s="29"/>
      <c r="U13" s="29"/>
      <c r="V13" s="39">
        <v>2.0</v>
      </c>
      <c r="W13" s="39">
        <v>2.0</v>
      </c>
      <c r="X13" s="39">
        <v>2.0</v>
      </c>
      <c r="Y13" s="39">
        <v>1.0</v>
      </c>
      <c r="Z13" s="39">
        <v>3.0</v>
      </c>
      <c r="AA13" s="39">
        <v>1.0</v>
      </c>
      <c r="AB13" s="39">
        <v>11.0</v>
      </c>
      <c r="AC13" s="39">
        <v>12.0</v>
      </c>
      <c r="AD13" s="39">
        <v>12.0</v>
      </c>
      <c r="AE13" s="39">
        <v>12.0</v>
      </c>
      <c r="AF13" s="39">
        <v>10.0</v>
      </c>
      <c r="AG13" s="39">
        <v>10.0</v>
      </c>
      <c r="AH13" s="39">
        <v>9.0</v>
      </c>
      <c r="AI13" s="39">
        <v>20.0</v>
      </c>
      <c r="AJ13" s="39">
        <v>19.0</v>
      </c>
      <c r="AK13" s="39">
        <v>19.0</v>
      </c>
      <c r="AL13" s="39">
        <v>19.0</v>
      </c>
      <c r="AM13" s="39">
        <v>16.0</v>
      </c>
      <c r="AN13" s="39">
        <v>15.0</v>
      </c>
      <c r="AO13" s="39">
        <v>14.0</v>
      </c>
      <c r="AP13" s="39">
        <v>25.0</v>
      </c>
      <c r="AQ13" s="39">
        <v>24.0</v>
      </c>
      <c r="AR13" s="39">
        <v>23.0</v>
      </c>
      <c r="AS13" s="39">
        <v>22.0</v>
      </c>
      <c r="AT13" s="39">
        <v>21.0</v>
      </c>
      <c r="AU13" s="39">
        <v>21.0</v>
      </c>
      <c r="AV13" s="39">
        <v>18.0</v>
      </c>
      <c r="AW13" s="39">
        <v>18.0</v>
      </c>
      <c r="AX13" s="39">
        <v>18.0</v>
      </c>
      <c r="AY13" s="39">
        <v>17.0</v>
      </c>
      <c r="AZ13" s="39">
        <v>17.0</v>
      </c>
      <c r="BA13" s="39">
        <v>15.0</v>
      </c>
      <c r="BB13" s="39">
        <v>14.0</v>
      </c>
      <c r="BC13" s="39">
        <v>12.0</v>
      </c>
      <c r="BD13" s="39">
        <v>10.0</v>
      </c>
      <c r="BE13" s="39">
        <v>9.0</v>
      </c>
      <c r="BF13" s="39">
        <v>24.0</v>
      </c>
      <c r="BG13" s="39">
        <v>23.0</v>
      </c>
      <c r="BH13" s="39">
        <v>22.0</v>
      </c>
      <c r="BI13" s="39">
        <v>20.0</v>
      </c>
      <c r="BJ13" s="39">
        <v>19.0</v>
      </c>
      <c r="BK13" s="39"/>
      <c r="BL13" s="39"/>
      <c r="BM13" s="39"/>
      <c r="BN13" s="39"/>
    </row>
    <row r="14">
      <c r="A14" s="36" t="s">
        <v>291</v>
      </c>
      <c r="B14" s="36" t="s">
        <v>15</v>
      </c>
      <c r="C14" s="37" t="s">
        <v>27</v>
      </c>
      <c r="D14" s="29"/>
      <c r="V14" s="39" t="s">
        <v>35</v>
      </c>
      <c r="W14" s="39">
        <v>1.0</v>
      </c>
      <c r="X14" s="39" t="s">
        <v>35</v>
      </c>
      <c r="Y14" s="39">
        <v>4.0</v>
      </c>
      <c r="Z14" s="39">
        <v>3.0</v>
      </c>
      <c r="AA14" s="39">
        <v>3.0</v>
      </c>
      <c r="AB14" s="39">
        <v>3.0</v>
      </c>
      <c r="AC14" s="39">
        <v>3.0</v>
      </c>
      <c r="AD14" s="39">
        <v>4.0</v>
      </c>
      <c r="AE14" s="39">
        <v>4.0</v>
      </c>
      <c r="AF14" s="39">
        <v>4.0</v>
      </c>
      <c r="AG14" s="39">
        <v>4.0</v>
      </c>
      <c r="AH14" s="39">
        <v>3.0</v>
      </c>
      <c r="AI14" s="39">
        <v>4.0</v>
      </c>
      <c r="AJ14" s="39">
        <v>4.0</v>
      </c>
      <c r="AK14" s="39">
        <v>4.0</v>
      </c>
      <c r="AL14" s="39">
        <v>4.0</v>
      </c>
      <c r="AM14" s="39">
        <v>4.0</v>
      </c>
      <c r="AN14" s="39">
        <v>4.0</v>
      </c>
      <c r="AO14" s="39">
        <v>4.0</v>
      </c>
      <c r="AP14" s="39">
        <v>5.0</v>
      </c>
      <c r="AQ14" s="39">
        <v>5.0</v>
      </c>
      <c r="AR14" s="39">
        <v>5.0</v>
      </c>
      <c r="AS14" s="39">
        <v>5.0</v>
      </c>
      <c r="AT14" s="39">
        <v>5.0</v>
      </c>
      <c r="AU14" s="39">
        <v>5.0</v>
      </c>
      <c r="AV14" s="39">
        <v>5.0</v>
      </c>
      <c r="AW14" s="39">
        <v>5.0</v>
      </c>
      <c r="AX14" s="39">
        <v>5.0</v>
      </c>
      <c r="AY14" s="39">
        <v>5.0</v>
      </c>
      <c r="AZ14" s="39">
        <v>5.0</v>
      </c>
      <c r="BA14" s="39">
        <v>5.0</v>
      </c>
      <c r="BB14" s="39">
        <v>5.0</v>
      </c>
      <c r="BC14" s="39">
        <v>4.0</v>
      </c>
      <c r="BD14" s="39">
        <v>4.0</v>
      </c>
      <c r="BE14" s="39">
        <v>4.0</v>
      </c>
      <c r="BF14" s="39">
        <v>4.0</v>
      </c>
      <c r="BG14" s="39">
        <v>4.0</v>
      </c>
      <c r="BH14" s="39">
        <v>4.0</v>
      </c>
      <c r="BI14" s="39">
        <v>4.0</v>
      </c>
      <c r="BJ14" s="39">
        <v>4.0</v>
      </c>
      <c r="BK14" s="39"/>
      <c r="BL14" s="39"/>
      <c r="BM14" s="39"/>
      <c r="BN14" s="39"/>
    </row>
    <row r="15">
      <c r="A15" s="36" t="s">
        <v>291</v>
      </c>
      <c r="B15" s="36" t="s">
        <v>15</v>
      </c>
      <c r="C15" s="36" t="s">
        <v>330</v>
      </c>
      <c r="D15" s="29"/>
      <c r="V15" s="39"/>
      <c r="W15" s="39"/>
      <c r="X15" s="39"/>
      <c r="Y15" s="39"/>
      <c r="Z15" s="39"/>
      <c r="AA15" s="39"/>
      <c r="AB15" s="39"/>
      <c r="AC15" s="39"/>
      <c r="AD15" s="39"/>
      <c r="AE15" s="39"/>
      <c r="AF15" s="39"/>
      <c r="AG15" s="39"/>
      <c r="AH15" s="39"/>
      <c r="AI15" s="39"/>
      <c r="AJ15" s="39"/>
      <c r="AK15" s="39" t="s">
        <v>35</v>
      </c>
      <c r="AL15" s="39" t="s">
        <v>35</v>
      </c>
      <c r="AM15" s="39" t="s">
        <v>35</v>
      </c>
      <c r="AN15" s="39" t="s">
        <v>35</v>
      </c>
      <c r="AO15" s="39">
        <v>0.0</v>
      </c>
      <c r="AP15" s="39" t="s">
        <v>331</v>
      </c>
      <c r="AQ15" s="39" t="s">
        <v>331</v>
      </c>
      <c r="AR15" s="39" t="s">
        <v>331</v>
      </c>
      <c r="AS15" s="39" t="s">
        <v>331</v>
      </c>
      <c r="AT15" s="39" t="s">
        <v>331</v>
      </c>
      <c r="AU15" s="39" t="s">
        <v>331</v>
      </c>
      <c r="AV15" s="39" t="s">
        <v>331</v>
      </c>
      <c r="AW15" s="39" t="s">
        <v>331</v>
      </c>
      <c r="AX15" s="39" t="s">
        <v>331</v>
      </c>
      <c r="AY15" s="39" t="s">
        <v>331</v>
      </c>
      <c r="AZ15" s="39" t="s">
        <v>331</v>
      </c>
      <c r="BA15" s="39" t="s">
        <v>331</v>
      </c>
      <c r="BB15" s="39" t="s">
        <v>331</v>
      </c>
      <c r="BC15" s="39" t="s">
        <v>332</v>
      </c>
      <c r="BD15" s="39" t="s">
        <v>332</v>
      </c>
      <c r="BE15" s="39">
        <v>0.0</v>
      </c>
      <c r="BF15" s="39">
        <v>0.0</v>
      </c>
      <c r="BG15" s="39">
        <v>0.0</v>
      </c>
      <c r="BH15" s="39">
        <v>0.0</v>
      </c>
      <c r="BI15" s="39">
        <v>0.0</v>
      </c>
      <c r="BJ15" s="39">
        <v>0.0</v>
      </c>
      <c r="BK15" s="39"/>
      <c r="BL15" s="39"/>
      <c r="BM15" s="39"/>
      <c r="BN15" s="39"/>
    </row>
    <row r="16">
      <c r="A16" s="36" t="s">
        <v>291</v>
      </c>
      <c r="B16" s="36" t="s">
        <v>15</v>
      </c>
      <c r="C16" s="36" t="s">
        <v>333</v>
      </c>
      <c r="D16" s="29"/>
      <c r="V16" s="39"/>
      <c r="W16" s="39"/>
      <c r="X16" s="39"/>
      <c r="Y16" s="39"/>
      <c r="Z16" s="39"/>
      <c r="AA16" s="39"/>
      <c r="AB16" s="39"/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/>
      <c r="AO16" s="39"/>
      <c r="AP16" s="39"/>
      <c r="AQ16" s="39"/>
      <c r="AR16" s="39"/>
      <c r="AS16" s="39"/>
      <c r="AT16" s="39"/>
      <c r="AU16" s="39"/>
      <c r="AV16" s="39"/>
      <c r="AW16" s="39"/>
      <c r="AX16" s="39"/>
      <c r="AY16" s="39"/>
      <c r="AZ16" s="39"/>
      <c r="BA16" s="39"/>
      <c r="BB16" s="39" t="s">
        <v>35</v>
      </c>
      <c r="BC16" s="39" t="s">
        <v>35</v>
      </c>
      <c r="BD16" s="39" t="s">
        <v>35</v>
      </c>
      <c r="BE16" s="39">
        <v>3.0</v>
      </c>
      <c r="BF16" s="39">
        <v>4.0</v>
      </c>
      <c r="BG16" s="39">
        <v>4.0</v>
      </c>
      <c r="BH16" s="39">
        <v>4.0</v>
      </c>
      <c r="BI16" s="39">
        <v>4.0</v>
      </c>
      <c r="BJ16" s="39">
        <v>3.0</v>
      </c>
      <c r="BK16" s="39"/>
      <c r="BL16" s="39"/>
      <c r="BM16" s="39"/>
      <c r="BN16" s="39"/>
    </row>
    <row r="17">
      <c r="A17" s="36" t="s">
        <v>291</v>
      </c>
      <c r="B17" s="36" t="s">
        <v>15</v>
      </c>
      <c r="C17" s="36" t="s">
        <v>334</v>
      </c>
      <c r="D17" s="2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/>
      <c r="AO17" s="39"/>
      <c r="AP17" s="39"/>
      <c r="AQ17" s="39"/>
      <c r="AR17" s="39"/>
      <c r="AS17" s="39"/>
      <c r="AT17" s="39"/>
      <c r="AU17" s="39"/>
      <c r="AV17" s="39"/>
      <c r="AW17" s="39"/>
      <c r="AX17" s="39"/>
      <c r="AY17" s="39"/>
      <c r="AZ17" s="39"/>
      <c r="BA17" s="39"/>
      <c r="BB17" s="39" t="s">
        <v>35</v>
      </c>
      <c r="BC17" s="39" t="s">
        <v>35</v>
      </c>
      <c r="BD17" s="39" t="s">
        <v>35</v>
      </c>
      <c r="BE17" s="39">
        <v>2.0</v>
      </c>
      <c r="BF17" s="39">
        <v>4.0</v>
      </c>
      <c r="BG17" s="39">
        <v>4.0</v>
      </c>
      <c r="BH17" s="39">
        <v>4.0</v>
      </c>
      <c r="BI17" s="39">
        <v>4.0</v>
      </c>
      <c r="BJ17" s="39">
        <v>4.0</v>
      </c>
      <c r="BK17" s="39"/>
      <c r="BL17" s="39"/>
      <c r="BM17" s="39"/>
      <c r="BN17" s="39"/>
    </row>
    <row r="18">
      <c r="A18" s="36" t="s">
        <v>291</v>
      </c>
      <c r="B18" s="36" t="s">
        <v>15</v>
      </c>
      <c r="C18" s="36" t="s">
        <v>335</v>
      </c>
      <c r="D18" s="2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S18" s="39"/>
      <c r="AT18" s="39"/>
      <c r="AU18" s="39"/>
      <c r="AV18" s="39"/>
      <c r="AW18" s="39"/>
      <c r="AX18" s="39"/>
      <c r="AY18" s="39"/>
      <c r="AZ18" s="39"/>
      <c r="BA18" s="39"/>
      <c r="BB18" s="39" t="s">
        <v>35</v>
      </c>
      <c r="BC18" s="39" t="s">
        <v>35</v>
      </c>
      <c r="BD18" s="39" t="s">
        <v>35</v>
      </c>
      <c r="BE18" s="39">
        <v>2.0</v>
      </c>
      <c r="BF18" s="39">
        <v>3.0</v>
      </c>
      <c r="BG18" s="39">
        <v>3.0</v>
      </c>
      <c r="BH18" s="39">
        <v>3.0</v>
      </c>
      <c r="BI18" s="39">
        <v>3.0</v>
      </c>
      <c r="BJ18" s="39">
        <v>3.0</v>
      </c>
      <c r="BK18" s="39"/>
      <c r="BL18" s="39"/>
      <c r="BM18" s="39"/>
      <c r="BN18" s="39"/>
    </row>
    <row r="19">
      <c r="A19" s="36" t="s">
        <v>291</v>
      </c>
      <c r="B19" s="36" t="s">
        <v>15</v>
      </c>
      <c r="C19" s="36" t="s">
        <v>336</v>
      </c>
      <c r="D19" s="2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S19" s="39"/>
      <c r="AT19" s="39"/>
      <c r="AU19" s="39"/>
      <c r="AV19" s="39"/>
      <c r="AW19" s="39"/>
      <c r="AX19" s="39"/>
      <c r="AY19" s="39"/>
      <c r="AZ19" s="39"/>
      <c r="BA19" s="39"/>
      <c r="BB19" s="39" t="s">
        <v>35</v>
      </c>
      <c r="BC19" s="39" t="s">
        <v>35</v>
      </c>
      <c r="BD19" s="39" t="s">
        <v>35</v>
      </c>
      <c r="BE19" s="39" t="s">
        <v>35</v>
      </c>
      <c r="BF19" s="39" t="s">
        <v>35</v>
      </c>
      <c r="BG19" s="39" t="s">
        <v>35</v>
      </c>
      <c r="BH19" s="39">
        <v>3.0</v>
      </c>
      <c r="BI19" s="39">
        <v>3.0</v>
      </c>
      <c r="BJ19" s="39">
        <v>3.0</v>
      </c>
      <c r="BK19" s="39"/>
      <c r="BL19" s="39"/>
      <c r="BM19" s="39"/>
      <c r="BN19" s="39"/>
    </row>
    <row r="20">
      <c r="A20" s="36" t="s">
        <v>291</v>
      </c>
      <c r="B20" s="36" t="s">
        <v>15</v>
      </c>
      <c r="C20" s="36" t="s">
        <v>337</v>
      </c>
      <c r="D20" s="29"/>
      <c r="V20" s="39"/>
      <c r="W20" s="39"/>
      <c r="X20" s="39"/>
      <c r="Y20" s="39" t="s">
        <v>35</v>
      </c>
      <c r="Z20" s="39" t="s">
        <v>35</v>
      </c>
      <c r="AA20" s="39" t="s">
        <v>35</v>
      </c>
      <c r="AB20" s="39" t="s">
        <v>35</v>
      </c>
      <c r="AC20" s="39" t="s">
        <v>35</v>
      </c>
      <c r="AD20" s="39" t="s">
        <v>35</v>
      </c>
      <c r="AE20" s="39" t="s">
        <v>35</v>
      </c>
      <c r="AF20" s="39" t="s">
        <v>35</v>
      </c>
      <c r="AG20" s="39" t="s">
        <v>35</v>
      </c>
      <c r="AH20" s="39">
        <v>2.0</v>
      </c>
      <c r="AI20" s="39">
        <v>8.0</v>
      </c>
      <c r="AJ20" s="39">
        <v>8.0</v>
      </c>
      <c r="AK20" s="39">
        <v>8.0</v>
      </c>
      <c r="AL20" s="39">
        <v>8.0</v>
      </c>
      <c r="AM20" s="39">
        <v>7.0</v>
      </c>
      <c r="AN20" s="39">
        <v>6.0</v>
      </c>
      <c r="AO20" s="39">
        <v>6.0</v>
      </c>
      <c r="AP20" s="39">
        <v>11.0</v>
      </c>
      <c r="AQ20" s="39">
        <v>11.0</v>
      </c>
      <c r="AR20" s="39">
        <v>11.0</v>
      </c>
      <c r="AS20" s="39">
        <v>11.0</v>
      </c>
      <c r="AT20" s="39">
        <v>10.0</v>
      </c>
      <c r="AU20" s="39">
        <v>10.0</v>
      </c>
      <c r="AV20" s="39">
        <v>9.0</v>
      </c>
      <c r="AW20" s="39">
        <v>9.0</v>
      </c>
      <c r="AX20" s="39">
        <v>8.0</v>
      </c>
      <c r="AY20" s="39">
        <v>8.0</v>
      </c>
      <c r="AZ20" s="39">
        <v>8.0</v>
      </c>
      <c r="BA20" s="39">
        <v>8.0</v>
      </c>
      <c r="BB20" s="39">
        <v>7.0</v>
      </c>
      <c r="BC20" s="39">
        <v>7.0</v>
      </c>
      <c r="BD20" s="39">
        <v>6.0</v>
      </c>
      <c r="BE20" s="39">
        <v>6.0</v>
      </c>
      <c r="BF20" s="39">
        <v>13.0</v>
      </c>
      <c r="BG20" s="39">
        <v>12.0</v>
      </c>
      <c r="BH20" s="39">
        <v>12.0</v>
      </c>
      <c r="BI20" s="39">
        <v>11.0</v>
      </c>
      <c r="BJ20" s="39">
        <v>11.0</v>
      </c>
      <c r="BK20" s="39"/>
      <c r="BL20" s="39"/>
      <c r="BM20" s="39"/>
      <c r="BN20" s="39"/>
    </row>
    <row r="21">
      <c r="A21" s="75" t="s">
        <v>291</v>
      </c>
      <c r="B21" s="75" t="s">
        <v>15</v>
      </c>
      <c r="C21" s="75" t="s">
        <v>338</v>
      </c>
      <c r="D21" s="47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50"/>
      <c r="W21" s="50"/>
      <c r="X21" s="50"/>
      <c r="Y21" s="50" t="s">
        <v>35</v>
      </c>
      <c r="Z21" s="50" t="s">
        <v>35</v>
      </c>
      <c r="AA21" s="50" t="s">
        <v>35</v>
      </c>
      <c r="AB21" s="50" t="s">
        <v>339</v>
      </c>
      <c r="AC21" s="50" t="s">
        <v>340</v>
      </c>
      <c r="AD21" s="50" t="s">
        <v>341</v>
      </c>
      <c r="AE21" s="50" t="s">
        <v>341</v>
      </c>
      <c r="AF21" s="50" t="s">
        <v>342</v>
      </c>
      <c r="AG21" s="50" t="s">
        <v>343</v>
      </c>
      <c r="AH21" s="50" t="s">
        <v>344</v>
      </c>
      <c r="AI21" s="50">
        <v>0.0</v>
      </c>
      <c r="AJ21" s="50">
        <v>0.0</v>
      </c>
      <c r="AK21" s="50">
        <v>100.0</v>
      </c>
      <c r="AL21" s="50">
        <v>100.0</v>
      </c>
      <c r="AM21" s="50">
        <v>80.0</v>
      </c>
      <c r="AN21" s="50">
        <v>60.0</v>
      </c>
      <c r="AO21" s="50">
        <v>60.0</v>
      </c>
      <c r="AP21" s="50">
        <v>260.0</v>
      </c>
      <c r="AQ21" s="50">
        <v>260.0</v>
      </c>
      <c r="AR21" s="50">
        <v>260.0</v>
      </c>
      <c r="AS21" s="50">
        <v>260.0</v>
      </c>
      <c r="AT21" s="50">
        <v>260.0</v>
      </c>
      <c r="AU21" s="50">
        <v>260.0</v>
      </c>
      <c r="AV21" s="50">
        <v>260.0</v>
      </c>
      <c r="AW21" s="50">
        <v>260.0</v>
      </c>
      <c r="AX21" s="50">
        <v>250.0</v>
      </c>
      <c r="AY21" s="50">
        <v>250.0</v>
      </c>
      <c r="AZ21" s="50">
        <v>250.0</v>
      </c>
      <c r="BA21" s="50">
        <v>250.0</v>
      </c>
      <c r="BB21" s="50" t="s">
        <v>345</v>
      </c>
      <c r="BC21" s="50" t="s">
        <v>345</v>
      </c>
      <c r="BD21" s="50" t="s">
        <v>346</v>
      </c>
      <c r="BE21" s="50" t="s">
        <v>346</v>
      </c>
      <c r="BF21" s="50" t="s">
        <v>346</v>
      </c>
      <c r="BG21" s="50" t="s">
        <v>347</v>
      </c>
      <c r="BH21" s="50" t="s">
        <v>348</v>
      </c>
      <c r="BI21" s="50" t="s">
        <v>348</v>
      </c>
      <c r="BJ21" s="50" t="s">
        <v>348</v>
      </c>
      <c r="BK21" s="50"/>
      <c r="BL21" s="50"/>
      <c r="BM21" s="50"/>
      <c r="BN21" s="50"/>
    </row>
    <row r="22">
      <c r="A22" s="36" t="s">
        <v>291</v>
      </c>
      <c r="B22" s="36" t="s">
        <v>33</v>
      </c>
      <c r="C22" s="36" t="s">
        <v>238</v>
      </c>
      <c r="D22" s="29"/>
      <c r="Y22" s="39">
        <v>2.0</v>
      </c>
      <c r="Z22" s="39">
        <v>1.0</v>
      </c>
      <c r="AA22" s="39">
        <v>1.0</v>
      </c>
      <c r="AB22" s="39">
        <v>1.0</v>
      </c>
      <c r="AC22" s="39">
        <v>1.0</v>
      </c>
      <c r="AD22" s="39">
        <v>2.0</v>
      </c>
      <c r="AE22" s="39">
        <v>2.0</v>
      </c>
      <c r="AF22" s="39">
        <v>2.0</v>
      </c>
      <c r="AG22" s="39">
        <v>2.0</v>
      </c>
      <c r="AH22" s="39">
        <v>3.0</v>
      </c>
      <c r="AI22" s="39">
        <v>3.0</v>
      </c>
      <c r="AJ22" s="39">
        <v>3.0</v>
      </c>
      <c r="AK22" s="39">
        <v>3.0</v>
      </c>
      <c r="AL22" s="39">
        <v>3.0</v>
      </c>
      <c r="AM22" s="39">
        <v>3.0</v>
      </c>
      <c r="AN22" s="39">
        <v>3.0</v>
      </c>
      <c r="AO22" s="39">
        <v>3.0</v>
      </c>
      <c r="AP22" s="39">
        <v>3.0</v>
      </c>
      <c r="AQ22" s="39">
        <v>4.0</v>
      </c>
      <c r="AR22" s="39">
        <v>4.0</v>
      </c>
      <c r="AS22" s="39">
        <v>4.0</v>
      </c>
      <c r="AT22" s="39">
        <v>3.0</v>
      </c>
      <c r="AU22" s="39">
        <v>3.0</v>
      </c>
      <c r="AV22" s="39">
        <v>2.0</v>
      </c>
      <c r="AW22" s="39">
        <v>2.0</v>
      </c>
      <c r="AX22" s="39">
        <v>2.0</v>
      </c>
      <c r="AY22" s="39">
        <v>2.0</v>
      </c>
      <c r="AZ22" s="39">
        <v>2.0</v>
      </c>
      <c r="BA22" s="39">
        <v>2.0</v>
      </c>
      <c r="BB22" s="39">
        <v>2.0</v>
      </c>
      <c r="BC22" s="39">
        <v>2.0</v>
      </c>
      <c r="BD22" s="39">
        <v>2.0</v>
      </c>
      <c r="BE22" s="39">
        <v>2.0</v>
      </c>
      <c r="BF22" s="39">
        <v>2.0</v>
      </c>
      <c r="BG22" s="39">
        <v>2.0</v>
      </c>
      <c r="BH22" s="39">
        <v>2.0</v>
      </c>
      <c r="BI22" s="39">
        <v>2.0</v>
      </c>
      <c r="BJ22" s="39">
        <v>2.0</v>
      </c>
      <c r="BK22" s="39"/>
      <c r="BL22" s="39"/>
      <c r="BM22" s="39"/>
      <c r="BN22" s="39"/>
    </row>
    <row r="23">
      <c r="A23" s="36" t="s">
        <v>291</v>
      </c>
      <c r="B23" s="36" t="s">
        <v>33</v>
      </c>
      <c r="C23" s="36" t="s">
        <v>267</v>
      </c>
      <c r="D23" s="29"/>
      <c r="Y23" s="39" t="s">
        <v>35</v>
      </c>
      <c r="Z23" s="39" t="s">
        <v>35</v>
      </c>
      <c r="AA23" s="39" t="s">
        <v>35</v>
      </c>
      <c r="AB23" s="39">
        <v>0.0</v>
      </c>
      <c r="AC23" s="39">
        <v>0.0</v>
      </c>
      <c r="AD23" s="39">
        <v>1.0</v>
      </c>
      <c r="AE23" s="39">
        <v>1.0</v>
      </c>
      <c r="AF23" s="39">
        <v>1.0</v>
      </c>
      <c r="AG23" s="39">
        <v>1.0</v>
      </c>
      <c r="AH23" s="39">
        <v>3.0</v>
      </c>
      <c r="AI23" s="39">
        <v>3.0</v>
      </c>
      <c r="AJ23" s="39">
        <v>3.0</v>
      </c>
      <c r="AK23" s="39">
        <v>3.0</v>
      </c>
      <c r="AL23" s="39">
        <v>3.0</v>
      </c>
      <c r="AM23" s="39">
        <v>3.0</v>
      </c>
      <c r="AN23" s="39">
        <v>3.0</v>
      </c>
      <c r="AO23" s="39">
        <v>3.0</v>
      </c>
      <c r="AP23" s="39">
        <v>3.0</v>
      </c>
      <c r="AQ23" s="39">
        <v>4.0</v>
      </c>
      <c r="AR23" s="39">
        <v>4.0</v>
      </c>
      <c r="AS23" s="39">
        <v>4.0</v>
      </c>
      <c r="AT23" s="39">
        <v>4.0</v>
      </c>
      <c r="AU23" s="39">
        <v>4.0</v>
      </c>
      <c r="AV23" s="39">
        <v>4.0</v>
      </c>
      <c r="AW23" s="39">
        <v>4.0</v>
      </c>
      <c r="AX23" s="39">
        <v>4.0</v>
      </c>
      <c r="AY23" s="39">
        <v>4.0</v>
      </c>
      <c r="AZ23" s="39">
        <v>4.0</v>
      </c>
      <c r="BA23" s="39">
        <v>4.0</v>
      </c>
      <c r="BB23" s="39">
        <v>4.0</v>
      </c>
      <c r="BC23" s="39">
        <v>3.0</v>
      </c>
      <c r="BD23" s="39">
        <v>3.0</v>
      </c>
      <c r="BE23" s="39">
        <v>3.0</v>
      </c>
      <c r="BF23" s="39">
        <v>4.0</v>
      </c>
      <c r="BG23" s="39">
        <v>4.0</v>
      </c>
      <c r="BH23" s="39">
        <v>4.0</v>
      </c>
      <c r="BI23" s="39">
        <v>4.0</v>
      </c>
      <c r="BJ23" s="39">
        <v>4.0</v>
      </c>
      <c r="BK23" s="39"/>
      <c r="BL23" s="39"/>
      <c r="BM23" s="39"/>
      <c r="BN23" s="39"/>
    </row>
    <row r="24">
      <c r="A24" s="36" t="s">
        <v>291</v>
      </c>
      <c r="B24" s="36" t="s">
        <v>33</v>
      </c>
      <c r="C24" s="36" t="s">
        <v>349</v>
      </c>
      <c r="D24" s="29"/>
      <c r="Y24" s="39"/>
      <c r="Z24" s="39"/>
      <c r="AA24" s="39"/>
      <c r="AB24" s="39"/>
      <c r="AC24" s="39"/>
      <c r="AD24" s="39"/>
      <c r="AE24" s="39"/>
      <c r="AF24" s="39"/>
      <c r="AG24" s="39"/>
      <c r="AH24" s="39"/>
      <c r="AI24" s="39"/>
      <c r="AJ24" s="39"/>
      <c r="AK24" s="39" t="s">
        <v>35</v>
      </c>
      <c r="AL24" s="39" t="s">
        <v>35</v>
      </c>
      <c r="AM24" s="39" t="s">
        <v>35</v>
      </c>
      <c r="AN24" s="39" t="s">
        <v>35</v>
      </c>
      <c r="AO24" s="39" t="s">
        <v>35</v>
      </c>
      <c r="AP24" s="39">
        <v>1.0</v>
      </c>
      <c r="AQ24" s="39">
        <v>2.0</v>
      </c>
      <c r="AR24" s="39">
        <v>1.0</v>
      </c>
      <c r="AS24" s="39">
        <v>1.0</v>
      </c>
      <c r="AT24" s="39">
        <v>1.0</v>
      </c>
      <c r="AU24" s="39">
        <v>1.0</v>
      </c>
      <c r="AV24" s="39">
        <v>1.0</v>
      </c>
      <c r="AW24" s="39">
        <v>1.0</v>
      </c>
      <c r="AX24" s="39">
        <v>1.0</v>
      </c>
      <c r="AY24" s="39">
        <v>1.0</v>
      </c>
      <c r="AZ24" s="39">
        <v>1.0</v>
      </c>
      <c r="BA24" s="39">
        <v>1.0</v>
      </c>
      <c r="BB24" s="39">
        <v>1.0</v>
      </c>
      <c r="BC24" s="39">
        <v>1.0</v>
      </c>
      <c r="BD24" s="39">
        <v>1.0</v>
      </c>
      <c r="BE24" s="39">
        <v>1.0</v>
      </c>
      <c r="BF24" s="39">
        <v>1.0</v>
      </c>
      <c r="BG24" s="39">
        <v>1.0</v>
      </c>
      <c r="BH24" s="39">
        <v>1.0</v>
      </c>
      <c r="BI24" s="39">
        <v>1.0</v>
      </c>
      <c r="BJ24" s="39">
        <v>1.0</v>
      </c>
      <c r="BK24" s="39"/>
      <c r="BL24" s="39"/>
      <c r="BM24" s="39"/>
      <c r="BN24" s="39"/>
    </row>
    <row r="25">
      <c r="A25" s="120" t="s">
        <v>291</v>
      </c>
      <c r="B25" s="80" t="s">
        <v>33</v>
      </c>
      <c r="C25" s="36" t="s">
        <v>37</v>
      </c>
      <c r="D25" s="11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41" t="s">
        <v>35</v>
      </c>
      <c r="Z25" s="41" t="s">
        <v>35</v>
      </c>
      <c r="AA25" s="41" t="s">
        <v>35</v>
      </c>
      <c r="AB25" s="41">
        <v>0.0</v>
      </c>
      <c r="AC25" s="41">
        <v>10.0</v>
      </c>
      <c r="AD25" s="41">
        <v>6.0</v>
      </c>
      <c r="AE25" s="41">
        <v>6.0</v>
      </c>
      <c r="AF25" s="41">
        <v>5.0</v>
      </c>
      <c r="AG25" s="41">
        <v>5.0</v>
      </c>
      <c r="AH25" s="41">
        <v>8.0</v>
      </c>
      <c r="AI25" s="41">
        <v>8.0</v>
      </c>
      <c r="AJ25" s="41">
        <v>8.0</v>
      </c>
      <c r="AK25" s="41">
        <v>5.0</v>
      </c>
      <c r="AL25" s="41">
        <v>5.0</v>
      </c>
      <c r="AM25" s="41">
        <v>5.0</v>
      </c>
      <c r="AN25" s="41">
        <v>5.0</v>
      </c>
      <c r="AO25" s="41">
        <v>5.0</v>
      </c>
      <c r="AP25" s="41">
        <v>4.0</v>
      </c>
      <c r="AQ25" s="41">
        <v>12.0</v>
      </c>
      <c r="AR25" s="41">
        <v>12.0</v>
      </c>
      <c r="AS25" s="41">
        <v>12.0</v>
      </c>
      <c r="AT25" s="41">
        <v>11.0</v>
      </c>
      <c r="AU25" s="41">
        <v>11.0</v>
      </c>
      <c r="AV25" s="41">
        <v>10.0</v>
      </c>
      <c r="AW25" s="41">
        <v>20.0</v>
      </c>
      <c r="AX25" s="41">
        <v>19.0</v>
      </c>
      <c r="AY25" s="41">
        <v>18.0</v>
      </c>
      <c r="AZ25" s="41">
        <v>27.0</v>
      </c>
      <c r="BA25" s="41">
        <v>26.0</v>
      </c>
      <c r="BB25" s="41">
        <v>25.0</v>
      </c>
      <c r="BC25" s="41">
        <v>23.0</v>
      </c>
      <c r="BD25" s="41">
        <v>22.0</v>
      </c>
      <c r="BE25" s="41">
        <v>22.0</v>
      </c>
      <c r="BF25" s="41">
        <v>22.0</v>
      </c>
      <c r="BG25" s="41">
        <v>20.0</v>
      </c>
      <c r="BH25" s="41">
        <v>18.0</v>
      </c>
      <c r="BI25" s="41">
        <v>18.0</v>
      </c>
      <c r="BJ25" s="41">
        <v>16.0</v>
      </c>
      <c r="BK25" s="41"/>
      <c r="BL25" s="41"/>
      <c r="BM25" s="41"/>
      <c r="BN25" s="41"/>
    </row>
    <row r="26">
      <c r="A26" s="120" t="s">
        <v>291</v>
      </c>
      <c r="B26" s="80" t="s">
        <v>33</v>
      </c>
      <c r="C26" s="36" t="s">
        <v>40</v>
      </c>
      <c r="D26" s="11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41" t="s">
        <v>35</v>
      </c>
      <c r="Z26" s="41" t="s">
        <v>35</v>
      </c>
      <c r="AA26" s="41" t="s">
        <v>35</v>
      </c>
      <c r="AB26" s="41">
        <v>0.0</v>
      </c>
      <c r="AC26" s="41">
        <v>6.0</v>
      </c>
      <c r="AD26" s="41">
        <v>2.0</v>
      </c>
      <c r="AE26" s="41">
        <v>2.0</v>
      </c>
      <c r="AF26" s="41">
        <v>0.0</v>
      </c>
      <c r="AG26" s="41">
        <v>0.0</v>
      </c>
      <c r="AH26" s="41">
        <v>5.0</v>
      </c>
      <c r="AI26" s="41">
        <v>4.0</v>
      </c>
      <c r="AJ26" s="41">
        <v>4.0</v>
      </c>
      <c r="AK26" s="41">
        <v>3.0</v>
      </c>
      <c r="AL26" s="41">
        <v>3.0</v>
      </c>
      <c r="AM26" s="41">
        <v>1.0</v>
      </c>
      <c r="AN26" s="41">
        <v>1.0</v>
      </c>
      <c r="AO26" s="41">
        <v>0.0</v>
      </c>
      <c r="AP26" s="41">
        <v>0.0</v>
      </c>
      <c r="AQ26" s="41">
        <v>5.0</v>
      </c>
      <c r="AR26" s="41">
        <v>5.0</v>
      </c>
      <c r="AS26" s="41">
        <v>5.0</v>
      </c>
      <c r="AT26" s="41">
        <v>3.0</v>
      </c>
      <c r="AU26" s="41">
        <v>3.0</v>
      </c>
      <c r="AV26" s="41">
        <v>2.0</v>
      </c>
      <c r="AW26" s="41">
        <v>8.0</v>
      </c>
      <c r="AX26" s="41">
        <v>7.0</v>
      </c>
      <c r="AY26" s="41">
        <v>6.0</v>
      </c>
      <c r="AZ26" s="41">
        <v>11.0</v>
      </c>
      <c r="BA26" s="41">
        <v>10.0</v>
      </c>
      <c r="BB26" s="41">
        <v>9.0</v>
      </c>
      <c r="BC26" s="41">
        <v>8.0</v>
      </c>
      <c r="BD26" s="41">
        <v>7.0</v>
      </c>
      <c r="BE26" s="41">
        <v>7.0</v>
      </c>
      <c r="BF26" s="41">
        <v>7.0</v>
      </c>
      <c r="BG26" s="41">
        <v>5.0</v>
      </c>
      <c r="BH26" s="41">
        <v>5.0</v>
      </c>
      <c r="BI26" s="41">
        <v>5.0</v>
      </c>
      <c r="BJ26" s="41">
        <v>4.0</v>
      </c>
      <c r="BK26" s="41"/>
      <c r="BL26" s="41"/>
      <c r="BM26" s="41"/>
      <c r="BN26" s="41"/>
    </row>
    <row r="27">
      <c r="A27" s="120" t="s">
        <v>291</v>
      </c>
      <c r="B27" s="80" t="s">
        <v>33</v>
      </c>
      <c r="C27" s="36" t="s">
        <v>43</v>
      </c>
      <c r="D27" s="11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41" t="s">
        <v>35</v>
      </c>
      <c r="Z27" s="41" t="s">
        <v>35</v>
      </c>
      <c r="AA27" s="41" t="s">
        <v>35</v>
      </c>
      <c r="AB27" s="41">
        <v>11.0</v>
      </c>
      <c r="AC27" s="41">
        <v>17.0</v>
      </c>
      <c r="AD27" s="41">
        <v>13.0</v>
      </c>
      <c r="AE27" s="41">
        <v>13.0</v>
      </c>
      <c r="AF27" s="41">
        <v>12.0</v>
      </c>
      <c r="AG27" s="41">
        <v>12.0</v>
      </c>
      <c r="AH27" s="41">
        <v>15.0</v>
      </c>
      <c r="AI27" s="41">
        <v>15.0</v>
      </c>
      <c r="AJ27" s="41">
        <v>15.0</v>
      </c>
      <c r="AK27" s="41">
        <v>14.0</v>
      </c>
      <c r="AL27" s="41">
        <v>14.0</v>
      </c>
      <c r="AM27" s="41">
        <v>14.0</v>
      </c>
      <c r="AN27" s="41">
        <v>13.0</v>
      </c>
      <c r="AO27" s="41">
        <v>13.0</v>
      </c>
      <c r="AP27" s="41">
        <v>13.0</v>
      </c>
      <c r="AQ27" s="41">
        <v>18.0</v>
      </c>
      <c r="AR27" s="41">
        <v>17.0</v>
      </c>
      <c r="AS27" s="41">
        <v>17.0</v>
      </c>
      <c r="AT27" s="41">
        <v>17.0</v>
      </c>
      <c r="AU27" s="41">
        <v>17.0</v>
      </c>
      <c r="AV27" s="41">
        <v>17.0</v>
      </c>
      <c r="AW27" s="41">
        <v>16.0</v>
      </c>
      <c r="AX27" s="41">
        <v>16.0</v>
      </c>
      <c r="AY27" s="41">
        <v>16.0</v>
      </c>
      <c r="AZ27" s="41">
        <v>16.0</v>
      </c>
      <c r="BA27" s="41">
        <v>16.0</v>
      </c>
      <c r="BB27" s="41">
        <v>15.0</v>
      </c>
      <c r="BC27" s="41">
        <v>15.0</v>
      </c>
      <c r="BD27" s="41">
        <v>15.0</v>
      </c>
      <c r="BE27" s="41">
        <v>14.0</v>
      </c>
      <c r="BF27" s="41">
        <v>14.0</v>
      </c>
      <c r="BG27" s="41">
        <v>13.0</v>
      </c>
      <c r="BH27" s="41">
        <v>13.0</v>
      </c>
      <c r="BI27" s="41">
        <v>13.0</v>
      </c>
      <c r="BJ27" s="41">
        <v>13.0</v>
      </c>
      <c r="BK27" s="41"/>
      <c r="BL27" s="41"/>
      <c r="BM27" s="41"/>
      <c r="BN27" s="41"/>
    </row>
    <row r="28">
      <c r="A28" s="36" t="s">
        <v>291</v>
      </c>
      <c r="B28" s="36" t="s">
        <v>33</v>
      </c>
      <c r="C28" s="36" t="s">
        <v>252</v>
      </c>
      <c r="D28" s="78"/>
      <c r="E28" s="79"/>
      <c r="F28" s="78"/>
      <c r="G28" s="78"/>
      <c r="H28" s="78"/>
      <c r="I28" s="62"/>
      <c r="J28" s="62"/>
      <c r="K28" s="62"/>
      <c r="L28" s="62"/>
      <c r="M28" s="62"/>
      <c r="N28" s="62"/>
      <c r="Y28" s="39" t="s">
        <v>35</v>
      </c>
      <c r="Z28" s="39" t="s">
        <v>35</v>
      </c>
      <c r="AA28" s="39" t="s">
        <v>35</v>
      </c>
      <c r="AB28" s="39">
        <v>3.0</v>
      </c>
      <c r="AC28" s="39">
        <v>3.0</v>
      </c>
      <c r="AD28" s="39" t="s">
        <v>266</v>
      </c>
      <c r="AE28" s="39" t="s">
        <v>350</v>
      </c>
      <c r="AF28" s="39" t="s">
        <v>350</v>
      </c>
      <c r="AG28" s="39" t="s">
        <v>350</v>
      </c>
      <c r="AH28" s="39" t="s">
        <v>234</v>
      </c>
      <c r="AI28" s="39" t="s">
        <v>234</v>
      </c>
      <c r="AJ28" s="39" t="s">
        <v>234</v>
      </c>
      <c r="AK28" s="39" t="s">
        <v>234</v>
      </c>
      <c r="AL28" s="39" t="s">
        <v>351</v>
      </c>
      <c r="AM28" s="39" t="s">
        <v>351</v>
      </c>
      <c r="AN28" s="39" t="s">
        <v>351</v>
      </c>
      <c r="AO28" s="39" t="s">
        <v>351</v>
      </c>
      <c r="AP28" s="39" t="s">
        <v>352</v>
      </c>
      <c r="AQ28" s="39" t="s">
        <v>353</v>
      </c>
      <c r="AR28" s="39" t="s">
        <v>354</v>
      </c>
      <c r="AS28" s="39" t="s">
        <v>354</v>
      </c>
      <c r="AT28" s="39" t="s">
        <v>234</v>
      </c>
      <c r="AU28" s="39" t="s">
        <v>351</v>
      </c>
      <c r="AV28" s="39" t="s">
        <v>351</v>
      </c>
      <c r="AW28" s="39" t="s">
        <v>352</v>
      </c>
      <c r="AX28" s="39" t="s">
        <v>352</v>
      </c>
      <c r="AY28" s="39" t="s">
        <v>355</v>
      </c>
      <c r="AZ28" s="39" t="s">
        <v>355</v>
      </c>
      <c r="BA28" s="39" t="s">
        <v>355</v>
      </c>
      <c r="BB28" s="39" t="s">
        <v>266</v>
      </c>
      <c r="BC28" s="39" t="s">
        <v>356</v>
      </c>
      <c r="BD28" s="39" t="s">
        <v>356</v>
      </c>
      <c r="BE28" s="39" t="s">
        <v>356</v>
      </c>
      <c r="BF28" s="39" t="s">
        <v>356</v>
      </c>
      <c r="BG28" s="39" t="s">
        <v>357</v>
      </c>
      <c r="BH28" s="39" t="s">
        <v>253</v>
      </c>
      <c r="BI28" s="39" t="s">
        <v>254</v>
      </c>
      <c r="BJ28" s="39" t="s">
        <v>256</v>
      </c>
      <c r="BK28" s="39"/>
      <c r="BL28" s="39"/>
      <c r="BM28" s="39"/>
      <c r="BN28" s="39"/>
    </row>
    <row r="29">
      <c r="A29" s="36" t="s">
        <v>291</v>
      </c>
      <c r="B29" s="36" t="s">
        <v>33</v>
      </c>
      <c r="C29" s="36" t="s">
        <v>358</v>
      </c>
      <c r="D29" s="78"/>
      <c r="E29" s="79"/>
      <c r="F29" s="78"/>
      <c r="G29" s="78"/>
      <c r="H29" s="78"/>
      <c r="I29" s="62"/>
      <c r="J29" s="62"/>
      <c r="K29" s="62"/>
      <c r="L29" s="62"/>
      <c r="M29" s="62"/>
      <c r="N29" s="62"/>
      <c r="Y29" s="39"/>
      <c r="Z29" s="39"/>
      <c r="AA29" s="39"/>
      <c r="AB29" s="39"/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/>
      <c r="AO29" s="39"/>
      <c r="AP29" s="39"/>
      <c r="AQ29" s="39"/>
      <c r="AR29" s="39"/>
      <c r="AS29" s="39"/>
      <c r="AT29" s="39" t="s">
        <v>35</v>
      </c>
      <c r="AU29" s="39" t="s">
        <v>35</v>
      </c>
      <c r="AV29" s="39" t="s">
        <v>35</v>
      </c>
      <c r="AW29" s="39" t="s">
        <v>35</v>
      </c>
      <c r="AX29" s="39" t="s">
        <v>35</v>
      </c>
      <c r="AY29" s="39">
        <v>1.0</v>
      </c>
      <c r="AZ29" s="39">
        <v>3.0</v>
      </c>
      <c r="BA29" s="39">
        <v>3.0</v>
      </c>
      <c r="BB29" s="39">
        <v>3.0</v>
      </c>
      <c r="BC29" s="39">
        <v>2.0</v>
      </c>
      <c r="BD29" s="39">
        <v>2.0</v>
      </c>
      <c r="BE29" s="39">
        <v>2.0</v>
      </c>
      <c r="BF29" s="39">
        <v>2.0</v>
      </c>
      <c r="BG29" s="39">
        <v>2.0</v>
      </c>
      <c r="BH29" s="39">
        <v>2.0</v>
      </c>
      <c r="BI29" s="39">
        <v>2.0</v>
      </c>
      <c r="BJ29" s="39">
        <v>2.0</v>
      </c>
      <c r="BK29" s="39"/>
      <c r="BL29" s="39"/>
      <c r="BM29" s="39"/>
      <c r="BN29" s="39"/>
    </row>
    <row r="30">
      <c r="A30" s="36" t="s">
        <v>291</v>
      </c>
      <c r="B30" s="36" t="s">
        <v>33</v>
      </c>
      <c r="C30" s="36" t="s">
        <v>257</v>
      </c>
      <c r="Y30" s="39">
        <v>4.0</v>
      </c>
      <c r="Z30" s="39">
        <v>4.0</v>
      </c>
      <c r="AA30" s="39">
        <v>4.0</v>
      </c>
      <c r="AB30" s="39">
        <v>4.0</v>
      </c>
      <c r="AC30" s="39">
        <v>4.0</v>
      </c>
      <c r="AD30" s="39">
        <v>4.0</v>
      </c>
      <c r="AE30" s="39">
        <v>3.0</v>
      </c>
      <c r="AF30" s="39">
        <v>3.0</v>
      </c>
      <c r="AG30" s="39">
        <v>2.0</v>
      </c>
      <c r="AH30" s="39">
        <v>4.0</v>
      </c>
      <c r="AI30" s="39">
        <v>4.0</v>
      </c>
      <c r="AJ30" s="39">
        <v>3.0</v>
      </c>
      <c r="AK30" s="39">
        <v>3.0</v>
      </c>
      <c r="AL30" s="39">
        <v>3.0</v>
      </c>
      <c r="AM30" s="39">
        <v>3.0</v>
      </c>
      <c r="AN30" s="39">
        <v>2.0</v>
      </c>
      <c r="AO30" s="39">
        <v>2.0</v>
      </c>
      <c r="AP30" s="39">
        <v>2.0</v>
      </c>
      <c r="AQ30" s="39">
        <v>2.0</v>
      </c>
      <c r="AR30" s="39">
        <v>2.0</v>
      </c>
      <c r="AS30" s="39">
        <v>2.0</v>
      </c>
      <c r="AT30" s="39">
        <v>1.0</v>
      </c>
      <c r="AU30" s="39">
        <v>1.0</v>
      </c>
      <c r="AV30" s="39">
        <v>1.0</v>
      </c>
      <c r="AW30" s="39">
        <v>4.0</v>
      </c>
      <c r="AX30" s="39">
        <v>4.0</v>
      </c>
      <c r="AY30" s="39">
        <v>4.0</v>
      </c>
      <c r="AZ30" s="39">
        <v>3.0</v>
      </c>
      <c r="BA30" s="39">
        <v>3.0</v>
      </c>
      <c r="BB30" s="39">
        <v>3.0</v>
      </c>
      <c r="BC30" s="39">
        <v>2.0</v>
      </c>
      <c r="BD30" s="39">
        <v>2.0</v>
      </c>
      <c r="BE30" s="39">
        <v>2.0</v>
      </c>
      <c r="BF30" s="39">
        <v>2.0</v>
      </c>
      <c r="BG30" s="39">
        <v>2.0</v>
      </c>
      <c r="BH30" s="39">
        <v>1.0</v>
      </c>
      <c r="BI30" s="39">
        <v>1.0</v>
      </c>
      <c r="BJ30" s="39">
        <v>1.0</v>
      </c>
      <c r="BK30" s="39"/>
      <c r="BL30" s="39"/>
      <c r="BM30" s="39"/>
      <c r="BN30" s="39"/>
    </row>
    <row r="31">
      <c r="A31" s="36" t="s">
        <v>291</v>
      </c>
      <c r="B31" s="36" t="s">
        <v>33</v>
      </c>
      <c r="C31" s="36" t="s">
        <v>359</v>
      </c>
      <c r="Y31" s="39" t="s">
        <v>35</v>
      </c>
      <c r="Z31" s="39" t="s">
        <v>35</v>
      </c>
      <c r="AA31" s="39" t="s">
        <v>35</v>
      </c>
      <c r="AB31" s="39" t="s">
        <v>35</v>
      </c>
      <c r="AC31" s="39" t="s">
        <v>35</v>
      </c>
      <c r="AD31" s="39" t="s">
        <v>35</v>
      </c>
      <c r="AE31" s="39" t="s">
        <v>35</v>
      </c>
      <c r="AF31" s="39" t="s">
        <v>35</v>
      </c>
      <c r="AG31" s="39" t="s">
        <v>35</v>
      </c>
      <c r="AH31" s="39">
        <v>2.0</v>
      </c>
      <c r="AI31" s="39">
        <v>2.0</v>
      </c>
      <c r="AJ31" s="39">
        <v>2.0</v>
      </c>
      <c r="AK31" s="39">
        <v>1.0</v>
      </c>
      <c r="AL31" s="39">
        <v>1.0</v>
      </c>
      <c r="AM31" s="39">
        <v>1.0</v>
      </c>
      <c r="AN31" s="39">
        <v>1.0</v>
      </c>
      <c r="AO31" s="39">
        <v>1.0</v>
      </c>
      <c r="AP31" s="39">
        <v>1.0</v>
      </c>
      <c r="AQ31" s="39">
        <v>1.0</v>
      </c>
      <c r="AR31" s="39">
        <v>1.0</v>
      </c>
      <c r="AS31" s="39">
        <v>1.0</v>
      </c>
      <c r="AT31" s="39">
        <v>0.0</v>
      </c>
      <c r="AU31" s="39">
        <v>0.0</v>
      </c>
      <c r="AV31" s="39">
        <v>0.0</v>
      </c>
      <c r="AW31" s="39">
        <v>2.0</v>
      </c>
      <c r="AX31" s="39">
        <v>2.0</v>
      </c>
      <c r="AY31" s="39">
        <v>2.0</v>
      </c>
      <c r="AZ31" s="39">
        <v>2.0</v>
      </c>
      <c r="BA31" s="39">
        <v>2.0</v>
      </c>
      <c r="BB31" s="39">
        <v>2.0</v>
      </c>
      <c r="BC31" s="39">
        <v>2.0</v>
      </c>
      <c r="BD31" s="39">
        <v>2.0</v>
      </c>
      <c r="BE31" s="39">
        <v>2.0</v>
      </c>
      <c r="BF31" s="39">
        <v>2.0</v>
      </c>
      <c r="BG31" s="39">
        <v>2.0</v>
      </c>
      <c r="BH31" s="39">
        <v>2.0</v>
      </c>
      <c r="BI31" s="39">
        <v>2.0</v>
      </c>
      <c r="BJ31" s="39">
        <v>2.0</v>
      </c>
      <c r="BK31" s="39"/>
      <c r="BL31" s="39"/>
      <c r="BM31" s="39"/>
      <c r="BN31" s="39"/>
    </row>
    <row r="32">
      <c r="A32" s="36" t="s">
        <v>291</v>
      </c>
      <c r="B32" s="36" t="s">
        <v>33</v>
      </c>
      <c r="C32" s="36" t="s">
        <v>360</v>
      </c>
      <c r="Y32" s="39" t="s">
        <v>35</v>
      </c>
      <c r="Z32" s="39" t="s">
        <v>35</v>
      </c>
      <c r="AA32" s="39" t="s">
        <v>35</v>
      </c>
      <c r="AB32" s="39" t="s">
        <v>35</v>
      </c>
      <c r="AC32" s="39" t="s">
        <v>35</v>
      </c>
      <c r="AD32" s="39" t="s">
        <v>35</v>
      </c>
      <c r="AE32" s="39" t="s">
        <v>35</v>
      </c>
      <c r="AF32" s="39" t="s">
        <v>35</v>
      </c>
      <c r="AG32" s="39" t="s">
        <v>35</v>
      </c>
      <c r="AH32" s="39">
        <v>1.0</v>
      </c>
      <c r="AI32" s="39">
        <v>1.0</v>
      </c>
      <c r="AJ32" s="39">
        <v>1.0</v>
      </c>
      <c r="AK32" s="39">
        <v>1.0</v>
      </c>
      <c r="AL32" s="39">
        <v>1.0</v>
      </c>
      <c r="AM32" s="39">
        <v>1.0</v>
      </c>
      <c r="AN32" s="39">
        <v>1.0</v>
      </c>
      <c r="AO32" s="39">
        <v>1.0</v>
      </c>
      <c r="AP32" s="39">
        <v>1.0</v>
      </c>
      <c r="AQ32" s="39">
        <v>2.0</v>
      </c>
      <c r="AR32" s="39">
        <v>2.0</v>
      </c>
      <c r="AS32" s="39">
        <v>2.0</v>
      </c>
      <c r="AT32" s="39">
        <v>2.0</v>
      </c>
      <c r="AU32" s="39">
        <v>2.0</v>
      </c>
      <c r="AV32" s="39">
        <v>1.0</v>
      </c>
      <c r="AW32" s="39">
        <v>2.0</v>
      </c>
      <c r="AX32" s="39">
        <v>2.0</v>
      </c>
      <c r="AY32" s="39">
        <v>2.0</v>
      </c>
      <c r="AZ32" s="39">
        <v>2.0</v>
      </c>
      <c r="BA32" s="39">
        <v>2.0</v>
      </c>
      <c r="BB32" s="39">
        <v>2.0</v>
      </c>
      <c r="BC32" s="39">
        <v>2.0</v>
      </c>
      <c r="BD32" s="39">
        <v>2.0</v>
      </c>
      <c r="BE32" s="39">
        <v>2.0</v>
      </c>
      <c r="BF32" s="39">
        <v>2.0</v>
      </c>
      <c r="BG32" s="39">
        <v>2.0</v>
      </c>
      <c r="BH32" s="39">
        <v>2.0</v>
      </c>
      <c r="BI32" s="39">
        <v>2.0</v>
      </c>
      <c r="BJ32" s="39">
        <v>2.0</v>
      </c>
      <c r="BK32" s="39"/>
      <c r="BL32" s="39"/>
      <c r="BM32" s="39"/>
      <c r="BN32" s="39"/>
    </row>
    <row r="33">
      <c r="A33" s="36" t="s">
        <v>291</v>
      </c>
      <c r="B33" s="36" t="s">
        <v>33</v>
      </c>
      <c r="C33" s="36" t="s">
        <v>361</v>
      </c>
      <c r="Y33" s="39" t="s">
        <v>35</v>
      </c>
      <c r="Z33" s="39" t="s">
        <v>35</v>
      </c>
      <c r="AA33" s="39" t="s">
        <v>35</v>
      </c>
      <c r="AB33" s="39" t="s">
        <v>35</v>
      </c>
      <c r="AC33" s="39" t="s">
        <v>35</v>
      </c>
      <c r="AD33" s="39" t="s">
        <v>35</v>
      </c>
      <c r="AE33" s="39" t="s">
        <v>35</v>
      </c>
      <c r="AF33" s="39" t="s">
        <v>35</v>
      </c>
      <c r="AG33" s="39" t="s">
        <v>35</v>
      </c>
      <c r="AH33" s="39">
        <v>10.0</v>
      </c>
      <c r="AI33" s="39">
        <v>10.0</v>
      </c>
      <c r="AJ33" s="39">
        <v>10.0</v>
      </c>
      <c r="AK33" s="39">
        <v>9.0</v>
      </c>
      <c r="AL33" s="39">
        <v>9.0</v>
      </c>
      <c r="AM33" s="39">
        <v>9.0</v>
      </c>
      <c r="AN33" s="39">
        <v>9.0</v>
      </c>
      <c r="AO33" s="39">
        <v>9.0</v>
      </c>
      <c r="AP33" s="39">
        <v>8.0</v>
      </c>
      <c r="AQ33" s="39">
        <v>15.0</v>
      </c>
      <c r="AR33" s="39">
        <v>15.0</v>
      </c>
      <c r="AS33" s="39">
        <v>15.0</v>
      </c>
      <c r="AT33" s="39">
        <v>15.0</v>
      </c>
      <c r="AU33" s="39">
        <v>15.0</v>
      </c>
      <c r="AV33" s="39">
        <v>14.0</v>
      </c>
      <c r="AW33" s="39">
        <v>14.0</v>
      </c>
      <c r="AX33" s="39">
        <v>14.0</v>
      </c>
      <c r="AY33" s="39">
        <v>13.0</v>
      </c>
      <c r="AZ33" s="39">
        <v>21.0</v>
      </c>
      <c r="BA33" s="39">
        <v>21.0</v>
      </c>
      <c r="BB33" s="39">
        <v>16.0</v>
      </c>
      <c r="BC33" s="39">
        <v>15.0</v>
      </c>
      <c r="BD33" s="39">
        <v>14.0</v>
      </c>
      <c r="BE33" s="39">
        <v>13.0</v>
      </c>
      <c r="BF33" s="39">
        <v>13.0</v>
      </c>
      <c r="BG33" s="39">
        <v>13.0</v>
      </c>
      <c r="BH33" s="39">
        <v>13.0</v>
      </c>
      <c r="BI33" s="39">
        <v>13.0</v>
      </c>
      <c r="BJ33" s="39">
        <v>12.0</v>
      </c>
      <c r="BK33" s="39"/>
      <c r="BL33" s="39"/>
      <c r="BM33" s="39"/>
      <c r="BN33" s="39"/>
    </row>
    <row r="34">
      <c r="A34" s="36" t="s">
        <v>291</v>
      </c>
      <c r="B34" s="36" t="s">
        <v>33</v>
      </c>
      <c r="C34" s="36" t="s">
        <v>362</v>
      </c>
      <c r="Y34" s="39"/>
      <c r="Z34" s="39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>
        <v>4.0</v>
      </c>
      <c r="BC34" s="39">
        <v>4.0</v>
      </c>
      <c r="BD34" s="39">
        <v>4.0</v>
      </c>
      <c r="BE34" s="39">
        <v>4.0</v>
      </c>
      <c r="BF34" s="39">
        <v>6.0</v>
      </c>
      <c r="BG34" s="39">
        <v>6.0</v>
      </c>
      <c r="BH34" s="39">
        <v>6.0</v>
      </c>
      <c r="BI34" s="39">
        <v>5.0</v>
      </c>
      <c r="BJ34" s="39">
        <v>5.0</v>
      </c>
      <c r="BK34" s="39"/>
      <c r="BL34" s="39"/>
      <c r="BM34" s="39"/>
      <c r="BN34" s="39"/>
    </row>
    <row r="35">
      <c r="A35" s="36" t="s">
        <v>291</v>
      </c>
      <c r="B35" s="36" t="s">
        <v>33</v>
      </c>
      <c r="C35" s="36" t="s">
        <v>363</v>
      </c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 t="s">
        <v>35</v>
      </c>
      <c r="AL35" s="39" t="s">
        <v>35</v>
      </c>
      <c r="AM35" s="39" t="s">
        <v>35</v>
      </c>
      <c r="AN35" s="39" t="s">
        <v>35</v>
      </c>
      <c r="AO35" s="39" t="s">
        <v>35</v>
      </c>
      <c r="AP35" s="39">
        <v>0.0</v>
      </c>
      <c r="AQ35" s="39">
        <v>1.0</v>
      </c>
      <c r="AR35" s="39">
        <v>0.0</v>
      </c>
      <c r="AS35" s="39">
        <v>0.0</v>
      </c>
      <c r="AT35" s="39">
        <v>0.0</v>
      </c>
      <c r="AU35" s="39">
        <v>0.0</v>
      </c>
      <c r="AV35" s="39">
        <v>0.0</v>
      </c>
      <c r="AW35" s="39">
        <v>0.0</v>
      </c>
      <c r="AX35" s="39">
        <v>0.0</v>
      </c>
      <c r="AY35" s="39">
        <v>0.0</v>
      </c>
      <c r="AZ35" s="39">
        <v>0.0</v>
      </c>
      <c r="BA35" s="39">
        <v>0.0</v>
      </c>
      <c r="BB35" s="39">
        <v>0.0</v>
      </c>
      <c r="BC35" s="39">
        <v>0.0</v>
      </c>
      <c r="BD35" s="39">
        <v>0.0</v>
      </c>
      <c r="BE35" s="39">
        <v>0.0</v>
      </c>
      <c r="BF35" s="39">
        <v>0.0</v>
      </c>
      <c r="BG35" s="39">
        <v>0.0</v>
      </c>
      <c r="BH35" s="39">
        <v>0.0</v>
      </c>
      <c r="BI35" s="39">
        <v>0.0</v>
      </c>
      <c r="BJ35" s="39">
        <v>0.0</v>
      </c>
      <c r="BK35" s="39"/>
      <c r="BL35" s="39"/>
      <c r="BM35" s="39"/>
      <c r="BN35" s="39"/>
    </row>
    <row r="36">
      <c r="A36" s="36" t="s">
        <v>291</v>
      </c>
      <c r="B36" s="36" t="s">
        <v>33</v>
      </c>
      <c r="C36" s="36" t="s">
        <v>364</v>
      </c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 t="s">
        <v>35</v>
      </c>
      <c r="AL36" s="39" t="s">
        <v>35</v>
      </c>
      <c r="AM36" s="39" t="s">
        <v>35</v>
      </c>
      <c r="AN36" s="39" t="s">
        <v>35</v>
      </c>
      <c r="AO36" s="39" t="s">
        <v>35</v>
      </c>
      <c r="AP36" s="39">
        <v>5.0</v>
      </c>
      <c r="AQ36" s="39">
        <v>6.0</v>
      </c>
      <c r="AR36" s="39">
        <v>6.0</v>
      </c>
      <c r="AS36" s="39">
        <v>6.0</v>
      </c>
      <c r="AT36" s="39">
        <v>6.0</v>
      </c>
      <c r="AU36" s="39">
        <v>6.0</v>
      </c>
      <c r="AV36" s="39">
        <v>6.0</v>
      </c>
      <c r="AW36" s="39">
        <v>6.0</v>
      </c>
      <c r="AX36" s="39">
        <v>6.0</v>
      </c>
      <c r="AY36" s="39">
        <v>6.0</v>
      </c>
      <c r="AZ36" s="39">
        <v>6.0</v>
      </c>
      <c r="BA36" s="39">
        <v>6.0</v>
      </c>
      <c r="BB36" s="39">
        <v>6.0</v>
      </c>
      <c r="BC36" s="39">
        <v>6.0</v>
      </c>
      <c r="BD36" s="39">
        <v>6.0</v>
      </c>
      <c r="BE36" s="39">
        <v>6.0</v>
      </c>
      <c r="BF36" s="39">
        <v>6.0</v>
      </c>
      <c r="BG36" s="39">
        <v>6.0</v>
      </c>
      <c r="BH36" s="39">
        <v>6.0</v>
      </c>
      <c r="BI36" s="39">
        <v>6.0</v>
      </c>
      <c r="BJ36" s="39">
        <v>6.0</v>
      </c>
      <c r="BK36" s="39"/>
      <c r="BL36" s="39"/>
      <c r="BM36" s="39"/>
      <c r="BN36" s="39"/>
    </row>
    <row r="37">
      <c r="A37" s="36" t="s">
        <v>291</v>
      </c>
      <c r="B37" s="36" t="s">
        <v>33</v>
      </c>
      <c r="C37" s="36" t="s">
        <v>365</v>
      </c>
      <c r="Y37" s="39" t="s">
        <v>35</v>
      </c>
      <c r="Z37" s="39" t="s">
        <v>35</v>
      </c>
      <c r="AA37" s="39" t="s">
        <v>35</v>
      </c>
      <c r="AB37" s="39" t="s">
        <v>35</v>
      </c>
      <c r="AC37" s="39" t="s">
        <v>35</v>
      </c>
      <c r="AD37" s="39" t="s">
        <v>35</v>
      </c>
      <c r="AE37" s="39" t="s">
        <v>35</v>
      </c>
      <c r="AF37" s="39" t="s">
        <v>35</v>
      </c>
      <c r="AG37" s="31" t="s">
        <v>35</v>
      </c>
      <c r="AH37" s="39">
        <v>6.0</v>
      </c>
      <c r="AI37" s="39">
        <v>6.0</v>
      </c>
      <c r="AJ37" s="39">
        <v>6.0</v>
      </c>
      <c r="AK37" s="39">
        <v>6.0</v>
      </c>
      <c r="AL37" s="39">
        <v>6.0</v>
      </c>
      <c r="AM37" s="39">
        <v>5.0</v>
      </c>
      <c r="AN37" s="39">
        <v>5.0</v>
      </c>
      <c r="AO37" s="39">
        <v>5.0</v>
      </c>
      <c r="AP37" s="39">
        <v>5.0</v>
      </c>
      <c r="AQ37" s="39">
        <v>5.0</v>
      </c>
      <c r="AR37" s="39">
        <v>5.0</v>
      </c>
      <c r="AS37" s="39">
        <v>5.0</v>
      </c>
      <c r="AT37" s="39">
        <v>5.0</v>
      </c>
      <c r="AU37" s="39">
        <v>5.0</v>
      </c>
      <c r="AV37" s="39">
        <v>5.0</v>
      </c>
      <c r="AW37" s="39">
        <v>5.0</v>
      </c>
      <c r="AX37" s="39">
        <v>5.0</v>
      </c>
      <c r="AY37" s="39">
        <v>5.0</v>
      </c>
      <c r="AZ37" s="39">
        <v>5.0</v>
      </c>
      <c r="BA37" s="39">
        <v>5.0</v>
      </c>
      <c r="BB37" s="39">
        <v>5.0</v>
      </c>
      <c r="BC37" s="39">
        <v>5.0</v>
      </c>
      <c r="BD37" s="39">
        <v>5.0</v>
      </c>
      <c r="BE37" s="39">
        <v>5.0</v>
      </c>
      <c r="BF37" s="39">
        <v>5.0</v>
      </c>
      <c r="BG37" s="39">
        <v>4.0</v>
      </c>
      <c r="BH37" s="39">
        <v>4.0</v>
      </c>
      <c r="BI37" s="39">
        <v>4.0</v>
      </c>
      <c r="BJ37" s="39">
        <v>4.0</v>
      </c>
      <c r="BK37" s="39"/>
      <c r="BL37" s="39"/>
      <c r="BM37" s="39"/>
      <c r="BN37" s="39"/>
    </row>
    <row r="38">
      <c r="A38" s="120" t="s">
        <v>291</v>
      </c>
      <c r="B38" s="120" t="s">
        <v>33</v>
      </c>
      <c r="C38" s="36" t="s">
        <v>366</v>
      </c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41" t="s">
        <v>35</v>
      </c>
      <c r="Z38" s="41" t="s">
        <v>35</v>
      </c>
      <c r="AA38" s="41" t="s">
        <v>35</v>
      </c>
      <c r="AB38" s="41" t="s">
        <v>35</v>
      </c>
      <c r="AC38" s="41" t="s">
        <v>35</v>
      </c>
      <c r="AD38" s="41" t="s">
        <v>35</v>
      </c>
      <c r="AE38" s="41" t="s">
        <v>35</v>
      </c>
      <c r="AF38" s="41" t="s">
        <v>35</v>
      </c>
      <c r="AG38" s="32" t="s">
        <v>35</v>
      </c>
      <c r="AH38" s="41">
        <v>4.0</v>
      </c>
      <c r="AI38" s="41">
        <v>4.0</v>
      </c>
      <c r="AJ38" s="41">
        <v>4.0</v>
      </c>
      <c r="AK38" s="41">
        <v>4.0</v>
      </c>
      <c r="AL38" s="41">
        <v>4.0</v>
      </c>
      <c r="AM38" s="41">
        <v>4.0</v>
      </c>
      <c r="AN38" s="41">
        <v>4.0</v>
      </c>
      <c r="AO38" s="41">
        <v>3.0</v>
      </c>
      <c r="AP38" s="41">
        <v>3.0</v>
      </c>
      <c r="AQ38" s="41">
        <v>4.0</v>
      </c>
      <c r="AR38" s="41">
        <v>4.0</v>
      </c>
      <c r="AS38" s="41">
        <v>4.0</v>
      </c>
      <c r="AT38" s="41">
        <v>4.0</v>
      </c>
      <c r="AU38" s="41">
        <v>4.0</v>
      </c>
      <c r="AV38" s="41">
        <v>4.0</v>
      </c>
      <c r="AW38" s="41">
        <v>4.0</v>
      </c>
      <c r="AX38" s="41">
        <v>4.0</v>
      </c>
      <c r="AY38" s="41">
        <v>4.0</v>
      </c>
      <c r="AZ38" s="41">
        <v>4.0</v>
      </c>
      <c r="BA38" s="41">
        <v>4.0</v>
      </c>
      <c r="BB38" s="41">
        <v>4.0</v>
      </c>
      <c r="BC38" s="41">
        <v>4.0</v>
      </c>
      <c r="BD38" s="41">
        <v>4.0</v>
      </c>
      <c r="BE38" s="41">
        <v>4.0</v>
      </c>
      <c r="BF38" s="41">
        <v>4.0</v>
      </c>
      <c r="BG38" s="41">
        <v>4.0</v>
      </c>
      <c r="BH38" s="41">
        <v>4.0</v>
      </c>
      <c r="BI38" s="41">
        <v>4.0</v>
      </c>
      <c r="BJ38" s="41">
        <v>4.0</v>
      </c>
      <c r="BK38" s="41"/>
      <c r="BL38" s="41"/>
      <c r="BM38" s="41"/>
      <c r="BN38" s="41"/>
    </row>
    <row r="39">
      <c r="A39" s="120" t="s">
        <v>291</v>
      </c>
      <c r="B39" s="120" t="s">
        <v>33</v>
      </c>
      <c r="C39" s="36" t="s">
        <v>367</v>
      </c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41" t="s">
        <v>35</v>
      </c>
      <c r="Z39" s="41" t="s">
        <v>35</v>
      </c>
      <c r="AA39" s="41" t="s">
        <v>35</v>
      </c>
      <c r="AB39" s="41" t="s">
        <v>35</v>
      </c>
      <c r="AC39" s="41" t="s">
        <v>35</v>
      </c>
      <c r="AD39" s="41" t="s">
        <v>35</v>
      </c>
      <c r="AE39" s="41" t="s">
        <v>35</v>
      </c>
      <c r="AF39" s="41" t="s">
        <v>35</v>
      </c>
      <c r="AG39" s="32" t="s">
        <v>35</v>
      </c>
      <c r="AH39" s="41">
        <v>1.0</v>
      </c>
      <c r="AI39" s="41">
        <v>1.0</v>
      </c>
      <c r="AJ39" s="41">
        <v>1.0</v>
      </c>
      <c r="AK39" s="41">
        <v>1.0</v>
      </c>
      <c r="AL39" s="41">
        <v>1.0</v>
      </c>
      <c r="AM39" s="41">
        <v>1.0</v>
      </c>
      <c r="AN39" s="41">
        <v>1.0</v>
      </c>
      <c r="AO39" s="41">
        <v>1.0</v>
      </c>
      <c r="AP39" s="41">
        <v>1.0</v>
      </c>
      <c r="AQ39" s="41">
        <v>1.0</v>
      </c>
      <c r="AR39" s="41">
        <v>1.0</v>
      </c>
      <c r="AS39" s="41">
        <v>1.0</v>
      </c>
      <c r="AT39" s="41">
        <v>1.0</v>
      </c>
      <c r="AU39" s="41">
        <v>1.0</v>
      </c>
      <c r="AV39" s="41">
        <v>1.0</v>
      </c>
      <c r="AW39" s="41">
        <v>0.0</v>
      </c>
      <c r="AX39" s="41">
        <v>0.0</v>
      </c>
      <c r="AY39" s="41">
        <v>0.0</v>
      </c>
      <c r="AZ39" s="41">
        <v>2.0</v>
      </c>
      <c r="BA39" s="41">
        <v>2.0</v>
      </c>
      <c r="BB39" s="41">
        <v>2.0</v>
      </c>
      <c r="BC39" s="41">
        <v>2.0</v>
      </c>
      <c r="BD39" s="41">
        <v>2.0</v>
      </c>
      <c r="BE39" s="41">
        <v>2.0</v>
      </c>
      <c r="BF39" s="41">
        <v>2.0</v>
      </c>
      <c r="BG39" s="41">
        <v>2.0</v>
      </c>
      <c r="BH39" s="41">
        <v>2.0</v>
      </c>
      <c r="BI39" s="41">
        <v>2.0</v>
      </c>
      <c r="BJ39" s="41">
        <v>2.0</v>
      </c>
      <c r="BK39" s="41"/>
      <c r="BL39" s="41"/>
      <c r="BM39" s="41"/>
      <c r="BN39" s="41"/>
    </row>
    <row r="40">
      <c r="A40" s="120" t="s">
        <v>291</v>
      </c>
      <c r="B40" s="120" t="s">
        <v>33</v>
      </c>
      <c r="C40" s="36" t="s">
        <v>368</v>
      </c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41" t="s">
        <v>35</v>
      </c>
      <c r="Z40" s="41" t="s">
        <v>35</v>
      </c>
      <c r="AA40" s="41" t="s">
        <v>35</v>
      </c>
      <c r="AB40" s="41" t="s">
        <v>35</v>
      </c>
      <c r="AC40" s="41" t="s">
        <v>35</v>
      </c>
      <c r="AD40" s="41" t="s">
        <v>35</v>
      </c>
      <c r="AE40" s="41" t="s">
        <v>35</v>
      </c>
      <c r="AF40" s="41" t="s">
        <v>35</v>
      </c>
      <c r="AG40" s="32" t="s">
        <v>35</v>
      </c>
      <c r="AH40" s="41">
        <v>3.0</v>
      </c>
      <c r="AI40" s="41">
        <v>3.0</v>
      </c>
      <c r="AJ40" s="41">
        <v>3.0</v>
      </c>
      <c r="AK40" s="41">
        <v>3.0</v>
      </c>
      <c r="AL40" s="41">
        <v>3.0</v>
      </c>
      <c r="AM40" s="41">
        <v>3.0</v>
      </c>
      <c r="AN40" s="41">
        <v>2.0</v>
      </c>
      <c r="AO40" s="41">
        <v>2.0</v>
      </c>
      <c r="AP40" s="41">
        <v>2.0</v>
      </c>
      <c r="AQ40" s="41">
        <v>3.0</v>
      </c>
      <c r="AR40" s="41">
        <v>3.0</v>
      </c>
      <c r="AS40" s="41">
        <v>3.0</v>
      </c>
      <c r="AT40" s="41">
        <v>3.0</v>
      </c>
      <c r="AU40" s="41">
        <v>3.0</v>
      </c>
      <c r="AV40" s="41">
        <v>3.0</v>
      </c>
      <c r="AW40" s="41">
        <v>3.0</v>
      </c>
      <c r="AX40" s="41">
        <v>3.0</v>
      </c>
      <c r="AY40" s="41">
        <v>3.0</v>
      </c>
      <c r="AZ40" s="41">
        <v>3.0</v>
      </c>
      <c r="BA40" s="41">
        <v>3.0</v>
      </c>
      <c r="BB40" s="41">
        <v>3.0</v>
      </c>
      <c r="BC40" s="41">
        <v>3.0</v>
      </c>
      <c r="BD40" s="41">
        <v>3.0</v>
      </c>
      <c r="BE40" s="41">
        <v>3.0</v>
      </c>
      <c r="BF40" s="41">
        <v>3.0</v>
      </c>
      <c r="BG40" s="41">
        <v>3.0</v>
      </c>
      <c r="BH40" s="41">
        <v>3.0</v>
      </c>
      <c r="BI40" s="41">
        <v>3.0</v>
      </c>
      <c r="BJ40" s="41">
        <v>3.0</v>
      </c>
      <c r="BK40" s="41"/>
      <c r="BL40" s="41"/>
      <c r="BM40" s="41"/>
      <c r="BN40" s="41"/>
    </row>
    <row r="41">
      <c r="A41" s="80" t="s">
        <v>291</v>
      </c>
      <c r="B41" s="120" t="s">
        <v>369</v>
      </c>
      <c r="C41" s="36" t="s">
        <v>23</v>
      </c>
      <c r="BB41" s="39">
        <v>1.0</v>
      </c>
      <c r="BC41" s="39">
        <v>1.0</v>
      </c>
      <c r="BD41" s="39">
        <v>1.0</v>
      </c>
      <c r="BE41" s="39">
        <v>1.0</v>
      </c>
      <c r="BF41" s="39">
        <v>3.0</v>
      </c>
      <c r="BG41" s="39">
        <v>3.0</v>
      </c>
      <c r="BH41" s="39">
        <v>2.0</v>
      </c>
      <c r="BI41" s="39">
        <v>2.0</v>
      </c>
      <c r="BJ41" s="39">
        <v>2.0</v>
      </c>
    </row>
    <row r="42">
      <c r="A42" s="64"/>
      <c r="B42" s="120"/>
      <c r="C42" s="64"/>
      <c r="D42" s="29"/>
    </row>
    <row r="43">
      <c r="A43" s="64"/>
      <c r="B43" s="120"/>
      <c r="C43" s="64"/>
      <c r="D43" s="78"/>
      <c r="E43" s="79"/>
      <c r="F43" s="78"/>
      <c r="G43" s="78"/>
      <c r="H43" s="78"/>
      <c r="I43" s="62"/>
      <c r="J43" s="62"/>
      <c r="K43" s="62"/>
      <c r="L43" s="62"/>
      <c r="M43" s="62"/>
      <c r="N43" s="62"/>
    </row>
    <row r="44">
      <c r="B44" s="120"/>
      <c r="D44" s="29"/>
    </row>
    <row r="45">
      <c r="B45" s="120"/>
    </row>
    <row r="46">
      <c r="A46" s="35"/>
      <c r="B46" s="120"/>
      <c r="C46" s="35"/>
    </row>
    <row r="47">
      <c r="A47" s="36"/>
      <c r="B47" s="120"/>
      <c r="C47" s="37"/>
    </row>
    <row r="48">
      <c r="A48" s="36"/>
      <c r="B48" s="120"/>
      <c r="C48" s="37"/>
    </row>
    <row r="49">
      <c r="A49" s="36"/>
      <c r="B49" s="120"/>
      <c r="C49" s="37"/>
    </row>
    <row r="50">
      <c r="A50" s="36"/>
      <c r="B50" s="120"/>
      <c r="C50" s="36"/>
    </row>
    <row r="51">
      <c r="B51" s="120"/>
      <c r="D51" s="29"/>
    </row>
    <row r="52">
      <c r="B52" s="120"/>
      <c r="D52" s="29"/>
    </row>
    <row r="53">
      <c r="B53" s="120"/>
      <c r="D53" s="29"/>
    </row>
    <row r="54">
      <c r="B54" s="120"/>
      <c r="D54" s="29"/>
    </row>
    <row r="55">
      <c r="B55" s="120"/>
      <c r="D55" s="29"/>
    </row>
    <row r="56">
      <c r="B56" s="120"/>
      <c r="D56" s="29"/>
    </row>
    <row r="57">
      <c r="B57" s="120"/>
      <c r="D57" s="29"/>
    </row>
    <row r="58">
      <c r="B58" s="120"/>
      <c r="D58" s="29"/>
    </row>
    <row r="59">
      <c r="B59" s="120"/>
      <c r="D59" s="29"/>
    </row>
    <row r="60">
      <c r="B60" s="120"/>
      <c r="D60" s="29"/>
    </row>
    <row r="61">
      <c r="B61" s="120"/>
      <c r="D61" s="29"/>
    </row>
    <row r="62">
      <c r="B62" s="120"/>
      <c r="D62" s="29"/>
    </row>
    <row r="63">
      <c r="B63" s="120"/>
      <c r="D63" s="29"/>
    </row>
    <row r="64">
      <c r="B64" s="120"/>
      <c r="D64" s="29"/>
    </row>
    <row r="65">
      <c r="B65" s="120"/>
      <c r="D65" s="29"/>
    </row>
    <row r="66">
      <c r="B66" s="120"/>
      <c r="D66" s="29"/>
    </row>
    <row r="67">
      <c r="B67" s="120"/>
      <c r="D67" s="29"/>
    </row>
    <row r="68">
      <c r="B68" s="120"/>
      <c r="D68" s="29"/>
    </row>
    <row r="69">
      <c r="B69" s="120"/>
      <c r="D69" s="29"/>
    </row>
    <row r="70">
      <c r="B70" s="120"/>
      <c r="D70" s="29"/>
    </row>
    <row r="71">
      <c r="B71" s="120"/>
      <c r="D71" s="29"/>
    </row>
    <row r="72">
      <c r="B72" s="120"/>
      <c r="D72" s="29"/>
    </row>
    <row r="73">
      <c r="B73" s="120"/>
      <c r="D73" s="29"/>
    </row>
    <row r="74">
      <c r="B74" s="120"/>
      <c r="D74" s="29"/>
    </row>
    <row r="75">
      <c r="B75" s="120"/>
      <c r="D75" s="29"/>
    </row>
    <row r="76">
      <c r="B76" s="120"/>
      <c r="D76" s="29"/>
    </row>
    <row r="77">
      <c r="B77" s="120"/>
      <c r="D77" s="29"/>
    </row>
    <row r="78">
      <c r="B78" s="120"/>
      <c r="D78" s="29"/>
    </row>
    <row r="79">
      <c r="B79" s="120"/>
      <c r="D79" s="29"/>
    </row>
    <row r="80">
      <c r="B80" s="120"/>
      <c r="D80" s="29"/>
    </row>
    <row r="81">
      <c r="B81" s="120"/>
      <c r="D81" s="29"/>
    </row>
    <row r="82">
      <c r="B82" s="120"/>
      <c r="D82" s="29"/>
    </row>
    <row r="83">
      <c r="B83" s="120"/>
      <c r="D83" s="29"/>
    </row>
    <row r="84">
      <c r="B84" s="120"/>
      <c r="D84" s="29"/>
    </row>
    <row r="85">
      <c r="B85" s="120"/>
      <c r="D85" s="29"/>
    </row>
    <row r="86">
      <c r="B86" s="120"/>
      <c r="D86" s="29"/>
    </row>
    <row r="87">
      <c r="B87" s="120"/>
      <c r="D87" s="29"/>
    </row>
    <row r="88">
      <c r="B88" s="120"/>
      <c r="D88" s="29"/>
    </row>
    <row r="89">
      <c r="B89" s="120"/>
      <c r="D89" s="29"/>
    </row>
    <row r="90">
      <c r="B90" s="120"/>
      <c r="D90" s="29"/>
    </row>
    <row r="91">
      <c r="B91" s="120"/>
      <c r="D91" s="29"/>
    </row>
    <row r="92">
      <c r="B92" s="120"/>
      <c r="D92" s="29"/>
    </row>
    <row r="93">
      <c r="B93" s="120"/>
      <c r="D93" s="29"/>
    </row>
    <row r="94">
      <c r="B94" s="120"/>
      <c r="D94" s="29"/>
    </row>
    <row r="95">
      <c r="B95" s="120"/>
      <c r="D95" s="29"/>
    </row>
    <row r="96">
      <c r="B96" s="120"/>
      <c r="D96" s="29"/>
    </row>
    <row r="97">
      <c r="B97" s="120"/>
      <c r="D97" s="29"/>
    </row>
    <row r="98">
      <c r="B98" s="120"/>
      <c r="D98" s="29"/>
    </row>
    <row r="99">
      <c r="B99" s="120"/>
      <c r="D99" s="29"/>
    </row>
    <row r="100">
      <c r="B100" s="120"/>
      <c r="D100" s="29"/>
    </row>
    <row r="101">
      <c r="D101" s="29"/>
    </row>
    <row r="102">
      <c r="D102" s="29"/>
    </row>
    <row r="103">
      <c r="D103" s="29"/>
    </row>
    <row r="104">
      <c r="D104" s="29"/>
    </row>
    <row r="105">
      <c r="D105" s="29"/>
    </row>
    <row r="106">
      <c r="D106" s="29"/>
    </row>
    <row r="107">
      <c r="D107" s="29"/>
    </row>
    <row r="108">
      <c r="D108" s="29"/>
    </row>
    <row r="109">
      <c r="D109" s="29"/>
    </row>
    <row r="110">
      <c r="D110" s="29"/>
    </row>
    <row r="111">
      <c r="D111" s="29"/>
    </row>
    <row r="112">
      <c r="D112" s="29"/>
    </row>
    <row r="113">
      <c r="D113" s="29"/>
    </row>
    <row r="114">
      <c r="D114" s="29"/>
    </row>
    <row r="115">
      <c r="D115" s="29"/>
    </row>
    <row r="116">
      <c r="D116" s="29"/>
    </row>
    <row r="117">
      <c r="D117" s="29"/>
    </row>
    <row r="118">
      <c r="D118" s="29"/>
    </row>
    <row r="119">
      <c r="D119" s="29"/>
    </row>
    <row r="120">
      <c r="D120" s="29"/>
    </row>
    <row r="121">
      <c r="D121" s="29"/>
    </row>
    <row r="122">
      <c r="D122" s="29"/>
    </row>
    <row r="123">
      <c r="D123" s="29"/>
    </row>
    <row r="124">
      <c r="D124" s="29"/>
    </row>
    <row r="125">
      <c r="D125" s="29"/>
    </row>
    <row r="126">
      <c r="D126" s="29"/>
    </row>
    <row r="127">
      <c r="D127" s="29"/>
    </row>
    <row r="128">
      <c r="D128" s="29"/>
    </row>
    <row r="129">
      <c r="D129" s="29"/>
    </row>
    <row r="130">
      <c r="D130" s="29"/>
    </row>
    <row r="131">
      <c r="D131" s="29"/>
    </row>
    <row r="132">
      <c r="D132" s="29"/>
    </row>
    <row r="133">
      <c r="D133" s="29"/>
    </row>
    <row r="134">
      <c r="D134" s="29"/>
    </row>
    <row r="135">
      <c r="D135" s="29"/>
    </row>
    <row r="136">
      <c r="D136" s="29"/>
    </row>
    <row r="137">
      <c r="D137" s="29"/>
    </row>
    <row r="138">
      <c r="D138" s="29"/>
    </row>
    <row r="139">
      <c r="D139" s="29"/>
    </row>
    <row r="140">
      <c r="D140" s="29"/>
    </row>
    <row r="141">
      <c r="D141" s="29"/>
    </row>
    <row r="142">
      <c r="D142" s="29"/>
    </row>
    <row r="143">
      <c r="D143" s="29"/>
    </row>
    <row r="144">
      <c r="D144" s="29"/>
    </row>
    <row r="145">
      <c r="D145" s="29"/>
    </row>
    <row r="146">
      <c r="D146" s="29"/>
    </row>
    <row r="147">
      <c r="D147" s="29"/>
    </row>
    <row r="148">
      <c r="D148" s="29"/>
    </row>
    <row r="149">
      <c r="D149" s="29"/>
    </row>
    <row r="150">
      <c r="D150" s="29"/>
    </row>
    <row r="151">
      <c r="D151" s="29"/>
    </row>
    <row r="152">
      <c r="D152" s="29"/>
    </row>
    <row r="153">
      <c r="D153" s="29"/>
    </row>
    <row r="154">
      <c r="D154" s="29"/>
    </row>
    <row r="155">
      <c r="D155" s="29"/>
    </row>
    <row r="156">
      <c r="D156" s="29"/>
    </row>
    <row r="157">
      <c r="D157" s="29"/>
    </row>
    <row r="158">
      <c r="D158" s="29"/>
    </row>
    <row r="159">
      <c r="D159" s="29"/>
    </row>
    <row r="160">
      <c r="D160" s="29"/>
    </row>
    <row r="161">
      <c r="D161" s="29"/>
    </row>
    <row r="162">
      <c r="D162" s="29"/>
    </row>
    <row r="163">
      <c r="D163" s="29"/>
    </row>
    <row r="164">
      <c r="D164" s="29"/>
    </row>
    <row r="165">
      <c r="D165" s="29"/>
    </row>
    <row r="166">
      <c r="D166" s="29"/>
    </row>
    <row r="167">
      <c r="D167" s="29"/>
    </row>
    <row r="168">
      <c r="D168" s="29"/>
    </row>
    <row r="169">
      <c r="D169" s="29"/>
    </row>
    <row r="170">
      <c r="D170" s="29"/>
    </row>
    <row r="171">
      <c r="D171" s="29"/>
    </row>
    <row r="172">
      <c r="D172" s="29"/>
    </row>
    <row r="173">
      <c r="D173" s="29"/>
    </row>
    <row r="174">
      <c r="D174" s="29"/>
    </row>
    <row r="175">
      <c r="D175" s="29"/>
    </row>
    <row r="176">
      <c r="D176" s="29"/>
    </row>
    <row r="177">
      <c r="D177" s="29"/>
    </row>
    <row r="178">
      <c r="D178" s="29"/>
    </row>
    <row r="179">
      <c r="D179" s="29"/>
    </row>
    <row r="180">
      <c r="D180" s="29"/>
    </row>
    <row r="181">
      <c r="D181" s="29"/>
    </row>
    <row r="182">
      <c r="D182" s="29"/>
    </row>
    <row r="183">
      <c r="D183" s="29"/>
    </row>
    <row r="184">
      <c r="D184" s="29"/>
    </row>
    <row r="185">
      <c r="D185" s="29"/>
    </row>
    <row r="186">
      <c r="D186" s="29"/>
    </row>
    <row r="187">
      <c r="D187" s="29"/>
    </row>
    <row r="188">
      <c r="D188" s="29"/>
    </row>
    <row r="189">
      <c r="D189" s="29"/>
    </row>
    <row r="190">
      <c r="D190" s="29"/>
    </row>
    <row r="191">
      <c r="D191" s="29"/>
    </row>
    <row r="192">
      <c r="D192" s="29"/>
    </row>
    <row r="193">
      <c r="D193" s="29"/>
    </row>
    <row r="194">
      <c r="D194" s="29"/>
    </row>
    <row r="195">
      <c r="D195" s="29"/>
    </row>
    <row r="196">
      <c r="D196" s="29"/>
    </row>
    <row r="197">
      <c r="D197" s="29"/>
    </row>
    <row r="198">
      <c r="D198" s="29"/>
    </row>
    <row r="199">
      <c r="D199" s="29"/>
    </row>
    <row r="200">
      <c r="D200" s="29"/>
    </row>
    <row r="201">
      <c r="D201" s="29"/>
    </row>
    <row r="202">
      <c r="D202" s="29"/>
    </row>
    <row r="203">
      <c r="D203" s="29"/>
    </row>
    <row r="204">
      <c r="D204" s="29"/>
    </row>
    <row r="205">
      <c r="D205" s="29"/>
    </row>
    <row r="206">
      <c r="D206" s="29"/>
    </row>
    <row r="207">
      <c r="D207" s="29"/>
    </row>
    <row r="208">
      <c r="D208" s="29"/>
    </row>
    <row r="209">
      <c r="D209" s="29"/>
    </row>
    <row r="210">
      <c r="D210" s="29"/>
    </row>
    <row r="211">
      <c r="D211" s="29"/>
    </row>
    <row r="212">
      <c r="D212" s="29"/>
    </row>
    <row r="213">
      <c r="D213" s="29"/>
    </row>
    <row r="214">
      <c r="D214" s="29"/>
    </row>
    <row r="215">
      <c r="D215" s="29"/>
    </row>
    <row r="216">
      <c r="D216" s="29"/>
    </row>
    <row r="217">
      <c r="D217" s="29"/>
    </row>
    <row r="218">
      <c r="D218" s="29"/>
    </row>
    <row r="219">
      <c r="D219" s="29"/>
    </row>
    <row r="220">
      <c r="D220" s="29"/>
    </row>
    <row r="221">
      <c r="D221" s="29"/>
    </row>
    <row r="222">
      <c r="D222" s="29"/>
    </row>
    <row r="223">
      <c r="D223" s="29"/>
    </row>
    <row r="224">
      <c r="D224" s="29"/>
    </row>
    <row r="225">
      <c r="D225" s="29"/>
    </row>
    <row r="226">
      <c r="D226" s="29"/>
    </row>
    <row r="227">
      <c r="D227" s="29"/>
    </row>
    <row r="228">
      <c r="D228" s="29"/>
    </row>
    <row r="229">
      <c r="D229" s="29"/>
    </row>
    <row r="230">
      <c r="D230" s="29"/>
    </row>
    <row r="231">
      <c r="D231" s="29"/>
    </row>
    <row r="232">
      <c r="D232" s="29"/>
    </row>
    <row r="233">
      <c r="D233" s="29"/>
    </row>
    <row r="234">
      <c r="D234" s="29"/>
    </row>
    <row r="235">
      <c r="D235" s="29"/>
    </row>
    <row r="236">
      <c r="D236" s="29"/>
    </row>
    <row r="237">
      <c r="D237" s="29"/>
    </row>
    <row r="238">
      <c r="D238" s="29"/>
    </row>
    <row r="239">
      <c r="D239" s="29"/>
    </row>
    <row r="240">
      <c r="D240" s="29"/>
    </row>
    <row r="241">
      <c r="D241" s="29"/>
    </row>
    <row r="242">
      <c r="D242" s="29"/>
    </row>
    <row r="243">
      <c r="D243" s="29"/>
    </row>
    <row r="244">
      <c r="D244" s="29"/>
    </row>
    <row r="245">
      <c r="D245" s="29"/>
    </row>
    <row r="246">
      <c r="D246" s="29"/>
    </row>
    <row r="247">
      <c r="D247" s="29"/>
    </row>
    <row r="248">
      <c r="D248" s="29"/>
    </row>
    <row r="249">
      <c r="D249" s="29"/>
    </row>
    <row r="250">
      <c r="D250" s="29"/>
    </row>
    <row r="251">
      <c r="D251" s="29"/>
    </row>
    <row r="252">
      <c r="D252" s="29"/>
    </row>
    <row r="253">
      <c r="D253" s="29"/>
    </row>
    <row r="254">
      <c r="D254" s="29"/>
    </row>
    <row r="255">
      <c r="D255" s="29"/>
    </row>
    <row r="256">
      <c r="D256" s="29"/>
    </row>
    <row r="257">
      <c r="D257" s="29"/>
    </row>
    <row r="258">
      <c r="D258" s="29"/>
    </row>
    <row r="259">
      <c r="D259" s="29"/>
    </row>
    <row r="260">
      <c r="D260" s="29"/>
    </row>
    <row r="261">
      <c r="D261" s="29"/>
    </row>
    <row r="262">
      <c r="D262" s="29"/>
    </row>
    <row r="263">
      <c r="D263" s="29"/>
    </row>
    <row r="264">
      <c r="D264" s="29"/>
    </row>
    <row r="265">
      <c r="D265" s="29"/>
    </row>
    <row r="266">
      <c r="D266" s="29"/>
    </row>
    <row r="267">
      <c r="D267" s="29"/>
    </row>
    <row r="268">
      <c r="D268" s="29"/>
    </row>
    <row r="269">
      <c r="D269" s="29"/>
    </row>
    <row r="270">
      <c r="D270" s="29"/>
    </row>
    <row r="271">
      <c r="D271" s="29"/>
    </row>
    <row r="272">
      <c r="D272" s="29"/>
    </row>
    <row r="273">
      <c r="D273" s="29"/>
    </row>
    <row r="274">
      <c r="D274" s="29"/>
    </row>
    <row r="275">
      <c r="D275" s="29"/>
    </row>
    <row r="276">
      <c r="D276" s="29"/>
    </row>
    <row r="277">
      <c r="D277" s="29"/>
    </row>
    <row r="278">
      <c r="D278" s="29"/>
    </row>
    <row r="279">
      <c r="D279" s="29"/>
    </row>
    <row r="280">
      <c r="D280" s="29"/>
    </row>
    <row r="281">
      <c r="D281" s="29"/>
    </row>
    <row r="282">
      <c r="D282" s="29"/>
    </row>
    <row r="283">
      <c r="D283" s="29"/>
    </row>
    <row r="284">
      <c r="D284" s="29"/>
    </row>
    <row r="285">
      <c r="D285" s="29"/>
    </row>
    <row r="286">
      <c r="D286" s="29"/>
    </row>
    <row r="287">
      <c r="D287" s="29"/>
    </row>
    <row r="288">
      <c r="D288" s="29"/>
    </row>
    <row r="289">
      <c r="D289" s="29"/>
    </row>
    <row r="290">
      <c r="D290" s="29"/>
    </row>
    <row r="291">
      <c r="D291" s="29"/>
    </row>
    <row r="292">
      <c r="D292" s="29"/>
    </row>
    <row r="293">
      <c r="D293" s="29"/>
    </row>
    <row r="294">
      <c r="D294" s="29"/>
    </row>
    <row r="295">
      <c r="D295" s="29"/>
    </row>
    <row r="296">
      <c r="D296" s="29"/>
    </row>
    <row r="297">
      <c r="D297" s="29"/>
    </row>
    <row r="298">
      <c r="D298" s="29"/>
    </row>
    <row r="299">
      <c r="D299" s="29"/>
    </row>
    <row r="300">
      <c r="D300" s="29"/>
    </row>
    <row r="301">
      <c r="D301" s="29"/>
    </row>
    <row r="302">
      <c r="D302" s="29"/>
    </row>
    <row r="303">
      <c r="D303" s="29"/>
    </row>
    <row r="304">
      <c r="D304" s="29"/>
    </row>
    <row r="305">
      <c r="D305" s="29"/>
    </row>
    <row r="306">
      <c r="D306" s="29"/>
    </row>
    <row r="307">
      <c r="D307" s="29"/>
    </row>
    <row r="308">
      <c r="D308" s="29"/>
    </row>
    <row r="309">
      <c r="D309" s="29"/>
    </row>
    <row r="310">
      <c r="D310" s="29"/>
    </row>
    <row r="311">
      <c r="D311" s="29"/>
    </row>
    <row r="312">
      <c r="D312" s="29"/>
    </row>
    <row r="313">
      <c r="D313" s="29"/>
    </row>
    <row r="314">
      <c r="D314" s="29"/>
    </row>
    <row r="315">
      <c r="D315" s="29"/>
    </row>
    <row r="316">
      <c r="D316" s="29"/>
    </row>
    <row r="317">
      <c r="D317" s="29"/>
    </row>
    <row r="318">
      <c r="D318" s="29"/>
    </row>
    <row r="319">
      <c r="D319" s="29"/>
    </row>
    <row r="320">
      <c r="D320" s="29"/>
    </row>
    <row r="321">
      <c r="D321" s="29"/>
    </row>
    <row r="322">
      <c r="D322" s="29"/>
    </row>
    <row r="323">
      <c r="D323" s="29"/>
    </row>
    <row r="324">
      <c r="D324" s="29"/>
    </row>
    <row r="325">
      <c r="D325" s="29"/>
    </row>
    <row r="326">
      <c r="D326" s="29"/>
    </row>
    <row r="327">
      <c r="D327" s="29"/>
    </row>
    <row r="328">
      <c r="D328" s="29"/>
    </row>
    <row r="329">
      <c r="D329" s="29"/>
    </row>
    <row r="330">
      <c r="D330" s="29"/>
    </row>
    <row r="331">
      <c r="D331" s="29"/>
    </row>
    <row r="332">
      <c r="D332" s="29"/>
    </row>
    <row r="333">
      <c r="D333" s="29"/>
    </row>
    <row r="334">
      <c r="D334" s="29"/>
    </row>
    <row r="335">
      <c r="D335" s="29"/>
    </row>
    <row r="336">
      <c r="D336" s="29"/>
    </row>
    <row r="337">
      <c r="D337" s="29"/>
    </row>
    <row r="338">
      <c r="D338" s="29"/>
    </row>
    <row r="339">
      <c r="D339" s="29"/>
    </row>
    <row r="340">
      <c r="D340" s="29"/>
    </row>
    <row r="341">
      <c r="D341" s="29"/>
    </row>
    <row r="342">
      <c r="D342" s="29"/>
    </row>
    <row r="343">
      <c r="D343" s="29"/>
    </row>
    <row r="344">
      <c r="D344" s="29"/>
    </row>
    <row r="345">
      <c r="D345" s="29"/>
    </row>
    <row r="346">
      <c r="D346" s="29"/>
    </row>
    <row r="347">
      <c r="D347" s="29"/>
    </row>
    <row r="348">
      <c r="D348" s="29"/>
    </row>
    <row r="349">
      <c r="D349" s="29"/>
    </row>
    <row r="350">
      <c r="D350" s="29"/>
    </row>
    <row r="351">
      <c r="D351" s="29"/>
    </row>
    <row r="352">
      <c r="D352" s="29"/>
    </row>
    <row r="353">
      <c r="D353" s="29"/>
    </row>
    <row r="354">
      <c r="D354" s="29"/>
    </row>
    <row r="355">
      <c r="D355" s="29"/>
    </row>
    <row r="356">
      <c r="D356" s="29"/>
    </row>
    <row r="357">
      <c r="D357" s="29"/>
    </row>
    <row r="358">
      <c r="D358" s="29"/>
    </row>
    <row r="359">
      <c r="D359" s="29"/>
    </row>
    <row r="360">
      <c r="D360" s="29"/>
    </row>
    <row r="361">
      <c r="D361" s="29"/>
    </row>
    <row r="362">
      <c r="D362" s="29"/>
    </row>
    <row r="363">
      <c r="D363" s="29"/>
    </row>
    <row r="364">
      <c r="D364" s="29"/>
    </row>
    <row r="365">
      <c r="D365" s="29"/>
    </row>
    <row r="366">
      <c r="D366" s="29"/>
    </row>
    <row r="367">
      <c r="D367" s="29"/>
    </row>
    <row r="368">
      <c r="D368" s="29"/>
    </row>
    <row r="369">
      <c r="D369" s="29"/>
    </row>
    <row r="370">
      <c r="D370" s="29"/>
    </row>
    <row r="371">
      <c r="D371" s="29"/>
    </row>
    <row r="372">
      <c r="D372" s="29"/>
    </row>
    <row r="373">
      <c r="D373" s="29"/>
    </row>
    <row r="374">
      <c r="D374" s="29"/>
    </row>
    <row r="375">
      <c r="D375" s="29"/>
    </row>
    <row r="376">
      <c r="D376" s="29"/>
    </row>
    <row r="377">
      <c r="D377" s="29"/>
    </row>
    <row r="378">
      <c r="D378" s="29"/>
    </row>
    <row r="379">
      <c r="D379" s="29"/>
    </row>
    <row r="380">
      <c r="D380" s="29"/>
    </row>
    <row r="381">
      <c r="D381" s="29"/>
    </row>
    <row r="382">
      <c r="D382" s="29"/>
    </row>
    <row r="383">
      <c r="D383" s="29"/>
    </row>
    <row r="384">
      <c r="D384" s="29"/>
    </row>
    <row r="385">
      <c r="D385" s="29"/>
    </row>
    <row r="386">
      <c r="D386" s="29"/>
    </row>
    <row r="387">
      <c r="D387" s="29"/>
    </row>
    <row r="388">
      <c r="D388" s="29"/>
    </row>
    <row r="389">
      <c r="D389" s="29"/>
    </row>
    <row r="390">
      <c r="D390" s="29"/>
    </row>
    <row r="391">
      <c r="D391" s="29"/>
    </row>
    <row r="392">
      <c r="D392" s="29"/>
    </row>
    <row r="393">
      <c r="D393" s="29"/>
    </row>
    <row r="394">
      <c r="D394" s="29"/>
    </row>
    <row r="395">
      <c r="D395" s="29"/>
    </row>
    <row r="396">
      <c r="D396" s="29"/>
    </row>
    <row r="397">
      <c r="D397" s="29"/>
    </row>
    <row r="398">
      <c r="D398" s="29"/>
    </row>
    <row r="399">
      <c r="D399" s="29"/>
    </row>
    <row r="400">
      <c r="D400" s="29"/>
    </row>
    <row r="401">
      <c r="D401" s="29"/>
    </row>
    <row r="402">
      <c r="D402" s="29"/>
    </row>
    <row r="403">
      <c r="D403" s="29"/>
    </row>
    <row r="404">
      <c r="D404" s="29"/>
    </row>
    <row r="405">
      <c r="D405" s="29"/>
    </row>
    <row r="406">
      <c r="D406" s="29"/>
    </row>
    <row r="407">
      <c r="D407" s="29"/>
    </row>
    <row r="408">
      <c r="D408" s="29"/>
    </row>
    <row r="409">
      <c r="D409" s="29"/>
    </row>
    <row r="410">
      <c r="D410" s="29"/>
    </row>
    <row r="411">
      <c r="D411" s="29"/>
    </row>
    <row r="412">
      <c r="D412" s="29"/>
    </row>
    <row r="413">
      <c r="D413" s="29"/>
    </row>
    <row r="414">
      <c r="D414" s="29"/>
    </row>
    <row r="415">
      <c r="D415" s="29"/>
    </row>
    <row r="416">
      <c r="D416" s="29"/>
    </row>
    <row r="417">
      <c r="D417" s="29"/>
    </row>
    <row r="418">
      <c r="D418" s="29"/>
    </row>
    <row r="419">
      <c r="D419" s="29"/>
    </row>
    <row r="420">
      <c r="D420" s="29"/>
    </row>
    <row r="421">
      <c r="D421" s="29"/>
    </row>
    <row r="422">
      <c r="D422" s="29"/>
    </row>
    <row r="423">
      <c r="D423" s="29"/>
    </row>
    <row r="424">
      <c r="D424" s="29"/>
    </row>
    <row r="425">
      <c r="D425" s="29"/>
    </row>
    <row r="426">
      <c r="D426" s="29"/>
    </row>
    <row r="427">
      <c r="D427" s="29"/>
    </row>
    <row r="428">
      <c r="D428" s="29"/>
    </row>
    <row r="429">
      <c r="D429" s="29"/>
    </row>
    <row r="430">
      <c r="D430" s="29"/>
    </row>
    <row r="431">
      <c r="D431" s="29"/>
    </row>
    <row r="432">
      <c r="D432" s="29"/>
    </row>
    <row r="433">
      <c r="D433" s="29"/>
    </row>
    <row r="434">
      <c r="D434" s="29"/>
    </row>
    <row r="435">
      <c r="D435" s="29"/>
    </row>
    <row r="436">
      <c r="D436" s="29"/>
    </row>
    <row r="437">
      <c r="D437" s="29"/>
    </row>
    <row r="438">
      <c r="D438" s="29"/>
    </row>
    <row r="439">
      <c r="D439" s="29"/>
    </row>
    <row r="440">
      <c r="D440" s="29"/>
    </row>
    <row r="441">
      <c r="D441" s="29"/>
    </row>
    <row r="442">
      <c r="D442" s="29"/>
    </row>
    <row r="443">
      <c r="D443" s="29"/>
    </row>
    <row r="444">
      <c r="D444" s="29"/>
    </row>
    <row r="445">
      <c r="D445" s="29"/>
    </row>
    <row r="446">
      <c r="D446" s="29"/>
    </row>
    <row r="447">
      <c r="D447" s="29"/>
    </row>
    <row r="448">
      <c r="D448" s="29"/>
    </row>
    <row r="449">
      <c r="D449" s="29"/>
    </row>
    <row r="450">
      <c r="D450" s="29"/>
    </row>
    <row r="451">
      <c r="D451" s="29"/>
    </row>
    <row r="452">
      <c r="D452" s="29"/>
    </row>
    <row r="453">
      <c r="D453" s="29"/>
    </row>
    <row r="454">
      <c r="D454" s="29"/>
    </row>
    <row r="455">
      <c r="D455" s="29"/>
    </row>
    <row r="456">
      <c r="D456" s="29"/>
    </row>
    <row r="457">
      <c r="D457" s="29"/>
    </row>
    <row r="458">
      <c r="D458" s="29"/>
    </row>
    <row r="459">
      <c r="D459" s="29"/>
    </row>
    <row r="460">
      <c r="D460" s="29"/>
    </row>
    <row r="461">
      <c r="D461" s="29"/>
    </row>
    <row r="462">
      <c r="D462" s="29"/>
    </row>
    <row r="463">
      <c r="D463" s="29"/>
    </row>
    <row r="464">
      <c r="D464" s="29"/>
    </row>
    <row r="465">
      <c r="D465" s="29"/>
    </row>
    <row r="466">
      <c r="D466" s="29"/>
    </row>
    <row r="467">
      <c r="D467" s="29"/>
    </row>
    <row r="468">
      <c r="D468" s="29"/>
    </row>
    <row r="469">
      <c r="D469" s="29"/>
    </row>
    <row r="470">
      <c r="D470" s="29"/>
    </row>
    <row r="471">
      <c r="D471" s="29"/>
    </row>
    <row r="472">
      <c r="D472" s="29"/>
    </row>
    <row r="473">
      <c r="D473" s="29"/>
    </row>
    <row r="474">
      <c r="D474" s="29"/>
    </row>
    <row r="475">
      <c r="D475" s="29"/>
    </row>
    <row r="476">
      <c r="D476" s="29"/>
    </row>
    <row r="477">
      <c r="D477" s="29"/>
    </row>
    <row r="478">
      <c r="D478" s="29"/>
    </row>
    <row r="479">
      <c r="D479" s="29"/>
    </row>
    <row r="480">
      <c r="D480" s="29"/>
    </row>
    <row r="481">
      <c r="D481" s="29"/>
    </row>
    <row r="482">
      <c r="D482" s="29"/>
    </row>
    <row r="483">
      <c r="D483" s="29"/>
    </row>
    <row r="484">
      <c r="D484" s="29"/>
    </row>
    <row r="485">
      <c r="D485" s="29"/>
    </row>
    <row r="486">
      <c r="D486" s="29"/>
    </row>
    <row r="487">
      <c r="D487" s="29"/>
    </row>
    <row r="488">
      <c r="D488" s="29"/>
    </row>
    <row r="489">
      <c r="D489" s="29"/>
    </row>
    <row r="490">
      <c r="D490" s="29"/>
    </row>
    <row r="491">
      <c r="D491" s="29"/>
    </row>
    <row r="492">
      <c r="D492" s="29"/>
    </row>
    <row r="493">
      <c r="D493" s="29"/>
    </row>
    <row r="494">
      <c r="D494" s="29"/>
    </row>
    <row r="495">
      <c r="D495" s="29"/>
    </row>
    <row r="496">
      <c r="D496" s="29"/>
    </row>
    <row r="497">
      <c r="D497" s="29"/>
    </row>
    <row r="498">
      <c r="D498" s="29"/>
    </row>
    <row r="499">
      <c r="D499" s="29"/>
    </row>
    <row r="500">
      <c r="D500" s="29"/>
    </row>
    <row r="501">
      <c r="D501" s="29"/>
    </row>
    <row r="502">
      <c r="D502" s="29"/>
    </row>
    <row r="503">
      <c r="D503" s="29"/>
    </row>
    <row r="504">
      <c r="D504" s="29"/>
    </row>
    <row r="505">
      <c r="D505" s="29"/>
    </row>
    <row r="506">
      <c r="D506" s="29"/>
    </row>
    <row r="507">
      <c r="D507" s="29"/>
    </row>
    <row r="508">
      <c r="D508" s="29"/>
    </row>
    <row r="509">
      <c r="D509" s="29"/>
    </row>
    <row r="510">
      <c r="D510" s="29"/>
    </row>
    <row r="511">
      <c r="D511" s="29"/>
    </row>
    <row r="512">
      <c r="D512" s="29"/>
    </row>
    <row r="513">
      <c r="D513" s="29"/>
    </row>
    <row r="514">
      <c r="D514" s="29"/>
    </row>
    <row r="515">
      <c r="D515" s="29"/>
    </row>
    <row r="516">
      <c r="D516" s="29"/>
    </row>
    <row r="517">
      <c r="D517" s="29"/>
    </row>
    <row r="518">
      <c r="D518" s="29"/>
    </row>
    <row r="519">
      <c r="D519" s="29"/>
    </row>
    <row r="520">
      <c r="D520" s="29"/>
    </row>
    <row r="521">
      <c r="D521" s="29"/>
    </row>
    <row r="522">
      <c r="D522" s="29"/>
    </row>
    <row r="523">
      <c r="D523" s="29"/>
    </row>
    <row r="524">
      <c r="D524" s="29"/>
    </row>
    <row r="525">
      <c r="D525" s="29"/>
    </row>
    <row r="526">
      <c r="D526" s="29"/>
    </row>
    <row r="527">
      <c r="D527" s="29"/>
    </row>
    <row r="528">
      <c r="D528" s="29"/>
    </row>
    <row r="529">
      <c r="D529" s="29"/>
    </row>
    <row r="530">
      <c r="D530" s="29"/>
    </row>
    <row r="531">
      <c r="D531" s="29"/>
    </row>
    <row r="532">
      <c r="D532" s="29"/>
    </row>
    <row r="533">
      <c r="D533" s="29"/>
    </row>
    <row r="534">
      <c r="D534" s="29"/>
    </row>
    <row r="535">
      <c r="D535" s="29"/>
    </row>
    <row r="536">
      <c r="D536" s="29"/>
    </row>
    <row r="537">
      <c r="D537" s="29"/>
    </row>
    <row r="538">
      <c r="D538" s="29"/>
    </row>
    <row r="539">
      <c r="D539" s="29"/>
    </row>
    <row r="540">
      <c r="D540" s="29"/>
    </row>
    <row r="541">
      <c r="D541" s="29"/>
    </row>
    <row r="542">
      <c r="D542" s="29"/>
    </row>
    <row r="543">
      <c r="D543" s="29"/>
    </row>
    <row r="544">
      <c r="D544" s="29"/>
    </row>
    <row r="545">
      <c r="D545" s="29"/>
    </row>
    <row r="546">
      <c r="D546" s="29"/>
    </row>
    <row r="547">
      <c r="D547" s="29"/>
    </row>
    <row r="548">
      <c r="D548" s="29"/>
    </row>
    <row r="549">
      <c r="D549" s="29"/>
    </row>
    <row r="550">
      <c r="D550" s="29"/>
    </row>
    <row r="551">
      <c r="D551" s="29"/>
    </row>
    <row r="552">
      <c r="D552" s="29"/>
    </row>
    <row r="553">
      <c r="D553" s="29"/>
    </row>
    <row r="554">
      <c r="D554" s="29"/>
    </row>
    <row r="555">
      <c r="D555" s="29"/>
    </row>
    <row r="556">
      <c r="D556" s="29"/>
    </row>
    <row r="557">
      <c r="D557" s="29"/>
    </row>
    <row r="558">
      <c r="D558" s="29"/>
    </row>
    <row r="559">
      <c r="D559" s="29"/>
    </row>
    <row r="560">
      <c r="D560" s="29"/>
    </row>
    <row r="561">
      <c r="D561" s="29"/>
    </row>
    <row r="562">
      <c r="D562" s="29"/>
    </row>
    <row r="563">
      <c r="D563" s="29"/>
    </row>
    <row r="564">
      <c r="D564" s="29"/>
    </row>
    <row r="565">
      <c r="D565" s="29"/>
    </row>
    <row r="566">
      <c r="D566" s="29"/>
    </row>
    <row r="567">
      <c r="D567" s="29"/>
    </row>
    <row r="568">
      <c r="D568" s="29"/>
    </row>
    <row r="569">
      <c r="D569" s="29"/>
    </row>
    <row r="570">
      <c r="D570" s="29"/>
    </row>
    <row r="571">
      <c r="D571" s="29"/>
    </row>
    <row r="572">
      <c r="D572" s="29"/>
    </row>
    <row r="573">
      <c r="D573" s="29"/>
    </row>
    <row r="574">
      <c r="D574" s="29"/>
    </row>
    <row r="575">
      <c r="D575" s="29"/>
    </row>
    <row r="576">
      <c r="D576" s="29"/>
    </row>
    <row r="577">
      <c r="D577" s="29"/>
    </row>
    <row r="578">
      <c r="D578" s="29"/>
    </row>
    <row r="579">
      <c r="D579" s="29"/>
    </row>
    <row r="580">
      <c r="D580" s="29"/>
    </row>
    <row r="581">
      <c r="D581" s="29"/>
    </row>
    <row r="582">
      <c r="D582" s="29"/>
    </row>
    <row r="583">
      <c r="D583" s="29"/>
    </row>
    <row r="584">
      <c r="D584" s="29"/>
    </row>
    <row r="585">
      <c r="D585" s="29"/>
    </row>
    <row r="586">
      <c r="D586" s="29"/>
    </row>
    <row r="587">
      <c r="D587" s="29"/>
    </row>
    <row r="588">
      <c r="D588" s="29"/>
    </row>
    <row r="589">
      <c r="D589" s="29"/>
    </row>
    <row r="590">
      <c r="D590" s="29"/>
    </row>
    <row r="591">
      <c r="D591" s="29"/>
    </row>
    <row r="592">
      <c r="D592" s="29"/>
    </row>
    <row r="593">
      <c r="D593" s="29"/>
    </row>
    <row r="594">
      <c r="D594" s="29"/>
    </row>
    <row r="595">
      <c r="D595" s="29"/>
    </row>
    <row r="596">
      <c r="D596" s="29"/>
    </row>
    <row r="597">
      <c r="D597" s="29"/>
    </row>
    <row r="598">
      <c r="D598" s="29"/>
    </row>
    <row r="599">
      <c r="D599" s="29"/>
    </row>
    <row r="600">
      <c r="D600" s="29"/>
    </row>
    <row r="601">
      <c r="D601" s="29"/>
    </row>
    <row r="602">
      <c r="D602" s="29"/>
    </row>
    <row r="603">
      <c r="D603" s="29"/>
    </row>
    <row r="604">
      <c r="D604" s="29"/>
    </row>
    <row r="605">
      <c r="D605" s="29"/>
    </row>
    <row r="606">
      <c r="D606" s="29"/>
    </row>
    <row r="607">
      <c r="D607" s="29"/>
    </row>
    <row r="608">
      <c r="D608" s="29"/>
    </row>
    <row r="609">
      <c r="D609" s="29"/>
    </row>
    <row r="610">
      <c r="D610" s="29"/>
    </row>
    <row r="611">
      <c r="D611" s="29"/>
    </row>
    <row r="612">
      <c r="D612" s="29"/>
    </row>
    <row r="613">
      <c r="D613" s="29"/>
    </row>
    <row r="614">
      <c r="D614" s="29"/>
    </row>
    <row r="615">
      <c r="D615" s="29"/>
    </row>
    <row r="616">
      <c r="D616" s="29"/>
    </row>
    <row r="617">
      <c r="D617" s="29"/>
    </row>
    <row r="618">
      <c r="D618" s="29"/>
    </row>
    <row r="619">
      <c r="D619" s="29"/>
    </row>
    <row r="620">
      <c r="D620" s="29"/>
    </row>
    <row r="621">
      <c r="D621" s="29"/>
    </row>
    <row r="622">
      <c r="D622" s="29"/>
    </row>
    <row r="623">
      <c r="D623" s="29"/>
    </row>
    <row r="624">
      <c r="D624" s="29"/>
    </row>
    <row r="625">
      <c r="D625" s="29"/>
    </row>
    <row r="626">
      <c r="D626" s="29"/>
    </row>
    <row r="627">
      <c r="D627" s="29"/>
    </row>
    <row r="628">
      <c r="D628" s="29"/>
    </row>
    <row r="629">
      <c r="D629" s="29"/>
    </row>
    <row r="630">
      <c r="D630" s="29"/>
    </row>
    <row r="631">
      <c r="D631" s="29"/>
    </row>
    <row r="632">
      <c r="D632" s="29"/>
    </row>
    <row r="633">
      <c r="D633" s="29"/>
    </row>
    <row r="634">
      <c r="D634" s="29"/>
    </row>
    <row r="635">
      <c r="D635" s="29"/>
    </row>
    <row r="636">
      <c r="D636" s="29"/>
    </row>
    <row r="637">
      <c r="D637" s="29"/>
    </row>
    <row r="638">
      <c r="D638" s="29"/>
    </row>
    <row r="639">
      <c r="D639" s="29"/>
    </row>
    <row r="640">
      <c r="D640" s="29"/>
    </row>
    <row r="641">
      <c r="D641" s="29"/>
    </row>
    <row r="642">
      <c r="D642" s="29"/>
    </row>
    <row r="643">
      <c r="D643" s="29"/>
    </row>
    <row r="644">
      <c r="D644" s="29"/>
    </row>
    <row r="645">
      <c r="D645" s="29"/>
    </row>
    <row r="646">
      <c r="D646" s="29"/>
    </row>
    <row r="647">
      <c r="D647" s="29"/>
    </row>
    <row r="648">
      <c r="D648" s="29"/>
    </row>
    <row r="649">
      <c r="D649" s="29"/>
    </row>
    <row r="650">
      <c r="D650" s="29"/>
    </row>
    <row r="651">
      <c r="D651" s="29"/>
    </row>
    <row r="652">
      <c r="D652" s="29"/>
    </row>
    <row r="653">
      <c r="D653" s="29"/>
    </row>
    <row r="654">
      <c r="D654" s="29"/>
    </row>
    <row r="655">
      <c r="D655" s="29"/>
    </row>
    <row r="656">
      <c r="D656" s="29"/>
    </row>
    <row r="657">
      <c r="D657" s="29"/>
    </row>
    <row r="658">
      <c r="D658" s="29"/>
    </row>
    <row r="659">
      <c r="D659" s="29"/>
    </row>
    <row r="660">
      <c r="D660" s="29"/>
    </row>
    <row r="661">
      <c r="D661" s="29"/>
    </row>
    <row r="662">
      <c r="D662" s="29"/>
    </row>
    <row r="663">
      <c r="D663" s="29"/>
    </row>
    <row r="664">
      <c r="D664" s="29"/>
    </row>
    <row r="665">
      <c r="D665" s="29"/>
    </row>
    <row r="666">
      <c r="D666" s="29"/>
    </row>
    <row r="667">
      <c r="D667" s="29"/>
    </row>
    <row r="668">
      <c r="D668" s="29"/>
    </row>
    <row r="669">
      <c r="D669" s="29"/>
    </row>
    <row r="670">
      <c r="D670" s="29"/>
    </row>
    <row r="671">
      <c r="D671" s="29"/>
    </row>
    <row r="672">
      <c r="D672" s="29"/>
    </row>
    <row r="673">
      <c r="D673" s="29"/>
    </row>
    <row r="674">
      <c r="D674" s="29"/>
    </row>
    <row r="675">
      <c r="D675" s="29"/>
    </row>
    <row r="676">
      <c r="D676" s="29"/>
    </row>
    <row r="677">
      <c r="D677" s="29"/>
    </row>
    <row r="678">
      <c r="D678" s="29"/>
    </row>
    <row r="679">
      <c r="D679" s="29"/>
    </row>
    <row r="680">
      <c r="D680" s="29"/>
    </row>
    <row r="681">
      <c r="D681" s="29"/>
    </row>
    <row r="682">
      <c r="D682" s="29"/>
    </row>
    <row r="683">
      <c r="D683" s="29"/>
    </row>
    <row r="684">
      <c r="D684" s="29"/>
    </row>
    <row r="685">
      <c r="D685" s="29"/>
    </row>
    <row r="686">
      <c r="D686" s="29"/>
    </row>
    <row r="687">
      <c r="D687" s="29"/>
    </row>
    <row r="688">
      <c r="D688" s="29"/>
    </row>
    <row r="689">
      <c r="D689" s="29"/>
    </row>
    <row r="690">
      <c r="D690" s="29"/>
    </row>
    <row r="691">
      <c r="D691" s="29"/>
    </row>
    <row r="692">
      <c r="D692" s="29"/>
    </row>
    <row r="693">
      <c r="D693" s="29"/>
    </row>
    <row r="694">
      <c r="D694" s="29"/>
    </row>
    <row r="695">
      <c r="D695" s="29"/>
    </row>
    <row r="696">
      <c r="D696" s="29"/>
    </row>
    <row r="697">
      <c r="D697" s="29"/>
    </row>
    <row r="698">
      <c r="D698" s="29"/>
    </row>
    <row r="699">
      <c r="D699" s="29"/>
    </row>
    <row r="700">
      <c r="D700" s="29"/>
    </row>
    <row r="701">
      <c r="D701" s="29"/>
    </row>
    <row r="702">
      <c r="D702" s="29"/>
    </row>
    <row r="703">
      <c r="D703" s="29"/>
    </row>
    <row r="704">
      <c r="D704" s="29"/>
    </row>
    <row r="705">
      <c r="D705" s="29"/>
    </row>
    <row r="706">
      <c r="D706" s="29"/>
    </row>
    <row r="707">
      <c r="D707" s="29"/>
    </row>
    <row r="708">
      <c r="D708" s="29"/>
    </row>
    <row r="709">
      <c r="D709" s="29"/>
    </row>
    <row r="710">
      <c r="D710" s="29"/>
    </row>
    <row r="711">
      <c r="D711" s="29"/>
    </row>
    <row r="712">
      <c r="D712" s="29"/>
    </row>
    <row r="713">
      <c r="D713" s="29"/>
    </row>
    <row r="714">
      <c r="D714" s="29"/>
    </row>
    <row r="715">
      <c r="D715" s="29"/>
    </row>
    <row r="716">
      <c r="D716" s="29"/>
    </row>
    <row r="717">
      <c r="D717" s="29"/>
    </row>
    <row r="718">
      <c r="D718" s="29"/>
    </row>
    <row r="719">
      <c r="D719" s="29"/>
    </row>
    <row r="720">
      <c r="D720" s="29"/>
    </row>
    <row r="721">
      <c r="D721" s="29"/>
    </row>
    <row r="722">
      <c r="D722" s="29"/>
    </row>
    <row r="723">
      <c r="D723" s="29"/>
    </row>
    <row r="724">
      <c r="D724" s="29"/>
    </row>
    <row r="725">
      <c r="D725" s="29"/>
    </row>
    <row r="726">
      <c r="D726" s="29"/>
    </row>
    <row r="727">
      <c r="D727" s="29"/>
    </row>
    <row r="728">
      <c r="D728" s="29"/>
    </row>
    <row r="729">
      <c r="D729" s="29"/>
    </row>
    <row r="730">
      <c r="D730" s="29"/>
    </row>
    <row r="731">
      <c r="D731" s="29"/>
    </row>
    <row r="732">
      <c r="D732" s="29"/>
    </row>
    <row r="733">
      <c r="D733" s="29"/>
    </row>
    <row r="734">
      <c r="D734" s="29"/>
    </row>
    <row r="735">
      <c r="D735" s="29"/>
    </row>
    <row r="736">
      <c r="D736" s="29"/>
    </row>
    <row r="737">
      <c r="D737" s="29"/>
    </row>
    <row r="738">
      <c r="D738" s="29"/>
    </row>
    <row r="739">
      <c r="D739" s="29"/>
    </row>
    <row r="740">
      <c r="D740" s="29"/>
    </row>
    <row r="741">
      <c r="D741" s="29"/>
    </row>
    <row r="742">
      <c r="D742" s="29"/>
    </row>
    <row r="743">
      <c r="D743" s="29"/>
    </row>
    <row r="744">
      <c r="D744" s="29"/>
    </row>
    <row r="745">
      <c r="D745" s="29"/>
    </row>
    <row r="746">
      <c r="D746" s="29"/>
    </row>
    <row r="747">
      <c r="D747" s="29"/>
    </row>
    <row r="748">
      <c r="D748" s="29"/>
    </row>
    <row r="749">
      <c r="D749" s="29"/>
    </row>
    <row r="750">
      <c r="D750" s="29"/>
    </row>
    <row r="751">
      <c r="D751" s="29"/>
    </row>
    <row r="752">
      <c r="D752" s="29"/>
    </row>
    <row r="753">
      <c r="D753" s="29"/>
    </row>
    <row r="754">
      <c r="D754" s="29"/>
    </row>
    <row r="755">
      <c r="D755" s="29"/>
    </row>
    <row r="756">
      <c r="D756" s="29"/>
    </row>
    <row r="757">
      <c r="D757" s="29"/>
    </row>
    <row r="758">
      <c r="D758" s="29"/>
    </row>
    <row r="759">
      <c r="D759" s="29"/>
    </row>
    <row r="760">
      <c r="D760" s="29"/>
    </row>
    <row r="761">
      <c r="D761" s="29"/>
    </row>
    <row r="762">
      <c r="D762" s="29"/>
    </row>
    <row r="763">
      <c r="D763" s="29"/>
    </row>
    <row r="764">
      <c r="D764" s="29"/>
    </row>
    <row r="765">
      <c r="D765" s="29"/>
    </row>
    <row r="766">
      <c r="D766" s="29"/>
    </row>
    <row r="767">
      <c r="D767" s="29"/>
    </row>
    <row r="768">
      <c r="D768" s="29"/>
    </row>
    <row r="769">
      <c r="D769" s="29"/>
    </row>
    <row r="770">
      <c r="D770" s="29"/>
    </row>
    <row r="771">
      <c r="D771" s="29"/>
    </row>
    <row r="772">
      <c r="D772" s="29"/>
    </row>
    <row r="773">
      <c r="D773" s="29"/>
    </row>
    <row r="774">
      <c r="D774" s="29"/>
    </row>
    <row r="775">
      <c r="D775" s="29"/>
    </row>
    <row r="776">
      <c r="D776" s="29"/>
    </row>
    <row r="777">
      <c r="D777" s="29"/>
    </row>
    <row r="778">
      <c r="D778" s="29"/>
    </row>
    <row r="779">
      <c r="D779" s="29"/>
    </row>
    <row r="780">
      <c r="D780" s="29"/>
    </row>
    <row r="781">
      <c r="D781" s="29"/>
    </row>
    <row r="782">
      <c r="D782" s="29"/>
    </row>
    <row r="783">
      <c r="D783" s="29"/>
    </row>
    <row r="784">
      <c r="D784" s="29"/>
    </row>
    <row r="785">
      <c r="D785" s="29"/>
    </row>
    <row r="786">
      <c r="D786" s="29"/>
    </row>
    <row r="787">
      <c r="D787" s="29"/>
    </row>
    <row r="788">
      <c r="D788" s="29"/>
    </row>
    <row r="789">
      <c r="D789" s="29"/>
    </row>
    <row r="790">
      <c r="D790" s="29"/>
    </row>
    <row r="791">
      <c r="D791" s="29"/>
    </row>
    <row r="792">
      <c r="D792" s="29"/>
    </row>
    <row r="793">
      <c r="D793" s="29"/>
    </row>
    <row r="794">
      <c r="D794" s="29"/>
    </row>
    <row r="795">
      <c r="D795" s="29"/>
    </row>
    <row r="796">
      <c r="D796" s="29"/>
    </row>
    <row r="797">
      <c r="D797" s="29"/>
    </row>
    <row r="798">
      <c r="D798" s="29"/>
    </row>
    <row r="799">
      <c r="D799" s="29"/>
    </row>
    <row r="800">
      <c r="D800" s="29"/>
    </row>
    <row r="801">
      <c r="D801" s="29"/>
    </row>
    <row r="802">
      <c r="D802" s="29"/>
    </row>
    <row r="803">
      <c r="D803" s="29"/>
    </row>
    <row r="804">
      <c r="D804" s="29"/>
    </row>
    <row r="805">
      <c r="D805" s="29"/>
    </row>
    <row r="806">
      <c r="D806" s="29"/>
    </row>
    <row r="807">
      <c r="D807" s="29"/>
    </row>
    <row r="808">
      <c r="D808" s="29"/>
    </row>
    <row r="809">
      <c r="D809" s="29"/>
    </row>
    <row r="810">
      <c r="D810" s="29"/>
    </row>
    <row r="811">
      <c r="D811" s="29"/>
    </row>
    <row r="812">
      <c r="D812" s="29"/>
    </row>
    <row r="813">
      <c r="D813" s="29"/>
    </row>
    <row r="814">
      <c r="D814" s="29"/>
    </row>
    <row r="815">
      <c r="D815" s="29"/>
    </row>
    <row r="816">
      <c r="D816" s="29"/>
    </row>
    <row r="817">
      <c r="D817" s="29"/>
    </row>
    <row r="818">
      <c r="D818" s="29"/>
    </row>
    <row r="819">
      <c r="D819" s="29"/>
    </row>
    <row r="820">
      <c r="D820" s="29"/>
    </row>
    <row r="821">
      <c r="D821" s="29"/>
    </row>
    <row r="822">
      <c r="D822" s="29"/>
    </row>
    <row r="823">
      <c r="D823" s="29"/>
    </row>
    <row r="824">
      <c r="D824" s="29"/>
    </row>
    <row r="825">
      <c r="D825" s="29"/>
    </row>
    <row r="826">
      <c r="D826" s="29"/>
    </row>
    <row r="827">
      <c r="D827" s="29"/>
    </row>
    <row r="828">
      <c r="D828" s="29"/>
    </row>
    <row r="829">
      <c r="D829" s="29"/>
    </row>
    <row r="830">
      <c r="D830" s="29"/>
    </row>
    <row r="831">
      <c r="D831" s="29"/>
    </row>
    <row r="832">
      <c r="D832" s="29"/>
    </row>
    <row r="833">
      <c r="D833" s="29"/>
    </row>
    <row r="834">
      <c r="D834" s="29"/>
    </row>
    <row r="835">
      <c r="D835" s="29"/>
    </row>
    <row r="836">
      <c r="D836" s="29"/>
    </row>
    <row r="837">
      <c r="D837" s="29"/>
    </row>
    <row r="838">
      <c r="D838" s="29"/>
    </row>
    <row r="839">
      <c r="D839" s="29"/>
    </row>
    <row r="840">
      <c r="D840" s="29"/>
    </row>
    <row r="841">
      <c r="D841" s="29"/>
    </row>
    <row r="842">
      <c r="D842" s="29"/>
    </row>
    <row r="843">
      <c r="D843" s="29"/>
    </row>
    <row r="844">
      <c r="D844" s="29"/>
    </row>
    <row r="845">
      <c r="D845" s="29"/>
    </row>
    <row r="846">
      <c r="D846" s="29"/>
    </row>
    <row r="847">
      <c r="D847" s="29"/>
    </row>
    <row r="848">
      <c r="D848" s="29"/>
    </row>
    <row r="849">
      <c r="D849" s="29"/>
    </row>
    <row r="850">
      <c r="D850" s="29"/>
    </row>
    <row r="851">
      <c r="D851" s="29"/>
    </row>
    <row r="852">
      <c r="D852" s="29"/>
    </row>
    <row r="853">
      <c r="D853" s="29"/>
    </row>
    <row r="854">
      <c r="D854" s="29"/>
    </row>
    <row r="855">
      <c r="D855" s="29"/>
    </row>
    <row r="856">
      <c r="D856" s="29"/>
    </row>
    <row r="857">
      <c r="D857" s="29"/>
    </row>
    <row r="858">
      <c r="D858" s="29"/>
    </row>
    <row r="859">
      <c r="D859" s="29"/>
    </row>
    <row r="860">
      <c r="D860" s="29"/>
    </row>
    <row r="861">
      <c r="D861" s="29"/>
    </row>
    <row r="862">
      <c r="D862" s="29"/>
    </row>
    <row r="863">
      <c r="D863" s="29"/>
    </row>
    <row r="864">
      <c r="D864" s="29"/>
    </row>
    <row r="865">
      <c r="D865" s="29"/>
    </row>
    <row r="866">
      <c r="D866" s="29"/>
    </row>
    <row r="867">
      <c r="D867" s="29"/>
    </row>
    <row r="868">
      <c r="D868" s="29"/>
    </row>
    <row r="869">
      <c r="D869" s="29"/>
    </row>
    <row r="870">
      <c r="D870" s="29"/>
    </row>
    <row r="871">
      <c r="D871" s="29"/>
    </row>
    <row r="872">
      <c r="D872" s="29"/>
    </row>
    <row r="873">
      <c r="D873" s="29"/>
    </row>
    <row r="874">
      <c r="D874" s="29"/>
    </row>
    <row r="875">
      <c r="D875" s="29"/>
    </row>
    <row r="876">
      <c r="D876" s="29"/>
    </row>
    <row r="877">
      <c r="D877" s="29"/>
    </row>
    <row r="878">
      <c r="D878" s="29"/>
    </row>
    <row r="879">
      <c r="D879" s="29"/>
    </row>
    <row r="880">
      <c r="D880" s="29"/>
    </row>
    <row r="881">
      <c r="D881" s="29"/>
    </row>
    <row r="882">
      <c r="D882" s="29"/>
    </row>
    <row r="883">
      <c r="D883" s="29"/>
    </row>
    <row r="884">
      <c r="D884" s="29"/>
    </row>
    <row r="885">
      <c r="D885" s="29"/>
    </row>
    <row r="886">
      <c r="D886" s="29"/>
    </row>
    <row r="887">
      <c r="D887" s="29"/>
    </row>
    <row r="888">
      <c r="D888" s="29"/>
    </row>
    <row r="889">
      <c r="D889" s="29"/>
    </row>
    <row r="890">
      <c r="D890" s="29"/>
    </row>
    <row r="891">
      <c r="D891" s="29"/>
    </row>
    <row r="892">
      <c r="D892" s="29"/>
    </row>
    <row r="893">
      <c r="D893" s="29"/>
    </row>
    <row r="894">
      <c r="D894" s="29"/>
    </row>
    <row r="895">
      <c r="D895" s="29"/>
    </row>
    <row r="896">
      <c r="D896" s="29"/>
    </row>
    <row r="897">
      <c r="D897" s="29"/>
    </row>
    <row r="898">
      <c r="D898" s="29"/>
    </row>
    <row r="899">
      <c r="D899" s="29"/>
    </row>
    <row r="900">
      <c r="D900" s="29"/>
    </row>
    <row r="901">
      <c r="D901" s="29"/>
    </row>
    <row r="902">
      <c r="D902" s="29"/>
    </row>
    <row r="903">
      <c r="D903" s="29"/>
    </row>
    <row r="904">
      <c r="D904" s="29"/>
    </row>
    <row r="905">
      <c r="D905" s="29"/>
    </row>
    <row r="906">
      <c r="D906" s="29"/>
    </row>
    <row r="907">
      <c r="D907" s="29"/>
    </row>
    <row r="908">
      <c r="D908" s="29"/>
    </row>
    <row r="909">
      <c r="D909" s="29"/>
    </row>
    <row r="910">
      <c r="D910" s="29"/>
    </row>
    <row r="911">
      <c r="D911" s="29"/>
    </row>
    <row r="912">
      <c r="D912" s="29"/>
    </row>
    <row r="913">
      <c r="D913" s="29"/>
    </row>
    <row r="914">
      <c r="D914" s="29"/>
    </row>
    <row r="915">
      <c r="D915" s="29"/>
    </row>
    <row r="916">
      <c r="D916" s="29"/>
    </row>
    <row r="917">
      <c r="D917" s="29"/>
    </row>
    <row r="918">
      <c r="D918" s="29"/>
    </row>
    <row r="919">
      <c r="D919" s="29"/>
    </row>
    <row r="920">
      <c r="D920" s="29"/>
    </row>
    <row r="921">
      <c r="D921" s="29"/>
    </row>
    <row r="922">
      <c r="D922" s="29"/>
    </row>
    <row r="923">
      <c r="D923" s="29"/>
    </row>
    <row r="924">
      <c r="D924" s="29"/>
    </row>
    <row r="925">
      <c r="D925" s="29"/>
    </row>
    <row r="926">
      <c r="D926" s="29"/>
    </row>
    <row r="927">
      <c r="D927" s="29"/>
    </row>
    <row r="928">
      <c r="D928" s="29"/>
    </row>
    <row r="929">
      <c r="D929" s="29"/>
    </row>
    <row r="930">
      <c r="D930" s="29"/>
    </row>
    <row r="931">
      <c r="D931" s="29"/>
    </row>
    <row r="932">
      <c r="D932" s="29"/>
    </row>
    <row r="933">
      <c r="D933" s="29"/>
    </row>
    <row r="934">
      <c r="D934" s="29"/>
    </row>
    <row r="935">
      <c r="D935" s="29"/>
    </row>
    <row r="936">
      <c r="D936" s="29"/>
    </row>
    <row r="937">
      <c r="D937" s="29"/>
    </row>
    <row r="938">
      <c r="D938" s="29"/>
    </row>
    <row r="939">
      <c r="D939" s="29"/>
    </row>
    <row r="940">
      <c r="D940" s="29"/>
    </row>
    <row r="941">
      <c r="D941" s="29"/>
    </row>
    <row r="942">
      <c r="D942" s="29"/>
    </row>
    <row r="943">
      <c r="D943" s="29"/>
    </row>
    <row r="944">
      <c r="D944" s="29"/>
    </row>
    <row r="945">
      <c r="D945" s="29"/>
    </row>
    <row r="946">
      <c r="D946" s="29"/>
    </row>
    <row r="947">
      <c r="D947" s="29"/>
    </row>
    <row r="948">
      <c r="D948" s="29"/>
    </row>
    <row r="949">
      <c r="D949" s="29"/>
    </row>
    <row r="950">
      <c r="D950" s="29"/>
    </row>
    <row r="951">
      <c r="D951" s="29"/>
    </row>
    <row r="952">
      <c r="D952" s="29"/>
    </row>
    <row r="953">
      <c r="D953" s="29"/>
    </row>
    <row r="954">
      <c r="D954" s="29"/>
    </row>
    <row r="955">
      <c r="D955" s="29"/>
    </row>
    <row r="956">
      <c r="D956" s="29"/>
    </row>
    <row r="957">
      <c r="D957" s="29"/>
    </row>
    <row r="958">
      <c r="D958" s="29"/>
    </row>
    <row r="959">
      <c r="D959" s="29"/>
    </row>
    <row r="960">
      <c r="D960" s="29"/>
    </row>
    <row r="961">
      <c r="D961" s="29"/>
    </row>
    <row r="962">
      <c r="D962" s="29"/>
    </row>
    <row r="963">
      <c r="D963" s="29"/>
    </row>
    <row r="964">
      <c r="D964" s="29"/>
    </row>
    <row r="965">
      <c r="D965" s="29"/>
    </row>
    <row r="966">
      <c r="D966" s="29"/>
    </row>
    <row r="967">
      <c r="D967" s="29"/>
    </row>
    <row r="968">
      <c r="D968" s="29"/>
    </row>
    <row r="969">
      <c r="D969" s="29"/>
    </row>
    <row r="970">
      <c r="D970" s="29"/>
    </row>
    <row r="971">
      <c r="D971" s="29"/>
    </row>
    <row r="972">
      <c r="D972" s="29"/>
    </row>
    <row r="973">
      <c r="D973" s="29"/>
    </row>
    <row r="974">
      <c r="D974" s="29"/>
    </row>
    <row r="975">
      <c r="D975" s="29"/>
    </row>
    <row r="976">
      <c r="D976" s="29"/>
    </row>
    <row r="977">
      <c r="D977" s="29"/>
    </row>
    <row r="978">
      <c r="D978" s="29"/>
    </row>
    <row r="979">
      <c r="D979" s="29"/>
    </row>
    <row r="980">
      <c r="D980" s="29"/>
    </row>
    <row r="981">
      <c r="D981" s="29"/>
    </row>
    <row r="982">
      <c r="D982" s="29"/>
    </row>
    <row r="983">
      <c r="D983" s="29"/>
    </row>
    <row r="984">
      <c r="D984" s="29"/>
    </row>
    <row r="985">
      <c r="D985" s="29"/>
    </row>
    <row r="986">
      <c r="D986" s="29"/>
    </row>
    <row r="987">
      <c r="D987" s="29"/>
    </row>
    <row r="988">
      <c r="D988" s="29"/>
    </row>
    <row r="989">
      <c r="D989" s="29"/>
    </row>
    <row r="990">
      <c r="D990" s="29"/>
    </row>
    <row r="991">
      <c r="D991" s="29"/>
    </row>
    <row r="992">
      <c r="D992" s="29"/>
    </row>
    <row r="993">
      <c r="D993" s="29"/>
    </row>
    <row r="994">
      <c r="D994" s="29"/>
    </row>
    <row r="995">
      <c r="D995" s="29"/>
    </row>
    <row r="996">
      <c r="D996" s="29"/>
    </row>
    <row r="997">
      <c r="D997" s="29"/>
    </row>
    <row r="998">
      <c r="D998" s="29"/>
    </row>
    <row r="999">
      <c r="D999" s="29"/>
    </row>
    <row r="1000">
      <c r="D1000" s="29"/>
    </row>
    <row r="1001">
      <c r="D1001" s="29"/>
    </row>
    <row r="1002">
      <c r="D1002" s="29"/>
    </row>
    <row r="1003">
      <c r="D1003" s="29"/>
    </row>
    <row r="1004">
      <c r="D1004" s="29"/>
    </row>
    <row r="1005">
      <c r="D1005" s="29"/>
    </row>
    <row r="1006">
      <c r="D1006" s="29"/>
    </row>
    <row r="1007">
      <c r="D1007" s="29"/>
    </row>
    <row r="1008">
      <c r="D1008" s="29"/>
    </row>
    <row r="1009">
      <c r="D1009" s="29"/>
    </row>
    <row r="1010">
      <c r="D1010" s="29"/>
    </row>
    <row r="1011">
      <c r="D1011" s="29"/>
    </row>
    <row r="1012">
      <c r="D1012" s="29"/>
    </row>
    <row r="1013">
      <c r="D1013" s="29"/>
    </row>
    <row r="1014">
      <c r="D1014" s="29"/>
    </row>
    <row r="1015">
      <c r="D1015" s="29"/>
    </row>
    <row r="1016">
      <c r="D1016" s="29"/>
    </row>
    <row r="1017">
      <c r="D1017" s="29"/>
    </row>
    <row r="1018">
      <c r="D1018" s="29"/>
    </row>
    <row r="1019">
      <c r="D1019" s="29"/>
    </row>
    <row r="1020">
      <c r="D1020" s="29"/>
    </row>
    <row r="1021">
      <c r="D1021" s="29"/>
    </row>
  </sheetData>
  <dataValidations>
    <dataValidation type="list" allowBlank="1" showErrorMessage="1" sqref="B5:B100">
      <formula1>"Cafeteria,Aseo,Papeleria"</formula1>
    </dataValidation>
  </dataValidations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2.63" defaultRowHeight="15.75"/>
  <cols>
    <col customWidth="1" min="1" max="1" width="15.25"/>
    <col customWidth="1" min="2" max="2" width="25.5"/>
    <col customWidth="1" min="3" max="3" width="25.25"/>
    <col hidden="1" min="4" max="49" width="12.63"/>
  </cols>
  <sheetData>
    <row r="1">
      <c r="A1" s="26"/>
      <c r="B1" s="26"/>
      <c r="C1" s="27"/>
      <c r="D1" s="34">
        <v>45811.0</v>
      </c>
      <c r="E1" s="34">
        <f>D1+6</f>
        <v>45817</v>
      </c>
      <c r="F1" s="34">
        <f t="shared" ref="F1:H1" si="1">E1+7</f>
        <v>45824</v>
      </c>
      <c r="G1" s="34">
        <f t="shared" si="1"/>
        <v>45831</v>
      </c>
      <c r="H1" s="34">
        <f t="shared" si="1"/>
        <v>45838</v>
      </c>
      <c r="I1" s="33">
        <v>45845.0</v>
      </c>
      <c r="J1" s="34">
        <f t="shared" ref="J1:L1" si="2">I1+7</f>
        <v>45852</v>
      </c>
      <c r="K1" s="34">
        <f t="shared" si="2"/>
        <v>45859</v>
      </c>
      <c r="L1" s="34">
        <f t="shared" si="2"/>
        <v>45866</v>
      </c>
      <c r="M1" s="33">
        <v>45873.0</v>
      </c>
      <c r="N1" s="34">
        <f t="shared" ref="N1:P1" si="3">M1+7</f>
        <v>45880</v>
      </c>
      <c r="O1" s="34">
        <f t="shared" si="3"/>
        <v>45887</v>
      </c>
      <c r="P1" s="34">
        <f t="shared" si="3"/>
        <v>45894</v>
      </c>
      <c r="Q1" s="33">
        <v>45901.0</v>
      </c>
      <c r="R1" s="34">
        <f t="shared" ref="R1:Z1" si="4">Q1+7</f>
        <v>45908</v>
      </c>
      <c r="S1" s="34">
        <f t="shared" si="4"/>
        <v>45915</v>
      </c>
      <c r="T1" s="34">
        <f t="shared" si="4"/>
        <v>45922</v>
      </c>
      <c r="U1" s="34">
        <f t="shared" si="4"/>
        <v>45929</v>
      </c>
      <c r="V1" s="34">
        <f t="shared" si="4"/>
        <v>45936</v>
      </c>
      <c r="W1" s="34">
        <f t="shared" si="4"/>
        <v>45943</v>
      </c>
      <c r="X1" s="34">
        <f t="shared" si="4"/>
        <v>45950</v>
      </c>
      <c r="Y1" s="34">
        <f t="shared" si="4"/>
        <v>45957</v>
      </c>
      <c r="Z1" s="34">
        <f t="shared" si="4"/>
        <v>45964</v>
      </c>
      <c r="AA1" s="33">
        <v>45967.0</v>
      </c>
      <c r="AB1" s="33">
        <v>45971.0</v>
      </c>
      <c r="AC1" s="33">
        <f>AB1+7</f>
        <v>45978</v>
      </c>
      <c r="AD1" s="33">
        <v>45979.0</v>
      </c>
      <c r="AE1" s="33">
        <v>45981.0</v>
      </c>
      <c r="AF1" s="33">
        <v>45985.0</v>
      </c>
      <c r="AG1" s="33">
        <v>45988.0</v>
      </c>
      <c r="AH1" s="33">
        <v>45993.0</v>
      </c>
      <c r="AI1" s="33">
        <v>45995.0</v>
      </c>
      <c r="AJ1" s="33">
        <v>46000.0</v>
      </c>
      <c r="AK1" s="33">
        <v>46002.0</v>
      </c>
      <c r="AL1" s="33">
        <v>46006.0</v>
      </c>
      <c r="AM1" s="34">
        <v>46027.0</v>
      </c>
      <c r="AN1" s="33">
        <v>46030.0</v>
      </c>
      <c r="AO1" s="33">
        <v>46034.0</v>
      </c>
      <c r="AP1" s="34">
        <v>46037.0</v>
      </c>
      <c r="AQ1" s="33">
        <v>46041.0</v>
      </c>
      <c r="AR1" s="33">
        <v>46051.0</v>
      </c>
      <c r="AS1" s="33">
        <v>46062.0</v>
      </c>
      <c r="AT1" s="33">
        <v>46065.0</v>
      </c>
      <c r="AU1" s="33">
        <v>46069.0</v>
      </c>
      <c r="AV1" s="33">
        <v>46072.0</v>
      </c>
      <c r="AW1" s="33">
        <v>46079.0</v>
      </c>
      <c r="AX1" s="33">
        <v>46083.0</v>
      </c>
      <c r="AY1" s="33">
        <v>46086.0</v>
      </c>
      <c r="AZ1" s="33">
        <v>46090.0</v>
      </c>
      <c r="BA1" s="33">
        <v>46093.0</v>
      </c>
      <c r="BB1" s="33">
        <v>46100.0</v>
      </c>
      <c r="BC1" s="33">
        <v>46104.0</v>
      </c>
      <c r="BD1" s="33"/>
      <c r="BE1" s="33"/>
      <c r="BF1" s="33"/>
    </row>
    <row r="2">
      <c r="A2" s="35" t="s">
        <v>8</v>
      </c>
      <c r="B2" s="35" t="s">
        <v>9</v>
      </c>
      <c r="C2" s="35" t="s">
        <v>10</v>
      </c>
      <c r="D2" s="35" t="s">
        <v>11</v>
      </c>
      <c r="E2" s="35" t="s">
        <v>11</v>
      </c>
      <c r="F2" s="35" t="s">
        <v>11</v>
      </c>
      <c r="G2" s="35" t="s">
        <v>11</v>
      </c>
      <c r="H2" s="35" t="s">
        <v>11</v>
      </c>
      <c r="I2" s="35" t="s">
        <v>11</v>
      </c>
      <c r="J2" s="35" t="s">
        <v>11</v>
      </c>
      <c r="K2" s="35" t="s">
        <v>11</v>
      </c>
      <c r="L2" s="35" t="s">
        <v>11</v>
      </c>
      <c r="M2" s="35" t="s">
        <v>11</v>
      </c>
      <c r="N2" s="35" t="s">
        <v>11</v>
      </c>
      <c r="O2" s="35" t="s">
        <v>11</v>
      </c>
      <c r="P2" s="35" t="s">
        <v>11</v>
      </c>
      <c r="Q2" s="35" t="s">
        <v>11</v>
      </c>
      <c r="R2" s="35" t="s">
        <v>11</v>
      </c>
      <c r="S2" s="35" t="s">
        <v>11</v>
      </c>
      <c r="T2" s="35" t="s">
        <v>11</v>
      </c>
      <c r="U2" s="35" t="s">
        <v>11</v>
      </c>
      <c r="V2" s="35" t="s">
        <v>11</v>
      </c>
      <c r="W2" s="35" t="s">
        <v>11</v>
      </c>
      <c r="X2" s="35" t="s">
        <v>11</v>
      </c>
      <c r="Y2" s="35" t="s">
        <v>11</v>
      </c>
      <c r="Z2" s="35" t="s">
        <v>11</v>
      </c>
      <c r="AA2" s="35" t="s">
        <v>11</v>
      </c>
      <c r="AB2" s="35" t="s">
        <v>11</v>
      </c>
      <c r="AC2" s="35" t="s">
        <v>11</v>
      </c>
      <c r="AD2" s="35" t="s">
        <v>11</v>
      </c>
      <c r="AE2" s="35" t="s">
        <v>11</v>
      </c>
      <c r="AF2" s="35" t="s">
        <v>11</v>
      </c>
      <c r="AG2" s="35" t="s">
        <v>11</v>
      </c>
      <c r="AH2" s="35" t="s">
        <v>11</v>
      </c>
      <c r="AI2" s="35" t="s">
        <v>11</v>
      </c>
      <c r="AJ2" s="35" t="s">
        <v>11</v>
      </c>
      <c r="AK2" s="35" t="s">
        <v>11</v>
      </c>
      <c r="AL2" s="35" t="s">
        <v>11</v>
      </c>
      <c r="AM2" s="35" t="s">
        <v>11</v>
      </c>
      <c r="AN2" s="35" t="s">
        <v>11</v>
      </c>
      <c r="AO2" s="35" t="s">
        <v>11</v>
      </c>
      <c r="AP2" s="35" t="s">
        <v>11</v>
      </c>
      <c r="AQ2" s="35" t="s">
        <v>11</v>
      </c>
      <c r="AR2" s="35" t="s">
        <v>11</v>
      </c>
      <c r="AS2" s="35" t="s">
        <v>11</v>
      </c>
      <c r="AT2" s="35" t="s">
        <v>11</v>
      </c>
      <c r="AU2" s="35" t="s">
        <v>11</v>
      </c>
      <c r="AV2" s="35" t="s">
        <v>11</v>
      </c>
      <c r="AW2" s="35" t="s">
        <v>11</v>
      </c>
      <c r="AX2" s="35" t="s">
        <v>11</v>
      </c>
      <c r="AY2" s="35" t="s">
        <v>11</v>
      </c>
      <c r="AZ2" s="35" t="s">
        <v>11</v>
      </c>
      <c r="BA2" s="35" t="s">
        <v>11</v>
      </c>
      <c r="BB2" s="35" t="s">
        <v>11</v>
      </c>
      <c r="BC2" s="35" t="s">
        <v>11</v>
      </c>
      <c r="BD2" s="35"/>
      <c r="BE2" s="35"/>
      <c r="BF2" s="35"/>
    </row>
    <row r="3">
      <c r="A3" s="37" t="s">
        <v>370</v>
      </c>
      <c r="B3" s="36" t="s">
        <v>15</v>
      </c>
      <c r="C3" s="37" t="s">
        <v>16</v>
      </c>
      <c r="D3" s="60">
        <v>14.0</v>
      </c>
      <c r="E3" s="121">
        <v>45779.0</v>
      </c>
      <c r="F3" s="60">
        <v>0.0</v>
      </c>
      <c r="G3" s="60">
        <v>8.0</v>
      </c>
      <c r="H3" s="60">
        <v>6.0</v>
      </c>
      <c r="I3" s="60">
        <v>2.0</v>
      </c>
      <c r="J3" s="60">
        <v>7.0</v>
      </c>
      <c r="K3" s="60">
        <v>9.5</v>
      </c>
      <c r="L3" s="60">
        <v>5.0</v>
      </c>
      <c r="M3" s="60">
        <v>2.0</v>
      </c>
      <c r="N3" s="60">
        <v>0.0</v>
      </c>
      <c r="O3" s="60">
        <v>10.0</v>
      </c>
      <c r="P3" s="60">
        <v>4.0</v>
      </c>
      <c r="Q3" s="60">
        <v>0.0</v>
      </c>
      <c r="R3" s="60">
        <v>0.0</v>
      </c>
      <c r="S3" s="60">
        <v>8.5</v>
      </c>
      <c r="T3" s="60">
        <v>8.0</v>
      </c>
      <c r="U3" s="31">
        <v>2.0</v>
      </c>
      <c r="V3" s="31">
        <v>0.0</v>
      </c>
      <c r="W3" s="31">
        <v>7.0</v>
      </c>
      <c r="X3" s="31">
        <v>6.0</v>
      </c>
      <c r="Y3" s="31">
        <v>3.5</v>
      </c>
      <c r="Z3" s="31">
        <v>7.5</v>
      </c>
      <c r="AA3" s="31">
        <v>4.5</v>
      </c>
      <c r="AB3" s="31">
        <v>4.5</v>
      </c>
      <c r="AC3" s="31">
        <v>0.5</v>
      </c>
      <c r="AD3" s="31">
        <v>4.5</v>
      </c>
      <c r="AE3" s="31">
        <v>2.5</v>
      </c>
      <c r="AF3" s="31">
        <v>1.0</v>
      </c>
      <c r="AG3" s="31">
        <v>1.0</v>
      </c>
      <c r="AH3" s="31">
        <v>9.5</v>
      </c>
      <c r="AI3" s="31">
        <v>7.5</v>
      </c>
      <c r="AJ3" s="31">
        <v>6.5</v>
      </c>
      <c r="AK3" s="31">
        <v>5.0</v>
      </c>
      <c r="AL3" s="31">
        <v>4.0</v>
      </c>
      <c r="AM3" s="31">
        <v>0.0</v>
      </c>
      <c r="AN3" s="31">
        <v>11.0</v>
      </c>
      <c r="AO3" s="31">
        <v>9.0</v>
      </c>
      <c r="AP3" s="31">
        <v>6.0</v>
      </c>
      <c r="AQ3" s="31">
        <v>4.5</v>
      </c>
      <c r="AR3" s="31">
        <v>0.0</v>
      </c>
      <c r="AS3" s="31">
        <v>8.5</v>
      </c>
      <c r="AT3" s="31">
        <v>3.5</v>
      </c>
      <c r="AU3" s="31">
        <v>12.0</v>
      </c>
      <c r="AV3" s="31">
        <v>10.0</v>
      </c>
      <c r="AW3" s="31">
        <v>6.0</v>
      </c>
      <c r="AX3" s="31">
        <v>21.0</v>
      </c>
      <c r="AY3" s="31">
        <v>18.5</v>
      </c>
      <c r="AZ3" s="31">
        <v>14.5</v>
      </c>
      <c r="BA3" s="31">
        <v>14.0</v>
      </c>
      <c r="BB3" s="31">
        <v>12.5</v>
      </c>
      <c r="BC3" s="31">
        <v>8.5</v>
      </c>
      <c r="BD3" s="31"/>
      <c r="BE3" s="31"/>
      <c r="BF3" s="31"/>
    </row>
    <row r="4">
      <c r="A4" s="37" t="s">
        <v>370</v>
      </c>
      <c r="B4" s="36" t="s">
        <v>15</v>
      </c>
      <c r="C4" s="37" t="s">
        <v>21</v>
      </c>
      <c r="D4" s="60">
        <v>0.0</v>
      </c>
      <c r="E4" s="60">
        <v>0.0</v>
      </c>
      <c r="F4" s="60">
        <v>0.0</v>
      </c>
      <c r="G4" s="60">
        <v>0.0</v>
      </c>
      <c r="H4" s="60">
        <v>6.0</v>
      </c>
      <c r="I4" s="60">
        <v>0.0</v>
      </c>
      <c r="J4" s="60">
        <v>0.0</v>
      </c>
      <c r="K4" s="60">
        <v>0.0</v>
      </c>
      <c r="L4" s="60">
        <v>0.0</v>
      </c>
      <c r="M4" s="60">
        <v>12.0</v>
      </c>
      <c r="N4" s="60">
        <v>4.0</v>
      </c>
      <c r="O4" s="60">
        <v>2.0</v>
      </c>
      <c r="P4" s="60">
        <v>0.0</v>
      </c>
      <c r="Q4" s="60">
        <v>8.0</v>
      </c>
      <c r="R4" s="60">
        <v>18.0</v>
      </c>
      <c r="S4" s="60">
        <v>8.0</v>
      </c>
      <c r="T4" s="60">
        <v>6.0</v>
      </c>
      <c r="U4" s="31">
        <v>0.0</v>
      </c>
      <c r="V4" s="31">
        <v>20.0</v>
      </c>
      <c r="W4" s="31">
        <v>6.0</v>
      </c>
      <c r="X4" s="31">
        <v>0.0</v>
      </c>
      <c r="Y4" s="31">
        <v>8.0</v>
      </c>
      <c r="Z4" s="31">
        <v>2.0</v>
      </c>
      <c r="AA4" s="31">
        <v>14.0</v>
      </c>
      <c r="AB4" s="31">
        <v>14.0</v>
      </c>
      <c r="AC4" s="31">
        <v>8.0</v>
      </c>
      <c r="AD4" s="31">
        <v>8.0</v>
      </c>
      <c r="AE4" s="31">
        <v>6.0</v>
      </c>
      <c r="AF4" s="31">
        <v>6.0</v>
      </c>
      <c r="AG4" s="31">
        <v>3.0</v>
      </c>
      <c r="AH4" s="31">
        <v>10.0</v>
      </c>
      <c r="AI4" s="31">
        <v>6.0</v>
      </c>
      <c r="AJ4" s="31">
        <v>4.0</v>
      </c>
      <c r="AK4" s="31">
        <v>2.0</v>
      </c>
      <c r="AL4" s="31">
        <v>0.0</v>
      </c>
      <c r="AM4" s="31">
        <v>14.0</v>
      </c>
      <c r="AN4" s="31">
        <v>10.0</v>
      </c>
      <c r="AO4" s="31">
        <v>6.0</v>
      </c>
      <c r="AP4" s="31">
        <v>10.0</v>
      </c>
      <c r="AQ4" s="31">
        <v>10.0</v>
      </c>
      <c r="AR4" s="31">
        <v>13.0</v>
      </c>
      <c r="AS4" s="31">
        <v>4.0</v>
      </c>
      <c r="AT4" s="31">
        <v>2.0</v>
      </c>
      <c r="AU4" s="31">
        <v>0.0</v>
      </c>
      <c r="AV4" s="31">
        <v>13.0</v>
      </c>
      <c r="AW4" s="31">
        <v>9.0</v>
      </c>
      <c r="AX4" s="31">
        <v>8.0</v>
      </c>
      <c r="AY4" s="31">
        <v>4.0</v>
      </c>
      <c r="AZ4" s="31">
        <v>1.0</v>
      </c>
      <c r="BA4" s="31">
        <v>16.0</v>
      </c>
      <c r="BB4" s="31">
        <v>14.0</v>
      </c>
      <c r="BC4" s="31">
        <v>5.0</v>
      </c>
      <c r="BD4" s="31"/>
      <c r="BE4" s="31"/>
      <c r="BF4" s="31"/>
    </row>
    <row r="5">
      <c r="A5" s="37" t="s">
        <v>370</v>
      </c>
      <c r="B5" s="36" t="s">
        <v>15</v>
      </c>
      <c r="C5" s="37" t="s">
        <v>22</v>
      </c>
      <c r="D5" s="60">
        <v>32.0</v>
      </c>
      <c r="E5" s="60">
        <v>28.0</v>
      </c>
      <c r="F5" s="60">
        <v>25.0</v>
      </c>
      <c r="G5" s="60">
        <v>14.0</v>
      </c>
      <c r="H5" s="60">
        <v>40.0</v>
      </c>
      <c r="I5" s="60">
        <v>32.0</v>
      </c>
      <c r="J5" s="60">
        <v>24.0</v>
      </c>
      <c r="K5" s="60">
        <v>50.0</v>
      </c>
      <c r="L5" s="60">
        <v>45.0</v>
      </c>
      <c r="M5" s="60">
        <v>38.0</v>
      </c>
      <c r="N5" s="60">
        <v>32.0</v>
      </c>
      <c r="O5" s="60">
        <v>20.0</v>
      </c>
      <c r="P5" s="60">
        <v>6.0</v>
      </c>
      <c r="Q5" s="60">
        <v>24.0</v>
      </c>
      <c r="R5" s="60">
        <v>28.0</v>
      </c>
      <c r="S5" s="60">
        <v>20.0</v>
      </c>
      <c r="T5" s="60">
        <v>20.0</v>
      </c>
      <c r="U5" s="31">
        <v>24.0</v>
      </c>
      <c r="V5" s="31">
        <v>50.0</v>
      </c>
      <c r="W5" s="31">
        <v>40.0</v>
      </c>
      <c r="X5" s="31">
        <v>28.0</v>
      </c>
      <c r="Y5" s="31">
        <v>40.0</v>
      </c>
      <c r="Z5" s="31">
        <v>32.0</v>
      </c>
      <c r="AA5" s="31">
        <v>50.0</v>
      </c>
      <c r="AB5" s="31">
        <v>32.0</v>
      </c>
      <c r="AC5" s="31">
        <v>48.0</v>
      </c>
      <c r="AD5" s="31">
        <v>47.0</v>
      </c>
      <c r="AE5" s="31">
        <v>44.0</v>
      </c>
      <c r="AF5" s="31">
        <v>44.0</v>
      </c>
      <c r="AG5" s="31">
        <v>36.0</v>
      </c>
      <c r="AH5" s="31">
        <v>48.0</v>
      </c>
      <c r="AI5" s="31">
        <v>44.0</v>
      </c>
      <c r="AJ5" s="31">
        <v>44.0</v>
      </c>
      <c r="AK5" s="31">
        <v>44.0</v>
      </c>
      <c r="AL5" s="31">
        <v>32.0</v>
      </c>
      <c r="AM5" s="31">
        <v>56.0</v>
      </c>
      <c r="AN5" s="31">
        <v>56.0</v>
      </c>
      <c r="AO5" s="31">
        <v>56.0</v>
      </c>
      <c r="AP5" s="31">
        <v>56.0</v>
      </c>
      <c r="AQ5" s="31">
        <v>56.0</v>
      </c>
      <c r="AR5" s="31">
        <v>50.0</v>
      </c>
      <c r="AS5" s="31">
        <v>43.0</v>
      </c>
      <c r="AT5" s="31">
        <v>32.0</v>
      </c>
      <c r="AU5" s="31">
        <v>31.0</v>
      </c>
      <c r="AV5" s="31">
        <v>23.0</v>
      </c>
      <c r="AW5" s="31">
        <v>22.0</v>
      </c>
      <c r="AX5" s="31">
        <v>17.0</v>
      </c>
      <c r="AY5" s="31">
        <v>16.0</v>
      </c>
      <c r="AZ5" s="31">
        <v>13.0</v>
      </c>
      <c r="BA5" s="31">
        <v>28.0</v>
      </c>
      <c r="BB5" s="31">
        <v>24.0</v>
      </c>
      <c r="BC5" s="31">
        <v>20.0</v>
      </c>
      <c r="BD5" s="31"/>
      <c r="BE5" s="31"/>
      <c r="BF5" s="31"/>
    </row>
    <row r="6">
      <c r="A6" s="37" t="s">
        <v>370</v>
      </c>
      <c r="B6" s="36" t="s">
        <v>15</v>
      </c>
      <c r="C6" s="37" t="s">
        <v>23</v>
      </c>
      <c r="D6" s="60">
        <v>4.0</v>
      </c>
      <c r="E6" s="60">
        <v>3.0</v>
      </c>
      <c r="F6" s="60">
        <v>3.0</v>
      </c>
      <c r="G6" s="60">
        <v>3.0</v>
      </c>
      <c r="H6" s="60">
        <v>3.0</v>
      </c>
      <c r="I6" s="60">
        <v>3.0</v>
      </c>
      <c r="J6" s="60">
        <v>3.0</v>
      </c>
      <c r="K6" s="60">
        <v>3.0</v>
      </c>
      <c r="L6" s="60">
        <v>3.0</v>
      </c>
      <c r="M6" s="60">
        <v>3.0</v>
      </c>
      <c r="N6" s="60">
        <v>2.0</v>
      </c>
      <c r="O6" s="60">
        <v>2.0</v>
      </c>
      <c r="P6" s="60">
        <v>1.0</v>
      </c>
      <c r="Q6" s="60">
        <v>1.0</v>
      </c>
      <c r="R6" s="60">
        <v>1.0</v>
      </c>
      <c r="S6" s="60">
        <v>0.0</v>
      </c>
      <c r="T6" s="60">
        <v>0.0</v>
      </c>
      <c r="U6" s="31">
        <v>0.0</v>
      </c>
      <c r="V6" s="31">
        <v>1.0</v>
      </c>
      <c r="W6" s="31">
        <v>1.0</v>
      </c>
      <c r="X6" s="31">
        <v>1.0</v>
      </c>
      <c r="Y6" s="31">
        <v>1.0</v>
      </c>
      <c r="Z6" s="31">
        <v>1.0</v>
      </c>
      <c r="AA6" s="31">
        <v>0.0</v>
      </c>
      <c r="AB6" s="31">
        <v>0.0</v>
      </c>
      <c r="AC6" s="31">
        <v>0.0</v>
      </c>
      <c r="AD6" s="31">
        <v>2.0</v>
      </c>
      <c r="AE6" s="31">
        <v>2.0</v>
      </c>
      <c r="AF6" s="31">
        <v>2.0</v>
      </c>
      <c r="AG6" s="31">
        <v>2.0</v>
      </c>
      <c r="AH6" s="31">
        <v>4.0</v>
      </c>
      <c r="AI6" s="31">
        <v>4.0</v>
      </c>
      <c r="AJ6" s="31">
        <v>4.0</v>
      </c>
      <c r="AK6" s="31">
        <v>4.0</v>
      </c>
      <c r="AL6" s="31">
        <v>4.0</v>
      </c>
      <c r="AM6" s="31">
        <v>4.0</v>
      </c>
      <c r="AN6" s="31">
        <v>4.0</v>
      </c>
      <c r="AO6" s="31">
        <v>5.0</v>
      </c>
      <c r="AP6" s="31">
        <v>8.0</v>
      </c>
      <c r="AQ6" s="31">
        <v>8.0</v>
      </c>
      <c r="AR6" s="31">
        <v>8.0</v>
      </c>
      <c r="AS6" s="31">
        <v>8.0</v>
      </c>
      <c r="AT6" s="31">
        <v>4.0</v>
      </c>
      <c r="AU6" s="31">
        <v>4.0</v>
      </c>
      <c r="AV6" s="31">
        <v>7.0</v>
      </c>
      <c r="AW6" s="31">
        <v>7.0</v>
      </c>
      <c r="AX6" s="31">
        <v>6.0</v>
      </c>
      <c r="AY6" s="31">
        <v>10.0</v>
      </c>
      <c r="AZ6" s="31">
        <v>10.0</v>
      </c>
      <c r="BA6" s="31">
        <v>7.0</v>
      </c>
      <c r="BB6" s="31">
        <v>7.0</v>
      </c>
      <c r="BC6" s="31">
        <v>6.0</v>
      </c>
      <c r="BD6" s="31"/>
      <c r="BE6" s="31"/>
      <c r="BF6" s="31"/>
    </row>
    <row r="7">
      <c r="A7" s="37" t="s">
        <v>370</v>
      </c>
      <c r="B7" s="36" t="s">
        <v>15</v>
      </c>
      <c r="C7" s="37" t="s">
        <v>25</v>
      </c>
      <c r="D7" s="60"/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73" t="s">
        <v>35</v>
      </c>
      <c r="R7" s="73" t="s">
        <v>35</v>
      </c>
      <c r="S7" s="73" t="s">
        <v>35</v>
      </c>
      <c r="T7" s="73" t="s">
        <v>35</v>
      </c>
      <c r="U7" s="73" t="s">
        <v>35</v>
      </c>
      <c r="V7" s="73" t="s">
        <v>35</v>
      </c>
      <c r="W7" s="73" t="s">
        <v>35</v>
      </c>
      <c r="X7" s="73" t="s">
        <v>35</v>
      </c>
      <c r="Y7" s="73" t="s">
        <v>35</v>
      </c>
      <c r="Z7" s="31">
        <v>0.0</v>
      </c>
      <c r="AA7" s="31">
        <v>15.0</v>
      </c>
      <c r="AB7" s="31">
        <v>14.0</v>
      </c>
      <c r="AC7" s="31">
        <v>10.0</v>
      </c>
      <c r="AD7" s="31">
        <v>9.0</v>
      </c>
      <c r="AE7" s="31">
        <v>6.0</v>
      </c>
      <c r="AF7" s="31">
        <v>5.0</v>
      </c>
      <c r="AG7" s="31">
        <v>2.0</v>
      </c>
      <c r="AH7" s="31">
        <v>27.0</v>
      </c>
      <c r="AI7" s="31">
        <v>25.0</v>
      </c>
      <c r="AJ7" s="31">
        <v>23.0</v>
      </c>
      <c r="AK7" s="31">
        <v>21.0</v>
      </c>
      <c r="AL7" s="31">
        <v>20.0</v>
      </c>
      <c r="AM7" s="31">
        <v>10.0</v>
      </c>
      <c r="AN7" s="31">
        <v>8.0</v>
      </c>
      <c r="AO7" s="31">
        <v>22.0</v>
      </c>
      <c r="AP7" s="31">
        <v>44.0</v>
      </c>
      <c r="AQ7" s="31">
        <v>42.0</v>
      </c>
      <c r="AR7" s="31">
        <v>36.0</v>
      </c>
      <c r="AS7" s="31">
        <v>31.0</v>
      </c>
      <c r="AT7" s="31">
        <v>23.0</v>
      </c>
      <c r="AU7" s="31">
        <v>20.0</v>
      </c>
      <c r="AV7" s="31">
        <v>18.0</v>
      </c>
      <c r="AW7" s="31">
        <v>13.0</v>
      </c>
      <c r="AX7" s="31">
        <v>11.0</v>
      </c>
      <c r="AY7" s="31">
        <v>8.0</v>
      </c>
      <c r="AZ7" s="31">
        <v>6.0</v>
      </c>
      <c r="BA7" s="31">
        <v>27.0</v>
      </c>
      <c r="BB7" s="31">
        <v>24.0</v>
      </c>
      <c r="BC7" s="31">
        <v>20.0</v>
      </c>
      <c r="BD7" s="31"/>
      <c r="BE7" s="31"/>
      <c r="BF7" s="31"/>
    </row>
    <row r="8">
      <c r="A8" s="37" t="s">
        <v>370</v>
      </c>
      <c r="B8" s="36" t="s">
        <v>15</v>
      </c>
      <c r="C8" s="37" t="s">
        <v>27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73" t="s">
        <v>35</v>
      </c>
      <c r="R8" s="73" t="s">
        <v>35</v>
      </c>
      <c r="S8" s="73" t="s">
        <v>35</v>
      </c>
      <c r="T8" s="73" t="s">
        <v>35</v>
      </c>
      <c r="U8" s="73" t="s">
        <v>35</v>
      </c>
      <c r="V8" s="73" t="s">
        <v>35</v>
      </c>
      <c r="W8" s="73" t="s">
        <v>35</v>
      </c>
      <c r="X8" s="73" t="s">
        <v>35</v>
      </c>
      <c r="Y8" s="73" t="s">
        <v>35</v>
      </c>
      <c r="Z8" s="31">
        <v>1.0</v>
      </c>
      <c r="AA8" s="31">
        <v>2.0</v>
      </c>
      <c r="AB8" s="31">
        <v>3.0</v>
      </c>
      <c r="AC8" s="31">
        <v>2.0</v>
      </c>
      <c r="AD8" s="31">
        <v>2.0</v>
      </c>
      <c r="AE8" s="31">
        <v>1.0</v>
      </c>
      <c r="AF8" s="31">
        <v>1.0</v>
      </c>
      <c r="AG8" s="31">
        <v>1.0</v>
      </c>
      <c r="AH8" s="31">
        <v>5.0</v>
      </c>
      <c r="AI8" s="31">
        <v>5.0</v>
      </c>
      <c r="AJ8" s="31">
        <v>4.0</v>
      </c>
      <c r="AK8" s="31">
        <v>3.0</v>
      </c>
      <c r="AL8" s="31">
        <v>3.0</v>
      </c>
      <c r="AM8" s="31">
        <v>3.0</v>
      </c>
      <c r="AN8" s="31">
        <v>2.0</v>
      </c>
      <c r="AO8" s="31">
        <v>2.0</v>
      </c>
      <c r="AP8" s="31">
        <v>2.0</v>
      </c>
      <c r="AQ8" s="31">
        <v>2.0</v>
      </c>
      <c r="AR8" s="31">
        <v>1.0</v>
      </c>
      <c r="AS8" s="31">
        <v>0.0</v>
      </c>
      <c r="AT8" s="31">
        <v>1.0</v>
      </c>
      <c r="AU8" s="31">
        <v>2.0</v>
      </c>
      <c r="AV8" s="31">
        <v>2.0</v>
      </c>
      <c r="AW8" s="31">
        <v>2.0</v>
      </c>
      <c r="AX8" s="31">
        <v>2.0</v>
      </c>
      <c r="AY8" s="31">
        <v>1.0</v>
      </c>
      <c r="AZ8" s="31">
        <v>1.0</v>
      </c>
      <c r="BA8" s="31">
        <v>3.0</v>
      </c>
      <c r="BB8" s="31">
        <v>3.0</v>
      </c>
      <c r="BC8" s="31">
        <v>2.0</v>
      </c>
      <c r="BD8" s="31"/>
      <c r="BE8" s="31"/>
      <c r="BF8" s="31"/>
    </row>
    <row r="9">
      <c r="A9" s="37" t="s">
        <v>370</v>
      </c>
      <c r="B9" s="36" t="s">
        <v>15</v>
      </c>
      <c r="C9" s="37" t="s">
        <v>371</v>
      </c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31"/>
      <c r="AD9" s="31"/>
      <c r="AE9" s="31"/>
      <c r="AF9" s="31"/>
      <c r="AG9" s="31"/>
      <c r="AH9" s="31"/>
      <c r="AI9" s="31"/>
      <c r="AJ9" s="31"/>
      <c r="AK9" s="31"/>
      <c r="AL9" s="31">
        <v>0.0</v>
      </c>
      <c r="AM9" s="31">
        <v>0.0</v>
      </c>
      <c r="AN9" s="31">
        <v>0.0</v>
      </c>
      <c r="AO9" s="31">
        <v>0.0</v>
      </c>
      <c r="AP9" s="31">
        <v>0.0</v>
      </c>
      <c r="AQ9" s="31">
        <v>0.0</v>
      </c>
      <c r="AR9" s="31">
        <v>0.0</v>
      </c>
      <c r="AS9" s="31">
        <v>0.0</v>
      </c>
      <c r="AT9" s="31">
        <v>0.0</v>
      </c>
      <c r="AU9" s="31">
        <v>2.0</v>
      </c>
      <c r="AV9" s="31">
        <v>2.0</v>
      </c>
      <c r="AW9" s="31">
        <v>2.0</v>
      </c>
      <c r="AX9" s="31">
        <v>2.0</v>
      </c>
      <c r="AY9" s="31">
        <v>1.0</v>
      </c>
      <c r="AZ9" s="31">
        <v>1.0</v>
      </c>
      <c r="BA9" s="31">
        <v>1.0</v>
      </c>
      <c r="BB9" s="31">
        <v>1.0</v>
      </c>
      <c r="BC9" s="31">
        <v>1.0</v>
      </c>
      <c r="BD9" s="31"/>
      <c r="BE9" s="31"/>
      <c r="BF9" s="31"/>
    </row>
    <row r="10">
      <c r="A10" s="37" t="s">
        <v>370</v>
      </c>
      <c r="B10" s="36" t="s">
        <v>15</v>
      </c>
      <c r="C10" s="37" t="s">
        <v>24</v>
      </c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31"/>
      <c r="AD10" s="31"/>
      <c r="AE10" s="31"/>
      <c r="AF10" s="31"/>
      <c r="AG10" s="31"/>
      <c r="AH10" s="31"/>
      <c r="AI10" s="31"/>
      <c r="AJ10" s="31"/>
      <c r="AK10" s="31"/>
      <c r="AL10" s="31">
        <v>0.0</v>
      </c>
      <c r="AM10" s="31"/>
      <c r="AN10" s="31"/>
      <c r="AO10" s="31"/>
      <c r="AP10" s="31"/>
      <c r="AQ10" s="31"/>
      <c r="AR10" s="31"/>
      <c r="AS10" s="31">
        <v>0.0</v>
      </c>
      <c r="AT10" s="31">
        <v>0.0</v>
      </c>
      <c r="AU10" s="31">
        <v>10.0</v>
      </c>
      <c r="AV10" s="31">
        <v>9.0</v>
      </c>
      <c r="AW10" s="31">
        <v>14.0</v>
      </c>
      <c r="AX10" s="31">
        <v>13.0</v>
      </c>
      <c r="AY10" s="31">
        <v>10.0</v>
      </c>
      <c r="AZ10" s="31">
        <v>9.0</v>
      </c>
      <c r="BA10" s="31">
        <v>15.0</v>
      </c>
      <c r="BB10" s="31">
        <v>15.0</v>
      </c>
      <c r="BC10" s="31">
        <v>4.0</v>
      </c>
      <c r="BD10" s="31"/>
      <c r="BE10" s="31"/>
      <c r="BF10" s="31"/>
    </row>
    <row r="11">
      <c r="A11" s="37" t="s">
        <v>370</v>
      </c>
      <c r="B11" s="36" t="s">
        <v>33</v>
      </c>
      <c r="C11" s="37" t="s">
        <v>34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73"/>
      <c r="R11" s="73"/>
      <c r="S11" s="73"/>
      <c r="T11" s="73"/>
      <c r="U11" s="73"/>
      <c r="V11" s="73" t="s">
        <v>35</v>
      </c>
      <c r="W11" s="73" t="s">
        <v>35</v>
      </c>
      <c r="X11" s="73" t="s">
        <v>35</v>
      </c>
      <c r="Y11" s="73" t="s">
        <v>35</v>
      </c>
      <c r="Z11" s="73" t="s">
        <v>35</v>
      </c>
      <c r="AA11" s="73" t="s">
        <v>35</v>
      </c>
      <c r="AB11" s="73" t="s">
        <v>35</v>
      </c>
      <c r="AC11" s="31">
        <v>1.0</v>
      </c>
      <c r="AD11" s="31">
        <v>1.0</v>
      </c>
      <c r="AE11" s="31">
        <v>1.0</v>
      </c>
      <c r="AF11" s="31">
        <v>1.0</v>
      </c>
      <c r="AG11" s="31">
        <v>1.0</v>
      </c>
      <c r="AH11" s="31">
        <v>2.0</v>
      </c>
      <c r="AI11" s="31">
        <v>2.0</v>
      </c>
      <c r="AJ11" s="31">
        <v>2.0</v>
      </c>
      <c r="AK11" s="31">
        <v>1.0</v>
      </c>
      <c r="AL11" s="31">
        <v>1.0</v>
      </c>
      <c r="AM11" s="31">
        <v>1.0</v>
      </c>
      <c r="AN11" s="31">
        <v>1.0</v>
      </c>
      <c r="AO11" s="31">
        <v>1.0</v>
      </c>
      <c r="AP11" s="31">
        <v>1.0</v>
      </c>
      <c r="AQ11" s="31">
        <v>1.0</v>
      </c>
      <c r="AR11" s="31">
        <v>1.0</v>
      </c>
      <c r="AS11" s="31">
        <v>1.0</v>
      </c>
      <c r="AT11" s="31">
        <v>2.0</v>
      </c>
      <c r="AU11" s="31">
        <v>2.0</v>
      </c>
      <c r="AV11" s="31">
        <v>2.0</v>
      </c>
      <c r="AW11" s="31">
        <v>1.5</v>
      </c>
      <c r="AX11" s="31">
        <v>1.5</v>
      </c>
      <c r="AY11" s="31">
        <v>1.0</v>
      </c>
      <c r="AZ11" s="31">
        <v>1.0</v>
      </c>
      <c r="BA11" s="31">
        <v>2.0</v>
      </c>
      <c r="BB11" s="31">
        <v>1.0</v>
      </c>
      <c r="BC11" s="31">
        <v>1.0</v>
      </c>
      <c r="BD11" s="31"/>
      <c r="BE11" s="31"/>
      <c r="BF11" s="31"/>
    </row>
    <row r="12">
      <c r="A12" s="37" t="s">
        <v>370</v>
      </c>
      <c r="B12" s="36" t="s">
        <v>33</v>
      </c>
      <c r="C12" s="37" t="s">
        <v>36</v>
      </c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73"/>
      <c r="R12" s="73"/>
      <c r="S12" s="73"/>
      <c r="T12" s="73"/>
      <c r="U12" s="73"/>
      <c r="V12" s="73" t="s">
        <v>35</v>
      </c>
      <c r="W12" s="73" t="s">
        <v>35</v>
      </c>
      <c r="X12" s="73" t="s">
        <v>35</v>
      </c>
      <c r="Y12" s="73" t="s">
        <v>35</v>
      </c>
      <c r="Z12" s="73" t="s">
        <v>35</v>
      </c>
      <c r="AA12" s="73" t="s">
        <v>35</v>
      </c>
      <c r="AB12" s="73" t="s">
        <v>35</v>
      </c>
      <c r="AC12" s="31">
        <v>2.5</v>
      </c>
      <c r="AD12" s="31">
        <v>2.5</v>
      </c>
      <c r="AE12" s="31">
        <v>2.5</v>
      </c>
      <c r="AF12" s="31">
        <v>2.5</v>
      </c>
      <c r="AG12" s="31">
        <v>1.5</v>
      </c>
      <c r="AH12" s="31">
        <v>3.5</v>
      </c>
      <c r="AI12" s="31">
        <v>3.5</v>
      </c>
      <c r="AJ12" s="31">
        <v>3.5</v>
      </c>
      <c r="AK12" s="31">
        <v>3.5</v>
      </c>
      <c r="AL12" s="31">
        <v>3.5</v>
      </c>
      <c r="AM12" s="31">
        <v>2.0</v>
      </c>
      <c r="AN12" s="31">
        <v>2.0</v>
      </c>
      <c r="AO12" s="31">
        <v>5.0</v>
      </c>
      <c r="AP12" s="31">
        <v>5.0</v>
      </c>
      <c r="AQ12" s="31">
        <v>5.0</v>
      </c>
      <c r="AR12" s="31">
        <v>4.5</v>
      </c>
      <c r="AS12" s="31">
        <v>4.0</v>
      </c>
      <c r="AT12" s="31">
        <v>3.5</v>
      </c>
      <c r="AU12" s="31">
        <v>3.0</v>
      </c>
      <c r="AV12" s="31">
        <v>3.0</v>
      </c>
      <c r="AW12" s="31">
        <v>3.0</v>
      </c>
      <c r="AX12" s="31">
        <v>3.0</v>
      </c>
      <c r="AY12" s="31">
        <v>2.0</v>
      </c>
      <c r="AZ12" s="31">
        <v>2.0</v>
      </c>
      <c r="BA12" s="31">
        <v>3.0</v>
      </c>
      <c r="BB12" s="31">
        <v>3.0</v>
      </c>
      <c r="BC12" s="31">
        <v>2.0</v>
      </c>
      <c r="BD12" s="31"/>
      <c r="BE12" s="31"/>
      <c r="BF12" s="31"/>
    </row>
    <row r="13">
      <c r="A13" s="37" t="s">
        <v>370</v>
      </c>
      <c r="B13" s="36" t="s">
        <v>33</v>
      </c>
      <c r="C13" s="37" t="s">
        <v>372</v>
      </c>
      <c r="D13" s="60"/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73"/>
      <c r="R13" s="73"/>
      <c r="S13" s="73"/>
      <c r="T13" s="73"/>
      <c r="U13" s="73"/>
      <c r="V13" s="73" t="s">
        <v>35</v>
      </c>
      <c r="W13" s="73" t="s">
        <v>35</v>
      </c>
      <c r="X13" s="73" t="s">
        <v>35</v>
      </c>
      <c r="Y13" s="73" t="s">
        <v>35</v>
      </c>
      <c r="Z13" s="73" t="s">
        <v>35</v>
      </c>
      <c r="AA13" s="73" t="s">
        <v>35</v>
      </c>
      <c r="AB13" s="73" t="s">
        <v>35</v>
      </c>
      <c r="AC13" s="31">
        <v>35.0</v>
      </c>
      <c r="AD13" s="31">
        <v>35.0</v>
      </c>
      <c r="AE13" s="31">
        <v>33.0</v>
      </c>
      <c r="AF13" s="31">
        <v>31.0</v>
      </c>
      <c r="AG13" s="31">
        <v>30.0</v>
      </c>
      <c r="AH13" s="31">
        <v>41.0</v>
      </c>
      <c r="AI13" s="31">
        <v>40.0</v>
      </c>
      <c r="AJ13" s="31">
        <v>40.0</v>
      </c>
      <c r="AK13" s="31">
        <v>36.0</v>
      </c>
      <c r="AL13" s="31">
        <v>34.0</v>
      </c>
      <c r="AM13" s="31">
        <v>47.0</v>
      </c>
      <c r="AN13" s="31">
        <v>43.0</v>
      </c>
      <c r="AO13" s="31">
        <v>39.0</v>
      </c>
      <c r="AP13" s="31">
        <v>48.0</v>
      </c>
      <c r="AQ13" s="31">
        <v>45.0</v>
      </c>
      <c r="AR13" s="31">
        <v>37.0</v>
      </c>
      <c r="AS13" s="31">
        <v>31.0</v>
      </c>
      <c r="AT13" s="31">
        <v>28.0</v>
      </c>
      <c r="AU13" s="31">
        <v>24.0</v>
      </c>
      <c r="AV13" s="31">
        <v>26.0</v>
      </c>
      <c r="AW13" s="31">
        <v>19.0</v>
      </c>
      <c r="AX13" s="31">
        <v>14.0</v>
      </c>
      <c r="AY13" s="31">
        <v>9.0</v>
      </c>
      <c r="AZ13" s="31">
        <v>4.0</v>
      </c>
      <c r="BA13" s="31">
        <v>27.0</v>
      </c>
      <c r="BB13" s="31">
        <v>23.0</v>
      </c>
      <c r="BC13" s="31">
        <v>16.0</v>
      </c>
      <c r="BD13" s="31"/>
      <c r="BE13" s="31"/>
      <c r="BF13" s="31"/>
    </row>
    <row r="14">
      <c r="A14" s="37" t="s">
        <v>370</v>
      </c>
      <c r="B14" s="36" t="s">
        <v>33</v>
      </c>
      <c r="C14" s="37" t="s">
        <v>252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73"/>
      <c r="R14" s="73"/>
      <c r="S14" s="73"/>
      <c r="T14" s="73"/>
      <c r="U14" s="73"/>
      <c r="V14" s="73" t="s">
        <v>35</v>
      </c>
      <c r="W14" s="73" t="s">
        <v>35</v>
      </c>
      <c r="X14" s="73" t="s">
        <v>35</v>
      </c>
      <c r="Y14" s="73" t="s">
        <v>35</v>
      </c>
      <c r="Z14" s="73" t="s">
        <v>35</v>
      </c>
      <c r="AA14" s="73" t="s">
        <v>35</v>
      </c>
      <c r="AB14" s="73" t="s">
        <v>35</v>
      </c>
      <c r="AC14" s="31">
        <v>2.0</v>
      </c>
      <c r="AD14" s="31">
        <v>2.0</v>
      </c>
      <c r="AE14" s="31">
        <v>1.5</v>
      </c>
      <c r="AF14" s="31">
        <v>1.5</v>
      </c>
      <c r="AG14" s="31">
        <v>1.5</v>
      </c>
      <c r="AH14" s="31">
        <v>2.0</v>
      </c>
      <c r="AI14" s="31">
        <v>2.0</v>
      </c>
      <c r="AJ14" s="31">
        <v>2.0</v>
      </c>
      <c r="AK14" s="31">
        <v>2.0</v>
      </c>
      <c r="AL14" s="31">
        <v>2.0</v>
      </c>
      <c r="AM14" s="31">
        <v>4.0</v>
      </c>
      <c r="AN14" s="31">
        <v>4.0</v>
      </c>
      <c r="AO14" s="31">
        <v>5.0</v>
      </c>
      <c r="AP14" s="31">
        <v>4.0</v>
      </c>
      <c r="AQ14" s="31">
        <v>4.0</v>
      </c>
      <c r="AR14" s="31">
        <v>2.0</v>
      </c>
      <c r="AS14" s="31">
        <v>5.0</v>
      </c>
      <c r="AT14" s="31">
        <v>2.0</v>
      </c>
      <c r="AU14" s="31">
        <v>2.0</v>
      </c>
      <c r="AV14" s="31">
        <v>0.0</v>
      </c>
      <c r="AW14" s="31">
        <v>0.0</v>
      </c>
      <c r="AX14" s="31">
        <v>0.0</v>
      </c>
      <c r="AY14" s="31">
        <v>0.0</v>
      </c>
      <c r="AZ14" s="31">
        <v>0.0</v>
      </c>
      <c r="BA14" s="31">
        <v>7.0</v>
      </c>
      <c r="BB14" s="31">
        <v>4.0</v>
      </c>
      <c r="BC14" s="31">
        <v>4.0</v>
      </c>
      <c r="BD14" s="31"/>
      <c r="BE14" s="31"/>
      <c r="BF14" s="31"/>
    </row>
    <row r="15">
      <c r="A15" s="37" t="s">
        <v>370</v>
      </c>
      <c r="B15" s="36" t="s">
        <v>33</v>
      </c>
      <c r="C15" s="37" t="s">
        <v>257</v>
      </c>
      <c r="D15" s="60"/>
      <c r="E15" s="60"/>
      <c r="F15" s="60"/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73"/>
      <c r="R15" s="73"/>
      <c r="S15" s="73"/>
      <c r="T15" s="73"/>
      <c r="U15" s="73"/>
      <c r="V15" s="73" t="s">
        <v>35</v>
      </c>
      <c r="W15" s="73" t="s">
        <v>35</v>
      </c>
      <c r="X15" s="73" t="s">
        <v>35</v>
      </c>
      <c r="Y15" s="73" t="s">
        <v>35</v>
      </c>
      <c r="Z15" s="73" t="s">
        <v>35</v>
      </c>
      <c r="AA15" s="73" t="s">
        <v>35</v>
      </c>
      <c r="AB15" s="73" t="s">
        <v>35</v>
      </c>
      <c r="AC15" s="31">
        <v>1.0</v>
      </c>
      <c r="AD15" s="31">
        <v>1.0</v>
      </c>
      <c r="AE15" s="31">
        <v>0.0</v>
      </c>
      <c r="AF15" s="31">
        <v>0.0</v>
      </c>
      <c r="AG15" s="31">
        <v>0.0</v>
      </c>
      <c r="AH15" s="31">
        <v>3.0</v>
      </c>
      <c r="AI15" s="31">
        <v>3.0</v>
      </c>
      <c r="AJ15" s="31">
        <v>3.0</v>
      </c>
      <c r="AK15" s="31">
        <v>3.0</v>
      </c>
      <c r="AL15" s="31">
        <v>3.0</v>
      </c>
      <c r="AM15" s="31">
        <v>3.0</v>
      </c>
      <c r="AN15" s="31">
        <v>3.0</v>
      </c>
      <c r="AO15" s="31">
        <v>6.0</v>
      </c>
      <c r="AP15" s="31">
        <v>6.0</v>
      </c>
      <c r="AQ15" s="31">
        <v>6.0</v>
      </c>
      <c r="AR15" s="31">
        <v>6.0</v>
      </c>
      <c r="AS15" s="31">
        <v>4.0</v>
      </c>
      <c r="AT15" s="31">
        <v>4.0</v>
      </c>
      <c r="AU15" s="31">
        <v>4.0</v>
      </c>
      <c r="AV15" s="31">
        <v>4.0</v>
      </c>
      <c r="AW15" s="31">
        <v>2.0</v>
      </c>
      <c r="AX15" s="31">
        <v>2.0</v>
      </c>
      <c r="AY15" s="31">
        <v>2.0</v>
      </c>
      <c r="AZ15" s="31">
        <v>2.0</v>
      </c>
      <c r="BA15" s="31">
        <v>3.0</v>
      </c>
      <c r="BB15" s="31">
        <v>3.0</v>
      </c>
      <c r="BC15" s="31">
        <v>2.0</v>
      </c>
      <c r="BD15" s="31"/>
      <c r="BE15" s="31"/>
      <c r="BF15" s="31"/>
    </row>
    <row r="16" hidden="1">
      <c r="A16" s="36" t="s">
        <v>373</v>
      </c>
      <c r="B16" s="36" t="s">
        <v>15</v>
      </c>
      <c r="C16" s="37" t="s">
        <v>16</v>
      </c>
      <c r="D16" s="60">
        <v>0.0</v>
      </c>
      <c r="E16" s="60">
        <v>0.0</v>
      </c>
      <c r="F16" s="60">
        <v>0.0</v>
      </c>
      <c r="G16" s="60">
        <v>6.0</v>
      </c>
      <c r="H16" s="60">
        <v>1.0</v>
      </c>
      <c r="I16" s="60">
        <v>0.0</v>
      </c>
      <c r="J16" s="60">
        <v>7.0</v>
      </c>
      <c r="K16" s="60">
        <v>5.0</v>
      </c>
      <c r="L16" s="60">
        <v>1.0</v>
      </c>
      <c r="M16" s="60">
        <v>4.5</v>
      </c>
      <c r="N16" s="60">
        <v>4.5</v>
      </c>
      <c r="O16" s="60">
        <v>2.0</v>
      </c>
      <c r="P16" s="60">
        <v>0.0</v>
      </c>
      <c r="Q16" s="60">
        <v>6.0</v>
      </c>
      <c r="R16" s="60">
        <v>0.0</v>
      </c>
      <c r="S16" s="60">
        <v>7.0</v>
      </c>
      <c r="T16" s="60">
        <v>5.5</v>
      </c>
      <c r="U16" s="31">
        <v>1.5</v>
      </c>
      <c r="V16" s="31">
        <v>0.0</v>
      </c>
      <c r="W16" s="31">
        <v>5.5</v>
      </c>
      <c r="X16" s="31">
        <v>1.5</v>
      </c>
      <c r="Y16" s="31">
        <v>4.0</v>
      </c>
      <c r="Z16" s="31">
        <v>1.0</v>
      </c>
      <c r="AA16" s="31">
        <v>8.0</v>
      </c>
      <c r="AB16" s="31">
        <v>7.0</v>
      </c>
      <c r="AC16" s="31">
        <v>4.0</v>
      </c>
      <c r="AD16" s="31">
        <v>7.5</v>
      </c>
      <c r="AE16" s="31">
        <v>5.5</v>
      </c>
      <c r="AF16" s="31">
        <v>3.0</v>
      </c>
      <c r="AG16" s="31">
        <v>0.5</v>
      </c>
      <c r="AH16" s="31">
        <v>9.5</v>
      </c>
      <c r="AI16" s="31">
        <v>8.0</v>
      </c>
      <c r="AJ16" s="31">
        <v>6.5</v>
      </c>
      <c r="AK16" s="31">
        <v>3.5</v>
      </c>
      <c r="AL16" s="31">
        <v>1.5</v>
      </c>
      <c r="AM16" s="31">
        <v>0.0</v>
      </c>
      <c r="AN16" s="31">
        <v>0.0</v>
      </c>
      <c r="AO16" s="31">
        <v>0.0</v>
      </c>
      <c r="AP16" s="31">
        <v>0.0</v>
      </c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1"/>
      <c r="BD16" s="31"/>
      <c r="BE16" s="31"/>
      <c r="BF16" s="31"/>
    </row>
    <row r="17" hidden="1">
      <c r="A17" s="36" t="s">
        <v>373</v>
      </c>
      <c r="B17" s="36" t="s">
        <v>15</v>
      </c>
      <c r="C17" s="37" t="s">
        <v>21</v>
      </c>
      <c r="D17" s="60">
        <v>36.0</v>
      </c>
      <c r="E17" s="60">
        <v>28.0</v>
      </c>
      <c r="F17" s="60">
        <v>10.0</v>
      </c>
      <c r="G17" s="60">
        <v>0.0</v>
      </c>
      <c r="H17" s="60">
        <v>0.0</v>
      </c>
      <c r="I17" s="60">
        <v>16.0</v>
      </c>
      <c r="J17" s="60">
        <v>0.0</v>
      </c>
      <c r="K17" s="60">
        <v>0.0</v>
      </c>
      <c r="L17" s="60">
        <v>5.0</v>
      </c>
      <c r="M17" s="60">
        <v>0.0</v>
      </c>
      <c r="N17" s="60">
        <v>0.0</v>
      </c>
      <c r="O17" s="60">
        <v>2.0</v>
      </c>
      <c r="P17" s="60">
        <v>0.0</v>
      </c>
      <c r="Q17" s="60">
        <v>12.0</v>
      </c>
      <c r="R17" s="60">
        <v>10.0</v>
      </c>
      <c r="S17" s="60">
        <v>0.0</v>
      </c>
      <c r="T17" s="60">
        <v>0.0</v>
      </c>
      <c r="U17" s="31">
        <v>12.0</v>
      </c>
      <c r="V17" s="31">
        <v>0.0</v>
      </c>
      <c r="W17" s="31">
        <v>0.0</v>
      </c>
      <c r="X17" s="31">
        <v>0.0</v>
      </c>
      <c r="Y17" s="31">
        <v>0.0</v>
      </c>
      <c r="Z17" s="31">
        <v>10.0</v>
      </c>
      <c r="AA17" s="31">
        <v>22.0</v>
      </c>
      <c r="AB17" s="31">
        <v>20.0</v>
      </c>
      <c r="AC17" s="31">
        <v>10.0</v>
      </c>
      <c r="AD17" s="31">
        <v>28.0</v>
      </c>
      <c r="AE17" s="31">
        <v>20.0</v>
      </c>
      <c r="AF17" s="31">
        <v>20.0</v>
      </c>
      <c r="AG17" s="31">
        <v>14.0</v>
      </c>
      <c r="AH17" s="31">
        <v>4.0</v>
      </c>
      <c r="AI17" s="31">
        <v>0.0</v>
      </c>
      <c r="AJ17" s="31">
        <v>0.0</v>
      </c>
      <c r="AK17" s="31">
        <v>2.0</v>
      </c>
      <c r="AL17" s="31">
        <v>0.0</v>
      </c>
      <c r="AM17" s="31">
        <v>7.0</v>
      </c>
      <c r="AN17" s="31">
        <v>2.0</v>
      </c>
      <c r="AO17" s="31">
        <v>2.0</v>
      </c>
      <c r="AP17" s="31">
        <v>0.0</v>
      </c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</row>
    <row r="18" hidden="1">
      <c r="A18" s="36" t="s">
        <v>373</v>
      </c>
      <c r="B18" s="36" t="s">
        <v>15</v>
      </c>
      <c r="C18" s="37" t="s">
        <v>22</v>
      </c>
      <c r="D18" s="60">
        <v>40.0</v>
      </c>
      <c r="E18" s="60">
        <v>36.0</v>
      </c>
      <c r="F18" s="60">
        <v>28.0</v>
      </c>
      <c r="G18" s="60">
        <v>4.0</v>
      </c>
      <c r="H18" s="60">
        <v>0.0</v>
      </c>
      <c r="I18" s="60">
        <v>32.0</v>
      </c>
      <c r="J18" s="60">
        <v>20.0</v>
      </c>
      <c r="K18" s="60">
        <v>16.0</v>
      </c>
      <c r="L18" s="60">
        <v>20.0</v>
      </c>
      <c r="M18" s="60">
        <v>16.0</v>
      </c>
      <c r="N18" s="60">
        <v>6.0</v>
      </c>
      <c r="O18" s="60">
        <v>32.0</v>
      </c>
      <c r="P18" s="60">
        <v>23.0</v>
      </c>
      <c r="Q18" s="60">
        <v>36.0</v>
      </c>
      <c r="R18" s="60">
        <v>40.0</v>
      </c>
      <c r="S18" s="60">
        <v>32.0</v>
      </c>
      <c r="T18" s="60">
        <v>32.0</v>
      </c>
      <c r="U18" s="31">
        <v>44.0</v>
      </c>
      <c r="V18" s="31">
        <v>40.0</v>
      </c>
      <c r="W18" s="31">
        <v>32.0</v>
      </c>
      <c r="X18" s="31">
        <v>24.0</v>
      </c>
      <c r="Y18" s="31">
        <v>35.0</v>
      </c>
      <c r="Z18" s="31">
        <v>8.0</v>
      </c>
      <c r="AA18" s="31">
        <v>28.0</v>
      </c>
      <c r="AB18" s="31">
        <v>32.0</v>
      </c>
      <c r="AC18" s="31">
        <v>20.0</v>
      </c>
      <c r="AD18" s="31">
        <v>28.0</v>
      </c>
      <c r="AE18" s="31">
        <v>20.0</v>
      </c>
      <c r="AF18" s="31">
        <v>20.0</v>
      </c>
      <c r="AG18" s="31">
        <v>16.0</v>
      </c>
      <c r="AH18" s="31">
        <v>12.0</v>
      </c>
      <c r="AI18" s="31">
        <v>8.0</v>
      </c>
      <c r="AJ18" s="31">
        <v>4.0</v>
      </c>
      <c r="AK18" s="31">
        <v>0.0</v>
      </c>
      <c r="AL18" s="31">
        <v>0.0</v>
      </c>
      <c r="AM18" s="31">
        <v>27.0</v>
      </c>
      <c r="AN18" s="31">
        <v>19.0</v>
      </c>
      <c r="AO18" s="31">
        <v>3.0</v>
      </c>
      <c r="AP18" s="31">
        <v>0.0</v>
      </c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</row>
    <row r="19" hidden="1">
      <c r="A19" s="36" t="s">
        <v>373</v>
      </c>
      <c r="B19" s="36" t="s">
        <v>15</v>
      </c>
      <c r="C19" s="36" t="s">
        <v>23</v>
      </c>
      <c r="D19" s="60">
        <v>4.0</v>
      </c>
      <c r="E19" s="60">
        <v>4.0</v>
      </c>
      <c r="F19" s="60">
        <v>3.0</v>
      </c>
      <c r="G19" s="60">
        <v>3.0</v>
      </c>
      <c r="H19" s="60">
        <v>3.0</v>
      </c>
      <c r="I19" s="60">
        <v>2.0</v>
      </c>
      <c r="J19" s="60">
        <v>1.0</v>
      </c>
      <c r="K19" s="60">
        <v>1.0</v>
      </c>
      <c r="L19" s="60">
        <v>3.0</v>
      </c>
      <c r="M19" s="60">
        <v>2.5</v>
      </c>
      <c r="N19" s="60">
        <v>2.0</v>
      </c>
      <c r="O19" s="60">
        <v>2.0</v>
      </c>
      <c r="P19" s="60">
        <v>0.0</v>
      </c>
      <c r="Q19" s="60">
        <v>2.0</v>
      </c>
      <c r="R19" s="60">
        <v>1.0</v>
      </c>
      <c r="S19" s="60">
        <v>0.0</v>
      </c>
      <c r="T19" s="60">
        <v>0.0</v>
      </c>
      <c r="U19" s="31">
        <v>0.0</v>
      </c>
      <c r="V19" s="31">
        <v>1.0</v>
      </c>
      <c r="W19" s="31">
        <v>1.0</v>
      </c>
      <c r="X19" s="31">
        <v>0.0</v>
      </c>
      <c r="Y19" s="31">
        <v>0.0</v>
      </c>
      <c r="Z19" s="31">
        <v>0.0</v>
      </c>
      <c r="AA19" s="31">
        <v>0.0</v>
      </c>
      <c r="AB19" s="31">
        <v>0.0</v>
      </c>
      <c r="AC19" s="31">
        <v>0.0</v>
      </c>
      <c r="AD19" s="31">
        <v>2.0</v>
      </c>
      <c r="AE19" s="31">
        <v>2.0</v>
      </c>
      <c r="AF19" s="31">
        <v>2.0</v>
      </c>
      <c r="AG19" s="31">
        <v>2.0</v>
      </c>
      <c r="AH19" s="31">
        <v>2.0</v>
      </c>
      <c r="AI19" s="31">
        <v>1.5</v>
      </c>
      <c r="AJ19" s="31">
        <v>1.5</v>
      </c>
      <c r="AK19" s="31">
        <v>1.5</v>
      </c>
      <c r="AL19" s="31">
        <v>1.5</v>
      </c>
      <c r="AM19" s="31">
        <v>1.5</v>
      </c>
      <c r="AN19" s="31">
        <v>1.0</v>
      </c>
      <c r="AO19" s="31">
        <v>1.0</v>
      </c>
      <c r="AP19" s="31">
        <v>0.0</v>
      </c>
      <c r="AQ19" s="31"/>
      <c r="AR19" s="31"/>
      <c r="AS19" s="31"/>
      <c r="AT19" s="31"/>
      <c r="AU19" s="31"/>
      <c r="AV19" s="31"/>
      <c r="AW19" s="31"/>
      <c r="AX19" s="31"/>
      <c r="AY19" s="31"/>
      <c r="AZ19" s="31"/>
      <c r="BA19" s="31"/>
      <c r="BB19" s="31"/>
      <c r="BC19" s="31"/>
      <c r="BD19" s="31"/>
      <c r="BE19" s="31"/>
      <c r="BF19" s="31"/>
    </row>
    <row r="20" ht="16.5" hidden="1" customHeight="1">
      <c r="A20" s="80" t="s">
        <v>373</v>
      </c>
      <c r="B20" s="36" t="s">
        <v>15</v>
      </c>
      <c r="C20" s="80" t="s">
        <v>25</v>
      </c>
      <c r="D20" s="114"/>
      <c r="E20" s="115"/>
      <c r="F20" s="114"/>
      <c r="G20" s="114"/>
      <c r="H20" s="114"/>
      <c r="I20" s="64"/>
      <c r="J20" s="64"/>
      <c r="K20" s="64"/>
      <c r="L20" s="64"/>
      <c r="M20" s="64"/>
      <c r="N20" s="64"/>
      <c r="O20" s="64"/>
      <c r="P20" s="64"/>
      <c r="Q20" s="73" t="s">
        <v>35</v>
      </c>
      <c r="R20" s="73" t="s">
        <v>35</v>
      </c>
      <c r="S20" s="73" t="s">
        <v>35</v>
      </c>
      <c r="T20" s="73" t="s">
        <v>35</v>
      </c>
      <c r="U20" s="73" t="s">
        <v>35</v>
      </c>
      <c r="V20" s="73" t="s">
        <v>35</v>
      </c>
      <c r="W20" s="73" t="s">
        <v>35</v>
      </c>
      <c r="X20" s="73" t="s">
        <v>35</v>
      </c>
      <c r="Y20" s="73" t="s">
        <v>35</v>
      </c>
      <c r="Z20" s="32">
        <v>0.0</v>
      </c>
      <c r="AA20" s="32">
        <v>15.0</v>
      </c>
      <c r="AB20" s="32">
        <v>13.0</v>
      </c>
      <c r="AC20" s="32">
        <v>8.0</v>
      </c>
      <c r="AD20" s="32">
        <v>31.0</v>
      </c>
      <c r="AE20" s="32">
        <v>28.0</v>
      </c>
      <c r="AF20" s="32">
        <v>27.0</v>
      </c>
      <c r="AG20" s="32">
        <v>24.0</v>
      </c>
      <c r="AH20" s="32">
        <v>17.0</v>
      </c>
      <c r="AI20" s="32">
        <v>16.0</v>
      </c>
      <c r="AJ20" s="32">
        <v>15.0</v>
      </c>
      <c r="AK20" s="32">
        <v>13.0</v>
      </c>
      <c r="AL20" s="32">
        <v>11.0</v>
      </c>
      <c r="AM20" s="32">
        <v>25.0</v>
      </c>
      <c r="AN20" s="32">
        <v>22.0</v>
      </c>
      <c r="AO20" s="32">
        <v>3.0</v>
      </c>
      <c r="AP20" s="32">
        <v>0.0</v>
      </c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</row>
    <row r="21" hidden="1">
      <c r="A21" s="36" t="s">
        <v>373</v>
      </c>
      <c r="B21" s="36" t="s">
        <v>15</v>
      </c>
      <c r="C21" s="80" t="s">
        <v>236</v>
      </c>
      <c r="H21" s="34"/>
      <c r="Q21" s="73" t="s">
        <v>35</v>
      </c>
      <c r="R21" s="73" t="s">
        <v>35</v>
      </c>
      <c r="S21" s="73" t="s">
        <v>35</v>
      </c>
      <c r="T21" s="73" t="s">
        <v>35</v>
      </c>
      <c r="U21" s="73" t="s">
        <v>35</v>
      </c>
      <c r="V21" s="73" t="s">
        <v>35</v>
      </c>
      <c r="W21" s="73" t="s">
        <v>35</v>
      </c>
      <c r="X21" s="73" t="s">
        <v>35</v>
      </c>
      <c r="Y21" s="73" t="s">
        <v>35</v>
      </c>
      <c r="Z21" s="31">
        <v>0.0</v>
      </c>
      <c r="AA21" s="31">
        <v>2.0</v>
      </c>
      <c r="AB21" s="31">
        <v>1.0</v>
      </c>
      <c r="AC21" s="31">
        <v>0.0</v>
      </c>
      <c r="AD21" s="31">
        <v>2.0</v>
      </c>
      <c r="AE21" s="31">
        <v>1.0</v>
      </c>
      <c r="AF21" s="31">
        <v>1.0</v>
      </c>
      <c r="AG21" s="31">
        <v>1.0</v>
      </c>
      <c r="AH21" s="31">
        <v>0.0</v>
      </c>
      <c r="AI21" s="31">
        <v>0.0</v>
      </c>
      <c r="AJ21" s="31">
        <v>0.0</v>
      </c>
      <c r="AK21" s="31">
        <v>1.0</v>
      </c>
      <c r="AL21" s="31">
        <v>0.0</v>
      </c>
      <c r="AM21" s="31">
        <v>1.0</v>
      </c>
      <c r="AN21" s="31">
        <v>1.0</v>
      </c>
      <c r="AO21" s="31">
        <v>0.0</v>
      </c>
      <c r="AP21" s="31">
        <v>0.0</v>
      </c>
      <c r="AQ21" s="31"/>
      <c r="AR21" s="31"/>
      <c r="AS21" s="31"/>
      <c r="AT21" s="31"/>
      <c r="AU21" s="31"/>
      <c r="AV21" s="31"/>
      <c r="AW21" s="31"/>
      <c r="AX21" s="31"/>
      <c r="AY21" s="31"/>
      <c r="AZ21" s="31"/>
      <c r="BA21" s="31"/>
      <c r="BB21" s="31"/>
      <c r="BC21" s="31"/>
      <c r="BD21" s="31"/>
      <c r="BE21" s="31"/>
      <c r="BF21" s="31"/>
    </row>
    <row r="22" hidden="1">
      <c r="A22" s="36" t="s">
        <v>373</v>
      </c>
      <c r="B22" s="36" t="s">
        <v>33</v>
      </c>
      <c r="C22" s="36" t="s">
        <v>238</v>
      </c>
      <c r="H22" s="35"/>
      <c r="V22" s="73" t="s">
        <v>35</v>
      </c>
      <c r="W22" s="73" t="s">
        <v>35</v>
      </c>
      <c r="X22" s="73" t="s">
        <v>35</v>
      </c>
      <c r="Y22" s="73" t="s">
        <v>35</v>
      </c>
      <c r="Z22" s="73" t="s">
        <v>35</v>
      </c>
      <c r="AA22" s="73" t="s">
        <v>35</v>
      </c>
      <c r="AB22" s="73" t="s">
        <v>35</v>
      </c>
      <c r="AC22" s="31">
        <v>0.0</v>
      </c>
      <c r="AD22" s="31">
        <v>0.0</v>
      </c>
      <c r="AE22" s="31">
        <v>0.0</v>
      </c>
      <c r="AF22" s="31">
        <v>0.0</v>
      </c>
      <c r="AG22" s="31">
        <v>0.0</v>
      </c>
      <c r="AH22" s="31">
        <v>0.0</v>
      </c>
      <c r="AI22" s="31">
        <v>0.0</v>
      </c>
      <c r="AJ22" s="31">
        <v>0.0</v>
      </c>
      <c r="AK22" s="31">
        <v>0.0</v>
      </c>
      <c r="AL22" s="31">
        <v>0.0</v>
      </c>
      <c r="AM22" s="31">
        <v>1.5</v>
      </c>
      <c r="AN22" s="31">
        <v>1.5</v>
      </c>
      <c r="AO22" s="31">
        <v>0.0</v>
      </c>
      <c r="AP22" s="31">
        <v>0.0</v>
      </c>
    </row>
    <row r="23" hidden="1">
      <c r="A23" s="36" t="s">
        <v>373</v>
      </c>
      <c r="B23" s="36" t="s">
        <v>33</v>
      </c>
      <c r="C23" s="31" t="s">
        <v>267</v>
      </c>
      <c r="H23" s="60"/>
      <c r="V23" s="73" t="s">
        <v>35</v>
      </c>
      <c r="W23" s="73" t="s">
        <v>35</v>
      </c>
      <c r="X23" s="73" t="s">
        <v>35</v>
      </c>
      <c r="Y23" s="73" t="s">
        <v>35</v>
      </c>
      <c r="Z23" s="73" t="s">
        <v>35</v>
      </c>
      <c r="AA23" s="73" t="s">
        <v>35</v>
      </c>
      <c r="AB23" s="73" t="s">
        <v>35</v>
      </c>
      <c r="AC23" s="31">
        <v>1.5</v>
      </c>
      <c r="AD23" s="31">
        <v>2.5</v>
      </c>
      <c r="AE23" s="31">
        <v>2.5</v>
      </c>
      <c r="AF23" s="31">
        <v>2.5</v>
      </c>
      <c r="AG23" s="31">
        <v>2.0</v>
      </c>
      <c r="AH23" s="31">
        <v>1.5</v>
      </c>
      <c r="AI23" s="31">
        <v>1.5</v>
      </c>
      <c r="AJ23" s="31">
        <v>1.0</v>
      </c>
      <c r="AK23" s="31">
        <v>0.5</v>
      </c>
      <c r="AL23" s="31">
        <v>0.5</v>
      </c>
      <c r="AM23" s="31">
        <v>3.0</v>
      </c>
      <c r="AN23" s="31">
        <v>3.0</v>
      </c>
      <c r="AO23" s="31">
        <v>0.0</v>
      </c>
      <c r="AP23" s="31">
        <v>0.0</v>
      </c>
    </row>
    <row r="24" hidden="1">
      <c r="A24" s="36" t="s">
        <v>373</v>
      </c>
      <c r="B24" s="36" t="s">
        <v>33</v>
      </c>
      <c r="C24" s="31" t="s">
        <v>252</v>
      </c>
      <c r="H24" s="60"/>
      <c r="V24" s="73" t="s">
        <v>35</v>
      </c>
      <c r="W24" s="73" t="s">
        <v>35</v>
      </c>
      <c r="X24" s="73" t="s">
        <v>35</v>
      </c>
      <c r="Y24" s="73" t="s">
        <v>35</v>
      </c>
      <c r="Z24" s="73" t="s">
        <v>35</v>
      </c>
      <c r="AA24" s="73" t="s">
        <v>35</v>
      </c>
      <c r="AB24" s="73" t="s">
        <v>35</v>
      </c>
      <c r="AC24" s="31">
        <v>3.0</v>
      </c>
      <c r="AD24" s="31">
        <v>4.0</v>
      </c>
      <c r="AE24" s="31">
        <v>4.0</v>
      </c>
      <c r="AF24" s="31">
        <v>1.0</v>
      </c>
      <c r="AG24" s="31">
        <v>1.0</v>
      </c>
      <c r="AH24" s="31">
        <v>1.0</v>
      </c>
      <c r="AI24" s="31">
        <v>0.5</v>
      </c>
      <c r="AJ24" s="31">
        <v>0.5</v>
      </c>
      <c r="AK24" s="31">
        <v>0.0</v>
      </c>
      <c r="AL24" s="31">
        <v>0.0</v>
      </c>
      <c r="AM24" s="31">
        <v>2.0</v>
      </c>
      <c r="AN24" s="31">
        <v>2.0</v>
      </c>
      <c r="AO24" s="31">
        <v>0.0</v>
      </c>
      <c r="AP24" s="31">
        <v>0.0</v>
      </c>
    </row>
    <row r="25" hidden="1">
      <c r="A25" s="36" t="s">
        <v>373</v>
      </c>
      <c r="B25" s="36" t="s">
        <v>33</v>
      </c>
      <c r="C25" s="31" t="s">
        <v>257</v>
      </c>
      <c r="H25" s="60"/>
      <c r="V25" s="73" t="s">
        <v>35</v>
      </c>
      <c r="W25" s="73" t="s">
        <v>35</v>
      </c>
      <c r="X25" s="73" t="s">
        <v>35</v>
      </c>
      <c r="Y25" s="73" t="s">
        <v>35</v>
      </c>
      <c r="Z25" s="73" t="s">
        <v>35</v>
      </c>
      <c r="AA25" s="73" t="s">
        <v>35</v>
      </c>
      <c r="AB25" s="73" t="s">
        <v>35</v>
      </c>
      <c r="AC25" s="31">
        <v>3.0</v>
      </c>
      <c r="AD25" s="31">
        <v>5.0</v>
      </c>
      <c r="AE25" s="31">
        <v>5.0</v>
      </c>
      <c r="AF25" s="31">
        <v>5.0</v>
      </c>
      <c r="AG25" s="31">
        <v>5.0</v>
      </c>
      <c r="AH25" s="31">
        <v>4.0</v>
      </c>
      <c r="AI25" s="31">
        <v>4.0</v>
      </c>
      <c r="AJ25" s="31">
        <v>3.0</v>
      </c>
      <c r="AK25" s="31">
        <v>3.0</v>
      </c>
      <c r="AL25" s="31">
        <v>2.0</v>
      </c>
      <c r="AM25" s="31">
        <v>6.0</v>
      </c>
      <c r="AN25" s="31">
        <v>5.0</v>
      </c>
      <c r="AO25" s="31">
        <v>0.0</v>
      </c>
      <c r="AP25" s="31">
        <v>0.0</v>
      </c>
    </row>
    <row r="26">
      <c r="A26" s="37"/>
      <c r="B26" s="37"/>
      <c r="C26" s="36"/>
      <c r="H26" s="60"/>
    </row>
    <row r="29">
      <c r="A29" s="26"/>
      <c r="B29" s="26"/>
      <c r="C29" s="27"/>
      <c r="D29" s="33"/>
      <c r="E29" s="34"/>
      <c r="F29" s="34"/>
      <c r="G29" s="34"/>
      <c r="H29" s="34"/>
      <c r="AN29" s="122"/>
    </row>
    <row r="30">
      <c r="A30" s="35"/>
      <c r="B30" s="35"/>
      <c r="C30" s="35"/>
      <c r="D30" s="35"/>
      <c r="E30" s="35"/>
      <c r="F30" s="35"/>
      <c r="G30" s="35"/>
      <c r="H30" s="35"/>
    </row>
    <row r="31">
      <c r="A31" s="36"/>
      <c r="B31" s="37"/>
      <c r="C31" s="37"/>
      <c r="H31" s="60"/>
    </row>
    <row r="32">
      <c r="A32" s="36"/>
      <c r="B32" s="37"/>
      <c r="C32" s="37"/>
      <c r="H32" s="60"/>
    </row>
    <row r="33">
      <c r="A33" s="36"/>
      <c r="B33" s="37"/>
      <c r="C33" s="37"/>
      <c r="H33" s="60"/>
    </row>
    <row r="34">
      <c r="A34" s="36"/>
      <c r="B34" s="37"/>
      <c r="C34" s="36"/>
      <c r="H34" s="60"/>
    </row>
    <row r="35" ht="16.5" customHeight="1">
      <c r="A35" s="64"/>
      <c r="B35" s="64"/>
      <c r="C35" s="64"/>
      <c r="D35" s="78"/>
      <c r="E35" s="79"/>
      <c r="F35" s="78"/>
      <c r="G35" s="78"/>
      <c r="H35" s="78"/>
      <c r="I35" s="62"/>
      <c r="J35" s="62"/>
      <c r="K35" s="62"/>
      <c r="L35" s="62"/>
      <c r="M35" s="62"/>
      <c r="N35" s="62"/>
    </row>
    <row r="36">
      <c r="A36" s="26"/>
      <c r="B36" s="26"/>
      <c r="C36" s="123"/>
    </row>
    <row r="37">
      <c r="A37" s="35"/>
      <c r="B37" s="35"/>
      <c r="C37" s="35"/>
    </row>
    <row r="38">
      <c r="A38" s="37"/>
      <c r="B38" s="37"/>
      <c r="C38" s="37"/>
    </row>
    <row r="39">
      <c r="A39" s="37"/>
      <c r="B39" s="36"/>
      <c r="C39" s="36"/>
    </row>
    <row r="40">
      <c r="A40" s="37"/>
      <c r="B40" s="37"/>
      <c r="C40" s="37"/>
    </row>
    <row r="41">
      <c r="A41" s="37"/>
      <c r="B41" s="37"/>
      <c r="C41" s="37"/>
    </row>
    <row r="42">
      <c r="A42" s="37"/>
      <c r="B42" s="37"/>
      <c r="C42" s="36"/>
    </row>
    <row r="45">
      <c r="A45" s="26"/>
      <c r="B45" s="26"/>
      <c r="C45" s="27"/>
      <c r="D45" s="33"/>
      <c r="E45" s="34"/>
      <c r="F45" s="34"/>
      <c r="G45" s="34"/>
    </row>
    <row r="46">
      <c r="A46" s="35"/>
      <c r="B46" s="35"/>
      <c r="C46" s="35"/>
      <c r="D46" s="35"/>
      <c r="E46" s="35"/>
      <c r="F46" s="35"/>
      <c r="G46" s="35"/>
    </row>
    <row r="47">
      <c r="A47" s="36"/>
      <c r="B47" s="37"/>
      <c r="C47" s="37"/>
    </row>
    <row r="48">
      <c r="A48" s="36"/>
      <c r="B48" s="37"/>
      <c r="C48" s="37"/>
    </row>
    <row r="49">
      <c r="A49" s="36"/>
      <c r="B49" s="37"/>
      <c r="C49" s="37"/>
    </row>
    <row r="50">
      <c r="A50" s="36"/>
      <c r="B50" s="37"/>
      <c r="C50" s="36"/>
    </row>
  </sheetData>
  <dataValidations>
    <dataValidation type="list" allowBlank="1" showErrorMessage="1" sqref="B3:B25">
      <formula1>"Cafeteria,Aseo"</formula1>
    </dataValidation>
  </dataValidations>
  <drawing r:id="rId4"/>
  <legacyDrawing r:id="rId5"/>
</worksheet>
</file>